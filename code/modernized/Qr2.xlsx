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8.xml" ContentType="application/vnd.ms-office.chartcolor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6.xml" ContentType="application/vnd.ms-office.chart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Results" sheetId="1" state="visible" r:id="rId3"/>
    <sheet name="AVGTI" sheetId="2" state="visible" r:id="rId4"/>
    <sheet name="AVGTU" sheetId="3" state="visible" r:id="rId5"/>
    <sheet name="AVGTO" sheetId="4" state="visible" r:id="rId6"/>
    <sheet name="STDI" sheetId="5" state="visible" r:id="rId7"/>
    <sheet name="STDU" sheetId="6" state="visible" r:id="rId8"/>
    <sheet name="DELTASTD" sheetId="7" state="visible" r:id="rId9"/>
    <sheet name="TSI" sheetId="8" state="visible" r:id="rId10"/>
    <sheet name="TSU" sheetId="9" state="visible" r:id="rId11"/>
    <sheet name="Summary" sheetId="10" state="visible" r:id="rId12"/>
    <sheet name="RESULTS" sheetId="11" state="visible" r:id="rId13"/>
    <sheet name="Chart1" sheetId="12" state="visible" r:id="rId14"/>
    <sheet name="Sheet3" sheetId="13" state="visible" r:id="rId15"/>
    <sheet name="Sheet4" sheetId="14" state="visible" r:id="rId16"/>
    <sheet name="Sheet1" sheetId="15" state="visible" r:id="rId17"/>
    <sheet name="Chart2" sheetId="16" state="visible" r:id="rId18"/>
    <sheet name="HistoQ" sheetId="17" state="visible" r:id="rId19"/>
    <sheet name="Sheet5" sheetId="18" state="visible" r:id="rId20"/>
    <sheet name="QUEUE" sheetId="19" state="visible" r:id="rId21"/>
  </sheets>
  <definedNames>
    <definedName function="false" hidden="false" name="Arterial" vbProcedure="false">QUEUE!$H$17:$H$1017</definedName>
    <definedName function="false" hidden="false" name="Informed" vbProcedure="false">QUEUE!$B$15:$B$1017</definedName>
    <definedName function="false" hidden="false" name="RESET" vbProcedure="false">QUEUE!$G$1</definedName>
    <definedName function="false" hidden="false" name="_Fill" vbProcedure="false">QUEUE!$A$18:$A$65536</definedName>
    <definedName function="false" hidden="false" name="__123Graph_A" vbProcedure="false">QUEUE!$D$18:$D$67</definedName>
    <definedName function="false" hidden="false" name="__123Graph_B" vbProcedure="false">QUEUE!$J$18:$J$67</definedName>
    <definedName function="false" hidden="false" name="__123Graph_X" vbProcedure="false">QUEUE!$A$18:$A$67</definedName>
    <definedName function="false" hidden="false" localSheetId="18" name="_Regression_Int" vbProcedure="false">1</definedName>
  </definedNames>
  <calcPr iterateCount="1" refMode="A1" iterate="true" iterateDelta="0.001"/>
  <pivotCaches>
    <pivotCache cacheId="1" r:id="rId23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<sst xmlns="http://schemas.openxmlformats.org/spreadsheetml/2006/main" count="701" uniqueCount="116">
  <si>
    <t xml:space="preserve">THE VALUE OF INFORMATION: QUEUEING MODEL</t>
  </si>
  <si>
    <t xml:space="preserve">RESET (1=Y,0=N)</t>
  </si>
  <si>
    <t xml:space="preserve">Poisson arrival rate (cust/sec) =</t>
  </si>
  <si>
    <t xml:space="preserve">ITERATION</t>
  </si>
  <si>
    <t xml:space="preserve">Freeway Service time mean (sec) =</t>
  </si>
  <si>
    <t xml:space="preserve">Arterial Service time mean (sec) =</t>
  </si>
  <si>
    <t xml:space="preserve">Freeway Service time range (sec) =</t>
  </si>
  <si>
    <t xml:space="preserve">Demand Coefficient =</t>
  </si>
  <si>
    <t xml:space="preserve">Alternate Time (sec)</t>
  </si>
  <si>
    <t xml:space="preserve">Percent Informed</t>
  </si>
  <si>
    <t xml:space="preserve">Percent Arterial (RESULT)</t>
  </si>
  <si>
    <t xml:space="preserve">Percent Informed (RESULT)</t>
  </si>
  <si>
    <t xml:space="preserve">RESULTS</t>
  </si>
  <si>
    <t xml:space="preserve">CUM TOT. DELAY</t>
  </si>
  <si>
    <t xml:space="preserve">CUM N</t>
  </si>
  <si>
    <t xml:space="preserve">CUM. AVG. DELAY</t>
  </si>
  <si>
    <t xml:space="preserve">TOTAL</t>
  </si>
  <si>
    <t xml:space="preserve">FREEWAY</t>
  </si>
  <si>
    <t xml:space="preserve">ARTERIAL</t>
  </si>
  <si>
    <t xml:space="preserve">INFORMED</t>
  </si>
  <si>
    <t xml:space="preserve">UNINFORMED</t>
  </si>
  <si>
    <t xml:space="preserve">secs.</t>
  </si>
  <si>
    <t xml:space="preserve">Average of Time Informed</t>
  </si>
  <si>
    <t xml:space="preserve">Poisson arrival rate</t>
  </si>
  <si>
    <t xml:space="preserve">Grand Total</t>
  </si>
  <si>
    <t xml:space="preserve">Average of Time Uninformed</t>
  </si>
  <si>
    <t xml:space="preserve">Average of Time Overall</t>
  </si>
  <si>
    <t xml:space="preserve">V/C</t>
  </si>
  <si>
    <t xml:space="preserve">Average of INFORMED STD DEV</t>
  </si>
  <si>
    <t xml:space="preserve">Average of UNINFORMED STD DEV</t>
  </si>
  <si>
    <t xml:space="preserve">Average Time Overall</t>
  </si>
  <si>
    <t xml:space="preserve"> </t>
  </si>
  <si>
    <t xml:space="preserve">0.5</t>
  </si>
  <si>
    <t xml:space="preserve">0.67</t>
  </si>
  <si>
    <t xml:space="preserve">0.95</t>
  </si>
  <si>
    <t xml:space="preserve">1</t>
  </si>
  <si>
    <t xml:space="preserve">1.05</t>
  </si>
  <si>
    <t xml:space="preserve">Standard Deviation Informed - Uninformed (all else equal)</t>
  </si>
  <si>
    <t xml:space="preserve">Average of Informed %Savings</t>
  </si>
  <si>
    <t xml:space="preserve">Average of Uninformed %Savings</t>
  </si>
  <si>
    <t xml:space="preserve">Time Informed</t>
  </si>
  <si>
    <t xml:space="preserve">Time Uninformed</t>
  </si>
  <si>
    <t xml:space="preserve">Time Overall</t>
  </si>
  <si>
    <t xml:space="preserve">Informed %Savings</t>
  </si>
  <si>
    <t xml:space="preserve">Uninformed %Savings</t>
  </si>
  <si>
    <t xml:space="preserve">INFORMED STD DEV</t>
  </si>
  <si>
    <t xml:space="preserve">UNINFORMED STD DEV</t>
  </si>
  <si>
    <t xml:space="preserve">Poisson</t>
  </si>
  <si>
    <t xml:space="preserve">Freeway</t>
  </si>
  <si>
    <t xml:space="preserve">Arterial </t>
  </si>
  <si>
    <t xml:space="preserve">Demand</t>
  </si>
  <si>
    <t xml:space="preserve">Alternate</t>
  </si>
  <si>
    <t xml:space="preserve">Percent</t>
  </si>
  <si>
    <t xml:space="preserve">MEAN</t>
  </si>
  <si>
    <t xml:space="preserve">STD.DEV</t>
  </si>
  <si>
    <t xml:space="preserve">N</t>
  </si>
  <si>
    <t xml:space="preserve">arrival rate</t>
  </si>
  <si>
    <t xml:space="preserve">Service time mean</t>
  </si>
  <si>
    <t xml:space="preserve">range</t>
  </si>
  <si>
    <t xml:space="preserve">Coefficient</t>
  </si>
  <si>
    <t xml:space="preserve">Time</t>
  </si>
  <si>
    <t xml:space="preserve">Informed</t>
  </si>
  <si>
    <t xml:space="preserve">Uninformed</t>
  </si>
  <si>
    <t xml:space="preserve">(cust/sec)</t>
  </si>
  <si>
    <t xml:space="preserve">(sec)</t>
  </si>
  <si>
    <t xml:space="preserve">Overall</t>
  </si>
  <si>
    <t xml:space="preserve">%Savings</t>
  </si>
  <si>
    <t xml:space="preserve">Informed Time by</t>
  </si>
  <si>
    <t xml:space="preserve">Arrived</t>
  </si>
  <si>
    <t xml:space="preserve">Departed</t>
  </si>
  <si>
    <t xml:space="preserve">CumArrival</t>
  </si>
  <si>
    <t xml:space="preserve">CumDeparture</t>
  </si>
  <si>
    <t xml:space="preserve">DifferencedCumArrivals</t>
  </si>
  <si>
    <t xml:space="preserve">DifferencedCumDeparture</t>
  </si>
  <si>
    <t xml:space="preserve">More</t>
  </si>
  <si>
    <t xml:space="preserve">Frequency</t>
  </si>
  <si>
    <t xml:space="preserve">Cumulative %</t>
  </si>
  <si>
    <t xml:space="preserve">CUSTOMER</t>
  </si>
  <si>
    <t xml:space="preserve">ARRIVAL</t>
  </si>
  <si>
    <t xml:space="preserve">DEPARTURE</t>
  </si>
  <si>
    <t xml:space="preserve">#</t>
  </si>
  <si>
    <t xml:space="preserve">TIME</t>
  </si>
  <si>
    <t xml:space="preserve">SUMS</t>
  </si>
  <si>
    <t xml:space="preserve">AVERAGES</t>
  </si>
  <si>
    <t xml:space="preserve">CUMULATIVE SUMS</t>
  </si>
  <si>
    <t xml:space="preserve">CUMULATIVE AVGS</t>
  </si>
  <si>
    <t xml:space="preserve">TOT. DELAY =</t>
  </si>
  <si>
    <t xml:space="preserve">AVG.DELAY</t>
  </si>
  <si>
    <t xml:space="preserve">-1</t>
  </si>
  <si>
    <t xml:space="preserve">EXPECTED</t>
  </si>
  <si>
    <t xml:space="preserve">ART.</t>
  </si>
  <si>
    <t xml:space="preserve">CUMULATIVE</t>
  </si>
  <si>
    <t xml:space="preserve">AVERAGE</t>
  </si>
  <si>
    <t xml:space="preserve">AVERAGE </t>
  </si>
  <si>
    <t xml:space="preserve">(X-E(X))^2</t>
  </si>
  <si>
    <t xml:space="preserve">(1=Y,0=N)</t>
  </si>
  <si>
    <t xml:space="preserve">Uninform</t>
  </si>
  <si>
    <t xml:space="preserve">F/A</t>
  </si>
  <si>
    <t xml:space="preserve">SERVICE</t>
  </si>
  <si>
    <t xml:space="preserve">DELAY</t>
  </si>
  <si>
    <t xml:space="preserve">Arterial</t>
  </si>
  <si>
    <t xml:space="preserve">ACTUAL</t>
  </si>
  <si>
    <t xml:space="preserve">HEADWAY</t>
  </si>
  <si>
    <t xml:space="preserve">SPLIT</t>
  </si>
  <si>
    <t xml:space="preserve">F=0,A=1</t>
  </si>
  <si>
    <t xml:space="preserve">FWY DELAY</t>
  </si>
  <si>
    <t xml:space="preserve">ART DELAY</t>
  </si>
  <si>
    <t xml:space="preserve">FWY USERS</t>
  </si>
  <si>
    <t xml:space="preserve">ART USERS</t>
  </si>
  <si>
    <t xml:space="preserve">USERS</t>
  </si>
  <si>
    <t xml:space="preserve">Cust#</t>
  </si>
  <si>
    <t xml:space="preserve">V/C 0.95</t>
  </si>
  <si>
    <t xml:space="preserve">V/C 1.05</t>
  </si>
  <si>
    <t xml:space="preserve">Std Dev</t>
  </si>
  <si>
    <t xml:space="preserve">CUM</t>
  </si>
  <si>
    <t xml:space="preserve">AVG. CUM Std Dev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</si>
</sst>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.00_)"/>
    <numFmt numFmtId="167" formatCode="0"/>
    <numFmt numFmtId="168" formatCode="0.00"/>
    <numFmt numFmtId="169" formatCode="0%"/>
    <numFmt numFmtId="170" formatCode="0.000"/>
    <numFmt numFmtId="171" formatCode=".00%"/>
    <numFmt numFmtId="172" formatCode="0_)"/>
  </numFmts>
  <fonts count="16">
    <font>
      <sz val="10"/>
      <name val="Courier Ne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</font>
    <font>
      <sz val="10"/>
      <name val="Courier New"/>
      <family val="3"/>
    </font>
    <font>
      <b val="true"/>
      <sz val="17"/>
      <color rgb="FF000000"/>
      <name val="Arial"/>
      <family val="2"/>
    </font>
    <font>
      <sz val="12"/>
      <color rgb="FF000000"/>
      <name val="Arial"/>
      <family val="2"/>
    </font>
    <font>
      <b val="true"/>
      <sz val="14.25"/>
      <color rgb="FF000000"/>
      <name val="Arial"/>
      <family val="2"/>
    </font>
    <font>
      <b val="true"/>
      <sz val="15"/>
      <color rgb="FF000000"/>
      <name val="Arial"/>
      <family val="2"/>
    </font>
    <font>
      <b val="true"/>
      <sz val="16.75"/>
      <color rgb="FF000000"/>
      <name val="Arial"/>
      <family val="2"/>
    </font>
    <font>
      <b val="true"/>
      <sz val="18"/>
      <color rgb="FF000000"/>
      <name val="Arial"/>
      <family val="2"/>
    </font>
    <font>
      <b val="true"/>
      <sz val="14"/>
      <color rgb="FF000000"/>
      <name val="Arial"/>
      <family val="2"/>
    </font>
    <font>
      <i val="true"/>
      <sz val="10"/>
      <name val="Courier New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<Relationship Id="rId23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Average Time (Informed Drivers)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AVGTI!$B$36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AVGTI!$C$35:$H$35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AVGTI!$C$36:$H$36</c:f>
              <c:numCache>
                <c:formatCode>General</c:formatCode>
                <c:ptCount val="6"/>
                <c:pt idx="0">
                  <c:v>2.36388268616381</c:v>
                </c:pt>
                <c:pt idx="1">
                  <c:v>2.38695261830468</c:v>
                </c:pt>
                <c:pt idx="2">
                  <c:v>2.39272802488242</c:v>
                </c:pt>
                <c:pt idx="3">
                  <c:v>2.40892024551003</c:v>
                </c:pt>
                <c:pt idx="4">
                  <c:v>2.41012135112649</c:v>
                </c:pt>
                <c:pt idx="5">
                  <c:v>2.42276435326752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AVGTI!$B$37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AVGTI!$C$35:$H$35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AVGTI!$C$37:$H$37</c:f>
              <c:numCache>
                <c:formatCode>General</c:formatCode>
                <c:ptCount val="6"/>
                <c:pt idx="0">
                  <c:v>2.82668925960402</c:v>
                </c:pt>
                <c:pt idx="1">
                  <c:v>2.87216583971642</c:v>
                </c:pt>
                <c:pt idx="2">
                  <c:v>2.8953662783439</c:v>
                </c:pt>
                <c:pt idx="3">
                  <c:v>2.9158805899571</c:v>
                </c:pt>
                <c:pt idx="4">
                  <c:v>2.92863984729757</c:v>
                </c:pt>
                <c:pt idx="5">
                  <c:v>2.90198044801762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AVGTI!$B$38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>
                <a:alpha val="50000"/>
              </a:srgbClr>
            </a:solidFill>
            <a:ln w="37800">
              <a:solidFill>
                <a:srgbClr val="339966">
                  <a:alpha val="50000"/>
                </a:srgbClr>
              </a:solidFill>
              <a:round/>
            </a:ln>
          </c:spPr>
          <c:marker>
            <c:symbol val="triangle"/>
            <c:size val="5"/>
            <c:spPr>
              <a:solidFill>
                <a:srgbClr val="339966"/>
              </a:solidFill>
            </c:spPr>
          </c:marker>
          <c:dPt>
            <c:idx val="1"/>
            <c:marker>
              <c:symbol val="triangle"/>
              <c:size val="5"/>
              <c:spPr>
                <a:solidFill>
                  <a:srgbClr val="339966"/>
                </a:solidFill>
              </c:spPr>
            </c:marker>
          </c:dPt>
          <c:dPt>
            <c:idx val="3"/>
            <c:marker>
              <c:symbol val="triangle"/>
              <c:size val="5"/>
              <c:spPr>
                <a:solidFill>
                  <a:srgbClr val="339966"/>
                </a:solidFill>
              </c:spPr>
            </c:marker>
          </c:dPt>
          <c:dPt>
            <c:idx val="5"/>
            <c:marker>
              <c:symbol val="triangle"/>
              <c:size val="5"/>
              <c:spPr>
                <a:solidFill>
                  <a:srgbClr val="339966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AVGTI!$C$35:$H$35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AVGTI!$C$38:$H$38</c:f>
              <c:numCache>
                <c:formatCode>General</c:formatCode>
                <c:ptCount val="6"/>
                <c:pt idx="0">
                  <c:v>9.52070604862426</c:v>
                </c:pt>
                <c:pt idx="1">
                  <c:v>9.48003087771607</c:v>
                </c:pt>
                <c:pt idx="2">
                  <c:v>9.05486472425038</c:v>
                </c:pt>
                <c:pt idx="3">
                  <c:v>9.85253645018331</c:v>
                </c:pt>
                <c:pt idx="4">
                  <c:v>9.98547583249124</c:v>
                </c:pt>
                <c:pt idx="5">
                  <c:v>9.94262389690976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AVGTI!$B$39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AVGTI!$C$35:$H$35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AVGTI!$C$39:$H$39</c:f>
              <c:numCache>
                <c:formatCode>General</c:formatCode>
                <c:ptCount val="6"/>
                <c:pt idx="0">
                  <c:v>16.5518004389261</c:v>
                </c:pt>
                <c:pt idx="1">
                  <c:v>20.4471631738065</c:v>
                </c:pt>
                <c:pt idx="2">
                  <c:v>17.6933671093447</c:v>
                </c:pt>
                <c:pt idx="3">
                  <c:v>18.1575842429111</c:v>
                </c:pt>
                <c:pt idx="4">
                  <c:v>18.5636407849071</c:v>
                </c:pt>
                <c:pt idx="5">
                  <c:v>19.2795141632533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AVGTI!$B$40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AVGTI!$C$35:$H$35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AVGTI!$C$40:$H$40</c:f>
              <c:numCache>
                <c:formatCode>General</c:formatCode>
                <c:ptCount val="6"/>
                <c:pt idx="0">
                  <c:v>30.3823320932115</c:v>
                </c:pt>
                <c:pt idx="1">
                  <c:v>33.5806090974997</c:v>
                </c:pt>
                <c:pt idx="2">
                  <c:v>30.8406006682268</c:v>
                </c:pt>
                <c:pt idx="3">
                  <c:v>36.3090150026148</c:v>
                </c:pt>
                <c:pt idx="4">
                  <c:v>36.1965185713983</c:v>
                </c:pt>
                <c:pt idx="5">
                  <c:v>30.0454639174361</c:v>
                </c:pt>
              </c:numCache>
            </c:numRef>
          </c:yVal>
          <c:smooth val="0"/>
        </c:ser>
        <c:axId val="63922027"/>
        <c:axId val="47085509"/>
      </c:scatterChart>
      <c:valAx>
        <c:axId val="63922027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2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of Informed Drivers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085509"/>
        <c:crossesAt val="0"/>
        <c:crossBetween val="midCat"/>
      </c:valAx>
      <c:valAx>
        <c:axId val="4708550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922027"/>
        <c:crossesAt val="0"/>
        <c:crossBetween val="midCat"/>
        <c:majorUnit val="10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Average Time (Uninformed Drivers)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6468716861082"/>
          <c:y val="0.258203125"/>
          <c:w val="0.749469777306469"/>
          <c:h val="0.5482421875"/>
        </c:manualLayout>
      </c:layout>
      <c:scatterChart>
        <c:scatterStyle val="lineMarker"/>
        <c:varyColors val="0"/>
        <c:ser>
          <c:idx val="0"/>
          <c:order val="0"/>
          <c:tx>
            <c:strRef>
              <c:f>AVGTU!$A$37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AVGTU!$B$36:$G$36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AVGTU!$B$37:$G$37</c:f>
              <c:numCache>
                <c:formatCode>General</c:formatCode>
                <c:ptCount val="6"/>
                <c:pt idx="0">
                  <c:v>2.99741426674345</c:v>
                </c:pt>
                <c:pt idx="1">
                  <c:v>2.90383314955029</c:v>
                </c:pt>
                <c:pt idx="2">
                  <c:v>2.85884847964459</c:v>
                </c:pt>
                <c:pt idx="3">
                  <c:v>2.79862805210524</c:v>
                </c:pt>
                <c:pt idx="4">
                  <c:v>2.77060403242822</c:v>
                </c:pt>
                <c:pt idx="5">
                  <c:v>2.73731199347548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AVGTU!$A$38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AVGTU!$B$36:$G$36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AVGTU!$B$38:$G$38</c:f>
              <c:numCache>
                <c:formatCode>General</c:formatCode>
                <c:ptCount val="6"/>
                <c:pt idx="0">
                  <c:v>4.00132150807512</c:v>
                </c:pt>
                <c:pt idx="1">
                  <c:v>3.70716766044845</c:v>
                </c:pt>
                <c:pt idx="2">
                  <c:v>3.57716926306745</c:v>
                </c:pt>
                <c:pt idx="3">
                  <c:v>3.46947091569538</c:v>
                </c:pt>
                <c:pt idx="4">
                  <c:v>3.3751423060232</c:v>
                </c:pt>
                <c:pt idx="5">
                  <c:v>3.31735795338866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AVGTU!$A$39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>
                <a:alpha val="50000"/>
              </a:srgbClr>
            </a:solidFill>
            <a:ln w="37800">
              <a:solidFill>
                <a:srgbClr val="339966">
                  <a:alpha val="50000"/>
                </a:srgbClr>
              </a:solidFill>
              <a:round/>
            </a:ln>
          </c:spPr>
          <c:marker>
            <c:symbol val="triangle"/>
            <c:size val="9"/>
            <c:spPr>
              <a:solidFill>
                <a:srgbClr val="3399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AVGTU!$B$36:$G$36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AVGTU!$B$39:$G$39</c:f>
              <c:numCache>
                <c:formatCode>General</c:formatCode>
                <c:ptCount val="6"/>
                <c:pt idx="0">
                  <c:v>14.9321078706819</c:v>
                </c:pt>
                <c:pt idx="1">
                  <c:v>11.7480345417791</c:v>
                </c:pt>
                <c:pt idx="2">
                  <c:v>10.7661591350933</c:v>
                </c:pt>
                <c:pt idx="3">
                  <c:v>9.96456113643293</c:v>
                </c:pt>
                <c:pt idx="4">
                  <c:v>10.5706384982894</c:v>
                </c:pt>
                <c:pt idx="5">
                  <c:v>10.6619854036406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AVGTU!$A$40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AVGTU!$B$36:$G$36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AVGTU!$B$40:$G$40</c:f>
              <c:numCache>
                <c:formatCode>General</c:formatCode>
                <c:ptCount val="6"/>
                <c:pt idx="0">
                  <c:v>26.4061956405439</c:v>
                </c:pt>
                <c:pt idx="1">
                  <c:v>19.1771929139104</c:v>
                </c:pt>
                <c:pt idx="2">
                  <c:v>21.9948998661344</c:v>
                </c:pt>
                <c:pt idx="3">
                  <c:v>18.6212103153863</c:v>
                </c:pt>
                <c:pt idx="4">
                  <c:v>18.8896951742247</c:v>
                </c:pt>
                <c:pt idx="5">
                  <c:v>19.1720770281982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AVGTU!$A$41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AVGTU!$B$36:$G$36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AVGTU!$B$41:$G$41</c:f>
              <c:numCache>
                <c:formatCode>General</c:formatCode>
                <c:ptCount val="6"/>
                <c:pt idx="0">
                  <c:v>38.8790914625547</c:v>
                </c:pt>
                <c:pt idx="1">
                  <c:v>33.3803107766148</c:v>
                </c:pt>
                <c:pt idx="2">
                  <c:v>35.1272724419324</c:v>
                </c:pt>
                <c:pt idx="3">
                  <c:v>31.949705668863</c:v>
                </c:pt>
                <c:pt idx="4">
                  <c:v>37.0581544446753</c:v>
                </c:pt>
                <c:pt idx="5">
                  <c:v>36.7879020937225</c:v>
                </c:pt>
              </c:numCache>
            </c:numRef>
          </c:yVal>
          <c:smooth val="0"/>
        </c:ser>
        <c:axId val="24145728"/>
        <c:axId val="93527166"/>
      </c:scatterChart>
      <c:valAx>
        <c:axId val="24145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of Informed Drivers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527166"/>
        <c:crossesAt val="0"/>
        <c:crossBetween val="midCat"/>
      </c:valAx>
      <c:valAx>
        <c:axId val="93527166"/>
        <c:scaling>
          <c:orientation val="minMax"/>
          <c:max val="4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145728"/>
        <c:crossesAt val="0"/>
        <c:crossBetween val="midCat"/>
        <c:majorUnit val="10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567868504772"/>
          <c:y val="0.3385742187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75" b="1" u="none" strike="noStrike">
                <a:solidFill>
                  <a:srgbClr val="000000"/>
                </a:solidFill>
                <a:uFillTx/>
                <a:latin typeface="Arial"/>
              </a:rPr>
              <a:t>Average Time (All Drivers) by Congestion Level and Percent Informed</a:t>
            </a:r>
          </a:p>
        </c:rich>
      </c:tx>
      <c:layout>
        <c:manualLayout>
          <c:xMode val="edge"/>
          <c:yMode val="edge"/>
          <c:x val="0.105908709045085"/>
          <c:y val="0.042525900345337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23046765611873"/>
          <c:y val="0.255944745929946"/>
          <c:w val="0.797647717726127"/>
          <c:h val="0.642328564380858"/>
        </c:manualLayout>
      </c:layout>
      <c:scatterChart>
        <c:scatterStyle val="lineMarker"/>
        <c:varyColors val="0"/>
        <c:ser>
          <c:idx val="0"/>
          <c:order val="0"/>
          <c:tx>
            <c:strRef>
              <c:f>AVGTO!$A$36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AVGTO!$B$35:$H$35</c:f>
              <c:numCache>
                <c:formatCode>General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</c:numCache>
            </c:numRef>
          </c:xVal>
          <c:yVal>
            <c:numRef>
              <c:f>AVGTO!$B$36:$H$36</c:f>
              <c:numCache>
                <c:formatCode>0.00</c:formatCode>
                <c:ptCount val="7"/>
                <c:pt idx="0">
                  <c:v>2.99741426674345</c:v>
                </c:pt>
                <c:pt idx="1">
                  <c:v>2.81148310428135</c:v>
                </c:pt>
                <c:pt idx="2">
                  <c:v>2.70347451120809</c:v>
                </c:pt>
                <c:pt idx="3">
                  <c:v>2.59443208143587</c:v>
                </c:pt>
                <c:pt idx="4">
                  <c:v>2.52813895577127</c:v>
                </c:pt>
                <c:pt idx="5">
                  <c:v>2.4660736366556</c:v>
                </c:pt>
                <c:pt idx="6">
                  <c:v>2.42276435326752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AVGTO!$A$37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AVGTO!$B$35:$H$35</c:f>
              <c:numCache>
                <c:formatCode>General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</c:numCache>
            </c:numRef>
          </c:xVal>
          <c:yVal>
            <c:numRef>
              <c:f>AVGTO!$B$37:$H$37</c:f>
              <c:numCache>
                <c:formatCode>0.00</c:formatCode>
                <c:ptCount val="7"/>
                <c:pt idx="0">
                  <c:v>4.09597716051603</c:v>
                </c:pt>
                <c:pt idx="1">
                  <c:v>3.5565852693888</c:v>
                </c:pt>
                <c:pt idx="2">
                  <c:v>3.34466250872497</c:v>
                </c:pt>
                <c:pt idx="3">
                  <c:v>3.18176463079039</c:v>
                </c:pt>
                <c:pt idx="4">
                  <c:v>3.06892196759513</c:v>
                </c:pt>
                <c:pt idx="5">
                  <c:v>2.99446105910914</c:v>
                </c:pt>
                <c:pt idx="6">
                  <c:v>2.90198044801762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AVGTO!$A$38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/>
            </a:solidFill>
            <a:ln w="12600">
              <a:solidFill>
                <a:srgbClr val="339966"/>
              </a:solidFill>
              <a:round/>
            </a:ln>
          </c:spPr>
          <c:marker>
            <c:symbol val="triangle"/>
            <c:size val="5"/>
            <c:spPr>
              <a:solidFill>
                <a:srgbClr val="3399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AVGTO!$B$35:$H$35</c:f>
              <c:numCache>
                <c:formatCode>General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</c:numCache>
            </c:numRef>
          </c:xVal>
          <c:yVal>
            <c:numRef>
              <c:f>AVGTO!$B$38:$H$38</c:f>
              <c:numCache>
                <c:formatCode>0.00</c:formatCode>
                <c:ptCount val="7"/>
                <c:pt idx="0">
                  <c:v>13.6221103910084</c:v>
                </c:pt>
                <c:pt idx="1">
                  <c:v>11.3676432382713</c:v>
                </c:pt>
                <c:pt idx="2">
                  <c:v>10.3406740112756</c:v>
                </c:pt>
                <c:pt idx="3">
                  <c:v>9.51115407304582</c:v>
                </c:pt>
                <c:pt idx="4">
                  <c:v>10.0904034301826</c:v>
                </c:pt>
                <c:pt idx="5">
                  <c:v>10.099364256165</c:v>
                </c:pt>
                <c:pt idx="6">
                  <c:v>9.94262389690976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AVGTO!$A$39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AVGTO!$B$35:$H$35</c:f>
              <c:numCache>
                <c:formatCode>General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</c:numCache>
            </c:numRef>
          </c:xVal>
          <c:yVal>
            <c:numRef>
              <c:f>AVGTO!$B$39:$H$39</c:f>
              <c:numCache>
                <c:formatCode>0.00</c:formatCode>
                <c:ptCount val="7"/>
                <c:pt idx="0">
                  <c:v>25.8595226321307</c:v>
                </c:pt>
                <c:pt idx="1">
                  <c:v>18.7299500447915</c:v>
                </c:pt>
                <c:pt idx="2">
                  <c:v>21.4841826788379</c:v>
                </c:pt>
                <c:pt idx="3">
                  <c:v>18.1591218589369</c:v>
                </c:pt>
                <c:pt idx="4">
                  <c:v>18.3998328115735</c:v>
                </c:pt>
                <c:pt idx="5">
                  <c:v>18.6673294307463</c:v>
                </c:pt>
                <c:pt idx="6">
                  <c:v>19.2795141632533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AVGTO!$A$40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AVGTO!$B$35:$H$35</c:f>
              <c:numCache>
                <c:formatCode>General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</c:numCache>
            </c:numRef>
          </c:xVal>
          <c:yVal>
            <c:numRef>
              <c:f>AVGTO!$B$40:$H$40</c:f>
              <c:numCache>
                <c:formatCode>0.00</c:formatCode>
                <c:ptCount val="7"/>
                <c:pt idx="0">
                  <c:v>37.4650350104964</c:v>
                </c:pt>
                <c:pt idx="1">
                  <c:v>32.8720167272323</c:v>
                </c:pt>
                <c:pt idx="2">
                  <c:v>34.6156155662084</c:v>
                </c:pt>
                <c:pt idx="3">
                  <c:v>31.398488243568</c:v>
                </c:pt>
                <c:pt idx="4">
                  <c:v>36.5547093849107</c:v>
                </c:pt>
                <c:pt idx="5">
                  <c:v>36.297005658845</c:v>
                </c:pt>
                <c:pt idx="6">
                  <c:v>30.0454639174361</c:v>
                </c:pt>
              </c:numCache>
            </c:numRef>
          </c:yVal>
          <c:smooth val="0"/>
        </c:ser>
        <c:axId val="77984760"/>
        <c:axId val="33809604"/>
      </c:scatterChart>
      <c:valAx>
        <c:axId val="77984760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of Informed Drivers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809604"/>
        <c:crossesAt val="0"/>
        <c:crossBetween val="midCat"/>
      </c:valAx>
      <c:valAx>
        <c:axId val="3380960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984760"/>
        <c:crossesAt val="0"/>
        <c:crossBetween val="midCat"/>
        <c:majorUnit val="10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72248669840381"/>
          <c:y val="0.38283177109028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Standard Deviation (Informed Drivers)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9375808036407"/>
          <c:y val="0.19315180766779"/>
          <c:w val="0.750840357863164"/>
          <c:h val="0.618613969583827"/>
        </c:manualLayout>
      </c:layout>
      <c:scatterChart>
        <c:scatterStyle val="lineMarker"/>
        <c:varyColors val="0"/>
        <c:ser>
          <c:idx val="0"/>
          <c:order val="0"/>
          <c:tx>
            <c:strRef>
              <c:f>STDI!$B$12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STDI!$C$11:$H$11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STDI!$C$12:$H$12</c:f>
              <c:numCache>
                <c:formatCode>General</c:formatCode>
                <c:ptCount val="6"/>
                <c:pt idx="0">
                  <c:v>0.76195315951047</c:v>
                </c:pt>
                <c:pt idx="1">
                  <c:v>0.794761273107048</c:v>
                </c:pt>
                <c:pt idx="2">
                  <c:v>0.792050680146451</c:v>
                </c:pt>
                <c:pt idx="3">
                  <c:v>0.796222903885362</c:v>
                </c:pt>
                <c:pt idx="4">
                  <c:v>0.797799373443601</c:v>
                </c:pt>
                <c:pt idx="5">
                  <c:v>0.812022960015264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STDI!$B$13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STDI!$C$11:$H$11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STDI!$C$13:$H$13</c:f>
              <c:numCache>
                <c:formatCode>General</c:formatCode>
                <c:ptCount val="6"/>
                <c:pt idx="0">
                  <c:v>1.27688340807022</c:v>
                </c:pt>
                <c:pt idx="1">
                  <c:v>1.2954374141848</c:v>
                </c:pt>
                <c:pt idx="2">
                  <c:v>1.31939169333604</c:v>
                </c:pt>
                <c:pt idx="3">
                  <c:v>1.3556558924093</c:v>
                </c:pt>
                <c:pt idx="4">
                  <c:v>1.33242866215547</c:v>
                </c:pt>
                <c:pt idx="5">
                  <c:v>1.28052139473771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STDI!$B$14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>
                <a:alpha val="50000"/>
              </a:srgbClr>
            </a:solidFill>
            <a:ln w="37800">
              <a:solidFill>
                <a:srgbClr val="339966">
                  <a:alpha val="50000"/>
                </a:srgbClr>
              </a:solidFill>
              <a:round/>
            </a:ln>
          </c:spPr>
          <c:marker>
            <c:symbol val="triangle"/>
            <c:size val="9"/>
            <c:spPr>
              <a:solidFill>
                <a:srgbClr val="3399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STDI!$C$11:$H$11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STDI!$C$14:$H$14</c:f>
              <c:numCache>
                <c:formatCode>General</c:formatCode>
                <c:ptCount val="6"/>
                <c:pt idx="0">
                  <c:v>5.98949833500218</c:v>
                </c:pt>
                <c:pt idx="1">
                  <c:v>5.87175050564246</c:v>
                </c:pt>
                <c:pt idx="2">
                  <c:v>5.78418603049333</c:v>
                </c:pt>
                <c:pt idx="3">
                  <c:v>6.12465029977547</c:v>
                </c:pt>
                <c:pt idx="4">
                  <c:v>6.01311991496835</c:v>
                </c:pt>
                <c:pt idx="5">
                  <c:v>5.95874679273305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STDI!$B$15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STDI!$C$11:$H$11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STDI!$C$15:$H$15</c:f>
              <c:numCache>
                <c:formatCode>General</c:formatCode>
                <c:ptCount val="6"/>
                <c:pt idx="0">
                  <c:v>9.22997516379759</c:v>
                </c:pt>
                <c:pt idx="1">
                  <c:v>11.4338669983033</c:v>
                </c:pt>
                <c:pt idx="2">
                  <c:v>9.80398096152963</c:v>
                </c:pt>
                <c:pt idx="3">
                  <c:v>9.79077197374022</c:v>
                </c:pt>
                <c:pt idx="4">
                  <c:v>9.93969601451728</c:v>
                </c:pt>
                <c:pt idx="5">
                  <c:v>10.2283003379923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STDI!$B$16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STDI!$C$11:$H$11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STDI!$C$16:$H$16</c:f>
              <c:numCache>
                <c:formatCode>General</c:formatCode>
                <c:ptCount val="6"/>
                <c:pt idx="0">
                  <c:v>16.8595569460399</c:v>
                </c:pt>
                <c:pt idx="1">
                  <c:v>17.0587580956013</c:v>
                </c:pt>
                <c:pt idx="2">
                  <c:v>16.4735893259981</c:v>
                </c:pt>
                <c:pt idx="3">
                  <c:v>18.55436045978</c:v>
                </c:pt>
                <c:pt idx="4">
                  <c:v>19.1356938001265</c:v>
                </c:pt>
                <c:pt idx="5">
                  <c:v>16.2923163529616</c:v>
                </c:pt>
              </c:numCache>
            </c:numRef>
          </c:yVal>
          <c:smooth val="0"/>
        </c:ser>
        <c:axId val="68472444"/>
        <c:axId val="21544843"/>
      </c:scatterChart>
      <c:valAx>
        <c:axId val="68472444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Informed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544843"/>
        <c:crossesAt val="0"/>
        <c:crossBetween val="midCat"/>
      </c:valAx>
      <c:valAx>
        <c:axId val="2154484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Standard Deviation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472444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016445156953"/>
          <c:y val="0.32155541389673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Standard Deviation (Uninformed Drivers)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9620961060481"/>
          <c:y val="0.182930168872661"/>
          <c:w val="0.749119718309859"/>
          <c:h val="0.6261980830670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STDU!$A$13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STDU!$B$12:$G$12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STDU!$B$13:$G$13</c:f>
              <c:numCache>
                <c:formatCode>General</c:formatCode>
                <c:ptCount val="6"/>
                <c:pt idx="0">
                  <c:v>1.50327369225903</c:v>
                </c:pt>
                <c:pt idx="1">
                  <c:v>1.37089487802557</c:v>
                </c:pt>
                <c:pt idx="2">
                  <c:v>1.24177368947246</c:v>
                </c:pt>
                <c:pt idx="3">
                  <c:v>1.14245380088883</c:v>
                </c:pt>
                <c:pt idx="4">
                  <c:v>1.09040739912939</c:v>
                </c:pt>
                <c:pt idx="5">
                  <c:v>1.02289064187346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STDU!$A$14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STDU!$B$12:$G$12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STDU!$B$14:$G$14</c:f>
              <c:numCache>
                <c:formatCode>General</c:formatCode>
                <c:ptCount val="6"/>
                <c:pt idx="0">
                  <c:v>2.54182994913126</c:v>
                </c:pt>
                <c:pt idx="1">
                  <c:v>2.05436653758837</c:v>
                </c:pt>
                <c:pt idx="2">
                  <c:v>1.82940916866992</c:v>
                </c:pt>
                <c:pt idx="3">
                  <c:v>1.69277310127669</c:v>
                </c:pt>
                <c:pt idx="4">
                  <c:v>1.59076028032734</c:v>
                </c:pt>
                <c:pt idx="5">
                  <c:v>1.49868345455158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STDU!$A$15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>
                <a:alpha val="50000"/>
              </a:srgbClr>
            </a:solidFill>
            <a:ln w="37800">
              <a:solidFill>
                <a:srgbClr val="339966">
                  <a:alpha val="50000"/>
                </a:srgbClr>
              </a:solidFill>
              <a:round/>
            </a:ln>
          </c:spPr>
          <c:marker>
            <c:symbol val="triangle"/>
            <c:size val="9"/>
            <c:spPr>
              <a:solidFill>
                <a:srgbClr val="3399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STDU!$B$12:$G$12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STDU!$B$15:$G$15</c:f>
              <c:numCache>
                <c:formatCode>General</c:formatCode>
                <c:ptCount val="6"/>
                <c:pt idx="0">
                  <c:v>9.63117412368017</c:v>
                </c:pt>
                <c:pt idx="1">
                  <c:v>6.90371677558363</c:v>
                </c:pt>
                <c:pt idx="2">
                  <c:v>6.25640844833889</c:v>
                </c:pt>
                <c:pt idx="3">
                  <c:v>5.9515809748388</c:v>
                </c:pt>
                <c:pt idx="4">
                  <c:v>6.21868681517139</c:v>
                </c:pt>
                <c:pt idx="5">
                  <c:v>6.0176682790104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STDU!$A$16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STDU!$B$12:$G$12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STDU!$B$16:$G$16</c:f>
              <c:numCache>
                <c:formatCode>General</c:formatCode>
                <c:ptCount val="6"/>
                <c:pt idx="0">
                  <c:v>14.0676347135435</c:v>
                </c:pt>
                <c:pt idx="1">
                  <c:v>10.2030119474292</c:v>
                </c:pt>
                <c:pt idx="2">
                  <c:v>11.739867697187</c:v>
                </c:pt>
                <c:pt idx="3">
                  <c:v>9.89024658142577</c:v>
                </c:pt>
                <c:pt idx="4">
                  <c:v>9.79867217207175</c:v>
                </c:pt>
                <c:pt idx="5">
                  <c:v>9.9765722672045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STDU!$A$17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STDU!$B$12:$G$12</c:f>
              <c:numCache>
                <c:formatCode>General</c:formatCode>
                <c:ptCount val="6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</c:numCache>
            </c:numRef>
          </c:xVal>
          <c:yVal>
            <c:numRef>
              <c:f>STDU!$B$17:$G$17</c:f>
              <c:numCache>
                <c:formatCode>General</c:formatCode>
                <c:ptCount val="6"/>
                <c:pt idx="0">
                  <c:v>19.3884371701236</c:v>
                </c:pt>
                <c:pt idx="1">
                  <c:v>17.9567594312335</c:v>
                </c:pt>
                <c:pt idx="2">
                  <c:v>17.375467124997</c:v>
                </c:pt>
                <c:pt idx="3">
                  <c:v>16.5015787003389</c:v>
                </c:pt>
                <c:pt idx="4">
                  <c:v>18.6301549293934</c:v>
                </c:pt>
                <c:pt idx="5">
                  <c:v>19.2520141097795</c:v>
                </c:pt>
              </c:numCache>
            </c:numRef>
          </c:yVal>
          <c:smooth val="0"/>
        </c:ser>
        <c:axId val="37949231"/>
        <c:axId val="13482957"/>
      </c:scatterChart>
      <c:valAx>
        <c:axId val="37949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Informed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482957"/>
        <c:crossesAt val="0"/>
        <c:crossBetween val="midCat"/>
      </c:valAx>
      <c:valAx>
        <c:axId val="1348295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Standard Deviation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7949231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0190555095278"/>
          <c:y val="0.31602008215426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Difference in Standard Deviation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88741107330653"/>
          <c:y val="0.193448023426062"/>
          <c:w val="0.802247654397361"/>
          <c:h val="0.633601756954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DELTASTD!$B$3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DELTASTD!$C$2:$G$2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DELTASTD!$C$3:$G$3</c:f>
              <c:numCache>
                <c:formatCode>General</c:formatCode>
                <c:ptCount val="5"/>
                <c:pt idx="0">
                  <c:v>-0.608941718515099</c:v>
                </c:pt>
                <c:pt idx="1">
                  <c:v>-0.447012416365413</c:v>
                </c:pt>
                <c:pt idx="2">
                  <c:v>-0.35040312074238</c:v>
                </c:pt>
                <c:pt idx="3">
                  <c:v>-0.294184495244028</c:v>
                </c:pt>
                <c:pt idx="4">
                  <c:v>-0.225091268429857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DELTASTD!$B$4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DELTASTD!$C$2:$G$2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DELTASTD!$C$4:$G$4</c:f>
              <c:numCache>
                <c:formatCode>General</c:formatCode>
                <c:ptCount val="5"/>
                <c:pt idx="0">
                  <c:v>-0.777483129518144</c:v>
                </c:pt>
                <c:pt idx="1">
                  <c:v>-0.533971754485117</c:v>
                </c:pt>
                <c:pt idx="2">
                  <c:v>-0.373381407940646</c:v>
                </c:pt>
                <c:pt idx="3">
                  <c:v>-0.235104387918035</c:v>
                </c:pt>
                <c:pt idx="4">
                  <c:v>-0.166254792396115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DELTASTD!$B$5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DELTASTD!$C$2:$G$2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DELTASTD!$C$5:$G$5</c:f>
              <c:numCache>
                <c:formatCode>General</c:formatCode>
                <c:ptCount val="5"/>
                <c:pt idx="0">
                  <c:v>-0.914218440581452</c:v>
                </c:pt>
                <c:pt idx="1">
                  <c:v>-0.384657942696432</c:v>
                </c:pt>
                <c:pt idx="2">
                  <c:v>-0.167394944345467</c:v>
                </c:pt>
                <c:pt idx="3">
                  <c:v>-0.0940365153959206</c:v>
                </c:pt>
                <c:pt idx="4">
                  <c:v>-0.00454836404205405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DELTASTD!$B$6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DELTASTD!$C$2:$G$2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DELTASTD!$C$6:$G$6</c:f>
              <c:numCache>
                <c:formatCode>General</c:formatCode>
                <c:ptCount val="5"/>
                <c:pt idx="0">
                  <c:v>-0.973036783631574</c:v>
                </c:pt>
                <c:pt idx="1">
                  <c:v>-0.306000698883754</c:v>
                </c:pt>
                <c:pt idx="2">
                  <c:v>-0.0862656198961442</c:v>
                </c:pt>
                <c:pt idx="3">
                  <c:v>-0.00790019833152655</c:v>
                </c:pt>
                <c:pt idx="4">
                  <c:v>-0.0368762526872146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DELTASTD!$B$7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DELTASTD!$C$2:$G$2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DELTASTD!$C$7:$G$7</c:f>
              <c:numCache>
                <c:formatCode>General</c:formatCode>
                <c:ptCount val="5"/>
                <c:pt idx="0">
                  <c:v>-1.09720248519364</c:v>
                </c:pt>
                <c:pt idx="1">
                  <c:v>-0.316709029395742</c:v>
                </c:pt>
                <c:pt idx="2">
                  <c:v>-0.0279893743408159</c:v>
                </c:pt>
                <c:pt idx="3">
                  <c:v>-0.0757944696134594</c:v>
                </c:pt>
                <c:pt idx="4">
                  <c:v>-0.11632030965302</c:v>
                </c:pt>
              </c:numCache>
            </c:numRef>
          </c:yVal>
          <c:smooth val="0"/>
        </c:ser>
        <c:axId val="41053486"/>
        <c:axId val="90191551"/>
      </c:scatterChart>
      <c:valAx>
        <c:axId val="41053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Informed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191551"/>
        <c:crossesAt val="0"/>
        <c:crossBetween val="midCat"/>
      </c:valAx>
      <c:valAx>
        <c:axId val="9019155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Delta Standard Deviation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1053486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81637282194041"/>
          <c:y val="0.35614934114202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Percent of Time Saved (Informed Travelers) by Congestion Level and Percent Informed</a:t>
            </a:r>
          </a:p>
        </c:rich>
      </c:tx>
      <c:layout>
        <c:manualLayout>
          <c:xMode val="edge"/>
          <c:yMode val="edge"/>
          <c:x val="0.188158508158508"/>
          <c:y val="0.039668257569830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12354312354312"/>
          <c:y val="0.248728581488146"/>
          <c:w val="0.800839160839161"/>
          <c:h val="0.65182693060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TSI!$B$10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TSI!$C$9:$H$9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TSI!$C$10:$H$10</c:f>
              <c:numCache>
                <c:formatCode>0%</c:formatCode>
                <c:ptCount val="6"/>
                <c:pt idx="0">
                  <c:v>0.211358125322822</c:v>
                </c:pt>
                <c:pt idx="1">
                  <c:v>0.203663571431583</c:v>
                </c:pt>
                <c:pt idx="2">
                  <c:v>0.201735834145753</c:v>
                </c:pt>
                <c:pt idx="3">
                  <c:v>0.196334178828568</c:v>
                </c:pt>
                <c:pt idx="4">
                  <c:v>0.195930547725412</c:v>
                </c:pt>
                <c:pt idx="5">
                  <c:v>0.19171409015646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TSI!$B$11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TSI!$C$9:$H$9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TSI!$C$11:$H$11</c:f>
              <c:numCache>
                <c:formatCode>0%</c:formatCode>
                <c:ptCount val="6"/>
                <c:pt idx="0">
                  <c:v>0.2934071576077</c:v>
                </c:pt>
                <c:pt idx="1">
                  <c:v>0.281947724124358</c:v>
                </c:pt>
                <c:pt idx="2">
                  <c:v>0.276269249213218</c:v>
                </c:pt>
                <c:pt idx="3">
                  <c:v>0.271225612104758</c:v>
                </c:pt>
                <c:pt idx="4">
                  <c:v>0.267887544452353</c:v>
                </c:pt>
                <c:pt idx="5">
                  <c:v>0.274509916764531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TSI!$B$12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339966">
                <a:alpha val="50000"/>
              </a:srgbClr>
            </a:solidFill>
            <a:ln w="37800">
              <a:solidFill>
                <a:srgbClr val="339966">
                  <a:alpha val="50000"/>
                </a:srgbClr>
              </a:solidFill>
              <a:round/>
            </a:ln>
          </c:spPr>
          <c:marker>
            <c:symbol val="triangle"/>
            <c:size val="9"/>
            <c:spPr>
              <a:solidFill>
                <a:srgbClr val="3399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TSI!$C$9:$H$9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TSI!$C$12:$H$12</c:f>
              <c:numCache>
                <c:formatCode>0%</c:formatCode>
                <c:ptCount val="6"/>
                <c:pt idx="0">
                  <c:v>0.358928697424414</c:v>
                </c:pt>
                <c:pt idx="1">
                  <c:v>0.363564782850856</c:v>
                </c:pt>
                <c:pt idx="2">
                  <c:v>0.391270723475094</c:v>
                </c:pt>
                <c:pt idx="3">
                  <c:v>0.337173892072457</c:v>
                </c:pt>
                <c:pt idx="4">
                  <c:v>0.324186276955076</c:v>
                </c:pt>
                <c:pt idx="5">
                  <c:v>0.329294425828695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TSI!$B$13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TSI!$C$9:$H$9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TSI!$C$13:$H$13</c:f>
              <c:numCache>
                <c:formatCode>0%</c:formatCode>
                <c:ptCount val="6"/>
                <c:pt idx="0">
                  <c:v>0.367676503457008</c:v>
                </c:pt>
                <c:pt idx="1">
                  <c:v>0.22035632659114</c:v>
                </c:pt>
                <c:pt idx="2">
                  <c:v>0.325560525590848</c:v>
                </c:pt>
                <c:pt idx="3">
                  <c:v>0.310907680463935</c:v>
                </c:pt>
                <c:pt idx="4">
                  <c:v>0.293392636857773</c:v>
                </c:pt>
                <c:pt idx="5">
                  <c:v>0.261944364033353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TSI!$B$14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TSI!$C$9:$H$9</c:f>
              <c:numCache>
                <c:formatCode>General</c:formatCode>
                <c:ptCount val="6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  <c:pt idx="5">
                  <c:v>1</c:v>
                </c:pt>
              </c:numCache>
            </c:numRef>
          </c:xVal>
          <c:yVal>
            <c:numRef>
              <c:f>TSI!$C$14:$H$14</c:f>
              <c:numCache>
                <c:formatCode>0%</c:formatCode>
                <c:ptCount val="6"/>
                <c:pt idx="0">
                  <c:v>0.216857630824376</c:v>
                </c:pt>
                <c:pt idx="1">
                  <c:v>0.134829031077272</c:v>
                </c:pt>
                <c:pt idx="2">
                  <c:v>0.206063520195852</c:v>
                </c:pt>
                <c:pt idx="3">
                  <c:v>0.0674909394036447</c:v>
                </c:pt>
                <c:pt idx="4">
                  <c:v>0.0687892353605994</c:v>
                </c:pt>
                <c:pt idx="5">
                  <c:v>0.226490283717574</c:v>
                </c:pt>
              </c:numCache>
            </c:numRef>
          </c:yVal>
          <c:smooth val="0"/>
        </c:ser>
        <c:axId val="59535033"/>
        <c:axId val="45441503"/>
      </c:scatterChart>
      <c:valAx>
        <c:axId val="59535033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Informed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441503"/>
        <c:crossesAt val="0"/>
        <c:crossBetween val="midCat"/>
      </c:valAx>
      <c:valAx>
        <c:axId val="45441503"/>
        <c:scaling>
          <c:orientation val="minMax"/>
          <c:max val="0.45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of Time Saved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535033"/>
        <c:crossesAt val="0"/>
        <c:crossBetween val="midCat"/>
        <c:majorUnit val="0.1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73846153846154"/>
          <c:y val="0.41905954150692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700" b="1" u="none" strike="noStrike">
                <a:solidFill>
                  <a:srgbClr val="000000"/>
                </a:solidFill>
                <a:uFillTx/>
                <a:latin typeface="Arial"/>
              </a:rPr>
              <a:t>Percent of Time Saved (Uninformed Travelers) by Congestion Level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TSU!$B$12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TSU!$C$11:$G$11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TSU!$C$12:$G$12</c:f>
              <c:numCache>
                <c:formatCode>0%</c:formatCode>
                <c:ptCount val="5"/>
                <c:pt idx="0">
                  <c:v>0.0312224768158103</c:v>
                </c:pt>
                <c:pt idx="1">
                  <c:v>0.0462293051908286</c:v>
                </c:pt>
                <c:pt idx="2">
                  <c:v>0.066317752711506</c:v>
                </c:pt>
                <c:pt idx="3">
                  <c:v>0.0756685258971875</c:v>
                </c:pt>
                <c:pt idx="4">
                  <c:v>0.0867741750593032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TSU!$B$13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TSU!$C$11:$G$11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TSU!$C$13:$G$13</c:f>
              <c:numCache>
                <c:formatCode>0%</c:formatCode>
                <c:ptCount val="5"/>
                <c:pt idx="0">
                  <c:v>0.0733849881760913</c:v>
                </c:pt>
                <c:pt idx="1">
                  <c:v>0.105789109953036</c:v>
                </c:pt>
                <c:pt idx="2">
                  <c:v>0.132745724799363</c:v>
                </c:pt>
                <c:pt idx="3">
                  <c:v>0.156412192643861</c:v>
                </c:pt>
                <c:pt idx="4">
                  <c:v>0.170741370955486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TSU!$B$14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rgbClr val="008000">
                <a:alpha val="50000"/>
              </a:srgbClr>
            </a:solidFill>
            <a:ln w="37800">
              <a:solidFill>
                <a:srgbClr val="008000">
                  <a:alpha val="50000"/>
                </a:srgbClr>
              </a:solidFill>
              <a:round/>
            </a:ln>
          </c:spPr>
          <c:marker>
            <c:symbol val="triangle"/>
            <c:size val="9"/>
            <c:spPr>
              <a:solidFill>
                <a:srgbClr val="008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TSU!$C$11:$G$11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TSU!$C$14:$G$14</c:f>
              <c:numCache>
                <c:formatCode>0%</c:formatCode>
                <c:ptCount val="5"/>
                <c:pt idx="0">
                  <c:v>0.209352925208425</c:v>
                </c:pt>
                <c:pt idx="1">
                  <c:v>0.276982938836773</c:v>
                </c:pt>
                <c:pt idx="2">
                  <c:v>0.33031730025282</c:v>
                </c:pt>
                <c:pt idx="3">
                  <c:v>0.289177378014525</c:v>
                </c:pt>
                <c:pt idx="4">
                  <c:v>0.27879912137756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TSU!$B$15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TSU!$C$11:$G$11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TSU!$C$15:$G$15</c:f>
              <c:numCache>
                <c:formatCode>0%</c:formatCode>
                <c:ptCount val="5"/>
                <c:pt idx="0">
                  <c:v>0.267850156671681</c:v>
                </c:pt>
                <c:pt idx="1">
                  <c:v>0.161285036368615</c:v>
                </c:pt>
                <c:pt idx="2">
                  <c:v>0.290291384117174</c:v>
                </c:pt>
                <c:pt idx="3">
                  <c:v>0.282856533847211</c:v>
                </c:pt>
                <c:pt idx="4">
                  <c:v>0.269739476286184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TSU!$B$16</c:f>
              <c:strCache>
                <c:ptCount val="1"/>
                <c:pt idx="0">
                  <c:v>1.05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TSU!$C$11:$G$11</c:f>
              <c:numCache>
                <c:formatCode>General</c:formatCode>
                <c:ptCount val="5"/>
                <c:pt idx="0">
                  <c:v>0.17</c:v>
                </c:pt>
                <c:pt idx="1">
                  <c:v>0.33</c:v>
                </c:pt>
                <c:pt idx="2">
                  <c:v>0.5</c:v>
                </c:pt>
                <c:pt idx="3">
                  <c:v>0.67</c:v>
                </c:pt>
                <c:pt idx="4">
                  <c:v>0.83</c:v>
                </c:pt>
              </c:numCache>
            </c:numRef>
          </c:xVal>
          <c:yVal>
            <c:numRef>
              <c:f>TSU!$C$16:$G$16</c:f>
              <c:numCache>
                <c:formatCode>0%</c:formatCode>
                <c:ptCount val="5"/>
                <c:pt idx="0">
                  <c:v>0.139914611961786</c:v>
                </c:pt>
                <c:pt idx="1">
                  <c:v>0.0950046781713791</c:v>
                </c:pt>
                <c:pt idx="2">
                  <c:v>0.177370806641601</c:v>
                </c:pt>
                <c:pt idx="3">
                  <c:v>0.0484019610146112</c:v>
                </c:pt>
                <c:pt idx="4">
                  <c:v>0.0537399069477736</c:v>
                </c:pt>
              </c:numCache>
            </c:numRef>
          </c:yVal>
          <c:smooth val="0"/>
        </c:ser>
        <c:axId val="53175129"/>
        <c:axId val="30761352"/>
      </c:scatterChart>
      <c:valAx>
        <c:axId val="53175129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Informed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761352"/>
        <c:crossesAt val="0"/>
        <c:crossBetween val="midCat"/>
        <c:majorUnit val="0.2"/>
      </c:valAx>
      <c:valAx>
        <c:axId val="30761352"/>
        <c:scaling>
          <c:orientation val="minMax"/>
          <c:max val="0.45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5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Percent of Time Saved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3175129"/>
        <c:crossesAt val="0"/>
        <c:crossBetween val="midCat"/>
        <c:majorUnit val="0.1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</a:rPr>
              <a:t>Queueing Diagram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8222579577165"/>
          <c:y val="0.137896759658074"/>
          <c:w val="0.931041006479686"/>
          <c:h val="0.749453316546286"/>
        </c:manualLayout>
      </c:layout>
      <c:scatterChart>
        <c:scatterStyle val="line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DifferencedCumArrivals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3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Sheet3!$G$2:$G$203</c:f>
              <c:numCache>
                <c:formatCode>General</c:formatCode>
                <c:ptCount val="20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</c:numCache>
            </c:numRef>
          </c:xVal>
          <c:yVal>
            <c:numRef>
              <c:f>Sheet3!$H$2:$H$203</c:f>
              <c:numCache>
                <c:formatCode>General</c:formatCode>
                <c:ptCount val="202"/>
                <c:pt idx="0">
                  <c:v>1.25</c:v>
                </c:pt>
                <c:pt idx="1">
                  <c:v>4.5</c:v>
                </c:pt>
                <c:pt idx="2">
                  <c:v>6.75</c:v>
                </c:pt>
                <c:pt idx="3">
                  <c:v>6</c:v>
                </c:pt>
                <c:pt idx="4">
                  <c:v>8.25</c:v>
                </c:pt>
                <c:pt idx="5">
                  <c:v>13.5</c:v>
                </c:pt>
                <c:pt idx="6">
                  <c:v>14.75</c:v>
                </c:pt>
                <c:pt idx="7">
                  <c:v>16</c:v>
                </c:pt>
                <c:pt idx="8">
                  <c:v>15.25</c:v>
                </c:pt>
                <c:pt idx="9">
                  <c:v>19.5</c:v>
                </c:pt>
                <c:pt idx="10">
                  <c:v>17.75</c:v>
                </c:pt>
                <c:pt idx="11">
                  <c:v>18</c:v>
                </c:pt>
                <c:pt idx="12">
                  <c:v>17.25</c:v>
                </c:pt>
                <c:pt idx="13">
                  <c:v>15.5</c:v>
                </c:pt>
                <c:pt idx="14">
                  <c:v>14.75</c:v>
                </c:pt>
                <c:pt idx="15">
                  <c:v>12</c:v>
                </c:pt>
                <c:pt idx="16">
                  <c:v>14.25</c:v>
                </c:pt>
                <c:pt idx="17">
                  <c:v>14.5</c:v>
                </c:pt>
                <c:pt idx="18">
                  <c:v>13.75</c:v>
                </c:pt>
                <c:pt idx="19">
                  <c:v>13</c:v>
                </c:pt>
                <c:pt idx="20">
                  <c:v>15.25</c:v>
                </c:pt>
                <c:pt idx="21">
                  <c:v>12.5</c:v>
                </c:pt>
                <c:pt idx="22">
                  <c:v>13.75</c:v>
                </c:pt>
                <c:pt idx="23">
                  <c:v>12</c:v>
                </c:pt>
                <c:pt idx="24">
                  <c:v>10.25</c:v>
                </c:pt>
                <c:pt idx="25">
                  <c:v>10.5</c:v>
                </c:pt>
                <c:pt idx="26">
                  <c:v>8.75</c:v>
                </c:pt>
                <c:pt idx="27">
                  <c:v>10</c:v>
                </c:pt>
                <c:pt idx="28">
                  <c:v>8.25</c:v>
                </c:pt>
                <c:pt idx="29">
                  <c:v>10.5</c:v>
                </c:pt>
                <c:pt idx="30">
                  <c:v>13.75</c:v>
                </c:pt>
                <c:pt idx="31">
                  <c:v>12</c:v>
                </c:pt>
                <c:pt idx="32">
                  <c:v>7.25</c:v>
                </c:pt>
                <c:pt idx="33">
                  <c:v>5.5</c:v>
                </c:pt>
                <c:pt idx="34">
                  <c:v>1.75</c:v>
                </c:pt>
                <c:pt idx="35">
                  <c:v>7</c:v>
                </c:pt>
                <c:pt idx="36">
                  <c:v>3.25</c:v>
                </c:pt>
                <c:pt idx="37">
                  <c:v>2.5</c:v>
                </c:pt>
                <c:pt idx="38">
                  <c:v>1.75</c:v>
                </c:pt>
                <c:pt idx="39">
                  <c:v>2</c:v>
                </c:pt>
                <c:pt idx="40">
                  <c:v>-1.75</c:v>
                </c:pt>
                <c:pt idx="41">
                  <c:v>-3.5</c:v>
                </c:pt>
                <c:pt idx="42">
                  <c:v>-0.25</c:v>
                </c:pt>
                <c:pt idx="43">
                  <c:v>4</c:v>
                </c:pt>
                <c:pt idx="44">
                  <c:v>5.25</c:v>
                </c:pt>
                <c:pt idx="45">
                  <c:v>1.5</c:v>
                </c:pt>
                <c:pt idx="46">
                  <c:v>2.75</c:v>
                </c:pt>
                <c:pt idx="47">
                  <c:v>7</c:v>
                </c:pt>
                <c:pt idx="48">
                  <c:v>4.25</c:v>
                </c:pt>
                <c:pt idx="49">
                  <c:v>4.5</c:v>
                </c:pt>
                <c:pt idx="50">
                  <c:v>1.75</c:v>
                </c:pt>
                <c:pt idx="51">
                  <c:v>2</c:v>
                </c:pt>
                <c:pt idx="52">
                  <c:v>4.25</c:v>
                </c:pt>
                <c:pt idx="53">
                  <c:v>4.5</c:v>
                </c:pt>
                <c:pt idx="54">
                  <c:v>6.75</c:v>
                </c:pt>
                <c:pt idx="55">
                  <c:v>6</c:v>
                </c:pt>
                <c:pt idx="56">
                  <c:v>5.25</c:v>
                </c:pt>
                <c:pt idx="57">
                  <c:v>3.5</c:v>
                </c:pt>
                <c:pt idx="58">
                  <c:v>2.75</c:v>
                </c:pt>
                <c:pt idx="59">
                  <c:v>-2</c:v>
                </c:pt>
                <c:pt idx="60">
                  <c:v>0.25</c:v>
                </c:pt>
                <c:pt idx="61">
                  <c:v>-0.5</c:v>
                </c:pt>
                <c:pt idx="62">
                  <c:v>0.75</c:v>
                </c:pt>
                <c:pt idx="63">
                  <c:v>-1</c:v>
                </c:pt>
                <c:pt idx="64">
                  <c:v>0.25</c:v>
                </c:pt>
                <c:pt idx="65">
                  <c:v>-2.5</c:v>
                </c:pt>
                <c:pt idx="66">
                  <c:v>-3.25</c:v>
                </c:pt>
                <c:pt idx="67">
                  <c:v>-2</c:v>
                </c:pt>
                <c:pt idx="68">
                  <c:v>-5.75</c:v>
                </c:pt>
                <c:pt idx="69">
                  <c:v>-4.5</c:v>
                </c:pt>
                <c:pt idx="70">
                  <c:v>-2.25</c:v>
                </c:pt>
                <c:pt idx="71">
                  <c:v>-5</c:v>
                </c:pt>
                <c:pt idx="72">
                  <c:v>-6.75</c:v>
                </c:pt>
                <c:pt idx="73">
                  <c:v>-6.5</c:v>
                </c:pt>
                <c:pt idx="74">
                  <c:v>-9.25</c:v>
                </c:pt>
                <c:pt idx="75">
                  <c:v>-13</c:v>
                </c:pt>
                <c:pt idx="76">
                  <c:v>-14.75</c:v>
                </c:pt>
                <c:pt idx="77">
                  <c:v>-17.5</c:v>
                </c:pt>
                <c:pt idx="78">
                  <c:v>-13.25</c:v>
                </c:pt>
                <c:pt idx="79">
                  <c:v>-16</c:v>
                </c:pt>
                <c:pt idx="80">
                  <c:v>-14.75</c:v>
                </c:pt>
                <c:pt idx="81">
                  <c:v>-15.5</c:v>
                </c:pt>
                <c:pt idx="82">
                  <c:v>-14.25</c:v>
                </c:pt>
                <c:pt idx="83">
                  <c:v>-16</c:v>
                </c:pt>
                <c:pt idx="84">
                  <c:v>-15.75</c:v>
                </c:pt>
                <c:pt idx="85">
                  <c:v>-10.5</c:v>
                </c:pt>
                <c:pt idx="86">
                  <c:v>-11.25</c:v>
                </c:pt>
                <c:pt idx="87">
                  <c:v>-15</c:v>
                </c:pt>
                <c:pt idx="88">
                  <c:v>-12.75</c:v>
                </c:pt>
                <c:pt idx="89">
                  <c:v>-15.5</c:v>
                </c:pt>
                <c:pt idx="90">
                  <c:v>-16.25</c:v>
                </c:pt>
                <c:pt idx="91">
                  <c:v>-19</c:v>
                </c:pt>
                <c:pt idx="92">
                  <c:v>-21.75</c:v>
                </c:pt>
                <c:pt idx="93">
                  <c:v>-20.5</c:v>
                </c:pt>
                <c:pt idx="94">
                  <c:v>-21.25</c:v>
                </c:pt>
                <c:pt idx="95">
                  <c:v>-24</c:v>
                </c:pt>
                <c:pt idx="96">
                  <c:v>-21.75</c:v>
                </c:pt>
                <c:pt idx="97">
                  <c:v>-24.5</c:v>
                </c:pt>
                <c:pt idx="98">
                  <c:v>-28.25</c:v>
                </c:pt>
                <c:pt idx="99">
                  <c:v>-31</c:v>
                </c:pt>
                <c:pt idx="100">
                  <c:v>-34.75</c:v>
                </c:pt>
                <c:pt idx="101">
                  <c:v>-30.5</c:v>
                </c:pt>
                <c:pt idx="102">
                  <c:v>-31.25</c:v>
                </c:pt>
                <c:pt idx="103">
                  <c:v>-31</c:v>
                </c:pt>
                <c:pt idx="104">
                  <c:v>-31.75</c:v>
                </c:pt>
                <c:pt idx="105">
                  <c:v>-30.5</c:v>
                </c:pt>
                <c:pt idx="106">
                  <c:v>-28.25</c:v>
                </c:pt>
                <c:pt idx="107">
                  <c:v>-29</c:v>
                </c:pt>
                <c:pt idx="108">
                  <c:v>-29.75</c:v>
                </c:pt>
                <c:pt idx="109">
                  <c:v>-32.5</c:v>
                </c:pt>
                <c:pt idx="110">
                  <c:v>-34.25</c:v>
                </c:pt>
                <c:pt idx="111">
                  <c:v>-32</c:v>
                </c:pt>
                <c:pt idx="112">
                  <c:v>-31.75</c:v>
                </c:pt>
                <c:pt idx="113">
                  <c:v>-30.5</c:v>
                </c:pt>
                <c:pt idx="114">
                  <c:v>-32.25</c:v>
                </c:pt>
                <c:pt idx="115">
                  <c:v>-33</c:v>
                </c:pt>
                <c:pt idx="116">
                  <c:v>-32.75</c:v>
                </c:pt>
                <c:pt idx="117">
                  <c:v>-34.5</c:v>
                </c:pt>
                <c:pt idx="118">
                  <c:v>-32.25</c:v>
                </c:pt>
                <c:pt idx="119">
                  <c:v>-27</c:v>
                </c:pt>
                <c:pt idx="120">
                  <c:v>-25.75</c:v>
                </c:pt>
                <c:pt idx="121">
                  <c:v>-26.5</c:v>
                </c:pt>
                <c:pt idx="122">
                  <c:v>-27.25</c:v>
                </c:pt>
                <c:pt idx="123">
                  <c:v>-26</c:v>
                </c:pt>
                <c:pt idx="124">
                  <c:v>-24.75</c:v>
                </c:pt>
                <c:pt idx="125">
                  <c:v>-23.5</c:v>
                </c:pt>
                <c:pt idx="126">
                  <c:v>-22.25</c:v>
                </c:pt>
                <c:pt idx="127">
                  <c:v>-20</c:v>
                </c:pt>
                <c:pt idx="128">
                  <c:v>-22.75</c:v>
                </c:pt>
                <c:pt idx="129">
                  <c:v>-19.5</c:v>
                </c:pt>
                <c:pt idx="130">
                  <c:v>-17.25</c:v>
                </c:pt>
                <c:pt idx="131">
                  <c:v>-20</c:v>
                </c:pt>
                <c:pt idx="132">
                  <c:v>-18.75</c:v>
                </c:pt>
                <c:pt idx="133">
                  <c:v>-18.5</c:v>
                </c:pt>
                <c:pt idx="134">
                  <c:v>-19.25</c:v>
                </c:pt>
                <c:pt idx="135">
                  <c:v>-20</c:v>
                </c:pt>
                <c:pt idx="136">
                  <c:v>-19.75</c:v>
                </c:pt>
                <c:pt idx="137">
                  <c:v>-20.5</c:v>
                </c:pt>
                <c:pt idx="138">
                  <c:v>-22.25</c:v>
                </c:pt>
                <c:pt idx="139">
                  <c:v>-23</c:v>
                </c:pt>
                <c:pt idx="140">
                  <c:v>-24.75</c:v>
                </c:pt>
                <c:pt idx="141">
                  <c:v>-26.5</c:v>
                </c:pt>
                <c:pt idx="142">
                  <c:v>-27.25</c:v>
                </c:pt>
                <c:pt idx="143">
                  <c:v>-30</c:v>
                </c:pt>
                <c:pt idx="144">
                  <c:v>-29.75</c:v>
                </c:pt>
                <c:pt idx="145">
                  <c:v>-28.5</c:v>
                </c:pt>
                <c:pt idx="146">
                  <c:v>-27.25</c:v>
                </c:pt>
                <c:pt idx="147">
                  <c:v>-31</c:v>
                </c:pt>
                <c:pt idx="148">
                  <c:v>-28.75</c:v>
                </c:pt>
                <c:pt idx="149">
                  <c:v>-27.5</c:v>
                </c:pt>
                <c:pt idx="150">
                  <c:v>-27.25</c:v>
                </c:pt>
                <c:pt idx="151">
                  <c:v>-26</c:v>
                </c:pt>
                <c:pt idx="152">
                  <c:v>-26.75</c:v>
                </c:pt>
                <c:pt idx="153">
                  <c:v>-23.5</c:v>
                </c:pt>
                <c:pt idx="154">
                  <c:v>-23.25</c:v>
                </c:pt>
                <c:pt idx="155">
                  <c:v>-25</c:v>
                </c:pt>
                <c:pt idx="156">
                  <c:v>-26.75</c:v>
                </c:pt>
                <c:pt idx="157">
                  <c:v>-24.5</c:v>
                </c:pt>
                <c:pt idx="158">
                  <c:v>-21.25</c:v>
                </c:pt>
                <c:pt idx="159">
                  <c:v>-22</c:v>
                </c:pt>
                <c:pt idx="160">
                  <c:v>-18.75</c:v>
                </c:pt>
                <c:pt idx="161">
                  <c:v>-20.5</c:v>
                </c:pt>
                <c:pt idx="162">
                  <c:v>-19.25</c:v>
                </c:pt>
                <c:pt idx="163">
                  <c:v>-15</c:v>
                </c:pt>
                <c:pt idx="164">
                  <c:v>-12.75</c:v>
                </c:pt>
                <c:pt idx="165">
                  <c:v>-9.5</c:v>
                </c:pt>
                <c:pt idx="166">
                  <c:v>-12.25</c:v>
                </c:pt>
                <c:pt idx="167">
                  <c:v>-11</c:v>
                </c:pt>
                <c:pt idx="168">
                  <c:v>-11.75</c:v>
                </c:pt>
                <c:pt idx="169">
                  <c:v>-15.5</c:v>
                </c:pt>
                <c:pt idx="170">
                  <c:v>-14.25</c:v>
                </c:pt>
                <c:pt idx="171">
                  <c:v>-15</c:v>
                </c:pt>
                <c:pt idx="172">
                  <c:v>-14.75</c:v>
                </c:pt>
                <c:pt idx="173">
                  <c:v>-13.5</c:v>
                </c:pt>
                <c:pt idx="174">
                  <c:v>-15.25</c:v>
                </c:pt>
                <c:pt idx="175">
                  <c:v>-17</c:v>
                </c:pt>
                <c:pt idx="176">
                  <c:v>-17.75</c:v>
                </c:pt>
                <c:pt idx="177">
                  <c:v>-15.5</c:v>
                </c:pt>
                <c:pt idx="178">
                  <c:v>-17.25</c:v>
                </c:pt>
                <c:pt idx="179">
                  <c:v>-18</c:v>
                </c:pt>
                <c:pt idx="180">
                  <c:v>-14.75</c:v>
                </c:pt>
                <c:pt idx="181">
                  <c:v>-15.5</c:v>
                </c:pt>
                <c:pt idx="182">
                  <c:v>-14.25</c:v>
                </c:pt>
                <c:pt idx="183">
                  <c:v>-15</c:v>
                </c:pt>
                <c:pt idx="184">
                  <c:v>-16.75</c:v>
                </c:pt>
                <c:pt idx="185">
                  <c:v>-17.5</c:v>
                </c:pt>
                <c:pt idx="186">
                  <c:v>-19.25</c:v>
                </c:pt>
                <c:pt idx="187">
                  <c:v>-20</c:v>
                </c:pt>
                <c:pt idx="188">
                  <c:v>-10.75</c:v>
                </c:pt>
                <c:pt idx="189">
                  <c:v>-13.5</c:v>
                </c:pt>
                <c:pt idx="190">
                  <c:v>-10.25</c:v>
                </c:pt>
                <c:pt idx="191">
                  <c:v>-12</c:v>
                </c:pt>
                <c:pt idx="192">
                  <c:v>-9.75</c:v>
                </c:pt>
                <c:pt idx="193">
                  <c:v>-12.5</c:v>
                </c:pt>
                <c:pt idx="194">
                  <c:v>-14.25</c:v>
                </c:pt>
                <c:pt idx="195">
                  <c:v>-8</c:v>
                </c:pt>
                <c:pt idx="196">
                  <c:v>-4.75</c:v>
                </c:pt>
                <c:pt idx="197">
                  <c:v>-2.5</c:v>
                </c:pt>
                <c:pt idx="198">
                  <c:v>-2.25</c:v>
                </c:pt>
                <c:pt idx="199">
                  <c:v>-7</c:v>
                </c:pt>
                <c:pt idx="200">
                  <c:v>-6.75</c:v>
                </c:pt>
                <c:pt idx="201">
                  <c:v>-5.5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DifferencedCumDeparture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Sheet3!$G$2:$G$203</c:f>
              <c:numCache>
                <c:formatCode>General</c:formatCode>
                <c:ptCount val="20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</c:numCache>
            </c:numRef>
          </c:xVal>
          <c:yVal>
            <c:numRef>
              <c:f>Sheet3!$I$2:$I$203</c:f>
              <c:numCache>
                <c:formatCode>General</c:formatCode>
                <c:ptCount val="202"/>
                <c:pt idx="0">
                  <c:v>-1.75</c:v>
                </c:pt>
                <c:pt idx="1">
                  <c:v>-3.5</c:v>
                </c:pt>
                <c:pt idx="2">
                  <c:v>-2.25</c:v>
                </c:pt>
                <c:pt idx="3">
                  <c:v>-2</c:v>
                </c:pt>
                <c:pt idx="4">
                  <c:v>-1.75</c:v>
                </c:pt>
                <c:pt idx="5">
                  <c:v>-2.5</c:v>
                </c:pt>
                <c:pt idx="6">
                  <c:v>-1.25</c:v>
                </c:pt>
                <c:pt idx="7">
                  <c:v>-2</c:v>
                </c:pt>
                <c:pt idx="8">
                  <c:v>-0.75</c:v>
                </c:pt>
                <c:pt idx="9">
                  <c:v>-1.5</c:v>
                </c:pt>
                <c:pt idx="10">
                  <c:v>-0.25</c:v>
                </c:pt>
                <c:pt idx="11">
                  <c:v>-1</c:v>
                </c:pt>
                <c:pt idx="12">
                  <c:v>-0.75</c:v>
                </c:pt>
                <c:pt idx="13">
                  <c:v>-0.5</c:v>
                </c:pt>
                <c:pt idx="14">
                  <c:v>0.75</c:v>
                </c:pt>
                <c:pt idx="15">
                  <c:v>0</c:v>
                </c:pt>
                <c:pt idx="16">
                  <c:v>1.25</c:v>
                </c:pt>
                <c:pt idx="17">
                  <c:v>0.5</c:v>
                </c:pt>
                <c:pt idx="18">
                  <c:v>0.75</c:v>
                </c:pt>
                <c:pt idx="19">
                  <c:v>1</c:v>
                </c:pt>
                <c:pt idx="20">
                  <c:v>0.25</c:v>
                </c:pt>
                <c:pt idx="21">
                  <c:v>1.5</c:v>
                </c:pt>
                <c:pt idx="22">
                  <c:v>0.75</c:v>
                </c:pt>
                <c:pt idx="23">
                  <c:v>2</c:v>
                </c:pt>
                <c:pt idx="24">
                  <c:v>1.25</c:v>
                </c:pt>
                <c:pt idx="25">
                  <c:v>1.5</c:v>
                </c:pt>
                <c:pt idx="26">
                  <c:v>1.75</c:v>
                </c:pt>
                <c:pt idx="27">
                  <c:v>3</c:v>
                </c:pt>
                <c:pt idx="28">
                  <c:v>2.25</c:v>
                </c:pt>
                <c:pt idx="29">
                  <c:v>3.5</c:v>
                </c:pt>
                <c:pt idx="30">
                  <c:v>2.75</c:v>
                </c:pt>
                <c:pt idx="31">
                  <c:v>4</c:v>
                </c:pt>
                <c:pt idx="32">
                  <c:v>3.25</c:v>
                </c:pt>
                <c:pt idx="33">
                  <c:v>4.5</c:v>
                </c:pt>
                <c:pt idx="34">
                  <c:v>0.75</c:v>
                </c:pt>
                <c:pt idx="35">
                  <c:v>0</c:v>
                </c:pt>
                <c:pt idx="36">
                  <c:v>0.25</c:v>
                </c:pt>
                <c:pt idx="37">
                  <c:v>-0.5</c:v>
                </c:pt>
                <c:pt idx="38">
                  <c:v>-1.25</c:v>
                </c:pt>
                <c:pt idx="39">
                  <c:v>-1</c:v>
                </c:pt>
                <c:pt idx="40">
                  <c:v>-1.75</c:v>
                </c:pt>
                <c:pt idx="41">
                  <c:v>-5.5</c:v>
                </c:pt>
                <c:pt idx="42">
                  <c:v>-5.25</c:v>
                </c:pt>
                <c:pt idx="43">
                  <c:v>-6</c:v>
                </c:pt>
                <c:pt idx="44">
                  <c:v>-4.75</c:v>
                </c:pt>
                <c:pt idx="45">
                  <c:v>-5.5</c:v>
                </c:pt>
                <c:pt idx="46">
                  <c:v>-5.25</c:v>
                </c:pt>
                <c:pt idx="47">
                  <c:v>-5</c:v>
                </c:pt>
                <c:pt idx="48">
                  <c:v>-5.75</c:v>
                </c:pt>
                <c:pt idx="49">
                  <c:v>-4.5</c:v>
                </c:pt>
                <c:pt idx="50">
                  <c:v>-4.25</c:v>
                </c:pt>
                <c:pt idx="51">
                  <c:v>-4</c:v>
                </c:pt>
                <c:pt idx="52">
                  <c:v>-4.75</c:v>
                </c:pt>
                <c:pt idx="53">
                  <c:v>-3.5</c:v>
                </c:pt>
                <c:pt idx="54">
                  <c:v>-4.25</c:v>
                </c:pt>
                <c:pt idx="55">
                  <c:v>-3</c:v>
                </c:pt>
                <c:pt idx="56">
                  <c:v>-3.75</c:v>
                </c:pt>
                <c:pt idx="57">
                  <c:v>-2.5</c:v>
                </c:pt>
                <c:pt idx="58">
                  <c:v>-3.25</c:v>
                </c:pt>
                <c:pt idx="59">
                  <c:v>-3</c:v>
                </c:pt>
                <c:pt idx="60">
                  <c:v>-4.75</c:v>
                </c:pt>
                <c:pt idx="61">
                  <c:v>-3.5</c:v>
                </c:pt>
                <c:pt idx="62">
                  <c:v>-4.25</c:v>
                </c:pt>
                <c:pt idx="63">
                  <c:v>-3</c:v>
                </c:pt>
                <c:pt idx="64">
                  <c:v>-3.75</c:v>
                </c:pt>
                <c:pt idx="65">
                  <c:v>-4.5</c:v>
                </c:pt>
                <c:pt idx="66">
                  <c:v>-5.25</c:v>
                </c:pt>
                <c:pt idx="67">
                  <c:v>-6</c:v>
                </c:pt>
                <c:pt idx="68">
                  <c:v>-6.75</c:v>
                </c:pt>
                <c:pt idx="69">
                  <c:v>-7.5</c:v>
                </c:pt>
                <c:pt idx="70">
                  <c:v>-7.25</c:v>
                </c:pt>
                <c:pt idx="71">
                  <c:v>-8</c:v>
                </c:pt>
                <c:pt idx="72">
                  <c:v>-8.75</c:v>
                </c:pt>
                <c:pt idx="73">
                  <c:v>-9.5</c:v>
                </c:pt>
                <c:pt idx="74">
                  <c:v>-9.25</c:v>
                </c:pt>
                <c:pt idx="75">
                  <c:v>-13</c:v>
                </c:pt>
                <c:pt idx="76">
                  <c:v>-14.75</c:v>
                </c:pt>
                <c:pt idx="77">
                  <c:v>-17.5</c:v>
                </c:pt>
                <c:pt idx="78">
                  <c:v>-19.25</c:v>
                </c:pt>
                <c:pt idx="79">
                  <c:v>-19</c:v>
                </c:pt>
                <c:pt idx="80">
                  <c:v>-18.75</c:v>
                </c:pt>
                <c:pt idx="81">
                  <c:v>-18.5</c:v>
                </c:pt>
                <c:pt idx="82">
                  <c:v>-18.25</c:v>
                </c:pt>
                <c:pt idx="83">
                  <c:v>-18</c:v>
                </c:pt>
                <c:pt idx="84">
                  <c:v>-19.75</c:v>
                </c:pt>
                <c:pt idx="85">
                  <c:v>-19.5</c:v>
                </c:pt>
                <c:pt idx="86">
                  <c:v>-20.25</c:v>
                </c:pt>
                <c:pt idx="87">
                  <c:v>-19</c:v>
                </c:pt>
                <c:pt idx="88">
                  <c:v>-19.75</c:v>
                </c:pt>
                <c:pt idx="89">
                  <c:v>-19.5</c:v>
                </c:pt>
                <c:pt idx="90">
                  <c:v>-20.25</c:v>
                </c:pt>
                <c:pt idx="91">
                  <c:v>-21</c:v>
                </c:pt>
                <c:pt idx="92">
                  <c:v>-22.75</c:v>
                </c:pt>
                <c:pt idx="93">
                  <c:v>-23.5</c:v>
                </c:pt>
                <c:pt idx="94">
                  <c:v>-24.25</c:v>
                </c:pt>
                <c:pt idx="95">
                  <c:v>-26</c:v>
                </c:pt>
                <c:pt idx="96">
                  <c:v>-24.75</c:v>
                </c:pt>
                <c:pt idx="97">
                  <c:v>-25.5</c:v>
                </c:pt>
                <c:pt idx="98">
                  <c:v>-29.25</c:v>
                </c:pt>
                <c:pt idx="99">
                  <c:v>-32</c:v>
                </c:pt>
                <c:pt idx="100">
                  <c:v>-34.75</c:v>
                </c:pt>
                <c:pt idx="101">
                  <c:v>-37.5</c:v>
                </c:pt>
                <c:pt idx="102">
                  <c:v>-36.25</c:v>
                </c:pt>
                <c:pt idx="103">
                  <c:v>-36</c:v>
                </c:pt>
                <c:pt idx="104">
                  <c:v>-35.75</c:v>
                </c:pt>
                <c:pt idx="105">
                  <c:v>-35.5</c:v>
                </c:pt>
                <c:pt idx="106">
                  <c:v>-35.25</c:v>
                </c:pt>
                <c:pt idx="107">
                  <c:v>-35</c:v>
                </c:pt>
                <c:pt idx="108">
                  <c:v>-34.75</c:v>
                </c:pt>
                <c:pt idx="109">
                  <c:v>-35.5</c:v>
                </c:pt>
                <c:pt idx="110">
                  <c:v>-36.25</c:v>
                </c:pt>
                <c:pt idx="111">
                  <c:v>-37</c:v>
                </c:pt>
                <c:pt idx="112">
                  <c:v>-36.75</c:v>
                </c:pt>
                <c:pt idx="113">
                  <c:v>-36.5</c:v>
                </c:pt>
                <c:pt idx="114">
                  <c:v>-36.25</c:v>
                </c:pt>
                <c:pt idx="115">
                  <c:v>-36</c:v>
                </c:pt>
                <c:pt idx="116">
                  <c:v>-36.75</c:v>
                </c:pt>
                <c:pt idx="117">
                  <c:v>-37.5</c:v>
                </c:pt>
                <c:pt idx="118">
                  <c:v>-37.25</c:v>
                </c:pt>
                <c:pt idx="119">
                  <c:v>-37</c:v>
                </c:pt>
                <c:pt idx="120">
                  <c:v>-36.75</c:v>
                </c:pt>
                <c:pt idx="121">
                  <c:v>-36.5</c:v>
                </c:pt>
                <c:pt idx="122">
                  <c:v>-36.25</c:v>
                </c:pt>
                <c:pt idx="123">
                  <c:v>-37</c:v>
                </c:pt>
                <c:pt idx="124">
                  <c:v>-35.75</c:v>
                </c:pt>
                <c:pt idx="125">
                  <c:v>-35.5</c:v>
                </c:pt>
                <c:pt idx="126">
                  <c:v>-35.25</c:v>
                </c:pt>
                <c:pt idx="127">
                  <c:v>-35</c:v>
                </c:pt>
                <c:pt idx="128">
                  <c:v>-34.75</c:v>
                </c:pt>
                <c:pt idx="129">
                  <c:v>-34.5</c:v>
                </c:pt>
                <c:pt idx="130">
                  <c:v>-34.25</c:v>
                </c:pt>
                <c:pt idx="131">
                  <c:v>-34</c:v>
                </c:pt>
                <c:pt idx="132">
                  <c:v>-32.75</c:v>
                </c:pt>
                <c:pt idx="133">
                  <c:v>-33.5</c:v>
                </c:pt>
                <c:pt idx="134">
                  <c:v>-32.25</c:v>
                </c:pt>
                <c:pt idx="135">
                  <c:v>-33</c:v>
                </c:pt>
                <c:pt idx="136">
                  <c:v>-31.75</c:v>
                </c:pt>
                <c:pt idx="137">
                  <c:v>-32.5</c:v>
                </c:pt>
                <c:pt idx="138">
                  <c:v>-31.25</c:v>
                </c:pt>
                <c:pt idx="139">
                  <c:v>-32</c:v>
                </c:pt>
                <c:pt idx="140">
                  <c:v>-31.75</c:v>
                </c:pt>
                <c:pt idx="141">
                  <c:v>-31.5</c:v>
                </c:pt>
                <c:pt idx="142">
                  <c:v>-31.25</c:v>
                </c:pt>
                <c:pt idx="143">
                  <c:v>-32</c:v>
                </c:pt>
                <c:pt idx="144">
                  <c:v>-31.75</c:v>
                </c:pt>
                <c:pt idx="145">
                  <c:v>-31.5</c:v>
                </c:pt>
                <c:pt idx="146">
                  <c:v>-32.25</c:v>
                </c:pt>
                <c:pt idx="147">
                  <c:v>-32</c:v>
                </c:pt>
                <c:pt idx="148">
                  <c:v>-32.75</c:v>
                </c:pt>
                <c:pt idx="149">
                  <c:v>-32.5</c:v>
                </c:pt>
                <c:pt idx="150">
                  <c:v>-32.25</c:v>
                </c:pt>
                <c:pt idx="151">
                  <c:v>-31</c:v>
                </c:pt>
                <c:pt idx="152">
                  <c:v>-31.75</c:v>
                </c:pt>
                <c:pt idx="153">
                  <c:v>-30.5</c:v>
                </c:pt>
                <c:pt idx="154">
                  <c:v>-30.25</c:v>
                </c:pt>
                <c:pt idx="155">
                  <c:v>-30</c:v>
                </c:pt>
                <c:pt idx="156">
                  <c:v>-30.75</c:v>
                </c:pt>
                <c:pt idx="157">
                  <c:v>-30.5</c:v>
                </c:pt>
                <c:pt idx="158">
                  <c:v>-30.25</c:v>
                </c:pt>
                <c:pt idx="159">
                  <c:v>-31</c:v>
                </c:pt>
                <c:pt idx="160">
                  <c:v>-29.75</c:v>
                </c:pt>
                <c:pt idx="161">
                  <c:v>-30.5</c:v>
                </c:pt>
                <c:pt idx="162">
                  <c:v>-29.25</c:v>
                </c:pt>
                <c:pt idx="163">
                  <c:v>-30</c:v>
                </c:pt>
                <c:pt idx="164">
                  <c:v>-28.75</c:v>
                </c:pt>
                <c:pt idx="165">
                  <c:v>-29.5</c:v>
                </c:pt>
                <c:pt idx="166">
                  <c:v>-29.25</c:v>
                </c:pt>
                <c:pt idx="167">
                  <c:v>-29</c:v>
                </c:pt>
                <c:pt idx="168">
                  <c:v>-28.75</c:v>
                </c:pt>
                <c:pt idx="169">
                  <c:v>-28.5</c:v>
                </c:pt>
                <c:pt idx="170">
                  <c:v>-28.25</c:v>
                </c:pt>
                <c:pt idx="171">
                  <c:v>-28</c:v>
                </c:pt>
                <c:pt idx="172">
                  <c:v>-26.75</c:v>
                </c:pt>
                <c:pt idx="173">
                  <c:v>-27.5</c:v>
                </c:pt>
                <c:pt idx="174">
                  <c:v>-26.25</c:v>
                </c:pt>
                <c:pt idx="175">
                  <c:v>-27</c:v>
                </c:pt>
                <c:pt idx="176">
                  <c:v>-25.75</c:v>
                </c:pt>
                <c:pt idx="177">
                  <c:v>-26.5</c:v>
                </c:pt>
                <c:pt idx="178">
                  <c:v>-25.25</c:v>
                </c:pt>
                <c:pt idx="179">
                  <c:v>-26</c:v>
                </c:pt>
                <c:pt idx="180">
                  <c:v>-24.75</c:v>
                </c:pt>
                <c:pt idx="181">
                  <c:v>-24.5</c:v>
                </c:pt>
                <c:pt idx="182">
                  <c:v>-25.25</c:v>
                </c:pt>
                <c:pt idx="183">
                  <c:v>-25</c:v>
                </c:pt>
                <c:pt idx="184">
                  <c:v>-24.75</c:v>
                </c:pt>
                <c:pt idx="185">
                  <c:v>-24.5</c:v>
                </c:pt>
                <c:pt idx="186">
                  <c:v>-25.25</c:v>
                </c:pt>
                <c:pt idx="187">
                  <c:v>-24</c:v>
                </c:pt>
                <c:pt idx="188">
                  <c:v>-24.75</c:v>
                </c:pt>
                <c:pt idx="189">
                  <c:v>-23.5</c:v>
                </c:pt>
                <c:pt idx="190">
                  <c:v>-24.25</c:v>
                </c:pt>
                <c:pt idx="191">
                  <c:v>-23</c:v>
                </c:pt>
                <c:pt idx="192">
                  <c:v>-23.75</c:v>
                </c:pt>
                <c:pt idx="193">
                  <c:v>-22.5</c:v>
                </c:pt>
                <c:pt idx="194">
                  <c:v>-23.25</c:v>
                </c:pt>
                <c:pt idx="195">
                  <c:v>-22</c:v>
                </c:pt>
                <c:pt idx="196">
                  <c:v>-22.75</c:v>
                </c:pt>
                <c:pt idx="197">
                  <c:v>-22.5</c:v>
                </c:pt>
                <c:pt idx="198">
                  <c:v>-22.25</c:v>
                </c:pt>
                <c:pt idx="199">
                  <c:v>-22</c:v>
                </c:pt>
                <c:pt idx="200">
                  <c:v>-20.75</c:v>
                </c:pt>
                <c:pt idx="201">
                  <c:v>-20.5</c:v>
                </c:pt>
              </c:numCache>
            </c:numRef>
          </c:yVal>
          <c:smooth val="1"/>
        </c:ser>
        <c:axId val="51470155"/>
        <c:axId val="97693421"/>
      </c:scatterChart>
      <c:valAx>
        <c:axId val="514701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693421"/>
        <c:crossesAt val="0"/>
        <c:crossBetween val="midCat"/>
      </c:valAx>
      <c:valAx>
        <c:axId val="9769342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470155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42255119897839"/>
          <c:y val="0.933138956994235"/>
          <c:w val="0.630705197937852"/>
          <c:h val="0.049102113842687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0" u="none" strike="noStrike">
                <a:solidFill>
                  <a:srgbClr val="000000"/>
                </a:solidFill>
                <a:uFillTx/>
                <a:latin typeface="Arial"/>
              </a:rPr>
              <a:t>#REF!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$sheet5.$#ref!$#ref!</c:f>
              <c:strCache>
                <c:ptCount val="1"/>
                <c:pt idx="0">
                  <c:v>$sheet5.$#ref!$#ref!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Sheet5!$AK$18:$AK$1017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Sheet5!$AL$18:$AL$1017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2</c:v>
                </c:pt>
                <c:pt idx="91">
                  <c:v>3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2</c:v>
                </c:pt>
                <c:pt idx="152">
                  <c:v>2</c:v>
                </c:pt>
                <c:pt idx="153">
                  <c:v>0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2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0</c:v>
                </c:pt>
                <c:pt idx="266">
                  <c:v>2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2</c:v>
                </c:pt>
                <c:pt idx="290">
                  <c:v>0</c:v>
                </c:pt>
                <c:pt idx="291">
                  <c:v>2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2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2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3</c:v>
                </c:pt>
                <c:pt idx="321">
                  <c:v>2</c:v>
                </c:pt>
                <c:pt idx="322">
                  <c:v>3</c:v>
                </c:pt>
                <c:pt idx="323">
                  <c:v>2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3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3</c:v>
                </c:pt>
                <c:pt idx="345">
                  <c:v>2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2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2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3</c:v>
                </c:pt>
                <c:pt idx="401">
                  <c:v>4</c:v>
                </c:pt>
                <c:pt idx="402">
                  <c:v>3</c:v>
                </c:pt>
                <c:pt idx="403">
                  <c:v>1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2</c:v>
                </c:pt>
                <c:pt idx="444">
                  <c:v>2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2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2</c:v>
                </c:pt>
                <c:pt idx="519">
                  <c:v>3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2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1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4</c:v>
                </c:pt>
                <c:pt idx="567">
                  <c:v>5</c:v>
                </c:pt>
                <c:pt idx="568">
                  <c:v>3</c:v>
                </c:pt>
                <c:pt idx="569">
                  <c:v>2</c:v>
                </c:pt>
                <c:pt idx="570">
                  <c:v>3</c:v>
                </c:pt>
                <c:pt idx="571">
                  <c:v>4</c:v>
                </c:pt>
                <c:pt idx="572">
                  <c:v>3</c:v>
                </c:pt>
                <c:pt idx="573">
                  <c:v>4</c:v>
                </c:pt>
                <c:pt idx="574">
                  <c:v>5</c:v>
                </c:pt>
                <c:pt idx="575">
                  <c:v>5</c:v>
                </c:pt>
                <c:pt idx="576">
                  <c:v>4</c:v>
                </c:pt>
                <c:pt idx="577">
                  <c:v>3</c:v>
                </c:pt>
                <c:pt idx="578">
                  <c:v>2</c:v>
                </c:pt>
                <c:pt idx="579">
                  <c:v>4</c:v>
                </c:pt>
                <c:pt idx="580">
                  <c:v>2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2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2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1</c:v>
                </c:pt>
                <c:pt idx="636">
                  <c:v>2</c:v>
                </c:pt>
                <c:pt idx="637">
                  <c:v>1</c:v>
                </c:pt>
                <c:pt idx="638">
                  <c:v>2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1</c:v>
                </c:pt>
                <c:pt idx="644">
                  <c:v>2</c:v>
                </c:pt>
                <c:pt idx="645">
                  <c:v>3</c:v>
                </c:pt>
                <c:pt idx="646">
                  <c:v>2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2</c:v>
                </c:pt>
                <c:pt idx="658">
                  <c:v>0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0</c:v>
                </c:pt>
                <c:pt idx="663">
                  <c:v>2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3</c:v>
                </c:pt>
                <c:pt idx="686">
                  <c:v>3</c:v>
                </c:pt>
                <c:pt idx="687">
                  <c:v>2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2</c:v>
                </c:pt>
                <c:pt idx="693">
                  <c:v>3</c:v>
                </c:pt>
                <c:pt idx="694">
                  <c:v>2</c:v>
                </c:pt>
                <c:pt idx="695">
                  <c:v>2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2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2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3</c:v>
                </c:pt>
                <c:pt idx="733">
                  <c:v>2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1</c:v>
                </c:pt>
                <c:pt idx="741">
                  <c:v>2</c:v>
                </c:pt>
                <c:pt idx="742">
                  <c:v>2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2</c:v>
                </c:pt>
                <c:pt idx="783">
                  <c:v>2</c:v>
                </c:pt>
                <c:pt idx="784">
                  <c:v>1</c:v>
                </c:pt>
                <c:pt idx="785">
                  <c:v>0</c:v>
                </c:pt>
                <c:pt idx="786">
                  <c:v>1</c:v>
                </c:pt>
                <c:pt idx="787">
                  <c:v>0</c:v>
                </c:pt>
                <c:pt idx="788">
                  <c:v>2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2</c:v>
                </c:pt>
                <c:pt idx="812">
                  <c:v>1</c:v>
                </c:pt>
                <c:pt idx="813">
                  <c:v>3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2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3</c:v>
                </c:pt>
                <c:pt idx="842">
                  <c:v>2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2</c:v>
                </c:pt>
                <c:pt idx="848">
                  <c:v>2</c:v>
                </c:pt>
                <c:pt idx="849">
                  <c:v>3</c:v>
                </c:pt>
                <c:pt idx="850">
                  <c:v>1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2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2</c:v>
                </c:pt>
                <c:pt idx="896">
                  <c:v>0</c:v>
                </c:pt>
                <c:pt idx="897">
                  <c:v>2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3</c:v>
                </c:pt>
                <c:pt idx="910">
                  <c:v>3</c:v>
                </c:pt>
                <c:pt idx="911">
                  <c:v>2</c:v>
                </c:pt>
                <c:pt idx="912">
                  <c:v>3</c:v>
                </c:pt>
                <c:pt idx="913">
                  <c:v>5</c:v>
                </c:pt>
                <c:pt idx="914">
                  <c:v>3</c:v>
                </c:pt>
                <c:pt idx="915">
                  <c:v>2</c:v>
                </c:pt>
                <c:pt idx="916">
                  <c:v>1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2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2</c:v>
                </c:pt>
                <c:pt idx="928">
                  <c:v>1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2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2</c:v>
                </c:pt>
                <c:pt idx="942">
                  <c:v>2</c:v>
                </c:pt>
                <c:pt idx="943">
                  <c:v>1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2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1</c:v>
                </c:pt>
                <c:pt idx="969">
                  <c:v>2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5</c:v>
                </c:pt>
                <c:pt idx="983">
                  <c:v>3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2</c:v>
                </c:pt>
              </c:numCache>
            </c:numRef>
          </c:yVal>
          <c:smooth val="1"/>
        </c:ser>
        <c:axId val="29313688"/>
        <c:axId val="23138815"/>
      </c:scatterChart>
      <c:valAx>
        <c:axId val="293136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Customer#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138815"/>
        <c:crossesAt val="0"/>
        <c:crossBetween val="midCat"/>
      </c:valAx>
      <c:valAx>
        <c:axId val="2313881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Difference in Queue Length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313688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342720</xdr:colOff>
      <xdr:row>9</xdr:row>
      <xdr:rowOff>95400</xdr:rowOff>
    </xdr:from>
    <xdr:to>
      <xdr:col>6</xdr:col>
      <xdr:colOff>696600</xdr:colOff>
      <xdr:row>33</xdr:row>
      <xdr:rowOff>114480</xdr:rowOff>
    </xdr:to>
    <xdr:graphicFrame>
      <xdr:nvGraphicFramePr>
        <xdr:cNvPr id="1" name="Chart 2"/>
        <xdr:cNvGraphicFramePr/>
      </xdr:nvGraphicFramePr>
      <xdr:xfrm>
        <a:off x="2237400" y="1467000"/>
        <a:ext cx="6780240" cy="367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28440</xdr:rowOff>
    </xdr:from>
    <xdr:to>
      <xdr:col>4</xdr:col>
      <xdr:colOff>886320</xdr:colOff>
      <xdr:row>32</xdr:row>
      <xdr:rowOff>56880</xdr:rowOff>
    </xdr:to>
    <xdr:graphicFrame>
      <xdr:nvGraphicFramePr>
        <xdr:cNvPr id="2" name="Chart 3"/>
        <xdr:cNvGraphicFramePr/>
      </xdr:nvGraphicFramePr>
      <xdr:xfrm>
        <a:off x="0" y="1247760"/>
        <a:ext cx="6789240" cy="368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753120</xdr:colOff>
      <xdr:row>33</xdr:row>
      <xdr:rowOff>142920</xdr:rowOff>
    </xdr:to>
    <xdr:graphicFrame>
      <xdr:nvGraphicFramePr>
        <xdr:cNvPr id="3" name="Chart 3"/>
        <xdr:cNvGraphicFramePr/>
      </xdr:nvGraphicFramePr>
      <xdr:xfrm>
        <a:off x="0" y="1523880"/>
        <a:ext cx="6427440" cy="364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534600</xdr:colOff>
      <xdr:row>46</xdr:row>
      <xdr:rowOff>142920</xdr:rowOff>
    </xdr:to>
    <xdr:graphicFrame>
      <xdr:nvGraphicFramePr>
        <xdr:cNvPr id="4" name="Chart 1"/>
        <xdr:cNvGraphicFramePr/>
      </xdr:nvGraphicFramePr>
      <xdr:xfrm>
        <a:off x="2123280" y="3200400"/>
        <a:ext cx="6960960" cy="39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200160</xdr:colOff>
      <xdr:row>19</xdr:row>
      <xdr:rowOff>57240</xdr:rowOff>
    </xdr:from>
    <xdr:to>
      <xdr:col>4</xdr:col>
      <xdr:colOff>1020600</xdr:colOff>
      <xdr:row>45</xdr:row>
      <xdr:rowOff>38160</xdr:rowOff>
    </xdr:to>
    <xdr:graphicFrame>
      <xdr:nvGraphicFramePr>
        <xdr:cNvPr id="5" name="Chart 1"/>
        <xdr:cNvGraphicFramePr/>
      </xdr:nvGraphicFramePr>
      <xdr:xfrm>
        <a:off x="200160" y="2952720"/>
        <a:ext cx="6951960" cy="394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38160</xdr:rowOff>
    </xdr:from>
    <xdr:to>
      <xdr:col>10</xdr:col>
      <xdr:colOff>86760</xdr:colOff>
      <xdr:row>38</xdr:row>
      <xdr:rowOff>9360</xdr:rowOff>
    </xdr:to>
    <xdr:graphicFrame>
      <xdr:nvGraphicFramePr>
        <xdr:cNvPr id="6" name="Chart 2"/>
        <xdr:cNvGraphicFramePr/>
      </xdr:nvGraphicFramePr>
      <xdr:xfrm>
        <a:off x="0" y="1866960"/>
        <a:ext cx="6982920" cy="393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</xdr:colOff>
      <xdr:row>14</xdr:row>
      <xdr:rowOff>114120</xdr:rowOff>
    </xdr:from>
    <xdr:to>
      <xdr:col>7</xdr:col>
      <xdr:colOff>20160</xdr:colOff>
      <xdr:row>44</xdr:row>
      <xdr:rowOff>142920</xdr:rowOff>
    </xdr:to>
    <xdr:graphicFrame>
      <xdr:nvGraphicFramePr>
        <xdr:cNvPr id="7" name="Chart 1"/>
        <xdr:cNvGraphicFramePr/>
      </xdr:nvGraphicFramePr>
      <xdr:xfrm>
        <a:off x="2209680" y="2247840"/>
        <a:ext cx="7721640" cy="460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</xdr:colOff>
      <xdr:row>17</xdr:row>
      <xdr:rowOff>38160</xdr:rowOff>
    </xdr:from>
    <xdr:to>
      <xdr:col>7</xdr:col>
      <xdr:colOff>1238760</xdr:colOff>
      <xdr:row>51</xdr:row>
      <xdr:rowOff>19080</xdr:rowOff>
    </xdr:to>
    <xdr:graphicFrame>
      <xdr:nvGraphicFramePr>
        <xdr:cNvPr id="8" name="Chart 1"/>
        <xdr:cNvGraphicFramePr/>
      </xdr:nvGraphicFramePr>
      <xdr:xfrm>
        <a:off x="2361960" y="2629080"/>
        <a:ext cx="8940240" cy="51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9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19" createdVersion="3">
  <cacheSource type="worksheet">
    <worksheetSource ref="A2:I121" sheet="Summary"/>
  </cacheSource>
  <cacheFields count="9">
    <cacheField name="Poisson arrival rate" numFmtId="0">
      <sharedItems containsSemiMixedTypes="0" containsString="0" containsNumber="1" minValue="0.5" maxValue="1.05" count="5">
        <n v="0.5"/>
        <n v="0.67"/>
        <n v="0.95"/>
        <n v="1"/>
        <n v="1.05"/>
      </sharedItems>
    </cacheField>
    <cacheField name="Percent Informed" numFmtId="0">
      <sharedItems containsSemiMixedTypes="0" containsString="0" containsNumber="1" minValue="0" maxValue="1" count="7">
        <n v="0"/>
        <n v="0.17"/>
        <n v="0.33"/>
        <n v="0.5"/>
        <n v="0.67"/>
        <n v="0.83"/>
        <n v="1"/>
      </sharedItems>
    </cacheField>
    <cacheField name="Time Informed" numFmtId="0">
      <sharedItems containsMixedTypes="1" containsNumber="1" minValue="2.3578817607256" maxValue="40.7129783742515" count="103">
        <n v="2.3578817607256"/>
        <n v="2.36225425210764"/>
        <n v="2.37151204565819"/>
        <n v="2.38214583922111"/>
        <n v="2.38412786745665"/>
        <n v="2.39089716452271"/>
        <n v="2.39349196090518"/>
        <n v="2.39367247800368"/>
        <n v="2.39379494921937"/>
        <n v="2.39458414823629"/>
        <n v="2.40558072128571"/>
        <n v="2.40804673533897"/>
        <n v="2.4131332799054"/>
        <n v="2.41613764012816"/>
        <n v="2.4169524290633"/>
        <n v="2.42055393524762"/>
        <n v="2.42454307429236"/>
        <n v="2.42679755644688"/>
        <n v="2.80979268584884"/>
        <n v="2.82748388196051"/>
        <n v="2.8427912110027"/>
        <n v="2.85283391938433"/>
        <n v="2.86530603166421"/>
        <n v="2.86675774096403"/>
        <n v="2.8808906519734"/>
        <n v="2.89099783204972"/>
        <n v="2.89690585880091"/>
        <n v="2.89700036111537"/>
        <n v="2.89736680167573"/>
        <n v="2.90168228486903"/>
        <n v="2.90938963182498"/>
        <n v="2.91157418126176"/>
        <n v="2.91911051849846"/>
        <n v="2.93061528976728"/>
        <n v="2.94591462030045"/>
        <n v="2.97575328584818"/>
        <n v="8.90827999892926"/>
        <n v="8.96606497694596"/>
        <n v="9.10459715828644"/>
        <n v="9.11218140376343"/>
        <n v="9.14413277005846"/>
        <n v="9.29860624287498"/>
        <n v="9.34402666629349"/>
        <n v="9.47908996039307"/>
        <n v="9.4819210844518"/>
        <n v="9.52204404734523"/>
        <n v="9.81345142751653"/>
        <n v="9.8245268967865"/>
        <n v="9.84029676569982"/>
        <n v="9.89278568806361"/>
        <n v="9.89345491951361"/>
        <n v="10.114132084475"/>
        <n v="10.4553268108226"/>
        <n v="11.3137945883053"/>
        <n v="14.9639634809117"/>
        <n v="15.2360685686096"/>
        <n v="15.9645522853837"/>
        <n v="16.2270668428449"/>
        <n v="16.7769525997346"/>
        <n v="17.422844441695"/>
        <n v="17.7358946525296"/>
        <n v="18.0340059097819"/>
        <n v="18.0501826305467"/>
        <n v="18.0520598173722"/>
        <n v="18.2147830545602"/>
        <n v="18.2296283019763"/>
        <n v="18.3480338577824"/>
        <n v="18.3653339158044"/>
        <n v="18.3709912448051"/>
        <n v="18.7304848052089"/>
        <n v="18.7607152034159"/>
        <n v="19.2790584543444"/>
        <n v="19.4112884681381"/>
        <n v="19.4661781616465"/>
        <n v="19.6085490156015"/>
        <n v="21.4506546352596"/>
        <n v="22.8441565510617"/>
        <n v="23.2288327535796"/>
        <n v="27.1929519989514"/>
        <n v="29.0524700388846"/>
        <n v="29.1686401408893"/>
        <n v="29.6291286032009"/>
        <n v="29.6671168052226"/>
        <n v="30.2944123456496"/>
        <n v="30.561006071379"/>
        <n v="30.7309281984245"/>
        <n v="30.8748592255711"/>
        <n v="31.6393095754699"/>
        <n v="31.6824772901007"/>
        <n v="32.0709537391472"/>
        <n v="32.5740205643283"/>
        <n v="32.9994293018313"/>
        <n v="33.0703387539862"/>
        <n v="33.4460384962272"/>
        <n v="33.9042822564526"/>
        <n v="33.9726863354875"/>
        <n v="35.4988649709262"/>
        <n v="36.8504238174541"/>
        <n v="37.1116517473748"/>
        <n v="37.5273606423865"/>
        <n v="39.1858281079524"/>
        <n v="40.7129783742515"/>
        <s v=" "/>
      </sharedItems>
    </cacheField>
    <cacheField name="Time Uninformed" numFmtId="0">
      <sharedItems containsMixedTypes="1" containsNumber="1" minValue="2.72357829385273" maxValue="41.957828347352" count="103">
        <n v="2.72357829385273"/>
        <n v="2.73210135255808"/>
        <n v="2.75625633401563"/>
        <n v="2.76876244715173"/>
        <n v="2.77088332561144"/>
        <n v="2.7721663245215"/>
        <n v="2.79025185155401"/>
        <n v="2.79825600912218"/>
        <n v="2.80737629563953"/>
        <n v="2.84280520228842"/>
        <n v="2.86506513213098"/>
        <n v="2.86867510451438"/>
        <n v="2.87550347849513"/>
        <n v="2.91668021693998"/>
        <n v="2.91931575321576"/>
        <n v="2.99588823681306"/>
        <n v="2.99635092599912"/>
        <n v="3.00000363741817"/>
        <n v="3.30237616038501"/>
        <n v="3.31669476150842"/>
        <n v="3.33300293827254"/>
        <n v="3.33307762511105"/>
        <n v="3.35602932241467"/>
        <n v="3.43631997054387"/>
        <n v="3.44789978356641"/>
        <n v="3.46515305766875"/>
        <n v="3.49535990585099"/>
        <n v="3.5364187604708"/>
        <n v="3.59208867022742"/>
        <n v="3.60300035850413"/>
        <n v="3.64731388880715"/>
        <n v="3.73023616269822"/>
        <n v="3.74395292983998"/>
        <n v="3.9329051186613"/>
        <n v="3.97508224504802"/>
        <n v="4.09597716051603"/>
        <n v="9.75690232860668"/>
        <n v="9.87884327408574"/>
        <n v="10.0358767969109"/>
        <n v="10.1009042837812"/>
        <n v="10.1191520070665"/>
        <n v="10.4031367310602"/>
        <n v="10.4905233979801"/>
        <n v="10.5575919331633"/>
        <n v="10.6638001637247"/>
        <n v="10.8188886659546"/>
        <n v="11.0764520082651"/>
        <n v="11.1667328516702"/>
        <n v="11.58826012401"/>
        <n v="11.9879609297696"/>
        <n v="12.4891106496573"/>
        <n v="13.6221103910084"/>
        <n v="15.1485050320441"/>
        <n v="15.7240400559482"/>
        <n v="16.0257081889933"/>
        <n v="17.2690202088566"/>
        <n v="17.9761645156795"/>
        <n v="18.3733325764386"/>
        <n v="18.5882954329707"/>
        <n v="18.625504958789"/>
        <n v="18.6367730622531"/>
        <n v="19.005240148859"/>
        <n v="19.1760413159909"/>
        <n v="19.2924550113373"/>
        <n v="19.3728053045678"/>
        <n v="19.5079122564615"/>
        <n v="19.7539931108385"/>
        <n v="20.1563432727919"/>
        <n v="20.2871983015783"/>
        <n v="20.38275575217"/>
        <n v="20.6461172548237"/>
        <n v="21.0668195521862"/>
        <n v="22.9503448995665"/>
        <n v="24.3197606353118"/>
        <n v="24.6291441993086"/>
        <n v="25.3641056772077"/>
        <n v="26.3549395870538"/>
        <n v="29.5859766626024"/>
        <n v="30.4464768575064"/>
        <n v="30.6005816988028"/>
        <n v="31.4161218092221"/>
        <n v="31.9200227521488"/>
        <n v="33.0721576956704"/>
        <n v="33.2429626517628"/>
        <n v="33.6796064234725"/>
        <n v="33.8178401036531"/>
        <n v="33.8905441403728"/>
        <n v="33.8928361102844"/>
        <n v="34.4936456434312"/>
        <n v="34.8810051397329"/>
        <n v="35.5638524969614"/>
        <n v="35.5705864876039"/>
        <n v="35.7960175668222"/>
        <n v="37.3502644742207"/>
        <n v="37.4650350104964"/>
        <n v="37.6337342193515"/>
        <n v="38.0198057786148"/>
        <n v="38.0376444313638"/>
        <n v="38.0736967137554"/>
        <n v="40.0749837249413"/>
        <n v="41.8324972759071"/>
        <n v="41.957828347352"/>
        <s v=" "/>
      </sharedItems>
    </cacheField>
    <cacheField name="Time Overall" numFmtId="0">
      <sharedItems containsMixedTypes="1" containsNumber="1" minValue="2.4169524290633" maxValue="41.0802925258847" count="111">
        <n v="2.4169524290633"/>
        <n v="2.42454307429236"/>
        <n v="2.42679755644688"/>
        <n v="2.45146484881509"/>
        <n v="2.47324356883186"/>
        <n v="2.47351249231984"/>
        <n v="2.52659329734535"/>
        <n v="2.5271069679513"/>
        <n v="2.53071660201718"/>
        <n v="2.59199696992654"/>
        <n v="2.59201022610147"/>
        <n v="2.59928904827959"/>
        <n v="2.6931846556663"/>
        <n v="2.70610419821481"/>
        <n v="2.71113467974317"/>
        <n v="2.78947214090986"/>
        <n v="2.82032473647341"/>
        <n v="2.82465243546079"/>
        <n v="2.89700036111537"/>
        <n v="2.89736680167573"/>
        <n v="2.91157418126176"/>
        <n v="2.97621044123114"/>
        <n v="2.99588823681306"/>
        <n v="2.99635092599912"/>
        <n v="2.9992760355239"/>
        <n v="3.00000363741817"/>
        <n v="3.00789670057238"/>
        <n v="3.03032337369629"/>
        <n v="3.04836448838922"/>
        <n v="3.12807804069987"/>
        <n v="3.1538841367731"/>
        <n v="3.18477000112361"/>
        <n v="3.20663975447446"/>
        <n v="3.315073988927"/>
        <n v="3.35704624140457"/>
        <n v="3.36186729584334"/>
        <n v="3.50454444107619"/>
        <n v="3.57712937588511"/>
        <n v="3.58808199120509"/>
        <n v="4.09597716051603"/>
        <n v="9.33318519939875"/>
        <n v="9.39995431099312"/>
        <n v="9.47290417295268"/>
        <n v="9.47908996039307"/>
        <n v="9.58935083786499"/>
        <n v="9.61092618187372"/>
        <n v="9.89345491951361"/>
        <n v="9.9773888898001"/>
        <n v="10.0555868036478"/>
        <n v="10.0984656911151"/>
        <n v="10.1171577957848"/>
        <n v="10.3949069319773"/>
        <n v="10.4553268108226"/>
        <n v="10.6497262120495"/>
        <n v="10.7935729357128"/>
        <n v="11.229059106464"/>
        <n v="11.4252342845493"/>
        <n v="12.0802976726373"/>
        <n v="13.6221103910084"/>
        <n v="15.3431150124257"/>
        <n v="16.5716755527638"/>
        <n v="17.422844441695"/>
        <n v="17.5064207338202"/>
        <n v="17.7358946525296"/>
        <n v="17.9662487072503"/>
        <n v="18.1424333931211"/>
        <n v="18.2285696636353"/>
        <n v="18.4158197780147"/>
        <n v="18.5055592724567"/>
        <n v="18.5331233823066"/>
        <n v="18.7304848052089"/>
        <n v="18.8645869850587"/>
        <n v="18.8649034514452"/>
        <n v="19.012047385492"/>
        <n v="19.2470286253023"/>
        <n v="19.6055052793929"/>
        <n v="19.7870386444027"/>
        <n v="19.8956620559564"/>
        <n v="20.1930283997182"/>
        <n v="20.5822272866504"/>
        <n v="22.4563969161793"/>
        <n v="23.2288327535796"/>
        <n v="24.040276774152"/>
        <n v="25.3641056772077"/>
        <n v="26.3549395870538"/>
        <n v="27.1929519989514"/>
        <n v="29.6671168052226"/>
        <n v="29.8156514650698"/>
        <n v="29.8324602968734"/>
        <n v="30.8400018327792"/>
        <n v="31.5309525625191"/>
        <n v="31.6393095754699"/>
        <n v="31.6824772901007"/>
        <n v="32.5679847566305"/>
        <n v="32.6889671130191"/>
        <n v="33.2081696539265"/>
        <n v="33.3615191111593"/>
        <n v="33.3778564556982"/>
        <n v="33.3874255813244"/>
        <n v="33.9972669747517"/>
        <n v="34.4035439052171"/>
        <n v="35.0160283605695"/>
        <n v="35.0456230242952"/>
        <n v="35.5491233799787"/>
        <n v="37.1089684707737"/>
        <n v="37.1895747102051"/>
        <n v="37.4650350104964"/>
        <n v="37.6138367351585"/>
        <n v="39.3360954072235"/>
        <n v="41.0802925258847"/>
        <s v=" "/>
      </sharedItems>
    </cacheField>
    <cacheField name="Informed %Savings" numFmtId="0">
      <sharedItems containsBlank="1" containsMixedTypes="1" containsNumber="1" minValue="-0.00166356796070389" maxValue="0.485023978002779" count="104">
        <n v="-0.00166356796070389"/>
        <n v="0.0238863406227809"/>
        <n v="0.0296690754057842"/>
        <n v="0.0321290812788185"/>
        <n v="0.0448576734817094"/>
        <n v="0.0660663420530577"/>
        <n v="0.0663059885778411"/>
        <n v="0.109509052631511"/>
        <n v="0.1179742696927"/>
        <n v="0.119193955308302"/>
        <n v="0.120299596189947"/>
        <n v="0.130181281131439"/>
        <n v="0.133211575932303"/>
        <n v="0.144448178772203"/>
        <n v="0.155497664245993"/>
        <n v="0.169453611551028"/>
        <n v="0.175902031936684"/>
        <n v="0.184279260307195"/>
        <n v="0.190082331348528"/>
        <n v="0.190313520179328"/>
        <n v="0.190709771980173"/>
        <n v="0.192166072990768"/>
        <n v="0.192856726535779"/>
        <n v="0.193515428767006"/>
        <n v="0.194350167140678"/>
        <n v="0.195623215316442"/>
        <n v="0.196216098534912"/>
        <n v="0.19716322263435"/>
        <n v="0.201197716817137"/>
        <n v="0.201806251709382"/>
        <n v="0.201830611772004"/>
        <n v="0.201940467890727"/>
        <n v="0.202069317729395"/>
        <n v="0.202110141418461"/>
        <n v="0.204322882620408"/>
        <n v="0.204861579964958"/>
        <n v="0.208411042669291"/>
        <n v="0.211622967253092"/>
        <n v="0.214040366046085"/>
        <n v="0.220692268242291"/>
        <n v="0.220797575074859"/>
        <n v="0.224544431074331"/>
        <n v="0.23247378631406"/>
        <n v="0.233889990767533"/>
        <n v="0.235638377810105"/>
        <n v="0.244839034758494"/>
        <n v="0.244897113649111"/>
        <n v="0.255982016166952"/>
        <n v="0.258904737387424"/>
        <n v="0.259688679636183"/>
        <n v="0.260244134032073"/>
        <n v="0.261384071955575"/>
        <n v="0.263418320199147"/>
        <n v="0.264920524440779"/>
        <n v="0.270032138710134"/>
        <n v="0.271209956794146"/>
        <n v="0.271453049281923"/>
        <n v="0.273493681914651"/>
        <n v="0.275262629958845"/>
        <n v="0.277623181486245"/>
        <n v="0.277979496582752"/>
        <n v="0.281282433767907"/>
        <n v="0.281867719431241"/>
        <n v="0.282320781428294"/>
        <n v="0.284513761937561"/>
        <n v="0.284768781900333"/>
        <n v="0.285568148461906"/>
        <n v="0.287322559647598"/>
        <n v="0.288283212224832"/>
        <n v="0.288357221805512"/>
        <n v="0.288698017384958"/>
        <n v="0.28899500186252"/>
        <n v="0.28929889050439"/>
        <n v="0.292631113863265"/>
        <n v="0.300104070745633"/>
        <n v="0.303931563297962"/>
        <n v="0.305955306976236"/>
        <n v="0.310151409328644"/>
        <n v="0.31309052787336"/>
        <n v="0.331630936987844"/>
        <n v="0.332334638759382"/>
        <n v="0.332762065952101"/>
        <n v="0.34604259228369"/>
        <n v="0.346902225758536"/>
        <n v="0.346946403810996"/>
        <n v="0.348371741308318"/>
        <n v="0.365891637874168"/>
        <n v="0.371420214258571"/>
        <n v="0.379064228492189"/>
        <n v="0.37984018350914"/>
        <n v="0.386170039670228"/>
        <n v="0.38695209092013"/>
        <n v="0.387643197306154"/>
        <n v="0.394248192728702"/>
        <n v="0.396367314747191"/>
        <n v="0.400530364273952"/>
        <n v="0.408507265413491"/>
        <n v="0.416935179643974"/>
        <n v="0.4314022633944"/>
        <n v="0.432214085276734"/>
        <n v="0.440519890215898"/>
        <n v="0.485023978002779"/>
        <s v=" "/>
        <m/>
      </sharedItems>
    </cacheField>
    <cacheField name="Uninformed %Savings" numFmtId="0">
      <sharedItems containsBlank="1" containsMixedTypes="1" containsNumber="1" minValue="-0.0152838352001255" maxValue="0.403374080824217" count="87">
        <n v="-0.0152838352001255"/>
        <n v="0.00298707241011999"/>
        <n v="0.0115555496938387"/>
        <n v="0.0176103294238998"/>
        <n v="0.0257096630821608"/>
        <n v="0.027774439816978"/>
        <n v="0.040183327548292"/>
        <n v="0.0436675517713068"/>
        <n v="0.0437761245572393"/>
        <n v="0.0448746919603049"/>
        <n v="0.0512442392439399"/>
        <n v="0.0563087670261399"/>
        <n v="0.0584902570187095"/>
        <n v="0.0615952242635533"/>
        <n v="0.0630682570322033"/>
        <n v="0.0654828056821997"/>
        <n v="0.065920686285428"/>
        <n v="0.0659678239202666"/>
        <n v="0.0699171771820482"/>
        <n v="0.0726158453452235"/>
        <n v="0.0752473945662766"/>
        <n v="0.0758125042417953"/>
        <n v="0.0759456788834906"/>
        <n v="0.0793109993419923"/>
        <n v="0.0799869300372658"/>
        <n v="0.0825569877226305"/>
        <n v="0.0859438949194969"/>
        <n v="0.0866576838624283"/>
        <n v="0.0893006533454217"/>
        <n v="0.091034941795222"/>
        <n v="0.0953475393579978"/>
        <n v="0.109869882213757"/>
        <n v="0.110353310330544"/>
        <n v="0.114156273717305"/>
        <n v="0.119963017060664"/>
        <n v="0.120356335666137"/>
        <n v="0.12331986672996"/>
        <n v="0.126878514012205"/>
        <n v="0.128281418079971"/>
        <n v="0.146635889588156"/>
        <n v="0.146679306731659"/>
        <n v="0.14930507892088"/>
        <n v="0.152230039335466"/>
        <n v="0.160321426338124"/>
        <n v="0.160436985448699"/>
        <n v="0.161050016667831"/>
        <n v="0.161454892530586"/>
        <n v="0.161507254532092"/>
        <n v="0.161885017791885"/>
        <n v="0.165628644378312"/>
        <n v="0.16942391660523"/>
        <n v="0.175554906359492"/>
        <n v="0.183222925316109"/>
        <n v="0.186274042150022"/>
        <n v="0.19400404082669"/>
        <n v="0.200327798836865"/>
        <n v="0.206716903976223"/>
        <n v="0.211503698430828"/>
        <n v="0.211776228696126"/>
        <n v="0.221183141158824"/>
        <n v="0.229890002586926"/>
        <n v="0.230231652227203"/>
        <n v="0.235196756713751"/>
        <n v="0.236305063426368"/>
        <n v="0.250703321034606"/>
        <n v="0.265674682331657"/>
        <n v="0.267141697423449"/>
        <n v="0.283745172477316"/>
        <n v="0.285811461720539"/>
        <n v="0.289918167048802"/>
        <n v="0.302165431607298"/>
        <n v="0.302850514388427"/>
        <n v="0.303060472909336"/>
        <n v="0.303198790344902"/>
        <n v="0.308832291363414"/>
        <n v="0.334581658547312"/>
        <n v="0.33750051403213"/>
        <n v="0.340636529294635"/>
        <n v="0.345203116817987"/>
        <n v="0.347866785983916"/>
        <n v="0.368567561088099"/>
        <n v="0.369706214249013"/>
        <n v="0.370080857063255"/>
        <n v="0.392409291716846"/>
        <n v="0.403374080824217"/>
        <s v=" "/>
        <m/>
      </sharedItems>
    </cacheField>
    <cacheField name="INFORMED STD DEV" numFmtId="0">
      <sharedItems containsSemiMixedTypes="0" containsString="0" containsNumber="1" minValue="0" maxValue="21.3661292639075" count="103">
        <n v="0"/>
        <n v="0.754127052796358"/>
        <n v="0.76337021506796"/>
        <n v="0.767925395517542"/>
        <n v="0.768362210667091"/>
        <n v="0.780394446913849"/>
        <n v="0.784111254515147"/>
        <n v="0.786553578623266"/>
        <n v="0.790678706909674"/>
        <n v="0.79714547685976"/>
        <n v="0.798790041754914"/>
        <n v="0.799199962991498"/>
        <n v="0.803892403558065"/>
        <n v="0.805487207300939"/>
        <n v="0.806743895547534"/>
        <n v="0.808267926905258"/>
        <n v="0.809716071961205"/>
        <n v="0.815756652852056"/>
        <n v="0.82390854958247"/>
        <n v="1.24313274331531"/>
        <n v="1.26824694701051"/>
        <n v="1.27281847296811"/>
        <n v="1.27466110075123"/>
        <n v="1.27604464899813"/>
        <n v="1.28303349751023"/>
        <n v="1.28420205904797"/>
        <n v="1.2940846104938"/>
        <n v="1.29715076882632"/>
        <n v="1.30448398338513"/>
        <n v="1.31312279450074"/>
        <n v="1.32147668928259"/>
        <n v="1.32313714699028"/>
        <n v="1.32606553450831"/>
        <n v="1.33524676232656"/>
        <n v="1.36488845531353"/>
        <n v="1.36679098600733"/>
        <n v="1.43236819344457"/>
        <n v="5.46219422879701"/>
        <n v="5.5278837762796"/>
        <n v="5.58716750005077"/>
        <n v="5.63944804934501"/>
        <n v="5.76501084148115"/>
        <n v="5.82667189236519"/>
        <n v="5.84495559776001"/>
        <n v="5.8693534376554"/>
        <n v="5.90582101281971"/>
        <n v="5.91922618690678"/>
        <n v="6.00037974994808"/>
        <n v="6.01591896246897"/>
        <n v="6.04449888655839"/>
        <n v="6.05569178102137"/>
        <n v="6.27376023174664"/>
        <n v="6.31312799319256"/>
        <n v="6.44253558909984"/>
        <n v="6.73220991834802"/>
        <n v="8.14376222148341"/>
        <n v="8.60724549327703"/>
        <n v="8.86990791471115"/>
        <n v="9.05431272185979"/>
        <n v="9.26071791715706"/>
        <n v="9.27779809823858"/>
        <n v="9.34966173977911"/>
        <n v="9.71956231221947"/>
        <n v="9.825734044306"/>
        <n v="9.82675504710411"/>
        <n v="9.88450998192565"/>
        <n v="9.90868070027445"/>
        <n v="9.99625213381963"/>
        <n v="10.0000252832503"/>
        <n v="10.0007206725747"/>
        <n v="10.1945466018767"/>
        <n v="10.2261276885052"/>
        <n v="10.4079493257494"/>
        <n v="10.4462044081009"/>
        <n v="10.7677791503404"/>
        <n v="11.2453812942807"/>
        <n v="11.7212943396345"/>
        <n v="11.8133376112714"/>
        <n v="13.1580990977818"/>
        <n v="14.5533275822398"/>
        <n v="15.5189015468342"/>
        <n v="16.1304485206406"/>
        <n v="16.2356934419345"/>
        <n v="16.2783913120397"/>
        <n v="16.2931054041734"/>
        <n v="16.3892829984699"/>
        <n v="16.4420920475255"/>
        <n v="16.4761592936365"/>
        <n v="16.5870821929673"/>
        <n v="16.6211896245193"/>
        <n v="16.6525513851408"/>
        <n v="16.8777929483141"/>
        <n v="17.1611577877529"/>
        <n v="17.3020789856854"/>
        <n v="17.7157725577849"/>
        <n v="17.9071079250875"/>
        <n v="18.0957058998062"/>
        <n v="18.1606999586144"/>
        <n v="19.0601007215185"/>
        <n v="19.1298957663275"/>
        <n v="19.5705908766343"/>
        <n v="20.9718418804741"/>
        <n v="21.3661292639075"/>
      </sharedItems>
    </cacheField>
    <cacheField name="UNINFORMED STD DEV" numFmtId="0">
      <sharedItems containsSemiMixedTypes="0" containsString="0" containsNumber="1" minValue="0" maxValue="21.231430693714" count="103">
        <n v="0"/>
        <n v="0.986597028448406"/>
        <n v="1.00798510509095"/>
        <n v="1.06528334736993"/>
        <n v="1.07408979208102"/>
        <n v="1.10258874536474"/>
        <n v="1.1033501046535"/>
        <n v="1.11690519521044"/>
        <n v="1.13745302025892"/>
        <n v="1.17300318719714"/>
        <n v="1.21213657814478"/>
        <n v="1.23107266567843"/>
        <n v="1.28211182459417"/>
        <n v="1.32458562643018"/>
        <n v="1.36924504594597"/>
        <n v="1.41885396170055"/>
        <n v="1.47933508012115"/>
        <n v="1.48537206786739"/>
        <n v="1.49456991775564"/>
        <n v="1.49686091486268"/>
        <n v="1.51985436867092"/>
        <n v="1.52987909115405"/>
        <n v="1.5521859514201"/>
        <n v="1.58652006404682"/>
        <n v="1.6335748255151"/>
        <n v="1.66765441888565"/>
        <n v="1.68803687818506"/>
        <n v="1.72262800675935"/>
        <n v="1.79827221494155"/>
        <n v="1.84262307011313"/>
        <n v="1.84733222095509"/>
        <n v="1.96957385958113"/>
        <n v="2.00095074961359"/>
        <n v="2.19257500357039"/>
        <n v="2.46616024372496"/>
        <n v="2.55924951639899"/>
        <n v="2.60008008726982"/>
        <n v="5.6079164974355"/>
        <n v="5.69354268017207"/>
        <n v="5.77058170303519"/>
        <n v="6.02712836727989"/>
        <n v="6.03629231822704"/>
        <n v="6.04682414761005"/>
        <n v="6.13407187706444"/>
        <n v="6.2112575563399"/>
        <n v="6.26378871601914"/>
        <n v="6.34544758188498"/>
        <n v="6.52167547044972"/>
        <n v="6.67450663656052"/>
        <n v="6.78443626687792"/>
        <n v="6.91506853426749"/>
        <n v="7.01164552560548"/>
        <n v="8.31697410889924"/>
        <n v="8.88509856106854"/>
        <n v="9.32908441470285"/>
        <n v="9.43818257657365"/>
        <n v="9.66549216645627"/>
        <n v="9.75978908693903"/>
        <n v="9.80464886939862"/>
        <n v="9.84800007360268"/>
        <n v="9.91911190454"/>
        <n v="9.93552405442692"/>
        <n v="9.96824961616845"/>
        <n v="9.98758210721816"/>
        <n v="10.0740811268197"/>
        <n v="10.1894807553771"/>
        <n v="10.2045446100475"/>
        <n v="10.3381886965503"/>
        <n v="10.3537584038318"/>
        <n v="10.548829964491"/>
        <n v="10.7497255851667"/>
        <n v="11.1347496627267"/>
        <n v="11.3893762578369"/>
        <n v="12.2650358349377"/>
        <n v="12.8419485765301"/>
        <n v="13.2214965945335"/>
        <n v="13.536657422744"/>
        <n v="13.7528343209842"/>
        <n v="15.0542307465541"/>
        <n v="16.1390985339157"/>
        <n v="16.3466381604107"/>
        <n v="16.4428939878386"/>
        <n v="16.5484215250669"/>
        <n v="16.8639822229205"/>
        <n v="16.9172866374432"/>
        <n v="16.9683977174038"/>
        <n v="17.0663996999544"/>
        <n v="17.1193622852097"/>
        <n v="17.5750577721932"/>
        <n v="17.8623230149933"/>
        <n v="18.1982907851569"/>
        <n v="18.2038365117442"/>
        <n v="18.2271417370074"/>
        <n v="18.4166513211587"/>
        <n v="18.7159663463725"/>
        <n v="19.1176445100272"/>
        <n v="19.467941100619"/>
        <n v="19.6491087926803"/>
        <n v="19.7808787923129"/>
        <n v="19.9089786424311"/>
        <n v="19.9785381522874"/>
        <n v="20.7562447079636"/>
        <n v="21.23143069371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x v="4"/>
    <x v="6"/>
    <x v="88"/>
    <x v="102"/>
    <x v="92"/>
    <x v="46"/>
    <x v="85"/>
    <x v="88"/>
    <x v="0"/>
  </r>
  <r>
    <x v="4"/>
    <x v="5"/>
    <x v="100"/>
    <x v="99"/>
    <x v="108"/>
    <x v="5"/>
    <x v="9"/>
    <x v="102"/>
    <x v="102"/>
  </r>
  <r>
    <x v="4"/>
    <x v="4"/>
    <x v="101"/>
    <x v="100"/>
    <x v="109"/>
    <x v="2"/>
    <x v="1"/>
    <x v="101"/>
    <x v="101"/>
  </r>
  <r>
    <x v="4"/>
    <x v="3"/>
    <x v="89"/>
    <x v="82"/>
    <x v="93"/>
    <x v="44"/>
    <x v="58"/>
    <x v="93"/>
    <x v="84"/>
  </r>
  <r>
    <x v="4"/>
    <x v="2"/>
    <x v="95"/>
    <x v="91"/>
    <x v="102"/>
    <x v="19"/>
    <x v="42"/>
    <x v="96"/>
    <x v="92"/>
  </r>
  <r>
    <x v="4"/>
    <x v="1"/>
    <x v="83"/>
    <x v="85"/>
    <x v="95"/>
    <x v="60"/>
    <x v="54"/>
    <x v="85"/>
    <x v="88"/>
  </r>
  <r>
    <x v="4"/>
    <x v="0"/>
    <x v="102"/>
    <x v="101"/>
    <x v="110"/>
    <x v="103"/>
    <x v="86"/>
    <x v="0"/>
    <x v="100"/>
  </r>
  <r>
    <x v="3"/>
    <x v="6"/>
    <x v="60"/>
    <x v="102"/>
    <x v="63"/>
    <x v="95"/>
    <x v="85"/>
    <x v="62"/>
    <x v="0"/>
  </r>
  <r>
    <x v="3"/>
    <x v="5"/>
    <x v="68"/>
    <x v="60"/>
    <x v="67"/>
    <x v="88"/>
    <x v="82"/>
    <x v="73"/>
    <x v="66"/>
  </r>
  <r>
    <x v="3"/>
    <x v="4"/>
    <x v="70"/>
    <x v="65"/>
    <x v="73"/>
    <x v="86"/>
    <x v="77"/>
    <x v="69"/>
    <x v="62"/>
  </r>
  <r>
    <x v="3"/>
    <x v="3"/>
    <x v="66"/>
    <x v="64"/>
    <x v="71"/>
    <x v="89"/>
    <x v="78"/>
    <x v="68"/>
    <x v="60"/>
  </r>
  <r>
    <x v="3"/>
    <x v="2"/>
    <x v="71"/>
    <x v="70"/>
    <x v="78"/>
    <x v="85"/>
    <x v="70"/>
    <x v="74"/>
    <x v="71"/>
  </r>
  <r>
    <x v="3"/>
    <x v="1"/>
    <x v="55"/>
    <x v="56"/>
    <x v="62"/>
    <x v="101"/>
    <x v="83"/>
    <x v="56"/>
    <x v="56"/>
  </r>
  <r>
    <x v="3"/>
    <x v="0"/>
    <x v="102"/>
    <x v="77"/>
    <x v="110"/>
    <x v="103"/>
    <x v="86"/>
    <x v="0"/>
    <x v="79"/>
  </r>
  <r>
    <x v="2"/>
    <x v="6"/>
    <x v="50"/>
    <x v="102"/>
    <x v="46"/>
    <x v="83"/>
    <x v="85"/>
    <x v="38"/>
    <x v="0"/>
  </r>
  <r>
    <x v="2"/>
    <x v="5"/>
    <x v="41"/>
    <x v="37"/>
    <x v="41"/>
    <x v="90"/>
    <x v="79"/>
    <x v="43"/>
    <x v="39"/>
  </r>
  <r>
    <x v="2"/>
    <x v="4"/>
    <x v="49"/>
    <x v="43"/>
    <x v="50"/>
    <x v="84"/>
    <x v="72"/>
    <x v="49"/>
    <x v="42"/>
  </r>
  <r>
    <x v="2"/>
    <x v="3"/>
    <x v="40"/>
    <x v="38"/>
    <x v="44"/>
    <x v="94"/>
    <x v="76"/>
    <x v="39"/>
    <x v="38"/>
  </r>
  <r>
    <x v="2"/>
    <x v="2"/>
    <x v="45"/>
    <x v="45"/>
    <x v="51"/>
    <x v="87"/>
    <x v="68"/>
    <x v="42"/>
    <x v="41"/>
  </r>
  <r>
    <x v="2"/>
    <x v="1"/>
    <x v="51"/>
    <x v="50"/>
    <x v="57"/>
    <x v="80"/>
    <x v="51"/>
    <x v="52"/>
    <x v="51"/>
  </r>
  <r>
    <x v="2"/>
    <x v="0"/>
    <x v="102"/>
    <x v="52"/>
    <x v="110"/>
    <x v="103"/>
    <x v="86"/>
    <x v="0"/>
    <x v="58"/>
  </r>
  <r>
    <x v="1"/>
    <x v="6"/>
    <x v="31"/>
    <x v="102"/>
    <x v="20"/>
    <x v="49"/>
    <x v="85"/>
    <x v="22"/>
    <x v="0"/>
  </r>
  <r>
    <x v="1"/>
    <x v="5"/>
    <x v="30"/>
    <x v="18"/>
    <x v="21"/>
    <x v="50"/>
    <x v="43"/>
    <x v="27"/>
    <x v="16"/>
  </r>
  <r>
    <x v="1"/>
    <x v="4"/>
    <x v="25"/>
    <x v="22"/>
    <x v="28"/>
    <x v="53"/>
    <x v="40"/>
    <x v="30"/>
    <x v="23"/>
  </r>
  <r>
    <x v="1"/>
    <x v="3"/>
    <x v="22"/>
    <x v="24"/>
    <x v="30"/>
    <x v="56"/>
    <x v="36"/>
    <x v="20"/>
    <x v="25"/>
  </r>
  <r>
    <x v="1"/>
    <x v="2"/>
    <x v="26"/>
    <x v="28"/>
    <x v="35"/>
    <x v="52"/>
    <x v="27"/>
    <x v="32"/>
    <x v="30"/>
  </r>
  <r>
    <x v="1"/>
    <x v="1"/>
    <x v="18"/>
    <x v="30"/>
    <x v="36"/>
    <x v="66"/>
    <x v="19"/>
    <x v="19"/>
    <x v="31"/>
  </r>
  <r>
    <x v="1"/>
    <x v="0"/>
    <x v="102"/>
    <x v="33"/>
    <x v="110"/>
    <x v="102"/>
    <x v="85"/>
    <x v="0"/>
    <x v="35"/>
  </r>
  <r>
    <x v="0"/>
    <x v="6"/>
    <x v="16"/>
    <x v="102"/>
    <x v="1"/>
    <x v="20"/>
    <x v="85"/>
    <x v="18"/>
    <x v="0"/>
  </r>
  <r>
    <x v="0"/>
    <x v="5"/>
    <x v="13"/>
    <x v="2"/>
    <x v="4"/>
    <x v="23"/>
    <x v="24"/>
    <x v="17"/>
    <x v="4"/>
  </r>
  <r>
    <x v="0"/>
    <x v="4"/>
    <x v="11"/>
    <x v="3"/>
    <x v="7"/>
    <x v="26"/>
    <x v="21"/>
    <x v="10"/>
    <x v="3"/>
  </r>
  <r>
    <x v="0"/>
    <x v="3"/>
    <x v="5"/>
    <x v="7"/>
    <x v="10"/>
    <x v="31"/>
    <x v="17"/>
    <x v="7"/>
    <x v="7"/>
  </r>
  <r>
    <x v="0"/>
    <x v="2"/>
    <x v="3"/>
    <x v="10"/>
    <x v="13"/>
    <x v="35"/>
    <x v="7"/>
    <x v="14"/>
    <x v="11"/>
  </r>
  <r>
    <x v="0"/>
    <x v="1"/>
    <x v="2"/>
    <x v="12"/>
    <x v="15"/>
    <x v="36"/>
    <x v="6"/>
    <x v="1"/>
    <x v="14"/>
  </r>
  <r>
    <x v="0"/>
    <x v="0"/>
    <x v="102"/>
    <x v="15"/>
    <x v="22"/>
    <x v="102"/>
    <x v="86"/>
    <x v="0"/>
    <x v="21"/>
  </r>
  <r>
    <x v="4"/>
    <x v="6"/>
    <x v="87"/>
    <x v="102"/>
    <x v="91"/>
    <x v="14"/>
    <x v="85"/>
    <x v="89"/>
    <x v="0"/>
  </r>
  <r>
    <x v="4"/>
    <x v="5"/>
    <x v="99"/>
    <x v="97"/>
    <x v="107"/>
    <x v="0"/>
    <x v="0"/>
    <x v="99"/>
    <x v="98"/>
  </r>
  <r>
    <x v="4"/>
    <x v="4"/>
    <x v="84"/>
    <x v="80"/>
    <x v="89"/>
    <x v="17"/>
    <x v="46"/>
    <x v="83"/>
    <x v="81"/>
  </r>
  <r>
    <x v="4"/>
    <x v="3"/>
    <x v="79"/>
    <x v="79"/>
    <x v="88"/>
    <x v="41"/>
    <x v="52"/>
    <x v="91"/>
    <x v="85"/>
  </r>
  <r>
    <x v="4"/>
    <x v="2"/>
    <x v="91"/>
    <x v="88"/>
    <x v="99"/>
    <x v="9"/>
    <x v="23"/>
    <x v="81"/>
    <x v="82"/>
  </r>
  <r>
    <x v="4"/>
    <x v="1"/>
    <x v="86"/>
    <x v="87"/>
    <x v="98"/>
    <x v="16"/>
    <x v="30"/>
    <x v="90"/>
    <x v="93"/>
  </r>
  <r>
    <x v="4"/>
    <x v="0"/>
    <x v="102"/>
    <x v="94"/>
    <x v="106"/>
    <x v="102"/>
    <x v="86"/>
    <x v="0"/>
    <x v="90"/>
  </r>
  <r>
    <x v="3"/>
    <x v="6"/>
    <x v="77"/>
    <x v="102"/>
    <x v="81"/>
    <x v="4"/>
    <x v="86"/>
    <x v="76"/>
    <x v="0"/>
  </r>
  <r>
    <x v="3"/>
    <x v="5"/>
    <x v="67"/>
    <x v="62"/>
    <x v="68"/>
    <x v="45"/>
    <x v="57"/>
    <x v="59"/>
    <x v="55"/>
  </r>
  <r>
    <x v="3"/>
    <x v="4"/>
    <x v="57"/>
    <x v="55"/>
    <x v="60"/>
    <x v="81"/>
    <x v="69"/>
    <x v="57"/>
    <x v="53"/>
  </r>
  <r>
    <x v="3"/>
    <x v="3"/>
    <x v="72"/>
    <x v="69"/>
    <x v="77"/>
    <x v="30"/>
    <x v="48"/>
    <x v="75"/>
    <x v="72"/>
  </r>
  <r>
    <x v="3"/>
    <x v="2"/>
    <x v="75"/>
    <x v="72"/>
    <x v="80"/>
    <x v="8"/>
    <x v="11"/>
    <x v="77"/>
    <x v="73"/>
  </r>
  <r>
    <x v="3"/>
    <x v="1"/>
    <x v="58"/>
    <x v="63"/>
    <x v="72"/>
    <x v="77"/>
    <x v="56"/>
    <x v="58"/>
    <x v="59"/>
  </r>
  <r>
    <x v="3"/>
    <x v="0"/>
    <x v="102"/>
    <x v="73"/>
    <x v="110"/>
    <x v="103"/>
    <x v="86"/>
    <x v="0"/>
    <x v="76"/>
  </r>
  <r>
    <x v="2"/>
    <x v="6"/>
    <x v="43"/>
    <x v="102"/>
    <x v="43"/>
    <x v="96"/>
    <x v="86"/>
    <x v="45"/>
    <x v="0"/>
  </r>
  <r>
    <x v="2"/>
    <x v="5"/>
    <x v="42"/>
    <x v="40"/>
    <x v="42"/>
    <x v="97"/>
    <x v="80"/>
    <x v="37"/>
    <x v="37"/>
  </r>
  <r>
    <x v="2"/>
    <x v="4"/>
    <x v="47"/>
    <x v="44"/>
    <x v="49"/>
    <x v="91"/>
    <x v="75"/>
    <x v="51"/>
    <x v="46"/>
  </r>
  <r>
    <x v="2"/>
    <x v="3"/>
    <x v="39"/>
    <x v="39"/>
    <x v="45"/>
    <x v="98"/>
    <x v="81"/>
    <x v="41"/>
    <x v="40"/>
  </r>
  <r>
    <x v="2"/>
    <x v="2"/>
    <x v="46"/>
    <x v="46"/>
    <x v="53"/>
    <x v="92"/>
    <x v="74"/>
    <x v="46"/>
    <x v="47"/>
  </r>
  <r>
    <x v="2"/>
    <x v="1"/>
    <x v="37"/>
    <x v="47"/>
    <x v="54"/>
    <x v="100"/>
    <x v="73"/>
    <x v="40"/>
    <x v="49"/>
  </r>
  <r>
    <x v="2"/>
    <x v="0"/>
    <x v="102"/>
    <x v="54"/>
    <x v="110"/>
    <x v="103"/>
    <x v="86"/>
    <x v="0"/>
    <x v="57"/>
  </r>
  <r>
    <x v="1"/>
    <x v="6"/>
    <x v="27"/>
    <x v="102"/>
    <x v="18"/>
    <x v="55"/>
    <x v="86"/>
    <x v="21"/>
    <x v="0"/>
  </r>
  <r>
    <x v="1"/>
    <x v="5"/>
    <x v="34"/>
    <x v="19"/>
    <x v="26"/>
    <x v="48"/>
    <x v="49"/>
    <x v="34"/>
    <x v="19"/>
  </r>
  <r>
    <x v="1"/>
    <x v="4"/>
    <x v="24"/>
    <x v="21"/>
    <x v="27"/>
    <x v="58"/>
    <x v="47"/>
    <x v="29"/>
    <x v="22"/>
  </r>
  <r>
    <x v="1"/>
    <x v="3"/>
    <x v="29"/>
    <x v="25"/>
    <x v="31"/>
    <x v="54"/>
    <x v="38"/>
    <x v="31"/>
    <x v="26"/>
  </r>
  <r>
    <x v="1"/>
    <x v="2"/>
    <x v="21"/>
    <x v="27"/>
    <x v="33"/>
    <x v="63"/>
    <x v="32"/>
    <x v="25"/>
    <x v="28"/>
  </r>
  <r>
    <x v="1"/>
    <x v="1"/>
    <x v="19"/>
    <x v="31"/>
    <x v="37"/>
    <x v="70"/>
    <x v="13"/>
    <x v="28"/>
    <x v="33"/>
  </r>
  <r>
    <x v="1"/>
    <x v="0"/>
    <x v="102"/>
    <x v="34"/>
    <x v="110"/>
    <x v="102"/>
    <x v="85"/>
    <x v="0"/>
    <x v="34"/>
  </r>
  <r>
    <x v="0"/>
    <x v="6"/>
    <x v="14"/>
    <x v="102"/>
    <x v="0"/>
    <x v="24"/>
    <x v="85"/>
    <x v="12"/>
    <x v="0"/>
  </r>
  <r>
    <x v="0"/>
    <x v="5"/>
    <x v="7"/>
    <x v="1"/>
    <x v="3"/>
    <x v="33"/>
    <x v="28"/>
    <x v="3"/>
    <x v="1"/>
  </r>
  <r>
    <x v="0"/>
    <x v="4"/>
    <x v="12"/>
    <x v="5"/>
    <x v="8"/>
    <x v="25"/>
    <x v="22"/>
    <x v="11"/>
    <x v="5"/>
  </r>
  <r>
    <x v="0"/>
    <x v="3"/>
    <x v="8"/>
    <x v="6"/>
    <x v="9"/>
    <x v="32"/>
    <x v="18"/>
    <x v="6"/>
    <x v="8"/>
  </r>
  <r>
    <x v="0"/>
    <x v="2"/>
    <x v="9"/>
    <x v="11"/>
    <x v="14"/>
    <x v="29"/>
    <x v="8"/>
    <x v="5"/>
    <x v="12"/>
  </r>
  <r>
    <x v="0"/>
    <x v="1"/>
    <x v="0"/>
    <x v="13"/>
    <x v="16"/>
    <x v="38"/>
    <x v="5"/>
    <x v="2"/>
    <x v="15"/>
  </r>
  <r>
    <x v="0"/>
    <x v="0"/>
    <x v="102"/>
    <x v="17"/>
    <x v="25"/>
    <x v="102"/>
    <x v="86"/>
    <x v="0"/>
    <x v="17"/>
  </r>
  <r>
    <x v="2"/>
    <x v="6"/>
    <x v="52"/>
    <x v="102"/>
    <x v="52"/>
    <x v="42"/>
    <x v="85"/>
    <x v="53"/>
    <x v="0"/>
  </r>
  <r>
    <x v="2"/>
    <x v="5"/>
    <x v="53"/>
    <x v="49"/>
    <x v="56"/>
    <x v="15"/>
    <x v="34"/>
    <x v="54"/>
    <x v="48"/>
  </r>
  <r>
    <x v="2"/>
    <x v="4"/>
    <x v="48"/>
    <x v="42"/>
    <x v="48"/>
    <x v="59"/>
    <x v="60"/>
    <x v="50"/>
    <x v="45"/>
  </r>
  <r>
    <x v="2"/>
    <x v="3"/>
    <x v="36"/>
    <x v="36"/>
    <x v="40"/>
    <x v="82"/>
    <x v="67"/>
    <x v="47"/>
    <x v="43"/>
  </r>
  <r>
    <x v="2"/>
    <x v="2"/>
    <x v="38"/>
    <x v="41"/>
    <x v="47"/>
    <x v="79"/>
    <x v="63"/>
    <x v="44"/>
    <x v="44"/>
  </r>
  <r>
    <x v="2"/>
    <x v="1"/>
    <x v="44"/>
    <x v="48"/>
    <x v="55"/>
    <x v="75"/>
    <x v="41"/>
    <x v="48"/>
    <x v="50"/>
  </r>
  <r>
    <x v="2"/>
    <x v="0"/>
    <x v="102"/>
    <x v="51"/>
    <x v="58"/>
    <x v="102"/>
    <x v="86"/>
    <x v="0"/>
    <x v="54"/>
  </r>
  <r>
    <x v="1"/>
    <x v="6"/>
    <x v="28"/>
    <x v="102"/>
    <x v="19"/>
    <x v="73"/>
    <x v="85"/>
    <x v="26"/>
    <x v="0"/>
  </r>
  <r>
    <x v="1"/>
    <x v="5"/>
    <x v="33"/>
    <x v="20"/>
    <x v="24"/>
    <x v="64"/>
    <x v="53"/>
    <x v="33"/>
    <x v="20"/>
  </r>
  <r>
    <x v="1"/>
    <x v="4"/>
    <x v="35"/>
    <x v="23"/>
    <x v="29"/>
    <x v="57"/>
    <x v="45"/>
    <x v="36"/>
    <x v="24"/>
  </r>
  <r>
    <x v="1"/>
    <x v="3"/>
    <x v="32"/>
    <x v="26"/>
    <x v="32"/>
    <x v="67"/>
    <x v="39"/>
    <x v="35"/>
    <x v="27"/>
  </r>
  <r>
    <x v="1"/>
    <x v="2"/>
    <x v="23"/>
    <x v="29"/>
    <x v="34"/>
    <x v="74"/>
    <x v="35"/>
    <x v="23"/>
    <x v="29"/>
  </r>
  <r>
    <x v="1"/>
    <x v="1"/>
    <x v="20"/>
    <x v="32"/>
    <x v="38"/>
    <x v="76"/>
    <x v="26"/>
    <x v="24"/>
    <x v="32"/>
  </r>
  <r>
    <x v="1"/>
    <x v="0"/>
    <x v="102"/>
    <x v="35"/>
    <x v="39"/>
    <x v="102"/>
    <x v="85"/>
    <x v="0"/>
    <x v="36"/>
  </r>
  <r>
    <x v="4"/>
    <x v="6"/>
    <x v="82"/>
    <x v="102"/>
    <x v="86"/>
    <x v="40"/>
    <x v="86"/>
    <x v="86"/>
    <x v="0"/>
  </r>
  <r>
    <x v="4"/>
    <x v="5"/>
    <x v="90"/>
    <x v="83"/>
    <x v="94"/>
    <x v="13"/>
    <x v="37"/>
    <x v="87"/>
    <x v="80"/>
  </r>
  <r>
    <x v="4"/>
    <x v="4"/>
    <x v="97"/>
    <x v="95"/>
    <x v="104"/>
    <x v="3"/>
    <x v="2"/>
    <x v="95"/>
    <x v="91"/>
  </r>
  <r>
    <x v="4"/>
    <x v="3"/>
    <x v="80"/>
    <x v="78"/>
    <x v="87"/>
    <x v="43"/>
    <x v="55"/>
    <x v="79"/>
    <x v="78"/>
  </r>
  <r>
    <x v="4"/>
    <x v="2"/>
    <x v="94"/>
    <x v="90"/>
    <x v="101"/>
    <x v="7"/>
    <x v="16"/>
    <x v="94"/>
    <x v="89"/>
  </r>
  <r>
    <x v="4"/>
    <x v="1"/>
    <x v="85"/>
    <x v="86"/>
    <x v="96"/>
    <x v="22"/>
    <x v="31"/>
    <x v="97"/>
    <x v="94"/>
  </r>
  <r>
    <x v="4"/>
    <x v="0"/>
    <x v="102"/>
    <x v="98"/>
    <x v="110"/>
    <x v="103"/>
    <x v="86"/>
    <x v="0"/>
    <x v="99"/>
  </r>
  <r>
    <x v="4"/>
    <x v="6"/>
    <x v="78"/>
    <x v="102"/>
    <x v="85"/>
    <x v="65"/>
    <x v="86"/>
    <x v="80"/>
    <x v="0"/>
  </r>
  <r>
    <x v="4"/>
    <x v="5"/>
    <x v="96"/>
    <x v="92"/>
    <x v="103"/>
    <x v="6"/>
    <x v="12"/>
    <x v="100"/>
    <x v="97"/>
  </r>
  <r>
    <x v="4"/>
    <x v="4"/>
    <x v="98"/>
    <x v="93"/>
    <x v="105"/>
    <x v="1"/>
    <x v="3"/>
    <x v="98"/>
    <x v="95"/>
  </r>
  <r>
    <x v="4"/>
    <x v="3"/>
    <x v="92"/>
    <x v="84"/>
    <x v="97"/>
    <x v="11"/>
    <x v="33"/>
    <x v="92"/>
    <x v="86"/>
  </r>
  <r>
    <x v="4"/>
    <x v="2"/>
    <x v="93"/>
    <x v="89"/>
    <x v="100"/>
    <x v="10"/>
    <x v="25"/>
    <x v="84"/>
    <x v="83"/>
  </r>
  <r>
    <x v="4"/>
    <x v="1"/>
    <x v="81"/>
    <x v="81"/>
    <x v="90"/>
    <x v="39"/>
    <x v="44"/>
    <x v="82"/>
    <x v="87"/>
  </r>
  <r>
    <x v="4"/>
    <x v="0"/>
    <x v="102"/>
    <x v="96"/>
    <x v="110"/>
    <x v="102"/>
    <x v="85"/>
    <x v="0"/>
    <x v="96"/>
  </r>
  <r>
    <x v="3"/>
    <x v="6"/>
    <x v="59"/>
    <x v="102"/>
    <x v="61"/>
    <x v="78"/>
    <x v="85"/>
    <x v="70"/>
    <x v="0"/>
  </r>
  <r>
    <x v="3"/>
    <x v="5"/>
    <x v="63"/>
    <x v="58"/>
    <x v="65"/>
    <x v="68"/>
    <x v="66"/>
    <x v="71"/>
    <x v="64"/>
  </r>
  <r>
    <x v="3"/>
    <x v="4"/>
    <x v="61"/>
    <x v="59"/>
    <x v="66"/>
    <x v="71"/>
    <x v="65"/>
    <x v="72"/>
    <x v="68"/>
  </r>
  <r>
    <x v="3"/>
    <x v="3"/>
    <x v="62"/>
    <x v="61"/>
    <x v="69"/>
    <x v="69"/>
    <x v="64"/>
    <x v="64"/>
    <x v="61"/>
  </r>
  <r>
    <x v="3"/>
    <x v="2"/>
    <x v="64"/>
    <x v="66"/>
    <x v="74"/>
    <x v="62"/>
    <x v="59"/>
    <x v="67"/>
    <x v="67"/>
  </r>
  <r>
    <x v="3"/>
    <x v="1"/>
    <x v="65"/>
    <x v="71"/>
    <x v="79"/>
    <x v="61"/>
    <x v="50"/>
    <x v="66"/>
    <x v="70"/>
  </r>
  <r>
    <x v="3"/>
    <x v="0"/>
    <x v="102"/>
    <x v="75"/>
    <x v="83"/>
    <x v="102"/>
    <x v="86"/>
    <x v="0"/>
    <x v="74"/>
  </r>
  <r>
    <x v="0"/>
    <x v="6"/>
    <x v="17"/>
    <x v="102"/>
    <x v="2"/>
    <x v="18"/>
    <x v="85"/>
    <x v="15"/>
    <x v="0"/>
  </r>
  <r>
    <x v="0"/>
    <x v="5"/>
    <x v="15"/>
    <x v="0"/>
    <x v="5"/>
    <x v="21"/>
    <x v="29"/>
    <x v="16"/>
    <x v="2"/>
  </r>
  <r>
    <x v="0"/>
    <x v="4"/>
    <x v="10"/>
    <x v="4"/>
    <x v="6"/>
    <x v="27"/>
    <x v="20"/>
    <x v="8"/>
    <x v="6"/>
  </r>
  <r>
    <x v="0"/>
    <x v="3"/>
    <x v="6"/>
    <x v="8"/>
    <x v="11"/>
    <x v="28"/>
    <x v="14"/>
    <x v="13"/>
    <x v="9"/>
  </r>
  <r>
    <x v="0"/>
    <x v="2"/>
    <x v="4"/>
    <x v="9"/>
    <x v="12"/>
    <x v="34"/>
    <x v="10"/>
    <x v="9"/>
    <x v="10"/>
  </r>
  <r>
    <x v="0"/>
    <x v="1"/>
    <x v="1"/>
    <x v="14"/>
    <x v="17"/>
    <x v="37"/>
    <x v="4"/>
    <x v="4"/>
    <x v="13"/>
  </r>
  <r>
    <x v="0"/>
    <x v="0"/>
    <x v="102"/>
    <x v="16"/>
    <x v="23"/>
    <x v="102"/>
    <x v="86"/>
    <x v="0"/>
    <x v="18"/>
  </r>
  <r>
    <x v="3"/>
    <x v="6"/>
    <x v="69"/>
    <x v="102"/>
    <x v="70"/>
    <x v="72"/>
    <x v="85"/>
    <x v="60"/>
    <x v="0"/>
  </r>
  <r>
    <x v="3"/>
    <x v="5"/>
    <x v="73"/>
    <x v="68"/>
    <x v="75"/>
    <x v="51"/>
    <x v="61"/>
    <x v="63"/>
    <x v="65"/>
  </r>
  <r>
    <x v="3"/>
    <x v="4"/>
    <x v="74"/>
    <x v="67"/>
    <x v="76"/>
    <x v="47"/>
    <x v="62"/>
    <x v="65"/>
    <x v="63"/>
  </r>
  <r>
    <x v="3"/>
    <x v="3"/>
    <x v="54"/>
    <x v="53"/>
    <x v="59"/>
    <x v="99"/>
    <x v="84"/>
    <x v="55"/>
    <x v="52"/>
  </r>
  <r>
    <x v="3"/>
    <x v="2"/>
    <x v="76"/>
    <x v="74"/>
    <x v="82"/>
    <x v="12"/>
    <x v="15"/>
    <x v="78"/>
    <x v="75"/>
  </r>
  <r>
    <x v="3"/>
    <x v="1"/>
    <x v="56"/>
    <x v="57"/>
    <x v="64"/>
    <x v="93"/>
    <x v="71"/>
    <x v="61"/>
    <x v="69"/>
  </r>
  <r>
    <x v="3"/>
    <x v="0"/>
    <x v="102"/>
    <x v="76"/>
    <x v="84"/>
    <x v="102"/>
    <x v="85"/>
    <x v="0"/>
    <x v="7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 Informed" fld="2" subtotal="average" numFmtId="16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showAll="0"/>
    <pivotField compact="0" outline="0" showAll="0"/>
    <pivotField compact="0" outline="0" showAll="0"/>
    <pivotField compact="0" outline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 Uninformed" fld="3" subtotal="average" numFmtId="168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showAll="0"/>
    <pivotField compact="0" outline="0" showAll="0"/>
    <pivotField compact="0" outline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 Overall" fld="4" subtotal="average" numFmtId="168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INFORMED STD DEV" fld="7" subtotal="average" numFmtId="168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7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UNINFORMED STD DEV" fld="8" subtotal="average" numFmtId="168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Informed %Savings" fld="5" subtotal="average" numFmtId="17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8" firstHeaderRow="1" firstDataRow="2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Uninformed %Savings" fld="6" subtotal="average" numFmtId="17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ivotTable" Target="../pivotTables/pivot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" customHeight="false" zeroHeight="false" outlineLevelRow="0" outlineLevelCol="0"/>
  <cols>
    <col collapsed="false" customWidth="true" hidden="false" outlineLevel="0" max="2" min="2" style="0" width="10.99"/>
  </cols>
  <sheetData>
    <row r="1" customFormat="false" ht="12" hidden="false" customHeight="false" outlineLevel="0" collapsed="false">
      <c r="A1" s="0" t="s">
        <v>0</v>
      </c>
      <c r="F1" s="0" t="s">
        <v>1</v>
      </c>
      <c r="H1" s="0" t="n">
        <v>0</v>
      </c>
      <c r="J1" s="1" t="s">
        <v>0</v>
      </c>
      <c r="K1" s="1"/>
      <c r="L1" s="1"/>
      <c r="M1" s="1"/>
      <c r="P1" s="1" t="s">
        <v>0</v>
      </c>
      <c r="Q1" s="1"/>
      <c r="R1" s="1"/>
      <c r="S1" s="1"/>
      <c r="T1" s="2"/>
      <c r="U1" s="3" t="s">
        <v>1</v>
      </c>
      <c r="W1" s="0" t="n">
        <v>0</v>
      </c>
    </row>
    <row r="2" customFormat="false" ht="12" hidden="false" customHeight="false" outlineLevel="0" collapsed="false">
      <c r="A2" s="0" t="s">
        <v>2</v>
      </c>
      <c r="D2" s="0" t="n">
        <v>0.667</v>
      </c>
      <c r="F2" s="0" t="s">
        <v>3</v>
      </c>
      <c r="H2" s="0" t="n">
        <v>32</v>
      </c>
      <c r="J2" s="4" t="s">
        <v>2</v>
      </c>
      <c r="K2" s="4"/>
      <c r="L2" s="4"/>
      <c r="M2" s="5" t="n">
        <v>0.667</v>
      </c>
      <c r="P2" s="4" t="s">
        <v>2</v>
      </c>
      <c r="Q2" s="4"/>
      <c r="R2" s="4"/>
      <c r="S2" s="5" t="n">
        <v>0.667</v>
      </c>
      <c r="T2" s="3"/>
      <c r="U2" s="0" t="s">
        <v>3</v>
      </c>
      <c r="W2" s="0" t="e">
        <f aca="false">IF(RESET=1,0,W2+1)</f>
        <v>#N/A</v>
      </c>
    </row>
    <row r="3" customFormat="false" ht="12" hidden="false" customHeight="false" outlineLevel="0" collapsed="false">
      <c r="A3" s="0" t="s">
        <v>4</v>
      </c>
      <c r="D3" s="0" t="n">
        <v>2</v>
      </c>
      <c r="J3" s="4" t="s">
        <v>4</v>
      </c>
      <c r="K3" s="4"/>
      <c r="L3" s="4"/>
      <c r="M3" s="5" t="n">
        <v>2</v>
      </c>
      <c r="P3" s="4" t="s">
        <v>4</v>
      </c>
      <c r="Q3" s="4"/>
      <c r="R3" s="4"/>
      <c r="S3" s="5" t="n">
        <v>2</v>
      </c>
      <c r="T3" s="3"/>
      <c r="U3" s="3"/>
      <c r="V3" s="4"/>
    </row>
    <row r="4" customFormat="false" ht="12" hidden="false" customHeight="false" outlineLevel="0" collapsed="false">
      <c r="A4" s="0" t="s">
        <v>5</v>
      </c>
      <c r="D4" s="0" t="n">
        <v>2</v>
      </c>
      <c r="J4" s="4" t="s">
        <v>5</v>
      </c>
      <c r="K4" s="4"/>
      <c r="L4" s="4"/>
      <c r="M4" s="5" t="n">
        <v>2</v>
      </c>
      <c r="P4" s="4" t="s">
        <v>5</v>
      </c>
      <c r="Q4" s="4"/>
      <c r="R4" s="4"/>
      <c r="S4" s="5" t="n">
        <v>2</v>
      </c>
      <c r="T4" s="3"/>
      <c r="U4" s="3"/>
      <c r="V4" s="4"/>
    </row>
    <row r="5" customFormat="false" ht="12" hidden="false" customHeight="false" outlineLevel="0" collapsed="false">
      <c r="A5" s="0" t="s">
        <v>6</v>
      </c>
      <c r="D5" s="0" t="n">
        <v>0.5</v>
      </c>
      <c r="J5" s="4" t="s">
        <v>6</v>
      </c>
      <c r="K5" s="4"/>
      <c r="L5" s="4"/>
      <c r="M5" s="5" t="n">
        <v>0.5</v>
      </c>
      <c r="P5" s="4" t="s">
        <v>6</v>
      </c>
      <c r="Q5" s="4"/>
      <c r="R5" s="4"/>
      <c r="S5" s="5" t="n">
        <v>0.5</v>
      </c>
      <c r="T5" s="3"/>
      <c r="U5" s="3"/>
      <c r="V5" s="4"/>
    </row>
    <row r="6" customFormat="false" ht="12" hidden="false" customHeight="false" outlineLevel="0" collapsed="false">
      <c r="A6" s="0" t="s">
        <v>7</v>
      </c>
      <c r="D6" s="0" t="n">
        <v>-0.15</v>
      </c>
      <c r="J6" s="4" t="s">
        <v>7</v>
      </c>
      <c r="K6" s="4"/>
      <c r="L6" s="4"/>
      <c r="M6" s="0" t="n">
        <v>-0.15</v>
      </c>
      <c r="P6" s="4" t="s">
        <v>7</v>
      </c>
      <c r="Q6" s="4"/>
      <c r="R6" s="4"/>
      <c r="S6" s="0" t="n">
        <v>-0.15</v>
      </c>
      <c r="T6" s="3"/>
      <c r="U6" s="3"/>
      <c r="V6" s="4"/>
    </row>
    <row r="7" customFormat="false" ht="12" hidden="false" customHeight="false" outlineLevel="0" collapsed="false">
      <c r="A7" s="0" t="s">
        <v>8</v>
      </c>
      <c r="D7" s="0" t="n">
        <v>0</v>
      </c>
      <c r="J7" s="4" t="s">
        <v>8</v>
      </c>
      <c r="K7" s="4"/>
      <c r="L7" s="4"/>
      <c r="M7" s="0" t="n">
        <v>0</v>
      </c>
      <c r="P7" s="4" t="s">
        <v>8</v>
      </c>
      <c r="Q7" s="4"/>
      <c r="R7" s="4"/>
      <c r="S7" s="0" t="n">
        <v>0</v>
      </c>
      <c r="T7" s="3"/>
      <c r="U7" s="3"/>
      <c r="V7" s="4"/>
    </row>
    <row r="8" customFormat="false" ht="12" hidden="false" customHeight="false" outlineLevel="0" collapsed="false">
      <c r="A8" s="0" t="s">
        <v>9</v>
      </c>
      <c r="D8" s="0" t="n">
        <v>0.95</v>
      </c>
      <c r="J8" s="4" t="s">
        <v>9</v>
      </c>
      <c r="K8" s="4"/>
      <c r="L8" s="4"/>
      <c r="M8" s="6" t="n">
        <v>0.05</v>
      </c>
      <c r="P8" s="4" t="s">
        <v>9</v>
      </c>
      <c r="Q8" s="4"/>
      <c r="R8" s="4"/>
      <c r="S8" s="6" t="n">
        <v>0.5</v>
      </c>
      <c r="T8" s="3"/>
      <c r="U8" s="3"/>
      <c r="V8" s="4"/>
    </row>
    <row r="9" customFormat="false" ht="12" hidden="false" customHeight="false" outlineLevel="0" collapsed="false">
      <c r="J9" s="4"/>
      <c r="K9" s="4"/>
      <c r="L9" s="4"/>
      <c r="M9" s="6"/>
      <c r="P9" s="4"/>
      <c r="Q9" s="4"/>
      <c r="R9" s="4"/>
      <c r="S9" s="6"/>
      <c r="T9" s="3"/>
      <c r="U9" s="3"/>
      <c r="V9" s="4"/>
    </row>
    <row r="10" customFormat="false" ht="12" hidden="false" customHeight="false" outlineLevel="0" collapsed="false">
      <c r="A10" s="0" t="s">
        <v>10</v>
      </c>
      <c r="D10" s="0" t="n">
        <v>0.515</v>
      </c>
      <c r="J10" s="4" t="s">
        <v>10</v>
      </c>
      <c r="K10" s="4"/>
      <c r="L10" s="4"/>
      <c r="M10" s="7" t="e">
        <f aca="false">AVERAGE(Q18:Q1017)</f>
        <v>#DIV/0!</v>
      </c>
      <c r="P10" s="4" t="s">
        <v>10</v>
      </c>
      <c r="Q10" s="4"/>
      <c r="R10" s="4"/>
      <c r="S10" s="7" t="e">
        <f aca="false">AVERAGE(W18:W1017)</f>
        <v>#DIV/0!</v>
      </c>
      <c r="T10" s="3"/>
      <c r="U10" s="3"/>
      <c r="V10" s="4"/>
    </row>
    <row r="11" customFormat="false" ht="12" hidden="false" customHeight="false" outlineLevel="0" collapsed="false">
      <c r="A11" s="0" t="s">
        <v>11</v>
      </c>
      <c r="D11" s="0" t="n">
        <v>0.954</v>
      </c>
      <c r="J11" s="4" t="s">
        <v>11</v>
      </c>
      <c r="K11" s="4"/>
      <c r="L11" s="4"/>
      <c r="M11" s="8" t="e">
        <f aca="false">AVERAGE(K18:K1017)</f>
        <v>#DIV/0!</v>
      </c>
      <c r="P11" s="4" t="s">
        <v>11</v>
      </c>
      <c r="Q11" s="4"/>
      <c r="R11" s="4"/>
      <c r="S11" s="8" t="e">
        <f aca="false">AVERAGE(Q18:Q1017)</f>
        <v>#DIV/0!</v>
      </c>
      <c r="T11" s="3"/>
      <c r="U11" s="3"/>
      <c r="V11" s="4"/>
    </row>
    <row r="14" customFormat="false" ht="12" hidden="false" customHeight="false" outlineLevel="0" collapsed="false">
      <c r="A14" s="0" t="s">
        <v>12</v>
      </c>
      <c r="C14" s="0" t="s">
        <v>13</v>
      </c>
      <c r="D14" s="0" t="s">
        <v>14</v>
      </c>
      <c r="E14" s="0" t="s">
        <v>15</v>
      </c>
      <c r="J14" s="0" t="s">
        <v>12</v>
      </c>
      <c r="L14" s="0" t="s">
        <v>13</v>
      </c>
      <c r="M14" s="0" t="s">
        <v>14</v>
      </c>
      <c r="N14" s="0" t="s">
        <v>15</v>
      </c>
      <c r="P14" s="0" t="s">
        <v>12</v>
      </c>
      <c r="R14" s="0" t="s">
        <v>13</v>
      </c>
      <c r="S14" s="0" t="s">
        <v>14</v>
      </c>
      <c r="T14" s="0" t="s">
        <v>15</v>
      </c>
    </row>
    <row r="15" customFormat="false" ht="12" hidden="false" customHeight="false" outlineLevel="0" collapsed="false">
      <c r="A15" s="0" t="s">
        <v>16</v>
      </c>
      <c r="B15" s="0" t="s">
        <v>17</v>
      </c>
      <c r="C15" s="9" t="n">
        <v>46754.9989582339</v>
      </c>
      <c r="D15" s="0" t="n">
        <v>15999</v>
      </c>
      <c r="E15" s="10" t="n">
        <v>2.92237008301981</v>
      </c>
      <c r="J15" s="0" t="s">
        <v>16</v>
      </c>
      <c r="K15" s="0" t="s">
        <v>17</v>
      </c>
      <c r="L15" s="9" t="n">
        <v>101121.609354608</v>
      </c>
      <c r="M15" s="0" t="n">
        <v>30007</v>
      </c>
      <c r="N15" s="10" t="n">
        <v>3.36993399388834</v>
      </c>
      <c r="P15" s="0" t="s">
        <v>16</v>
      </c>
      <c r="Q15" s="0" t="s">
        <v>17</v>
      </c>
      <c r="R15" s="9" t="n">
        <v>43824.6231881322</v>
      </c>
      <c r="S15" s="0" t="n">
        <v>13980</v>
      </c>
      <c r="T15" s="10" t="n">
        <v>3.13480852561747</v>
      </c>
    </row>
    <row r="16" customFormat="false" ht="12" hidden="false" customHeight="false" outlineLevel="0" collapsed="false">
      <c r="A16" s="0" t="s">
        <v>16</v>
      </c>
      <c r="B16" s="0" t="s">
        <v>18</v>
      </c>
      <c r="C16" s="9" t="n">
        <v>47114.9401256513</v>
      </c>
      <c r="D16" s="0" t="n">
        <v>16001</v>
      </c>
      <c r="E16" s="10" t="n">
        <v>2.94449972662029</v>
      </c>
      <c r="J16" s="0" t="s">
        <v>16</v>
      </c>
      <c r="K16" s="0" t="s">
        <v>18</v>
      </c>
      <c r="L16" s="9" t="n">
        <v>101554.543182468</v>
      </c>
      <c r="M16" s="0" t="n">
        <v>29993</v>
      </c>
      <c r="N16" s="10" t="n">
        <v>3.38594149243051</v>
      </c>
      <c r="P16" s="0" t="s">
        <v>16</v>
      </c>
      <c r="Q16" s="0" t="s">
        <v>18</v>
      </c>
      <c r="R16" s="9" t="n">
        <v>44113.7392716891</v>
      </c>
      <c r="S16" s="0" t="n">
        <v>14020</v>
      </c>
      <c r="T16" s="10" t="n">
        <v>3.14648639598353</v>
      </c>
    </row>
    <row r="17" customFormat="false" ht="12" hidden="false" customHeight="false" outlineLevel="0" collapsed="false">
      <c r="A17" s="0" t="s">
        <v>16</v>
      </c>
      <c r="B17" s="0" t="s">
        <v>16</v>
      </c>
      <c r="C17" s="9" t="n">
        <v>93869.9390838852</v>
      </c>
      <c r="D17" s="0" t="n">
        <v>32000</v>
      </c>
      <c r="E17" s="10" t="n">
        <v>2.93343559637141</v>
      </c>
      <c r="J17" s="0" t="s">
        <v>16</v>
      </c>
      <c r="K17" s="0" t="s">
        <v>16</v>
      </c>
      <c r="L17" s="9" t="n">
        <v>202676.152537076</v>
      </c>
      <c r="M17" s="0" t="n">
        <v>60000</v>
      </c>
      <c r="N17" s="10" t="n">
        <v>3.37793587561793</v>
      </c>
      <c r="P17" s="0" t="s">
        <v>16</v>
      </c>
      <c r="Q17" s="0" t="s">
        <v>16</v>
      </c>
      <c r="R17" s="9" t="n">
        <v>87938.3624598213</v>
      </c>
      <c r="S17" s="0" t="n">
        <v>28000</v>
      </c>
      <c r="T17" s="10" t="n">
        <v>3.14065580213647</v>
      </c>
    </row>
    <row r="18" customFormat="false" ht="12" hidden="false" customHeight="false" outlineLevel="0" collapsed="false">
      <c r="A18" s="0" t="s">
        <v>16</v>
      </c>
      <c r="B18" s="0" t="s">
        <v>19</v>
      </c>
      <c r="C18" s="9" t="n">
        <v>88502.1275768331</v>
      </c>
      <c r="D18" s="0" t="n">
        <v>30398</v>
      </c>
      <c r="E18" s="10" t="n">
        <v>2.91144573908919</v>
      </c>
      <c r="J18" s="0" t="s">
        <v>16</v>
      </c>
      <c r="K18" s="0" t="s">
        <v>19</v>
      </c>
      <c r="L18" s="9" t="n">
        <v>92489.8663459943</v>
      </c>
      <c r="M18" s="0" t="n">
        <v>31813</v>
      </c>
      <c r="N18" s="10" t="n">
        <v>2.90729784509459</v>
      </c>
      <c r="P18" s="0" t="s">
        <v>16</v>
      </c>
      <c r="Q18" s="0" t="s">
        <v>19</v>
      </c>
      <c r="R18" s="9" t="n">
        <v>40217.3305228591</v>
      </c>
      <c r="S18" s="0" t="n">
        <v>14077</v>
      </c>
      <c r="T18" s="10" t="n">
        <v>2.85695322319096</v>
      </c>
    </row>
    <row r="19" customFormat="false" ht="12" hidden="false" customHeight="false" outlineLevel="0" collapsed="false">
      <c r="A19" s="0" t="s">
        <v>16</v>
      </c>
      <c r="B19" s="0" t="s">
        <v>20</v>
      </c>
      <c r="C19" s="9" t="n">
        <v>5367.81150705206</v>
      </c>
      <c r="D19" s="0" t="n">
        <v>1602</v>
      </c>
      <c r="E19" s="10" t="n">
        <v>3.35069382462675</v>
      </c>
      <c r="J19" s="0" t="s">
        <v>16</v>
      </c>
      <c r="K19" s="0" t="s">
        <v>20</v>
      </c>
      <c r="L19" s="9" t="n">
        <v>110186.286191082</v>
      </c>
      <c r="M19" s="0" t="n">
        <v>28187</v>
      </c>
      <c r="N19" s="10" t="n">
        <v>3.90911718845856</v>
      </c>
      <c r="P19" s="0" t="s">
        <v>16</v>
      </c>
      <c r="Q19" s="0" t="s">
        <v>20</v>
      </c>
      <c r="R19" s="9" t="n">
        <v>47721.0319369622</v>
      </c>
      <c r="S19" s="0" t="n">
        <v>13923</v>
      </c>
      <c r="T19" s="10" t="n">
        <v>3.42749636838053</v>
      </c>
    </row>
    <row r="20" customFormat="false" ht="12" hidden="false" customHeight="false" outlineLevel="0" collapsed="false">
      <c r="A20" s="0" t="s">
        <v>17</v>
      </c>
      <c r="B20" s="0" t="s">
        <v>19</v>
      </c>
      <c r="C20" s="9" t="n">
        <v>44041.6724820062</v>
      </c>
      <c r="D20" s="0" t="n">
        <v>15179</v>
      </c>
      <c r="E20" s="10" t="n">
        <v>2.90148708623797</v>
      </c>
      <c r="J20" s="0" t="s">
        <v>17</v>
      </c>
      <c r="K20" s="0" t="s">
        <v>19</v>
      </c>
      <c r="L20" s="9" t="n">
        <v>46121.395114309</v>
      </c>
      <c r="M20" s="0" t="n">
        <v>15907</v>
      </c>
      <c r="N20" s="10" t="n">
        <v>2.89944019075307</v>
      </c>
      <c r="P20" s="0" t="s">
        <v>17</v>
      </c>
      <c r="Q20" s="0" t="s">
        <v>19</v>
      </c>
      <c r="R20" s="9" t="n">
        <v>20006.9805824328</v>
      </c>
      <c r="S20" s="0" t="n">
        <v>7015</v>
      </c>
      <c r="T20" s="10" t="n">
        <v>2.85202859336177</v>
      </c>
    </row>
    <row r="21" customFormat="false" ht="12" hidden="false" customHeight="false" outlineLevel="0" collapsed="false">
      <c r="A21" s="0" t="s">
        <v>17</v>
      </c>
      <c r="B21" s="0" t="s">
        <v>20</v>
      </c>
      <c r="C21" s="9" t="n">
        <v>2713.32647622773</v>
      </c>
      <c r="D21" s="0" t="n">
        <v>820</v>
      </c>
      <c r="E21" s="10" t="n">
        <v>3.30893472710699</v>
      </c>
      <c r="J21" s="0" t="s">
        <v>17</v>
      </c>
      <c r="K21" s="0" t="s">
        <v>20</v>
      </c>
      <c r="L21" s="9" t="n">
        <v>55000.2142402985</v>
      </c>
      <c r="M21" s="0" t="n">
        <v>14100</v>
      </c>
      <c r="N21" s="10" t="n">
        <v>3.90072441420557</v>
      </c>
      <c r="P21" s="0" t="s">
        <v>17</v>
      </c>
      <c r="Q21" s="0" t="s">
        <v>20</v>
      </c>
      <c r="R21" s="9" t="n">
        <v>23817.6426056994</v>
      </c>
      <c r="S21" s="0" t="n">
        <v>6965</v>
      </c>
      <c r="T21" s="10" t="n">
        <v>3.4196184645656</v>
      </c>
    </row>
    <row r="22" customFormat="false" ht="12" hidden="false" customHeight="false" outlineLevel="0" collapsed="false">
      <c r="A22" s="0" t="s">
        <v>18</v>
      </c>
      <c r="B22" s="0" t="s">
        <v>19</v>
      </c>
      <c r="C22" s="9" t="n">
        <v>44460.4550948269</v>
      </c>
      <c r="D22" s="0" t="n">
        <v>15219</v>
      </c>
      <c r="E22" s="10" t="n">
        <v>2.92137821767704</v>
      </c>
      <c r="J22" s="0" t="s">
        <v>18</v>
      </c>
      <c r="K22" s="0" t="s">
        <v>19</v>
      </c>
      <c r="L22" s="9" t="n">
        <v>46368.4712316853</v>
      </c>
      <c r="M22" s="0" t="n">
        <v>15906</v>
      </c>
      <c r="N22" s="10" t="n">
        <v>2.9151559934418</v>
      </c>
      <c r="P22" s="0" t="s">
        <v>18</v>
      </c>
      <c r="Q22" s="0" t="s">
        <v>19</v>
      </c>
      <c r="R22" s="9" t="n">
        <v>20210.3499404263</v>
      </c>
      <c r="S22" s="0" t="n">
        <v>7062</v>
      </c>
      <c r="T22" s="10" t="n">
        <v>2.86184507794199</v>
      </c>
    </row>
    <row r="23" customFormat="false" ht="12" hidden="false" customHeight="false" outlineLevel="0" collapsed="false">
      <c r="A23" s="0" t="s">
        <v>18</v>
      </c>
      <c r="B23" s="0" t="s">
        <v>20</v>
      </c>
      <c r="C23" s="9" t="n">
        <v>2654.48503082433</v>
      </c>
      <c r="D23" s="0" t="n">
        <v>782</v>
      </c>
      <c r="E23" s="10" t="n">
        <v>3.39448213660401</v>
      </c>
      <c r="J23" s="0" t="s">
        <v>18</v>
      </c>
      <c r="K23" s="0" t="s">
        <v>20</v>
      </c>
      <c r="L23" s="9" t="n">
        <v>55186.071950783</v>
      </c>
      <c r="M23" s="0" t="n">
        <v>14087</v>
      </c>
      <c r="N23" s="10" t="n">
        <v>3.9175177078713</v>
      </c>
      <c r="P23" s="0" t="s">
        <v>18</v>
      </c>
      <c r="Q23" s="0" t="s">
        <v>20</v>
      </c>
      <c r="R23" s="9" t="n">
        <v>23903.3893312628</v>
      </c>
      <c r="S23" s="0" t="n">
        <v>6958</v>
      </c>
      <c r="T23" s="10" t="n">
        <v>3.43538219765202</v>
      </c>
    </row>
    <row r="24" customFormat="false" ht="12" hidden="false" customHeight="false" outlineLevel="0" collapsed="false">
      <c r="C24" s="0" t="s">
        <v>21</v>
      </c>
      <c r="L24" s="0" t="s">
        <v>21</v>
      </c>
      <c r="R24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B7" colorId="64" zoomScale="100" zoomScaleNormal="100" zoomScalePageLayoutView="100" workbookViewId="0">
      <selection pane="topLeft" activeCell="C35" activeCellId="0" sqref="C35:H35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4.86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22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e">
        <f aca="false">#REF!</f>
        <v>#DIV/0!</v>
      </c>
      <c r="C3" s="17" t="n">
        <v>2.36388268616381</v>
      </c>
      <c r="D3" s="17" t="n">
        <v>2.38695261830468</v>
      </c>
      <c r="E3" s="17" t="n">
        <v>2.39272802488242</v>
      </c>
      <c r="F3" s="17" t="n">
        <v>2.40892024551003</v>
      </c>
      <c r="G3" s="17" t="n">
        <v>2.41012135112649</v>
      </c>
      <c r="H3" s="17" t="n">
        <v>2.42276435326752</v>
      </c>
      <c r="I3" s="18" t="n">
        <v>2.39756154654249</v>
      </c>
    </row>
    <row r="4" customFormat="false" ht="12" hidden="false" customHeight="false" outlineLevel="0" collapsed="false">
      <c r="A4" s="19" t="n">
        <v>0.67</v>
      </c>
      <c r="B4" s="20" t="e">
        <f aca="false">#REF!</f>
        <v>#DIV/0!</v>
      </c>
      <c r="C4" s="21" t="n">
        <v>2.82668925960402</v>
      </c>
      <c r="D4" s="21" t="n">
        <v>2.87216583971642</v>
      </c>
      <c r="E4" s="21" t="n">
        <v>2.8953662783439</v>
      </c>
      <c r="F4" s="21" t="n">
        <v>2.9158805899571</v>
      </c>
      <c r="G4" s="21" t="n">
        <v>2.92863984729757</v>
      </c>
      <c r="H4" s="21" t="n">
        <v>2.90198044801762</v>
      </c>
      <c r="I4" s="22" t="n">
        <v>2.89012037715611</v>
      </c>
    </row>
    <row r="5" customFormat="false" ht="12" hidden="false" customHeight="false" outlineLevel="0" collapsed="false">
      <c r="A5" s="19" t="n">
        <v>0.95</v>
      </c>
      <c r="B5" s="20" t="e">
        <f aca="false">#REF!</f>
        <v>#DIV/0!</v>
      </c>
      <c r="C5" s="21" t="n">
        <v>9.52070604862426</v>
      </c>
      <c r="D5" s="21" t="n">
        <v>9.48003087771607</v>
      </c>
      <c r="E5" s="21" t="n">
        <v>9.05486472425038</v>
      </c>
      <c r="F5" s="21" t="n">
        <v>9.85253645018331</v>
      </c>
      <c r="G5" s="21" t="n">
        <v>9.98547583249124</v>
      </c>
      <c r="H5" s="21" t="n">
        <v>9.94262389690976</v>
      </c>
      <c r="I5" s="22" t="n">
        <v>9.63937297169584</v>
      </c>
    </row>
    <row r="6" customFormat="false" ht="12" hidden="false" customHeight="false" outlineLevel="0" collapsed="false">
      <c r="A6" s="19" t="n">
        <v>1</v>
      </c>
      <c r="B6" s="20" t="e">
        <f aca="false">#REF!</f>
        <v>#DIV/0!</v>
      </c>
      <c r="C6" s="21" t="n">
        <v>16.5518004389261</v>
      </c>
      <c r="D6" s="21" t="n">
        <v>20.4471631738065</v>
      </c>
      <c r="E6" s="21" t="n">
        <v>17.6933671093447</v>
      </c>
      <c r="F6" s="21" t="n">
        <v>18.1575842429111</v>
      </c>
      <c r="G6" s="21" t="n">
        <v>18.5636407849071</v>
      </c>
      <c r="H6" s="21" t="n">
        <v>19.2795141632533</v>
      </c>
      <c r="I6" s="22" t="n">
        <v>18.4488449855248</v>
      </c>
    </row>
    <row r="7" customFormat="false" ht="12" hidden="false" customHeight="false" outlineLevel="0" collapsed="false">
      <c r="A7" s="19" t="n">
        <v>1.05</v>
      </c>
      <c r="B7" s="20" t="e">
        <f aca="false">#REF!</f>
        <v>#DIV/0!</v>
      </c>
      <c r="C7" s="21" t="n">
        <v>30.3823320932115</v>
      </c>
      <c r="D7" s="21" t="n">
        <v>33.5806090974997</v>
      </c>
      <c r="E7" s="21" t="n">
        <v>30.8406006682268</v>
      </c>
      <c r="F7" s="21" t="n">
        <v>36.3090150026148</v>
      </c>
      <c r="G7" s="21" t="n">
        <v>36.1965185713983</v>
      </c>
      <c r="H7" s="21" t="n">
        <v>30.0454639174361</v>
      </c>
      <c r="I7" s="22" t="n">
        <v>32.8924232250646</v>
      </c>
    </row>
    <row r="8" customFormat="false" ht="12" hidden="false" customHeight="false" outlineLevel="0" collapsed="false">
      <c r="A8" s="23" t="s">
        <v>24</v>
      </c>
      <c r="B8" s="24" t="e">
        <f aca="false">#REF!</f>
        <v>#DIV/0!</v>
      </c>
      <c r="C8" s="25" t="n">
        <v>13.6394331830427</v>
      </c>
      <c r="D8" s="25" t="n">
        <v>15.3134433583786</v>
      </c>
      <c r="E8" s="25" t="n">
        <v>13.950867540748</v>
      </c>
      <c r="F8" s="25" t="n">
        <v>15.4940240493562</v>
      </c>
      <c r="G8" s="25" t="n">
        <v>15.5890205010569</v>
      </c>
      <c r="H8" s="25" t="n">
        <v>14.3001187304319</v>
      </c>
      <c r="I8" s="26" t="n">
        <v>14.7144845605024</v>
      </c>
    </row>
    <row r="35" customFormat="false" ht="12" hidden="false" customHeight="false" outlineLevel="0" collapsed="false">
      <c r="C35" s="0" t="n">
        <v>0.17</v>
      </c>
      <c r="D35" s="0" t="n">
        <v>0.33</v>
      </c>
      <c r="E35" s="0" t="n">
        <v>0.5</v>
      </c>
      <c r="F35" s="0" t="n">
        <v>0.67</v>
      </c>
      <c r="G35" s="0" t="n">
        <v>0.83</v>
      </c>
      <c r="H35" s="0" t="n">
        <v>1</v>
      </c>
    </row>
    <row r="36" customFormat="false" ht="12" hidden="false" customHeight="false" outlineLevel="0" collapsed="false">
      <c r="B36" s="0" t="n">
        <v>0.5</v>
      </c>
      <c r="C36" s="0" t="n">
        <v>2.36388268616381</v>
      </c>
      <c r="D36" s="0" t="n">
        <v>2.38695261830468</v>
      </c>
      <c r="E36" s="0" t="n">
        <v>2.39272802488242</v>
      </c>
      <c r="F36" s="0" t="n">
        <v>2.40892024551003</v>
      </c>
      <c r="G36" s="0" t="n">
        <v>2.41012135112649</v>
      </c>
      <c r="H36" s="0" t="n">
        <v>2.42276435326752</v>
      </c>
    </row>
    <row r="37" customFormat="false" ht="12" hidden="false" customHeight="false" outlineLevel="0" collapsed="false">
      <c r="B37" s="0" t="n">
        <v>0.67</v>
      </c>
      <c r="C37" s="0" t="n">
        <v>2.82668925960402</v>
      </c>
      <c r="D37" s="0" t="n">
        <v>2.87216583971642</v>
      </c>
      <c r="E37" s="0" t="n">
        <v>2.8953662783439</v>
      </c>
      <c r="F37" s="0" t="n">
        <v>2.9158805899571</v>
      </c>
      <c r="G37" s="0" t="n">
        <v>2.92863984729757</v>
      </c>
      <c r="H37" s="0" t="n">
        <v>2.90198044801762</v>
      </c>
    </row>
    <row r="38" customFormat="false" ht="12" hidden="false" customHeight="false" outlineLevel="0" collapsed="false">
      <c r="B38" s="0" t="n">
        <v>0.95</v>
      </c>
      <c r="C38" s="0" t="n">
        <v>9.52070604862426</v>
      </c>
      <c r="D38" s="0" t="n">
        <v>9.48003087771607</v>
      </c>
      <c r="E38" s="0" t="n">
        <v>9.05486472425038</v>
      </c>
      <c r="F38" s="0" t="n">
        <v>9.85253645018331</v>
      </c>
      <c r="G38" s="0" t="n">
        <v>9.98547583249124</v>
      </c>
      <c r="H38" s="0" t="n">
        <v>9.94262389690976</v>
      </c>
    </row>
    <row r="39" customFormat="false" ht="12" hidden="false" customHeight="false" outlineLevel="0" collapsed="false">
      <c r="B39" s="0" t="n">
        <v>1</v>
      </c>
      <c r="C39" s="0" t="n">
        <v>16.5518004389261</v>
      </c>
      <c r="D39" s="0" t="n">
        <v>20.4471631738065</v>
      </c>
      <c r="E39" s="0" t="n">
        <v>17.6933671093447</v>
      </c>
      <c r="F39" s="0" t="n">
        <v>18.1575842429111</v>
      </c>
      <c r="G39" s="0" t="n">
        <v>18.5636407849071</v>
      </c>
      <c r="H39" s="0" t="n">
        <v>19.2795141632533</v>
      </c>
    </row>
    <row r="40" customFormat="false" ht="12" hidden="false" customHeight="false" outlineLevel="0" collapsed="false">
      <c r="B40" s="0" t="n">
        <v>1.05</v>
      </c>
      <c r="C40" s="0" t="n">
        <v>30.3823320932115</v>
      </c>
      <c r="D40" s="0" t="n">
        <v>33.5806090974997</v>
      </c>
      <c r="E40" s="0" t="n">
        <v>30.8406006682268</v>
      </c>
      <c r="F40" s="0" t="n">
        <v>36.3090150026148</v>
      </c>
      <c r="G40" s="0" t="n">
        <v>36.1965185713983</v>
      </c>
      <c r="H40" s="0" t="n">
        <v>30.0454639174361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44" activeCellId="0" sqref="A44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6.87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25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n">
        <v>2.99741426674345</v>
      </c>
      <c r="C3" s="17" t="n">
        <v>2.90383314955029</v>
      </c>
      <c r="D3" s="17" t="n">
        <v>2.85884847964459</v>
      </c>
      <c r="E3" s="17" t="n">
        <v>2.79862805210524</v>
      </c>
      <c r="F3" s="17" t="n">
        <v>2.77060403242822</v>
      </c>
      <c r="G3" s="17" t="n">
        <v>2.73731199347548</v>
      </c>
      <c r="H3" s="17" t="e">
        <f aca="false">#REF!</f>
        <v>#DIV/0!</v>
      </c>
      <c r="I3" s="18" t="n">
        <v>2.84443999565788</v>
      </c>
    </row>
    <row r="4" customFormat="false" ht="12" hidden="false" customHeight="false" outlineLevel="0" collapsed="false">
      <c r="A4" s="19" t="n">
        <v>0.67</v>
      </c>
      <c r="B4" s="20" t="n">
        <v>4.00132150807512</v>
      </c>
      <c r="C4" s="21" t="n">
        <v>3.70716766044845</v>
      </c>
      <c r="D4" s="21" t="n">
        <v>3.57716926306745</v>
      </c>
      <c r="E4" s="21" t="n">
        <v>3.46947091569538</v>
      </c>
      <c r="F4" s="21" t="n">
        <v>3.3751423060232</v>
      </c>
      <c r="G4" s="21" t="n">
        <v>3.31735795338866</v>
      </c>
      <c r="H4" s="21" t="e">
        <f aca="false">#REF!</f>
        <v>#DIV/0!</v>
      </c>
      <c r="I4" s="22" t="n">
        <v>3.57460493444971</v>
      </c>
    </row>
    <row r="5" customFormat="false" ht="12" hidden="false" customHeight="false" outlineLevel="0" collapsed="false">
      <c r="A5" s="19" t="n">
        <v>0.95</v>
      </c>
      <c r="B5" s="20" t="n">
        <v>14.9321078706819</v>
      </c>
      <c r="C5" s="21" t="n">
        <v>11.7480345417791</v>
      </c>
      <c r="D5" s="21" t="n">
        <v>10.7661591350933</v>
      </c>
      <c r="E5" s="21" t="n">
        <v>9.96456113643293</v>
      </c>
      <c r="F5" s="21" t="n">
        <v>10.5706384982894</v>
      </c>
      <c r="G5" s="21" t="n">
        <v>10.6619854036406</v>
      </c>
      <c r="H5" s="21" t="e">
        <f aca="false">#REF!</f>
        <v>#DIV/0!</v>
      </c>
      <c r="I5" s="22" t="n">
        <v>11.4405810976529</v>
      </c>
    </row>
    <row r="6" customFormat="false" ht="12" hidden="false" customHeight="false" outlineLevel="0" collapsed="false">
      <c r="A6" s="19" t="n">
        <v>1</v>
      </c>
      <c r="B6" s="20" t="n">
        <v>26.4061956405439</v>
      </c>
      <c r="C6" s="21" t="n">
        <v>19.1771929139104</v>
      </c>
      <c r="D6" s="21" t="n">
        <v>21.9948998661344</v>
      </c>
      <c r="E6" s="21" t="n">
        <v>18.6212103153863</v>
      </c>
      <c r="F6" s="21" t="n">
        <v>18.8896951742247</v>
      </c>
      <c r="G6" s="21" t="n">
        <v>19.1720770281982</v>
      </c>
      <c r="H6" s="21" t="e">
        <f aca="false">#REF!</f>
        <v>#DIV/0!</v>
      </c>
      <c r="I6" s="22" t="n">
        <v>20.7102118230663</v>
      </c>
    </row>
    <row r="7" customFormat="false" ht="12" hidden="false" customHeight="false" outlineLevel="0" collapsed="false">
      <c r="A7" s="19" t="n">
        <v>1.05</v>
      </c>
      <c r="B7" s="20" t="n">
        <v>38.8790914625547</v>
      </c>
      <c r="C7" s="21" t="n">
        <v>33.3803107766148</v>
      </c>
      <c r="D7" s="21" t="n">
        <v>35.1272724419324</v>
      </c>
      <c r="E7" s="21" t="n">
        <v>31.949705668863</v>
      </c>
      <c r="F7" s="21" t="n">
        <v>37.0581544446753</v>
      </c>
      <c r="G7" s="21" t="n">
        <v>36.7879020937225</v>
      </c>
      <c r="H7" s="21" t="e">
        <f aca="false">#REF!</f>
        <v>#DIV/0!</v>
      </c>
      <c r="I7" s="22" t="n">
        <v>35.5304061480605</v>
      </c>
    </row>
    <row r="8" customFormat="false" ht="12" hidden="false" customHeight="false" outlineLevel="0" collapsed="false">
      <c r="A8" s="23" t="s">
        <v>24</v>
      </c>
      <c r="B8" s="24" t="n">
        <v>19.2313929028762</v>
      </c>
      <c r="C8" s="25" t="n">
        <v>15.606301224555</v>
      </c>
      <c r="D8" s="25" t="n">
        <v>16.4761894038637</v>
      </c>
      <c r="E8" s="25" t="n">
        <v>14.7636261323352</v>
      </c>
      <c r="F8" s="25" t="n">
        <v>16.1141501756366</v>
      </c>
      <c r="G8" s="25" t="n">
        <v>16.1170519140704</v>
      </c>
      <c r="H8" s="25" t="e">
        <f aca="false">#REF!</f>
        <v>#DIV/0!</v>
      </c>
      <c r="I8" s="26" t="n">
        <v>16.3847852922229</v>
      </c>
    </row>
    <row r="36" customFormat="false" ht="12" hidden="false" customHeight="false" outlineLevel="0" collapsed="false">
      <c r="B36" s="0" t="n">
        <v>0</v>
      </c>
      <c r="C36" s="0" t="n">
        <v>0.17</v>
      </c>
      <c r="D36" s="0" t="n">
        <v>0.33</v>
      </c>
      <c r="E36" s="0" t="n">
        <v>0.5</v>
      </c>
      <c r="F36" s="0" t="n">
        <v>0.67</v>
      </c>
      <c r="G36" s="0" t="n">
        <v>0.83</v>
      </c>
    </row>
    <row r="37" customFormat="false" ht="12" hidden="false" customHeight="false" outlineLevel="0" collapsed="false">
      <c r="A37" s="27" t="n">
        <v>0.5</v>
      </c>
      <c r="B37" s="16" t="n">
        <v>2.99741426674345</v>
      </c>
      <c r="C37" s="17" t="n">
        <v>2.90383314955029</v>
      </c>
      <c r="D37" s="17" t="n">
        <v>2.85884847964459</v>
      </c>
      <c r="E37" s="17" t="n">
        <v>2.79862805210524</v>
      </c>
      <c r="F37" s="17" t="n">
        <v>2.77060403242822</v>
      </c>
      <c r="G37" s="17" t="n">
        <v>2.73731199347548</v>
      </c>
      <c r="H37" s="17"/>
      <c r="I37" s="18"/>
    </row>
    <row r="38" customFormat="false" ht="12" hidden="false" customHeight="false" outlineLevel="0" collapsed="false">
      <c r="A38" s="19" t="n">
        <v>0.67</v>
      </c>
      <c r="B38" s="20" t="n">
        <v>4.00132150807512</v>
      </c>
      <c r="C38" s="21" t="n">
        <v>3.70716766044845</v>
      </c>
      <c r="D38" s="21" t="n">
        <v>3.57716926306745</v>
      </c>
      <c r="E38" s="21" t="n">
        <v>3.46947091569538</v>
      </c>
      <c r="F38" s="21" t="n">
        <v>3.3751423060232</v>
      </c>
      <c r="G38" s="21" t="n">
        <v>3.31735795338866</v>
      </c>
      <c r="H38" s="21"/>
      <c r="I38" s="22"/>
    </row>
    <row r="39" customFormat="false" ht="12" hidden="false" customHeight="false" outlineLevel="0" collapsed="false">
      <c r="A39" s="19" t="n">
        <v>0.95</v>
      </c>
      <c r="B39" s="20" t="n">
        <v>14.9321078706819</v>
      </c>
      <c r="C39" s="21" t="n">
        <v>11.7480345417791</v>
      </c>
      <c r="D39" s="21" t="n">
        <v>10.7661591350933</v>
      </c>
      <c r="E39" s="21" t="n">
        <v>9.96456113643293</v>
      </c>
      <c r="F39" s="21" t="n">
        <v>10.5706384982894</v>
      </c>
      <c r="G39" s="21" t="n">
        <v>10.6619854036406</v>
      </c>
      <c r="H39" s="21"/>
      <c r="I39" s="22"/>
    </row>
    <row r="40" customFormat="false" ht="12" hidden="false" customHeight="false" outlineLevel="0" collapsed="false">
      <c r="A40" s="19" t="n">
        <v>1</v>
      </c>
      <c r="B40" s="20" t="n">
        <v>26.4061956405439</v>
      </c>
      <c r="C40" s="21" t="n">
        <v>19.1771929139104</v>
      </c>
      <c r="D40" s="21" t="n">
        <v>21.9948998661344</v>
      </c>
      <c r="E40" s="21" t="n">
        <v>18.6212103153863</v>
      </c>
      <c r="F40" s="21" t="n">
        <v>18.8896951742247</v>
      </c>
      <c r="G40" s="21" t="n">
        <v>19.1720770281982</v>
      </c>
      <c r="H40" s="21"/>
      <c r="I40" s="22"/>
    </row>
    <row r="41" customFormat="false" ht="12" hidden="false" customHeight="false" outlineLevel="0" collapsed="false">
      <c r="A41" s="19" t="n">
        <v>1.05</v>
      </c>
      <c r="B41" s="20" t="n">
        <v>38.8790914625547</v>
      </c>
      <c r="C41" s="21" t="n">
        <v>33.3803107766148</v>
      </c>
      <c r="D41" s="21" t="n">
        <v>35.1272724419324</v>
      </c>
      <c r="E41" s="21" t="n">
        <v>31.949705668863</v>
      </c>
      <c r="F41" s="21" t="n">
        <v>37.0581544446753</v>
      </c>
      <c r="G41" s="21" t="n">
        <v>36.7879020937225</v>
      </c>
      <c r="H41" s="21"/>
      <c r="I41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F30" activeCellId="0" sqref="F30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3.87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26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n">
        <v>2.99741426674345</v>
      </c>
      <c r="C3" s="17" t="n">
        <v>2.81148310428135</v>
      </c>
      <c r="D3" s="17" t="n">
        <v>2.70347451120809</v>
      </c>
      <c r="E3" s="17" t="n">
        <v>2.59443208143587</v>
      </c>
      <c r="F3" s="17" t="n">
        <v>2.52813895577127</v>
      </c>
      <c r="G3" s="17" t="n">
        <v>2.4660736366556</v>
      </c>
      <c r="H3" s="17" t="n">
        <v>2.42276435326752</v>
      </c>
      <c r="I3" s="18" t="n">
        <v>2.64625441562331</v>
      </c>
      <c r="J3" s="0" t="n">
        <f aca="false">(B3-H3)/B3</f>
        <v>0.191715212625669</v>
      </c>
    </row>
    <row r="4" customFormat="false" ht="12" hidden="false" customHeight="false" outlineLevel="0" collapsed="false">
      <c r="A4" s="19" t="n">
        <v>0.67</v>
      </c>
      <c r="B4" s="20" t="n">
        <v>4.09597716051603</v>
      </c>
      <c r="C4" s="21" t="n">
        <v>3.5565852693888</v>
      </c>
      <c r="D4" s="21" t="n">
        <v>3.34466250872497</v>
      </c>
      <c r="E4" s="21" t="n">
        <v>3.18176463079039</v>
      </c>
      <c r="F4" s="21" t="n">
        <v>3.06892196759513</v>
      </c>
      <c r="G4" s="21" t="n">
        <v>2.99446105910914</v>
      </c>
      <c r="H4" s="21" t="n">
        <v>2.90198044801762</v>
      </c>
      <c r="I4" s="22" t="n">
        <v>3.22321604270496</v>
      </c>
      <c r="J4" s="0" t="n">
        <f aca="false">(B4-H4)/B4</f>
        <v>0.291504729081053</v>
      </c>
    </row>
    <row r="5" customFormat="false" ht="12" hidden="false" customHeight="false" outlineLevel="0" collapsed="false">
      <c r="A5" s="19" t="n">
        <v>0.95</v>
      </c>
      <c r="B5" s="20" t="n">
        <v>13.6221103910084</v>
      </c>
      <c r="C5" s="21" t="n">
        <v>11.3676432382713</v>
      </c>
      <c r="D5" s="21" t="n">
        <v>10.3406740112756</v>
      </c>
      <c r="E5" s="21" t="n">
        <v>9.51115407304582</v>
      </c>
      <c r="F5" s="21" t="n">
        <v>10.0904034301826</v>
      </c>
      <c r="G5" s="21" t="n">
        <v>10.099364256165</v>
      </c>
      <c r="H5" s="21" t="n">
        <v>9.94262389690976</v>
      </c>
      <c r="I5" s="22" t="n">
        <v>10.4040894267663</v>
      </c>
      <c r="J5" s="0" t="n">
        <f aca="false">(B5-H5)/B5</f>
        <v>0.270111340202277</v>
      </c>
    </row>
    <row r="6" customFormat="false" ht="12" hidden="false" customHeight="false" outlineLevel="0" collapsed="false">
      <c r="A6" s="19" t="n">
        <v>1</v>
      </c>
      <c r="B6" s="20" t="n">
        <v>25.8595226321307</v>
      </c>
      <c r="C6" s="21" t="n">
        <v>18.7299500447915</v>
      </c>
      <c r="D6" s="21" t="n">
        <v>21.4841826788379</v>
      </c>
      <c r="E6" s="21" t="n">
        <v>18.1591218589369</v>
      </c>
      <c r="F6" s="21" t="n">
        <v>18.3998328115735</v>
      </c>
      <c r="G6" s="21" t="n">
        <v>18.6673294307463</v>
      </c>
      <c r="H6" s="21" t="n">
        <v>19.2795141632533</v>
      </c>
      <c r="I6" s="22" t="n">
        <v>19.6384142006469</v>
      </c>
      <c r="J6" s="0" t="n">
        <f aca="false">(B6-H6)/B6</f>
        <v>0.254452047026641</v>
      </c>
    </row>
    <row r="7" customFormat="false" ht="12" hidden="false" customHeight="false" outlineLevel="0" collapsed="false">
      <c r="A7" s="19" t="n">
        <v>1.05</v>
      </c>
      <c r="B7" s="20" t="n">
        <v>37.4650350104964</v>
      </c>
      <c r="C7" s="21" t="n">
        <v>32.8720167272323</v>
      </c>
      <c r="D7" s="21" t="n">
        <v>34.6156155662084</v>
      </c>
      <c r="E7" s="21" t="n">
        <v>31.398488243568</v>
      </c>
      <c r="F7" s="21" t="n">
        <v>36.5547093849107</v>
      </c>
      <c r="G7" s="21" t="n">
        <v>36.297005658845</v>
      </c>
      <c r="H7" s="21" t="n">
        <v>30.0454639174361</v>
      </c>
      <c r="I7" s="22" t="n">
        <v>33.7839293201319</v>
      </c>
      <c r="J7" s="0" t="n">
        <f aca="false">(B7-H7)/B7</f>
        <v>0.198039881478332</v>
      </c>
    </row>
    <row r="8" customFormat="false" ht="12" hidden="false" customHeight="false" outlineLevel="0" collapsed="false">
      <c r="A8" s="23" t="s">
        <v>24</v>
      </c>
      <c r="B8" s="24" t="n">
        <v>14.4868013283141</v>
      </c>
      <c r="C8" s="25" t="n">
        <v>15.2714707014071</v>
      </c>
      <c r="D8" s="25" t="n">
        <v>16.0920956514007</v>
      </c>
      <c r="E8" s="25" t="n">
        <v>14.3583819274021</v>
      </c>
      <c r="F8" s="25" t="n">
        <v>15.6988565792108</v>
      </c>
      <c r="G8" s="25" t="n">
        <v>15.6786492478914</v>
      </c>
      <c r="H8" s="25" t="n">
        <v>14.3001187304319</v>
      </c>
      <c r="I8" s="26" t="n">
        <v>15.1789740806196</v>
      </c>
      <c r="J8" s="0" t="n">
        <f aca="false">(B8-H8)/B8</f>
        <v>0.0128863918025372</v>
      </c>
    </row>
    <row r="34" customFormat="false" ht="12" hidden="false" customHeight="false" outlineLevel="0" collapsed="false">
      <c r="A34" s="0" t="s">
        <v>27</v>
      </c>
    </row>
    <row r="35" customFormat="false" ht="12" hidden="false" customHeight="false" outlineLevel="0" collapsed="false">
      <c r="B35" s="0" t="n">
        <v>0</v>
      </c>
      <c r="C35" s="0" t="n">
        <v>0.17</v>
      </c>
      <c r="D35" s="0" t="n">
        <v>0.33</v>
      </c>
      <c r="E35" s="0" t="n">
        <v>0.5</v>
      </c>
      <c r="F35" s="0" t="n">
        <v>0.67</v>
      </c>
      <c r="G35" s="0" t="n">
        <v>0.83</v>
      </c>
      <c r="H35" s="0" t="n">
        <v>1</v>
      </c>
    </row>
    <row r="36" customFormat="false" ht="12" hidden="false" customHeight="false" outlineLevel="0" collapsed="false">
      <c r="A36" s="28" t="n">
        <v>0.5</v>
      </c>
      <c r="B36" s="29" t="n">
        <v>2.99741426674345</v>
      </c>
      <c r="C36" s="29" t="n">
        <v>2.81148310428135</v>
      </c>
      <c r="D36" s="29" t="n">
        <v>2.70347451120809</v>
      </c>
      <c r="E36" s="29" t="n">
        <v>2.59443208143587</v>
      </c>
      <c r="F36" s="29" t="n">
        <v>2.52813895577127</v>
      </c>
      <c r="G36" s="29" t="n">
        <v>2.4660736366556</v>
      </c>
      <c r="H36" s="29" t="n">
        <v>2.42276435326752</v>
      </c>
      <c r="I36" s="30"/>
    </row>
    <row r="37" customFormat="false" ht="12" hidden="false" customHeight="false" outlineLevel="0" collapsed="false">
      <c r="A37" s="28" t="n">
        <v>0.67</v>
      </c>
      <c r="B37" s="29" t="n">
        <v>4.09597716051603</v>
      </c>
      <c r="C37" s="29" t="n">
        <v>3.5565852693888</v>
      </c>
      <c r="D37" s="29" t="n">
        <v>3.34466250872497</v>
      </c>
      <c r="E37" s="29" t="n">
        <v>3.18176463079039</v>
      </c>
      <c r="F37" s="29" t="n">
        <v>3.06892196759513</v>
      </c>
      <c r="G37" s="29" t="n">
        <v>2.99446105910914</v>
      </c>
      <c r="H37" s="29" t="n">
        <v>2.90198044801762</v>
      </c>
      <c r="I37" s="30"/>
    </row>
    <row r="38" customFormat="false" ht="12" hidden="false" customHeight="false" outlineLevel="0" collapsed="false">
      <c r="A38" s="28" t="n">
        <v>0.95</v>
      </c>
      <c r="B38" s="29" t="n">
        <v>13.6221103910084</v>
      </c>
      <c r="C38" s="29" t="n">
        <v>11.3676432382713</v>
      </c>
      <c r="D38" s="29" t="n">
        <v>10.3406740112756</v>
      </c>
      <c r="E38" s="29" t="n">
        <v>9.51115407304582</v>
      </c>
      <c r="F38" s="29" t="n">
        <v>10.0904034301826</v>
      </c>
      <c r="G38" s="29" t="n">
        <v>10.099364256165</v>
      </c>
      <c r="H38" s="29" t="n">
        <v>9.94262389690976</v>
      </c>
      <c r="I38" s="30"/>
    </row>
    <row r="39" customFormat="false" ht="12" hidden="false" customHeight="false" outlineLevel="0" collapsed="false">
      <c r="A39" s="28" t="n">
        <v>1</v>
      </c>
      <c r="B39" s="29" t="n">
        <v>25.8595226321307</v>
      </c>
      <c r="C39" s="29" t="n">
        <v>18.7299500447915</v>
      </c>
      <c r="D39" s="29" t="n">
        <v>21.4841826788379</v>
      </c>
      <c r="E39" s="29" t="n">
        <v>18.1591218589369</v>
      </c>
      <c r="F39" s="29" t="n">
        <v>18.3998328115735</v>
      </c>
      <c r="G39" s="29" t="n">
        <v>18.6673294307463</v>
      </c>
      <c r="H39" s="29" t="n">
        <v>19.2795141632533</v>
      </c>
      <c r="I39" s="30"/>
    </row>
    <row r="40" customFormat="false" ht="12" hidden="false" customHeight="false" outlineLevel="0" collapsed="false">
      <c r="A40" s="28" t="n">
        <v>1.05</v>
      </c>
      <c r="B40" s="29" t="n">
        <v>37.4650350104964</v>
      </c>
      <c r="C40" s="29" t="n">
        <v>32.8720167272323</v>
      </c>
      <c r="D40" s="29" t="n">
        <v>34.6156155662084</v>
      </c>
      <c r="E40" s="29" t="n">
        <v>31.398488243568</v>
      </c>
      <c r="F40" s="29" t="n">
        <v>36.5547093849107</v>
      </c>
      <c r="G40" s="29" t="n">
        <v>36.297005658845</v>
      </c>
      <c r="H40" s="29" t="n">
        <v>30.0454639174361</v>
      </c>
      <c r="I40" s="30"/>
    </row>
    <row r="41" customFormat="false" ht="12" hidden="false" customHeight="false" outlineLevel="0" collapsed="false">
      <c r="A41" s="28"/>
      <c r="B41" s="30"/>
      <c r="C41" s="30"/>
      <c r="D41" s="30"/>
      <c r="E41" s="30"/>
      <c r="F41" s="30"/>
      <c r="G41" s="30"/>
      <c r="H41" s="30"/>
      <c r="I41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B16" colorId="64" zoomScale="100" zoomScaleNormal="100" zoomScalePageLayoutView="100" workbookViewId="0">
      <selection pane="topLeft" activeCell="B49" activeCellId="0" sqref="B49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7.86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28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n">
        <v>0</v>
      </c>
      <c r="C3" s="17" t="n">
        <v>0.76195315951047</v>
      </c>
      <c r="D3" s="17" t="n">
        <v>0.794761273107048</v>
      </c>
      <c r="E3" s="17" t="n">
        <v>0.792050680146451</v>
      </c>
      <c r="F3" s="17" t="n">
        <v>0.796222903885362</v>
      </c>
      <c r="G3" s="17" t="n">
        <v>0.797799373443601</v>
      </c>
      <c r="H3" s="17" t="n">
        <v>0.812022960015264</v>
      </c>
      <c r="I3" s="18" t="n">
        <v>0.679258621444028</v>
      </c>
    </row>
    <row r="4" customFormat="false" ht="12" hidden="false" customHeight="false" outlineLevel="0" collapsed="false">
      <c r="A4" s="19" t="n">
        <v>0.67</v>
      </c>
      <c r="B4" s="20" t="n">
        <v>0</v>
      </c>
      <c r="C4" s="21" t="n">
        <v>1.27688340807022</v>
      </c>
      <c r="D4" s="21" t="n">
        <v>1.2954374141848</v>
      </c>
      <c r="E4" s="21" t="n">
        <v>1.31939169333604</v>
      </c>
      <c r="F4" s="21" t="n">
        <v>1.3556558924093</v>
      </c>
      <c r="G4" s="21" t="n">
        <v>1.33242866215547</v>
      </c>
      <c r="H4" s="21" t="n">
        <v>1.28052139473771</v>
      </c>
      <c r="I4" s="22" t="n">
        <v>1.12290263784194</v>
      </c>
    </row>
    <row r="5" customFormat="false" ht="12" hidden="false" customHeight="false" outlineLevel="0" collapsed="false">
      <c r="A5" s="19" t="n">
        <v>0.95</v>
      </c>
      <c r="B5" s="20" t="n">
        <v>0</v>
      </c>
      <c r="C5" s="21" t="n">
        <v>5.98949833500218</v>
      </c>
      <c r="D5" s="21" t="n">
        <v>5.87175050564246</v>
      </c>
      <c r="E5" s="21" t="n">
        <v>5.78418603049333</v>
      </c>
      <c r="F5" s="21" t="n">
        <v>6.12465029977547</v>
      </c>
      <c r="G5" s="21" t="n">
        <v>6.01311991496835</v>
      </c>
      <c r="H5" s="21" t="n">
        <v>5.95874679273305</v>
      </c>
      <c r="I5" s="22" t="n">
        <v>5.1059931255164</v>
      </c>
    </row>
    <row r="6" customFormat="false" ht="12" hidden="false" customHeight="false" outlineLevel="0" collapsed="false">
      <c r="A6" s="19" t="n">
        <v>1</v>
      </c>
      <c r="B6" s="20" t="n">
        <v>0</v>
      </c>
      <c r="C6" s="21" t="n">
        <v>9.22997516379759</v>
      </c>
      <c r="D6" s="21" t="n">
        <v>11.4338669983033</v>
      </c>
      <c r="E6" s="21" t="n">
        <v>9.80398096152963</v>
      </c>
      <c r="F6" s="21" t="n">
        <v>9.79077197374022</v>
      </c>
      <c r="G6" s="21" t="n">
        <v>9.93969601451728</v>
      </c>
      <c r="H6" s="21" t="n">
        <v>10.2283003379923</v>
      </c>
      <c r="I6" s="22" t="n">
        <v>8.63237020712576</v>
      </c>
    </row>
    <row r="7" customFormat="false" ht="12" hidden="false" customHeight="false" outlineLevel="0" collapsed="false">
      <c r="A7" s="19" t="n">
        <v>1.05</v>
      </c>
      <c r="B7" s="20" t="n">
        <v>0</v>
      </c>
      <c r="C7" s="21" t="n">
        <v>16.8595569460399</v>
      </c>
      <c r="D7" s="21" t="n">
        <v>17.0587580956013</v>
      </c>
      <c r="E7" s="21" t="n">
        <v>16.4735893259981</v>
      </c>
      <c r="F7" s="21" t="n">
        <v>18.55436045978</v>
      </c>
      <c r="G7" s="21" t="n">
        <v>19.1356938001265</v>
      </c>
      <c r="H7" s="21" t="n">
        <v>16.2923163529616</v>
      </c>
      <c r="I7" s="22" t="n">
        <v>14.910610711501</v>
      </c>
    </row>
    <row r="8" customFormat="false" ht="12" hidden="false" customHeight="false" outlineLevel="0" collapsed="false">
      <c r="A8" s="23" t="s">
        <v>24</v>
      </c>
      <c r="B8" s="24" t="n">
        <v>0</v>
      </c>
      <c r="C8" s="25" t="n">
        <v>7.55547842041756</v>
      </c>
      <c r="D8" s="25" t="n">
        <v>8.10919693849537</v>
      </c>
      <c r="E8" s="25" t="n">
        <v>7.57630390364931</v>
      </c>
      <c r="F8" s="25" t="n">
        <v>8.13000688366418</v>
      </c>
      <c r="G8" s="25" t="n">
        <v>8.27832959472219</v>
      </c>
      <c r="H8" s="25" t="n">
        <v>7.66096118860432</v>
      </c>
      <c r="I8" s="26" t="n">
        <v>6.75861098993613</v>
      </c>
    </row>
    <row r="10" customFormat="false" ht="12" hidden="false" customHeight="false" outlineLevel="0" collapsed="false">
      <c r="A10" s="0" t="s">
        <v>28</v>
      </c>
      <c r="B10" s="0" t="s">
        <v>9</v>
      </c>
    </row>
    <row r="11" customFormat="false" ht="12" hidden="false" customHeight="false" outlineLevel="0" collapsed="false">
      <c r="C11" s="0" t="n">
        <v>0.17</v>
      </c>
      <c r="D11" s="0" t="n">
        <v>0.33</v>
      </c>
      <c r="E11" s="0" t="n">
        <v>0.5</v>
      </c>
      <c r="F11" s="0" t="n">
        <v>0.67</v>
      </c>
      <c r="G11" s="0" t="n">
        <v>0.83</v>
      </c>
      <c r="H11" s="0" t="n">
        <v>1</v>
      </c>
    </row>
    <row r="12" customFormat="false" ht="12" hidden="false" customHeight="false" outlineLevel="0" collapsed="false">
      <c r="B12" s="0" t="n">
        <v>0.5</v>
      </c>
      <c r="C12" s="0" t="n">
        <v>0.76195315951047</v>
      </c>
      <c r="D12" s="0" t="n">
        <v>0.794761273107048</v>
      </c>
      <c r="E12" s="0" t="n">
        <v>0.792050680146451</v>
      </c>
      <c r="F12" s="0" t="n">
        <v>0.796222903885362</v>
      </c>
      <c r="G12" s="0" t="n">
        <v>0.797799373443601</v>
      </c>
      <c r="H12" s="0" t="n">
        <v>0.812022960015264</v>
      </c>
    </row>
    <row r="13" customFormat="false" ht="12" hidden="false" customHeight="false" outlineLevel="0" collapsed="false">
      <c r="B13" s="0" t="n">
        <v>0.67</v>
      </c>
      <c r="C13" s="0" t="n">
        <v>1.27688340807022</v>
      </c>
      <c r="D13" s="0" t="n">
        <v>1.2954374141848</v>
      </c>
      <c r="E13" s="0" t="n">
        <v>1.31939169333604</v>
      </c>
      <c r="F13" s="0" t="n">
        <v>1.3556558924093</v>
      </c>
      <c r="G13" s="0" t="n">
        <v>1.33242866215547</v>
      </c>
      <c r="H13" s="0" t="n">
        <v>1.28052139473771</v>
      </c>
    </row>
    <row r="14" customFormat="false" ht="12" hidden="false" customHeight="false" outlineLevel="0" collapsed="false">
      <c r="B14" s="0" t="n">
        <v>0.95</v>
      </c>
      <c r="C14" s="0" t="n">
        <v>5.98949833500218</v>
      </c>
      <c r="D14" s="0" t="n">
        <v>5.87175050564246</v>
      </c>
      <c r="E14" s="0" t="n">
        <v>5.78418603049333</v>
      </c>
      <c r="F14" s="0" t="n">
        <v>6.12465029977547</v>
      </c>
      <c r="G14" s="0" t="n">
        <v>6.01311991496835</v>
      </c>
      <c r="H14" s="0" t="n">
        <v>5.95874679273305</v>
      </c>
    </row>
    <row r="15" customFormat="false" ht="12" hidden="false" customHeight="false" outlineLevel="0" collapsed="false">
      <c r="B15" s="0" t="n">
        <v>1</v>
      </c>
      <c r="C15" s="0" t="n">
        <v>9.22997516379759</v>
      </c>
      <c r="D15" s="0" t="n">
        <v>11.4338669983033</v>
      </c>
      <c r="E15" s="0" t="n">
        <v>9.80398096152963</v>
      </c>
      <c r="F15" s="0" t="n">
        <v>9.79077197374022</v>
      </c>
      <c r="G15" s="0" t="n">
        <v>9.93969601451728</v>
      </c>
      <c r="H15" s="0" t="n">
        <v>10.2283003379923</v>
      </c>
    </row>
    <row r="16" customFormat="false" ht="12" hidden="false" customHeight="false" outlineLevel="0" collapsed="false">
      <c r="B16" s="0" t="n">
        <v>1.05</v>
      </c>
      <c r="C16" s="0" t="n">
        <v>16.8595569460399</v>
      </c>
      <c r="D16" s="0" t="n">
        <v>17.0587580956013</v>
      </c>
      <c r="E16" s="0" t="n">
        <v>16.4735893259981</v>
      </c>
      <c r="F16" s="0" t="n">
        <v>18.55436045978</v>
      </c>
      <c r="G16" s="0" t="n">
        <v>19.1356938001265</v>
      </c>
      <c r="H16" s="0" t="n">
        <v>16.2923163529616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35" activeCellId="0" sqref="F35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9.87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29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n">
        <v>1.50327369225903</v>
      </c>
      <c r="C3" s="17" t="n">
        <v>1.37089487802557</v>
      </c>
      <c r="D3" s="17" t="n">
        <v>1.24177368947246</v>
      </c>
      <c r="E3" s="17" t="n">
        <v>1.14245380088883</v>
      </c>
      <c r="F3" s="17" t="n">
        <v>1.09040739912939</v>
      </c>
      <c r="G3" s="17" t="n">
        <v>1.02289064187346</v>
      </c>
      <c r="H3" s="17" t="n">
        <v>0</v>
      </c>
      <c r="I3" s="18" t="n">
        <v>1.05309915737839</v>
      </c>
    </row>
    <row r="4" customFormat="false" ht="12" hidden="false" customHeight="false" outlineLevel="0" collapsed="false">
      <c r="A4" s="19" t="n">
        <v>0.67</v>
      </c>
      <c r="B4" s="20" t="n">
        <v>2.54182994913126</v>
      </c>
      <c r="C4" s="21" t="n">
        <v>2.05436653758837</v>
      </c>
      <c r="D4" s="21" t="n">
        <v>1.82940916866992</v>
      </c>
      <c r="E4" s="21" t="n">
        <v>1.69277310127669</v>
      </c>
      <c r="F4" s="21" t="n">
        <v>1.59076028032734</v>
      </c>
      <c r="G4" s="21" t="n">
        <v>1.49868345455158</v>
      </c>
      <c r="H4" s="21" t="n">
        <v>0</v>
      </c>
      <c r="I4" s="22" t="n">
        <v>1.60111749879216</v>
      </c>
    </row>
    <row r="5" customFormat="false" ht="12" hidden="false" customHeight="false" outlineLevel="0" collapsed="false">
      <c r="A5" s="19" t="n">
        <v>0.95</v>
      </c>
      <c r="B5" s="20" t="n">
        <v>9.63117412368017</v>
      </c>
      <c r="C5" s="21" t="n">
        <v>6.90371677558363</v>
      </c>
      <c r="D5" s="21" t="n">
        <v>6.25640844833889</v>
      </c>
      <c r="E5" s="21" t="n">
        <v>5.9515809748388</v>
      </c>
      <c r="F5" s="21" t="n">
        <v>6.21868681517139</v>
      </c>
      <c r="G5" s="21" t="n">
        <v>6.0176682790104</v>
      </c>
      <c r="H5" s="21" t="n">
        <v>0</v>
      </c>
      <c r="I5" s="22" t="n">
        <v>5.85417648808904</v>
      </c>
    </row>
    <row r="6" customFormat="false" ht="12" hidden="false" customHeight="false" outlineLevel="0" collapsed="false">
      <c r="A6" s="19" t="n">
        <v>1</v>
      </c>
      <c r="B6" s="20" t="n">
        <v>14.0676347135435</v>
      </c>
      <c r="C6" s="21" t="n">
        <v>10.2030119474292</v>
      </c>
      <c r="D6" s="21" t="n">
        <v>11.739867697187</v>
      </c>
      <c r="E6" s="21" t="n">
        <v>9.89024658142577</v>
      </c>
      <c r="F6" s="21" t="n">
        <v>9.79867217207175</v>
      </c>
      <c r="G6" s="21" t="n">
        <v>9.9765722672045</v>
      </c>
      <c r="H6" s="21" t="n">
        <v>0</v>
      </c>
      <c r="I6" s="22" t="n">
        <v>9.38228648269453</v>
      </c>
    </row>
    <row r="7" customFormat="false" ht="12" hidden="false" customHeight="false" outlineLevel="0" collapsed="false">
      <c r="A7" s="19" t="n">
        <v>1.05</v>
      </c>
      <c r="B7" s="20" t="n">
        <v>19.3884371701236</v>
      </c>
      <c r="C7" s="21" t="n">
        <v>17.9567594312335</v>
      </c>
      <c r="D7" s="21" t="n">
        <v>17.375467124997</v>
      </c>
      <c r="E7" s="21" t="n">
        <v>16.5015787003389</v>
      </c>
      <c r="F7" s="21" t="n">
        <v>18.6301549293934</v>
      </c>
      <c r="G7" s="21" t="n">
        <v>19.2520141097795</v>
      </c>
      <c r="H7" s="21" t="n">
        <v>0</v>
      </c>
      <c r="I7" s="22" t="n">
        <v>15.5863444951237</v>
      </c>
    </row>
    <row r="8" customFormat="false" ht="12" hidden="false" customHeight="false" outlineLevel="0" collapsed="false">
      <c r="A8" s="23" t="s">
        <v>24</v>
      </c>
      <c r="B8" s="24" t="n">
        <v>10.2854776958753</v>
      </c>
      <c r="C8" s="25" t="n">
        <v>8.4485894169555</v>
      </c>
      <c r="D8" s="25" t="n">
        <v>8.49671254165765</v>
      </c>
      <c r="E8" s="25" t="n">
        <v>7.76045439753362</v>
      </c>
      <c r="F8" s="25" t="n">
        <v>8.25969834645559</v>
      </c>
      <c r="G8" s="25" t="n">
        <v>8.38423956672013</v>
      </c>
      <c r="H8" s="25" t="n">
        <v>0</v>
      </c>
      <c r="I8" s="26" t="n">
        <v>7.3764531378854</v>
      </c>
    </row>
    <row r="11" customFormat="false" ht="12" hidden="false" customHeight="false" outlineLevel="0" collapsed="false">
      <c r="A11" s="0" t="s">
        <v>29</v>
      </c>
      <c r="B11" s="0" t="s">
        <v>9</v>
      </c>
    </row>
    <row r="12" customFormat="false" ht="12" hidden="false" customHeight="false" outlineLevel="0" collapsed="false">
      <c r="B12" s="0" t="n">
        <v>0</v>
      </c>
      <c r="C12" s="0" t="n">
        <v>0.17</v>
      </c>
      <c r="D12" s="0" t="n">
        <v>0.33</v>
      </c>
      <c r="E12" s="0" t="n">
        <v>0.5</v>
      </c>
      <c r="F12" s="0" t="n">
        <v>0.67</v>
      </c>
      <c r="G12" s="0" t="n">
        <v>0.83</v>
      </c>
      <c r="H12" s="0" t="n">
        <v>1</v>
      </c>
      <c r="I12" s="0" t="s">
        <v>24</v>
      </c>
    </row>
    <row r="13" customFormat="false" ht="12" hidden="false" customHeight="false" outlineLevel="0" collapsed="false">
      <c r="A13" s="0" t="n">
        <v>0.5</v>
      </c>
      <c r="B13" s="0" t="n">
        <v>1.50327369225903</v>
      </c>
      <c r="C13" s="0" t="n">
        <v>1.37089487802557</v>
      </c>
      <c r="D13" s="0" t="n">
        <v>1.24177368947246</v>
      </c>
      <c r="E13" s="0" t="n">
        <v>1.14245380088883</v>
      </c>
      <c r="F13" s="0" t="n">
        <v>1.09040739912939</v>
      </c>
      <c r="G13" s="0" t="n">
        <v>1.02289064187346</v>
      </c>
      <c r="H13" s="0" t="n">
        <v>0</v>
      </c>
      <c r="I13" s="0" t="n">
        <v>1.05309915737839</v>
      </c>
    </row>
    <row r="14" customFormat="false" ht="12" hidden="false" customHeight="false" outlineLevel="0" collapsed="false">
      <c r="A14" s="0" t="n">
        <v>0.67</v>
      </c>
      <c r="B14" s="0" t="n">
        <v>2.54182994913126</v>
      </c>
      <c r="C14" s="0" t="n">
        <v>2.05436653758837</v>
      </c>
      <c r="D14" s="0" t="n">
        <v>1.82940916866992</v>
      </c>
      <c r="E14" s="0" t="n">
        <v>1.69277310127669</v>
      </c>
      <c r="F14" s="0" t="n">
        <v>1.59076028032734</v>
      </c>
      <c r="G14" s="0" t="n">
        <v>1.49868345455158</v>
      </c>
      <c r="H14" s="0" t="n">
        <v>0</v>
      </c>
      <c r="I14" s="0" t="n">
        <v>1.60111749879216</v>
      </c>
    </row>
    <row r="15" customFormat="false" ht="12" hidden="false" customHeight="false" outlineLevel="0" collapsed="false">
      <c r="A15" s="0" t="n">
        <v>0.95</v>
      </c>
      <c r="B15" s="0" t="n">
        <v>9.63117412368017</v>
      </c>
      <c r="C15" s="0" t="n">
        <v>6.90371677558363</v>
      </c>
      <c r="D15" s="0" t="n">
        <v>6.25640844833889</v>
      </c>
      <c r="E15" s="0" t="n">
        <v>5.9515809748388</v>
      </c>
      <c r="F15" s="0" t="n">
        <v>6.21868681517139</v>
      </c>
      <c r="G15" s="0" t="n">
        <v>6.0176682790104</v>
      </c>
      <c r="H15" s="0" t="n">
        <v>0</v>
      </c>
      <c r="I15" s="0" t="n">
        <v>5.85417648808904</v>
      </c>
    </row>
    <row r="16" customFormat="false" ht="12" hidden="false" customHeight="false" outlineLevel="0" collapsed="false">
      <c r="A16" s="0" t="n">
        <v>1</v>
      </c>
      <c r="B16" s="0" t="n">
        <v>14.0676347135435</v>
      </c>
      <c r="C16" s="0" t="n">
        <v>10.2030119474292</v>
      </c>
      <c r="D16" s="0" t="n">
        <v>11.739867697187</v>
      </c>
      <c r="E16" s="0" t="n">
        <v>9.89024658142577</v>
      </c>
      <c r="F16" s="0" t="n">
        <v>9.79867217207175</v>
      </c>
      <c r="G16" s="0" t="n">
        <v>9.9765722672045</v>
      </c>
      <c r="H16" s="0" t="n">
        <v>0</v>
      </c>
      <c r="I16" s="0" t="n">
        <v>9.38228648269453</v>
      </c>
    </row>
    <row r="17" customFormat="false" ht="12" hidden="false" customHeight="false" outlineLevel="0" collapsed="false">
      <c r="A17" s="0" t="n">
        <v>1.05</v>
      </c>
      <c r="B17" s="0" t="n">
        <v>19.3884371701236</v>
      </c>
      <c r="C17" s="0" t="n">
        <v>17.9567594312335</v>
      </c>
      <c r="D17" s="0" t="n">
        <v>17.375467124997</v>
      </c>
      <c r="E17" s="0" t="n">
        <v>16.5015787003389</v>
      </c>
      <c r="F17" s="0" t="n">
        <v>18.6301549293934</v>
      </c>
      <c r="G17" s="0" t="n">
        <v>19.2520141097795</v>
      </c>
      <c r="H17" s="0" t="n">
        <v>0</v>
      </c>
      <c r="I17" s="0" t="n">
        <v>15.5863444951237</v>
      </c>
    </row>
    <row r="18" customFormat="false" ht="12" hidden="false" customHeight="false" outlineLevel="0" collapsed="false">
      <c r="A18" s="0" t="s">
        <v>24</v>
      </c>
      <c r="B18" s="0" t="n">
        <v>10.2854776958753</v>
      </c>
      <c r="C18" s="0" t="n">
        <v>8.4485894169555</v>
      </c>
      <c r="D18" s="0" t="n">
        <v>8.49671254165765</v>
      </c>
      <c r="E18" s="0" t="n">
        <v>7.76045439753362</v>
      </c>
      <c r="F18" s="0" t="n">
        <v>8.25969834645559</v>
      </c>
      <c r="G18" s="0" t="n">
        <v>8.38423956672013</v>
      </c>
      <c r="H18" s="0" t="n">
        <v>0</v>
      </c>
      <c r="I18" s="0" t="n">
        <v>7.3764531378854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L18" activeCellId="0" sqref="L18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B1" s="0" t="str">
        <f aca="false">STDI!B1</f>
        <v>Percent Informed</v>
      </c>
      <c r="K1" s="0" t="s">
        <v>30</v>
      </c>
    </row>
    <row r="2" customFormat="false" ht="12" hidden="false" customHeight="false" outlineLevel="0" collapsed="false">
      <c r="B2" s="10" t="s">
        <v>31</v>
      </c>
      <c r="C2" s="0" t="n">
        <v>0.17</v>
      </c>
      <c r="D2" s="0" t="n">
        <v>0.33</v>
      </c>
      <c r="E2" s="0" t="n">
        <v>0.5</v>
      </c>
      <c r="F2" s="0" t="n">
        <v>0.67</v>
      </c>
      <c r="G2" s="0" t="n">
        <v>0.83</v>
      </c>
      <c r="I2" s="0" t="str">
        <f aca="false">STDI!I2</f>
        <v>Grand Total</v>
      </c>
      <c r="K2" s="15" t="s">
        <v>24</v>
      </c>
    </row>
    <row r="3" customFormat="false" ht="12" hidden="false" customHeight="false" outlineLevel="0" collapsed="false">
      <c r="B3" s="10" t="s">
        <v>32</v>
      </c>
      <c r="C3" s="0" t="n">
        <v>-0.608941718515099</v>
      </c>
      <c r="D3" s="0" t="n">
        <v>-0.447012416365413</v>
      </c>
      <c r="E3" s="0" t="n">
        <v>-0.35040312074238</v>
      </c>
      <c r="F3" s="0" t="n">
        <v>-0.294184495244028</v>
      </c>
      <c r="G3" s="0" t="n">
        <v>-0.225091268429857</v>
      </c>
      <c r="I3" s="0" t="n">
        <f aca="false">STDI!I3-STDU!I3</f>
        <v>-0.373840535934363</v>
      </c>
      <c r="K3" s="18" t="n">
        <v>2.64625441562331</v>
      </c>
    </row>
    <row r="4" customFormat="false" ht="12" hidden="false" customHeight="false" outlineLevel="0" collapsed="false">
      <c r="B4" s="10" t="s">
        <v>33</v>
      </c>
      <c r="C4" s="0" t="n">
        <v>-0.777483129518144</v>
      </c>
      <c r="D4" s="0" t="n">
        <v>-0.533971754485117</v>
      </c>
      <c r="E4" s="0" t="n">
        <v>-0.373381407940646</v>
      </c>
      <c r="F4" s="0" t="n">
        <v>-0.235104387918035</v>
      </c>
      <c r="G4" s="0" t="n">
        <v>-0.166254792396115</v>
      </c>
      <c r="I4" s="0" t="n">
        <f aca="false">STDI!I4-STDU!I4</f>
        <v>-0.478214860950228</v>
      </c>
      <c r="K4" s="22" t="n">
        <v>3.22321604270496</v>
      </c>
    </row>
    <row r="5" customFormat="false" ht="12" hidden="false" customHeight="false" outlineLevel="0" collapsed="false">
      <c r="B5" s="10" t="s">
        <v>34</v>
      </c>
      <c r="C5" s="0" t="n">
        <v>-0.914218440581452</v>
      </c>
      <c r="D5" s="0" t="n">
        <v>-0.384657942696432</v>
      </c>
      <c r="E5" s="0" t="n">
        <v>-0.167394944345467</v>
      </c>
      <c r="F5" s="0" t="n">
        <v>-0.0940365153959206</v>
      </c>
      <c r="G5" s="0" t="n">
        <v>-0.00454836404205405</v>
      </c>
      <c r="I5" s="0" t="n">
        <f aca="false">STDI!I5-STDU!I5</f>
        <v>-0.748183362572636</v>
      </c>
      <c r="K5" s="22" t="n">
        <v>10.4040894267663</v>
      </c>
    </row>
    <row r="6" customFormat="false" ht="12" hidden="false" customHeight="false" outlineLevel="0" collapsed="false">
      <c r="B6" s="10" t="s">
        <v>35</v>
      </c>
      <c r="C6" s="0" t="n">
        <v>-0.973036783631574</v>
      </c>
      <c r="D6" s="0" t="n">
        <v>-0.306000698883754</v>
      </c>
      <c r="E6" s="0" t="n">
        <v>-0.0862656198961442</v>
      </c>
      <c r="F6" s="0" t="n">
        <v>-0.00790019833152655</v>
      </c>
      <c r="G6" s="0" t="n">
        <v>-0.0368762526872146</v>
      </c>
      <c r="I6" s="0" t="n">
        <f aca="false">STDI!I6-STDU!I6</f>
        <v>-0.749916275568769</v>
      </c>
      <c r="K6" s="22" t="n">
        <v>19.6384142006469</v>
      </c>
    </row>
    <row r="7" customFormat="false" ht="12" hidden="false" customHeight="false" outlineLevel="0" collapsed="false">
      <c r="B7" s="10" t="s">
        <v>36</v>
      </c>
      <c r="C7" s="0" t="n">
        <v>-1.09720248519364</v>
      </c>
      <c r="D7" s="0" t="n">
        <v>-0.316709029395742</v>
      </c>
      <c r="E7" s="0" t="n">
        <v>-0.0279893743408159</v>
      </c>
      <c r="F7" s="0" t="n">
        <v>-0.0757944696134594</v>
      </c>
      <c r="G7" s="0" t="n">
        <v>-0.11632030965302</v>
      </c>
      <c r="I7" s="0" t="n">
        <f aca="false">STDI!I7-STDU!I7</f>
        <v>-0.675733783622679</v>
      </c>
      <c r="K7" s="22" t="n">
        <v>33.7839293201319</v>
      </c>
    </row>
    <row r="8" customFormat="false" ht="12" hidden="false" customHeight="false" outlineLevel="0" collapsed="false">
      <c r="B8" s="10"/>
      <c r="I8" s="0" t="n">
        <f aca="false">STDI!I8-STDU!I8</f>
        <v>-0.617842147949263</v>
      </c>
      <c r="K8" s="26" t="n">
        <v>15.1789740806196</v>
      </c>
    </row>
    <row r="12" customFormat="false" ht="12" hidden="false" customHeight="false" outlineLevel="0" collapsed="false">
      <c r="B12" s="0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B11" colorId="64" zoomScale="100" zoomScaleNormal="100" zoomScalePageLayoutView="100" workbookViewId="0">
      <selection pane="topLeft" activeCell="H40" activeCellId="0" sqref="H40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8.87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38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 t="e">
        <f aca="false">#REF!</f>
        <v>#DIV/0!</v>
      </c>
      <c r="C3" s="17" t="n">
        <v>0.211358125322822</v>
      </c>
      <c r="D3" s="17" t="n">
        <v>0.203663571431583</v>
      </c>
      <c r="E3" s="17" t="n">
        <v>0.201735834145753</v>
      </c>
      <c r="F3" s="17" t="n">
        <v>0.196334178828568</v>
      </c>
      <c r="G3" s="17" t="n">
        <v>0.195930547725412</v>
      </c>
      <c r="H3" s="17" t="n">
        <v>0.19171409015646</v>
      </c>
      <c r="I3" s="18" t="n">
        <v>0.200122724601766</v>
      </c>
    </row>
    <row r="4" customFormat="false" ht="12" hidden="false" customHeight="false" outlineLevel="0" collapsed="false">
      <c r="A4" s="19" t="n">
        <v>0.67</v>
      </c>
      <c r="B4" s="20" t="e">
        <f aca="false">#REF!</f>
        <v>#DIV/0!</v>
      </c>
      <c r="C4" s="21" t="n">
        <v>0.2934071576077</v>
      </c>
      <c r="D4" s="21" t="n">
        <v>0.281947724124358</v>
      </c>
      <c r="E4" s="21" t="n">
        <v>0.276269249213218</v>
      </c>
      <c r="F4" s="21" t="n">
        <v>0.271225612104758</v>
      </c>
      <c r="G4" s="21" t="n">
        <v>0.267887544452353</v>
      </c>
      <c r="H4" s="21" t="n">
        <v>0.274509916764531</v>
      </c>
      <c r="I4" s="22" t="n">
        <v>0.277541200711153</v>
      </c>
    </row>
    <row r="5" customFormat="false" ht="12" hidden="false" customHeight="false" outlineLevel="0" collapsed="false">
      <c r="A5" s="19" t="n">
        <v>0.95</v>
      </c>
      <c r="B5" s="20" t="e">
        <f aca="false">#REF!</f>
        <v>#DIV/0!</v>
      </c>
      <c r="C5" s="21" t="n">
        <v>0.358928697424414</v>
      </c>
      <c r="D5" s="21" t="n">
        <v>0.363564782850856</v>
      </c>
      <c r="E5" s="21" t="n">
        <v>0.391270723475094</v>
      </c>
      <c r="F5" s="21" t="n">
        <v>0.337173892072457</v>
      </c>
      <c r="G5" s="21" t="n">
        <v>0.324186276955076</v>
      </c>
      <c r="H5" s="21" t="n">
        <v>0.329294425828695</v>
      </c>
      <c r="I5" s="22" t="n">
        <v>0.350736466434432</v>
      </c>
    </row>
    <row r="6" customFormat="false" ht="12" hidden="false" customHeight="false" outlineLevel="0" collapsed="false">
      <c r="A6" s="19" t="n">
        <v>1</v>
      </c>
      <c r="B6" s="20" t="e">
        <f aca="false">#REF!</f>
        <v>#DIV/0!</v>
      </c>
      <c r="C6" s="21" t="n">
        <v>0.367676503457008</v>
      </c>
      <c r="D6" s="21" t="n">
        <v>0.22035632659114</v>
      </c>
      <c r="E6" s="21" t="n">
        <v>0.325560525590848</v>
      </c>
      <c r="F6" s="21" t="n">
        <v>0.310907680463935</v>
      </c>
      <c r="G6" s="21" t="n">
        <v>0.293392636857773</v>
      </c>
      <c r="H6" s="21" t="n">
        <v>0.261944364033353</v>
      </c>
      <c r="I6" s="22" t="n">
        <v>0.296639672832343</v>
      </c>
    </row>
    <row r="7" customFormat="false" ht="12" hidden="false" customHeight="false" outlineLevel="0" collapsed="false">
      <c r="A7" s="19" t="n">
        <v>1.05</v>
      </c>
      <c r="B7" s="20" t="e">
        <f aca="false">#REF!</f>
        <v>#DIV/0!</v>
      </c>
      <c r="C7" s="21" t="n">
        <v>0.216857630824376</v>
      </c>
      <c r="D7" s="21" t="n">
        <v>0.134829031077272</v>
      </c>
      <c r="E7" s="21" t="n">
        <v>0.206063520195852</v>
      </c>
      <c r="F7" s="21" t="n">
        <v>0.0674909394036447</v>
      </c>
      <c r="G7" s="21" t="n">
        <v>0.0687892353605994</v>
      </c>
      <c r="H7" s="21" t="n">
        <v>0.226490283717574</v>
      </c>
      <c r="I7" s="22" t="n">
        <v>0.15342010676322</v>
      </c>
    </row>
    <row r="8" customFormat="false" ht="12" hidden="false" customHeight="false" outlineLevel="0" collapsed="false">
      <c r="A8" s="23" t="s">
        <v>24</v>
      </c>
      <c r="B8" s="24" t="e">
        <f aca="false">#REF!</f>
        <v>#DIV/0!</v>
      </c>
      <c r="C8" s="25" t="n">
        <v>0.289954028128844</v>
      </c>
      <c r="D8" s="25" t="n">
        <v>0.233427627405532</v>
      </c>
      <c r="E8" s="25" t="n">
        <v>0.278489623744058</v>
      </c>
      <c r="F8" s="25" t="n">
        <v>0.231046795793392</v>
      </c>
      <c r="G8" s="25" t="n">
        <v>0.224278858604236</v>
      </c>
      <c r="H8" s="25" t="n">
        <v>0.255311405250163</v>
      </c>
      <c r="I8" s="26" t="n">
        <v>0.252084723154371</v>
      </c>
    </row>
    <row r="9" customFormat="false" ht="12" hidden="false" customHeight="false" outlineLevel="0" collapsed="false">
      <c r="C9" s="0" t="n">
        <v>0.17</v>
      </c>
      <c r="D9" s="0" t="n">
        <v>0.33</v>
      </c>
      <c r="E9" s="0" t="n">
        <v>0.5</v>
      </c>
      <c r="F9" s="0" t="n">
        <v>0.67</v>
      </c>
      <c r="G9" s="0" t="n">
        <v>0.83</v>
      </c>
      <c r="H9" s="0" t="n">
        <v>1</v>
      </c>
    </row>
    <row r="10" customFormat="false" ht="12" hidden="false" customHeight="false" outlineLevel="0" collapsed="false">
      <c r="B10" s="0" t="n">
        <v>0.5</v>
      </c>
      <c r="C10" s="31" t="n">
        <v>0.211358125322822</v>
      </c>
      <c r="D10" s="31" t="n">
        <v>0.203663571431583</v>
      </c>
      <c r="E10" s="31" t="n">
        <v>0.201735834145753</v>
      </c>
      <c r="F10" s="31" t="n">
        <v>0.196334178828568</v>
      </c>
      <c r="G10" s="31" t="n">
        <v>0.195930547725412</v>
      </c>
      <c r="H10" s="31" t="n">
        <v>0.19171409015646</v>
      </c>
      <c r="I10" s="31" t="n">
        <v>0.200122724601766</v>
      </c>
    </row>
    <row r="11" customFormat="false" ht="12" hidden="false" customHeight="false" outlineLevel="0" collapsed="false">
      <c r="B11" s="0" t="n">
        <v>0.67</v>
      </c>
      <c r="C11" s="31" t="n">
        <v>0.2934071576077</v>
      </c>
      <c r="D11" s="31" t="n">
        <v>0.281947724124358</v>
      </c>
      <c r="E11" s="31" t="n">
        <v>0.276269249213218</v>
      </c>
      <c r="F11" s="31" t="n">
        <v>0.271225612104758</v>
      </c>
      <c r="G11" s="31" t="n">
        <v>0.267887544452353</v>
      </c>
      <c r="H11" s="31" t="n">
        <v>0.274509916764531</v>
      </c>
      <c r="I11" s="31" t="n">
        <v>0.277541200711153</v>
      </c>
    </row>
    <row r="12" customFormat="false" ht="12" hidden="false" customHeight="false" outlineLevel="0" collapsed="false">
      <c r="B12" s="0" t="n">
        <v>0.95</v>
      </c>
      <c r="C12" s="31" t="n">
        <v>0.358928697424414</v>
      </c>
      <c r="D12" s="31" t="n">
        <v>0.363564782850856</v>
      </c>
      <c r="E12" s="31" t="n">
        <v>0.391270723475094</v>
      </c>
      <c r="F12" s="31" t="n">
        <v>0.337173892072457</v>
      </c>
      <c r="G12" s="31" t="n">
        <v>0.324186276955076</v>
      </c>
      <c r="H12" s="31" t="n">
        <v>0.329294425828695</v>
      </c>
      <c r="I12" s="31" t="n">
        <v>0.350736466434432</v>
      </c>
    </row>
    <row r="13" customFormat="false" ht="12" hidden="false" customHeight="false" outlineLevel="0" collapsed="false">
      <c r="B13" s="0" t="n">
        <v>1</v>
      </c>
      <c r="C13" s="31" t="n">
        <v>0.367676503457008</v>
      </c>
      <c r="D13" s="31" t="n">
        <v>0.22035632659114</v>
      </c>
      <c r="E13" s="31" t="n">
        <v>0.325560525590848</v>
      </c>
      <c r="F13" s="31" t="n">
        <v>0.310907680463935</v>
      </c>
      <c r="G13" s="31" t="n">
        <v>0.293392636857773</v>
      </c>
      <c r="H13" s="31" t="n">
        <v>0.261944364033353</v>
      </c>
      <c r="I13" s="31" t="n">
        <v>0.296639672832343</v>
      </c>
    </row>
    <row r="14" customFormat="false" ht="12" hidden="false" customHeight="false" outlineLevel="0" collapsed="false">
      <c r="B14" s="0" t="n">
        <v>1.05</v>
      </c>
      <c r="C14" s="31" t="n">
        <v>0.216857630824376</v>
      </c>
      <c r="D14" s="31" t="n">
        <v>0.134829031077272</v>
      </c>
      <c r="E14" s="31" t="n">
        <v>0.206063520195852</v>
      </c>
      <c r="F14" s="31" t="n">
        <v>0.0674909394036447</v>
      </c>
      <c r="G14" s="31" t="n">
        <v>0.0687892353605994</v>
      </c>
      <c r="H14" s="31" t="n">
        <v>0.226490283717574</v>
      </c>
      <c r="I14" s="31" t="n">
        <v>0.15342010676322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B19" colorId="64" zoomScale="100" zoomScaleNormal="100" zoomScalePageLayoutView="100" workbookViewId="0">
      <selection pane="topLeft" activeCell="C12" activeCellId="0" sqref="C12:G16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30.86"/>
    <col collapsed="false" customWidth="true" hidden="false" outlineLevel="0" max="8" min="2" style="0" width="16.87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1" t="s">
        <v>39</v>
      </c>
      <c r="B1" s="12" t="s">
        <v>9</v>
      </c>
      <c r="C1" s="13"/>
      <c r="D1" s="13"/>
      <c r="E1" s="13"/>
      <c r="F1" s="13"/>
      <c r="G1" s="13"/>
      <c r="H1" s="13"/>
      <c r="I1" s="14"/>
    </row>
    <row r="2" customFormat="false" ht="12" hidden="false" customHeight="false" outlineLevel="0" collapsed="false">
      <c r="A2" s="12" t="s">
        <v>23</v>
      </c>
      <c r="B2" s="11" t="n">
        <v>0</v>
      </c>
      <c r="C2" s="13" t="n">
        <v>0.17</v>
      </c>
      <c r="D2" s="13" t="n">
        <v>0.33</v>
      </c>
      <c r="E2" s="13" t="n">
        <v>0.5</v>
      </c>
      <c r="F2" s="13" t="n">
        <v>0.67</v>
      </c>
      <c r="G2" s="13" t="n">
        <v>0.83</v>
      </c>
      <c r="H2" s="13" t="n">
        <v>1</v>
      </c>
      <c r="I2" s="15" t="s">
        <v>24</v>
      </c>
    </row>
    <row r="3" customFormat="false" ht="12" hidden="false" customHeight="false" outlineLevel="0" collapsed="false">
      <c r="A3" s="11" t="n">
        <v>0.5</v>
      </c>
      <c r="B3" s="16"/>
      <c r="C3" s="17" t="n">
        <v>0.0312224768158103</v>
      </c>
      <c r="D3" s="17" t="n">
        <v>0.0462293051908286</v>
      </c>
      <c r="E3" s="17" t="n">
        <v>0.066317752711506</v>
      </c>
      <c r="F3" s="17" t="n">
        <v>0.0756685258971875</v>
      </c>
      <c r="G3" s="17" t="n">
        <v>0.0867741750593032</v>
      </c>
      <c r="H3" s="17" t="e">
        <f aca="false">#REF!</f>
        <v>#DIV/0!</v>
      </c>
      <c r="I3" s="18" t="n">
        <v>0.0612424471349271</v>
      </c>
    </row>
    <row r="4" customFormat="false" ht="12" hidden="false" customHeight="false" outlineLevel="0" collapsed="false">
      <c r="A4" s="19" t="n">
        <v>0.67</v>
      </c>
      <c r="B4" s="20" t="e">
        <f aca="false">#REF!</f>
        <v>#DIV/0!</v>
      </c>
      <c r="C4" s="21" t="n">
        <v>0.0733849881760913</v>
      </c>
      <c r="D4" s="21" t="n">
        <v>0.105789109953036</v>
      </c>
      <c r="E4" s="21" t="n">
        <v>0.132745724799363</v>
      </c>
      <c r="F4" s="21" t="n">
        <v>0.156412192643861</v>
      </c>
      <c r="G4" s="21" t="n">
        <v>0.170741370955486</v>
      </c>
      <c r="H4" s="21" t="e">
        <f aca="false">#REF!</f>
        <v>#DIV/0!</v>
      </c>
      <c r="I4" s="22" t="n">
        <v>0.127814677305567</v>
      </c>
    </row>
    <row r="5" customFormat="false" ht="12" hidden="false" customHeight="false" outlineLevel="0" collapsed="false">
      <c r="A5" s="19" t="n">
        <v>0.95</v>
      </c>
      <c r="B5" s="20"/>
      <c r="C5" s="21" t="n">
        <v>0.209352925208425</v>
      </c>
      <c r="D5" s="21" t="n">
        <v>0.276982938836773</v>
      </c>
      <c r="E5" s="21" t="n">
        <v>0.33031730025282</v>
      </c>
      <c r="F5" s="21" t="n">
        <v>0.289177378014525</v>
      </c>
      <c r="G5" s="21" t="n">
        <v>0.27879912137756</v>
      </c>
      <c r="H5" s="21" t="e">
        <f aca="false">#REF!</f>
        <v>#DIV/0!</v>
      </c>
      <c r="I5" s="22" t="n">
        <v>0.276925932738021</v>
      </c>
    </row>
    <row r="6" customFormat="false" ht="12" hidden="false" customHeight="false" outlineLevel="0" collapsed="false">
      <c r="A6" s="19" t="n">
        <v>1</v>
      </c>
      <c r="B6" s="20" t="e">
        <f aca="false">#REF!</f>
        <v>#DIV/0!</v>
      </c>
      <c r="C6" s="21" t="n">
        <v>0.267850156671681</v>
      </c>
      <c r="D6" s="21" t="n">
        <v>0.161285036368615</v>
      </c>
      <c r="E6" s="21" t="n">
        <v>0.290291384117174</v>
      </c>
      <c r="F6" s="21" t="n">
        <v>0.282856533847211</v>
      </c>
      <c r="G6" s="21" t="n">
        <v>0.269739476286184</v>
      </c>
      <c r="H6" s="21" t="e">
        <f aca="false">#REF!</f>
        <v>#DIV/0!</v>
      </c>
      <c r="I6" s="22" t="n">
        <v>0.254404517458173</v>
      </c>
    </row>
    <row r="7" customFormat="false" ht="12" hidden="false" customHeight="false" outlineLevel="0" collapsed="false">
      <c r="A7" s="19" t="n">
        <v>1.05</v>
      </c>
      <c r="B7" s="20" t="e">
        <f aca="false">#REF!</f>
        <v>#DIV/0!</v>
      </c>
      <c r="C7" s="21" t="n">
        <v>0.139914611961786</v>
      </c>
      <c r="D7" s="21" t="n">
        <v>0.0950046781713791</v>
      </c>
      <c r="E7" s="21" t="n">
        <v>0.177370806641601</v>
      </c>
      <c r="F7" s="21" t="n">
        <v>0.0484019610146112</v>
      </c>
      <c r="G7" s="21" t="n">
        <v>0.0537399069477736</v>
      </c>
      <c r="H7" s="21" t="e">
        <f aca="false">#REF!</f>
        <v>#DIV/0!</v>
      </c>
      <c r="I7" s="22" t="n">
        <v>0.10288639294743</v>
      </c>
    </row>
    <row r="8" customFormat="false" ht="12" hidden="false" customHeight="false" outlineLevel="0" collapsed="false">
      <c r="A8" s="23" t="s">
        <v>24</v>
      </c>
      <c r="B8" s="24" t="e">
        <f aca="false">#REF!</f>
        <v>#DIV/0!</v>
      </c>
      <c r="C8" s="25" t="n">
        <v>0.151349426184403</v>
      </c>
      <c r="D8" s="25" t="n">
        <v>0.136009583535406</v>
      </c>
      <c r="E8" s="25" t="n">
        <v>0.203458299783892</v>
      </c>
      <c r="F8" s="25" t="n">
        <v>0.169929898183177</v>
      </c>
      <c r="G8" s="25" t="n">
        <v>0.170756560888993</v>
      </c>
      <c r="H8" s="25" t="e">
        <f aca="false">#REF!</f>
        <v>#DIV/0!</v>
      </c>
      <c r="I8" s="26" t="n">
        <v>0.166300753715174</v>
      </c>
    </row>
    <row r="11" customFormat="false" ht="12" hidden="false" customHeight="false" outlineLevel="0" collapsed="false">
      <c r="A11" s="12" t="s">
        <v>23</v>
      </c>
      <c r="B11" s="27"/>
      <c r="C11" s="13" t="n">
        <v>0.17</v>
      </c>
      <c r="D11" s="13" t="n">
        <v>0.33</v>
      </c>
      <c r="E11" s="13" t="n">
        <v>0.5</v>
      </c>
      <c r="F11" s="13" t="n">
        <v>0.67</v>
      </c>
      <c r="G11" s="13" t="n">
        <v>0.83</v>
      </c>
      <c r="H11" s="13"/>
      <c r="I11" s="15"/>
    </row>
    <row r="12" customFormat="false" ht="12" hidden="false" customHeight="false" outlineLevel="0" collapsed="false">
      <c r="B12" s="27" t="n">
        <v>0.5</v>
      </c>
      <c r="C12" s="32" t="n">
        <v>0.0312224768158103</v>
      </c>
      <c r="D12" s="32" t="n">
        <v>0.0462293051908286</v>
      </c>
      <c r="E12" s="32" t="n">
        <v>0.066317752711506</v>
      </c>
      <c r="F12" s="32" t="n">
        <v>0.0756685258971875</v>
      </c>
      <c r="G12" s="32" t="n">
        <v>0.0867741750593032</v>
      </c>
      <c r="H12" s="17"/>
      <c r="I12" s="18"/>
    </row>
    <row r="13" customFormat="false" ht="12" hidden="false" customHeight="false" outlineLevel="0" collapsed="false">
      <c r="B13" s="19" t="n">
        <v>0.67</v>
      </c>
      <c r="C13" s="31" t="n">
        <v>0.0733849881760913</v>
      </c>
      <c r="D13" s="31" t="n">
        <v>0.105789109953036</v>
      </c>
      <c r="E13" s="31" t="n">
        <v>0.132745724799363</v>
      </c>
      <c r="F13" s="31" t="n">
        <v>0.156412192643861</v>
      </c>
      <c r="G13" s="31" t="n">
        <v>0.170741370955486</v>
      </c>
      <c r="H13" s="21"/>
      <c r="I13" s="22"/>
    </row>
    <row r="14" customFormat="false" ht="12" hidden="false" customHeight="false" outlineLevel="0" collapsed="false">
      <c r="B14" s="19" t="n">
        <v>0.95</v>
      </c>
      <c r="C14" s="31" t="n">
        <v>0.209352925208425</v>
      </c>
      <c r="D14" s="31" t="n">
        <v>0.276982938836773</v>
      </c>
      <c r="E14" s="31" t="n">
        <v>0.33031730025282</v>
      </c>
      <c r="F14" s="31" t="n">
        <v>0.289177378014525</v>
      </c>
      <c r="G14" s="31" t="n">
        <v>0.27879912137756</v>
      </c>
      <c r="H14" s="21"/>
      <c r="I14" s="22"/>
    </row>
    <row r="15" customFormat="false" ht="12" hidden="false" customHeight="false" outlineLevel="0" collapsed="false">
      <c r="B15" s="19" t="n">
        <v>1</v>
      </c>
      <c r="C15" s="31" t="n">
        <v>0.267850156671681</v>
      </c>
      <c r="D15" s="31" t="n">
        <v>0.161285036368615</v>
      </c>
      <c r="E15" s="31" t="n">
        <v>0.290291384117174</v>
      </c>
      <c r="F15" s="31" t="n">
        <v>0.282856533847211</v>
      </c>
      <c r="G15" s="31" t="n">
        <v>0.269739476286184</v>
      </c>
      <c r="H15" s="21"/>
      <c r="I15" s="22"/>
    </row>
    <row r="16" customFormat="false" ht="12" hidden="false" customHeight="false" outlineLevel="0" collapsed="false">
      <c r="B16" s="19" t="n">
        <v>1.05</v>
      </c>
      <c r="C16" s="31" t="n">
        <v>0.139914611961786</v>
      </c>
      <c r="D16" s="31" t="n">
        <v>0.0950046781713791</v>
      </c>
      <c r="E16" s="31" t="n">
        <v>0.177370806641601</v>
      </c>
      <c r="F16" s="31" t="n">
        <v>0.0484019610146112</v>
      </c>
      <c r="G16" s="31" t="n">
        <v>0.0537399069477736</v>
      </c>
      <c r="H16" s="21"/>
      <c r="I16" s="22"/>
    </row>
    <row r="17" customFormat="false" ht="12" hidden="false" customHeight="false" outlineLevel="0" collapsed="false">
      <c r="A17" s="33"/>
      <c r="B17" s="24"/>
      <c r="C17" s="25"/>
      <c r="D17" s="25"/>
      <c r="E17" s="25"/>
      <c r="F17" s="25"/>
      <c r="G17" s="25"/>
      <c r="H17" s="25"/>
      <c r="I17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1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H127" activeCellId="0" sqref="H127"/>
    </sheetView>
  </sheetViews>
  <sheetFormatPr defaultColWidth="9.05078125" defaultRowHeight="12" customHeight="false" zeroHeight="false" outlineLevelRow="0" outlineLevelCol="0"/>
  <sheetData>
    <row r="2" customFormat="false" ht="12.75" hidden="false" customHeight="false" outlineLevel="0" collapsed="false">
      <c r="A2" s="0" t="s">
        <v>23</v>
      </c>
      <c r="B2" s="0" t="s">
        <v>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34" t="s">
        <v>45</v>
      </c>
      <c r="I2" s="34" t="s">
        <v>46</v>
      </c>
    </row>
    <row r="3" customFormat="false" ht="12" hidden="false" customHeight="false" outlineLevel="0" collapsed="false">
      <c r="A3" s="0" t="n">
        <v>1.05</v>
      </c>
      <c r="B3" s="0" t="n">
        <v>1</v>
      </c>
      <c r="C3" s="10" t="n">
        <v>31.6824772901007</v>
      </c>
      <c r="D3" s="10" t="s">
        <v>31</v>
      </c>
      <c r="E3" s="10" t="n">
        <v>31.6824772901007</v>
      </c>
      <c r="F3" s="35" t="n">
        <v>0.244897113649111</v>
      </c>
      <c r="G3" s="35" t="s">
        <v>31</v>
      </c>
      <c r="H3" s="36" t="n">
        <v>16.5870821929673</v>
      </c>
      <c r="I3" s="36" t="n">
        <v>0</v>
      </c>
    </row>
    <row r="4" customFormat="false" ht="12" hidden="false" customHeight="false" outlineLevel="0" collapsed="false">
      <c r="A4" s="0" t="n">
        <v>1.05</v>
      </c>
      <c r="B4" s="0" t="n">
        <v>0.83</v>
      </c>
      <c r="C4" s="10" t="n">
        <v>39.1858281079524</v>
      </c>
      <c r="D4" s="10" t="n">
        <v>40.0749837249413</v>
      </c>
      <c r="E4" s="10" t="n">
        <v>39.3360954072235</v>
      </c>
      <c r="F4" s="35" t="n">
        <v>0.0660663420530577</v>
      </c>
      <c r="G4" s="35" t="n">
        <v>0.0448746919603049</v>
      </c>
      <c r="H4" s="36" t="n">
        <v>21.3661292639075</v>
      </c>
      <c r="I4" s="36" t="n">
        <v>21.231430693714</v>
      </c>
    </row>
    <row r="5" customFormat="false" ht="12" hidden="false" customHeight="false" outlineLevel="0" collapsed="false">
      <c r="A5" s="0" t="n">
        <v>1.05</v>
      </c>
      <c r="B5" s="0" t="n">
        <v>0.67</v>
      </c>
      <c r="C5" s="10" t="n">
        <v>40.7129783742515</v>
      </c>
      <c r="D5" s="10" t="n">
        <v>41.8324972759071</v>
      </c>
      <c r="E5" s="10" t="n">
        <v>41.0802925258847</v>
      </c>
      <c r="F5" s="35" t="n">
        <v>0.0296690754057842</v>
      </c>
      <c r="G5" s="35" t="n">
        <v>0.00298707241011999</v>
      </c>
      <c r="H5" s="36" t="n">
        <v>20.9718418804741</v>
      </c>
      <c r="I5" s="36" t="n">
        <v>20.7562447079636</v>
      </c>
    </row>
    <row r="6" customFormat="false" ht="12" hidden="false" customHeight="false" outlineLevel="0" collapsed="false">
      <c r="A6" s="0" t="n">
        <v>1.05</v>
      </c>
      <c r="B6" s="0" t="n">
        <v>0.5</v>
      </c>
      <c r="C6" s="10" t="n">
        <v>32.0709537391472</v>
      </c>
      <c r="D6" s="10" t="n">
        <v>33.0721576956704</v>
      </c>
      <c r="E6" s="10" t="n">
        <v>32.5679847566305</v>
      </c>
      <c r="F6" s="35" t="n">
        <v>0.235638377810105</v>
      </c>
      <c r="G6" s="35" t="n">
        <v>0.211776228696126</v>
      </c>
      <c r="H6" s="36" t="n">
        <v>17.3020789856854</v>
      </c>
      <c r="I6" s="36" t="n">
        <v>16.9172866374432</v>
      </c>
    </row>
    <row r="7" customFormat="false" ht="12" hidden="false" customHeight="false" outlineLevel="0" collapsed="false">
      <c r="A7" s="0" t="n">
        <v>1.05</v>
      </c>
      <c r="B7" s="0" t="n">
        <v>0.33</v>
      </c>
      <c r="C7" s="10" t="n">
        <v>33.9726863354875</v>
      </c>
      <c r="D7" s="10" t="n">
        <v>35.5705864876039</v>
      </c>
      <c r="E7" s="10" t="n">
        <v>35.0456230242952</v>
      </c>
      <c r="F7" s="35" t="n">
        <v>0.190313520179328</v>
      </c>
      <c r="G7" s="35" t="n">
        <v>0.152230039335466</v>
      </c>
      <c r="H7" s="36" t="n">
        <v>18.0957058998062</v>
      </c>
      <c r="I7" s="36" t="n">
        <v>18.2271417370074</v>
      </c>
    </row>
    <row r="8" customFormat="false" ht="12" hidden="false" customHeight="false" outlineLevel="0" collapsed="false">
      <c r="A8" s="0" t="n">
        <v>1.05</v>
      </c>
      <c r="B8" s="0" t="n">
        <v>0.17</v>
      </c>
      <c r="C8" s="10" t="n">
        <v>30.2944123456496</v>
      </c>
      <c r="D8" s="10" t="n">
        <v>33.8178401036531</v>
      </c>
      <c r="E8" s="10" t="n">
        <v>33.2081696539265</v>
      </c>
      <c r="F8" s="35" t="n">
        <v>0.277979496582752</v>
      </c>
      <c r="G8" s="35" t="n">
        <v>0.19400404082669</v>
      </c>
      <c r="H8" s="36" t="n">
        <v>16.3892829984699</v>
      </c>
      <c r="I8" s="36" t="n">
        <v>17.5750577721932</v>
      </c>
    </row>
    <row r="9" customFormat="false" ht="12" hidden="false" customHeight="false" outlineLevel="0" collapsed="false">
      <c r="A9" s="0" t="n">
        <v>1.05</v>
      </c>
      <c r="B9" s="0" t="n">
        <v>0</v>
      </c>
      <c r="C9" s="10" t="s">
        <v>31</v>
      </c>
      <c r="D9" s="10" t="n">
        <v>41.957828347352</v>
      </c>
      <c r="E9" s="10" t="s">
        <v>31</v>
      </c>
      <c r="F9" s="35"/>
      <c r="G9" s="35"/>
      <c r="H9" s="36" t="n">
        <v>0</v>
      </c>
      <c r="I9" s="36" t="n">
        <v>19.9785381522874</v>
      </c>
    </row>
    <row r="10" customFormat="false" ht="12" hidden="false" customHeight="false" outlineLevel="0" collapsed="false">
      <c r="A10" s="0" t="n">
        <v>1</v>
      </c>
      <c r="B10" s="0" t="n">
        <v>1</v>
      </c>
      <c r="C10" s="10" t="n">
        <v>17.7358946525296</v>
      </c>
      <c r="D10" s="10" t="s">
        <v>31</v>
      </c>
      <c r="E10" s="10" t="n">
        <v>17.7358946525296</v>
      </c>
      <c r="F10" s="35" t="n">
        <v>0.400530364273952</v>
      </c>
      <c r="G10" s="35" t="s">
        <v>31</v>
      </c>
      <c r="H10" s="36" t="n">
        <v>9.71956231221947</v>
      </c>
      <c r="I10" s="36" t="n">
        <v>0</v>
      </c>
    </row>
    <row r="11" customFormat="false" ht="12" hidden="false" customHeight="false" outlineLevel="0" collapsed="false">
      <c r="A11" s="0" t="n">
        <v>1</v>
      </c>
      <c r="B11" s="0" t="n">
        <v>0.83</v>
      </c>
      <c r="C11" s="10" t="n">
        <v>18.3709912448051</v>
      </c>
      <c r="D11" s="10" t="n">
        <v>18.6367730622531</v>
      </c>
      <c r="E11" s="10" t="n">
        <v>18.4158197780147</v>
      </c>
      <c r="F11" s="35" t="n">
        <v>0.379064228492189</v>
      </c>
      <c r="G11" s="35" t="n">
        <v>0.370080857063255</v>
      </c>
      <c r="H11" s="36" t="n">
        <v>10.4462044081009</v>
      </c>
      <c r="I11" s="36" t="n">
        <v>10.2045446100475</v>
      </c>
    </row>
    <row r="12" customFormat="false" ht="12" hidden="false" customHeight="false" outlineLevel="0" collapsed="false">
      <c r="A12" s="0" t="n">
        <v>1</v>
      </c>
      <c r="B12" s="0" t="n">
        <v>0.67</v>
      </c>
      <c r="C12" s="10" t="n">
        <v>18.7607152034159</v>
      </c>
      <c r="D12" s="10" t="n">
        <v>19.5079122564615</v>
      </c>
      <c r="E12" s="10" t="n">
        <v>19.012047385492</v>
      </c>
      <c r="F12" s="35" t="n">
        <v>0.365891637874168</v>
      </c>
      <c r="G12" s="35" t="n">
        <v>0.340636529294635</v>
      </c>
      <c r="H12" s="36" t="n">
        <v>10.0007206725747</v>
      </c>
      <c r="I12" s="36" t="n">
        <v>9.96824961616845</v>
      </c>
    </row>
    <row r="13" customFormat="false" ht="12" hidden="false" customHeight="false" outlineLevel="0" collapsed="false">
      <c r="A13" s="0" t="n">
        <v>1</v>
      </c>
      <c r="B13" s="0" t="n">
        <v>0.5</v>
      </c>
      <c r="C13" s="10" t="n">
        <v>18.3480338577824</v>
      </c>
      <c r="D13" s="10" t="n">
        <v>19.3728053045678</v>
      </c>
      <c r="E13" s="10" t="n">
        <v>18.8645869850587</v>
      </c>
      <c r="F13" s="35" t="n">
        <v>0.37984018350914</v>
      </c>
      <c r="G13" s="35" t="n">
        <v>0.345203116817987</v>
      </c>
      <c r="H13" s="36" t="n">
        <v>10.0000252832503</v>
      </c>
      <c r="I13" s="36" t="n">
        <v>9.91911190454</v>
      </c>
    </row>
    <row r="14" customFormat="false" ht="12" hidden="false" customHeight="false" outlineLevel="0" collapsed="false">
      <c r="A14" s="0" t="n">
        <v>1</v>
      </c>
      <c r="B14" s="0" t="n">
        <v>0.33</v>
      </c>
      <c r="C14" s="10" t="n">
        <v>19.2790584543444</v>
      </c>
      <c r="D14" s="10" t="n">
        <v>20.6461172548237</v>
      </c>
      <c r="E14" s="10" t="n">
        <v>20.1930283997182</v>
      </c>
      <c r="F14" s="35" t="n">
        <v>0.348371741308318</v>
      </c>
      <c r="G14" s="35" t="n">
        <v>0.302165431607298</v>
      </c>
      <c r="H14" s="36" t="n">
        <v>10.7677791503404</v>
      </c>
      <c r="I14" s="36" t="n">
        <v>11.1347496627267</v>
      </c>
    </row>
    <row r="15" customFormat="false" ht="12" hidden="false" customHeight="false" outlineLevel="0" collapsed="false">
      <c r="A15" s="0" t="n">
        <v>1</v>
      </c>
      <c r="B15" s="0" t="n">
        <v>0.17</v>
      </c>
      <c r="C15" s="10" t="n">
        <v>15.2360685686096</v>
      </c>
      <c r="D15" s="10" t="n">
        <v>17.9761645156795</v>
      </c>
      <c r="E15" s="10" t="n">
        <v>17.5064207338202</v>
      </c>
      <c r="F15" s="35" t="n">
        <v>0.485023978002779</v>
      </c>
      <c r="G15" s="35" t="n">
        <v>0.392409291716846</v>
      </c>
      <c r="H15" s="36" t="n">
        <v>8.60724549327703</v>
      </c>
      <c r="I15" s="36" t="n">
        <v>9.66549216645627</v>
      </c>
    </row>
    <row r="16" customFormat="false" ht="12" hidden="false" customHeight="false" outlineLevel="0" collapsed="false">
      <c r="A16" s="0" t="n">
        <v>1</v>
      </c>
      <c r="B16" s="0" t="n">
        <v>0</v>
      </c>
      <c r="C16" s="10" t="s">
        <v>31</v>
      </c>
      <c r="D16" s="10" t="n">
        <v>29.5859766626024</v>
      </c>
      <c r="E16" s="10" t="s">
        <v>31</v>
      </c>
      <c r="F16" s="35"/>
      <c r="G16" s="35"/>
      <c r="H16" s="36" t="n">
        <v>0</v>
      </c>
      <c r="I16" s="36" t="n">
        <v>16.1390985339157</v>
      </c>
    </row>
    <row r="17" customFormat="false" ht="12" hidden="false" customHeight="false" outlineLevel="0" collapsed="false">
      <c r="A17" s="0" t="n">
        <v>0.95</v>
      </c>
      <c r="B17" s="0" t="n">
        <v>1</v>
      </c>
      <c r="C17" s="10" t="n">
        <v>9.89345491951361</v>
      </c>
      <c r="D17" s="10" t="s">
        <v>31</v>
      </c>
      <c r="E17" s="10" t="n">
        <v>9.89345491951361</v>
      </c>
      <c r="F17" s="35" t="n">
        <v>0.346902225758536</v>
      </c>
      <c r="G17" s="35" t="s">
        <v>31</v>
      </c>
      <c r="H17" s="36" t="n">
        <v>5.5278837762796</v>
      </c>
      <c r="I17" s="36" t="n">
        <v>0</v>
      </c>
    </row>
    <row r="18" customFormat="false" ht="12" hidden="false" customHeight="false" outlineLevel="0" collapsed="false">
      <c r="A18" s="0" t="n">
        <v>0.95</v>
      </c>
      <c r="B18" s="0" t="n">
        <v>0.83</v>
      </c>
      <c r="C18" s="10" t="n">
        <v>9.29860624287498</v>
      </c>
      <c r="D18" s="10" t="n">
        <v>9.87884327408574</v>
      </c>
      <c r="E18" s="10" t="n">
        <v>9.39995431099312</v>
      </c>
      <c r="F18" s="35" t="n">
        <v>0.386170039670228</v>
      </c>
      <c r="G18" s="35" t="n">
        <v>0.347866785983916</v>
      </c>
      <c r="H18" s="36" t="n">
        <v>5.84495559776001</v>
      </c>
      <c r="I18" s="36" t="n">
        <v>5.77058170303519</v>
      </c>
    </row>
    <row r="19" customFormat="false" ht="12" hidden="false" customHeight="false" outlineLevel="0" collapsed="false">
      <c r="A19" s="0" t="n">
        <v>0.95</v>
      </c>
      <c r="B19" s="0" t="n">
        <v>0.67</v>
      </c>
      <c r="C19" s="10" t="n">
        <v>9.89278568806361</v>
      </c>
      <c r="D19" s="10" t="n">
        <v>10.5575919331633</v>
      </c>
      <c r="E19" s="10" t="n">
        <v>10.1171577957848</v>
      </c>
      <c r="F19" s="35" t="n">
        <v>0.346946403810996</v>
      </c>
      <c r="G19" s="35" t="n">
        <v>0.303060472909336</v>
      </c>
      <c r="H19" s="36" t="n">
        <v>6.04449888655839</v>
      </c>
      <c r="I19" s="36" t="n">
        <v>6.04682414761005</v>
      </c>
    </row>
    <row r="20" customFormat="false" ht="12" hidden="false" customHeight="false" outlineLevel="0" collapsed="false">
      <c r="A20" s="0" t="n">
        <v>0.95</v>
      </c>
      <c r="B20" s="0" t="n">
        <v>0.5</v>
      </c>
      <c r="C20" s="10" t="n">
        <v>9.14413277005846</v>
      </c>
      <c r="D20" s="10" t="n">
        <v>10.0358767969109</v>
      </c>
      <c r="E20" s="10" t="n">
        <v>9.58935083786499</v>
      </c>
      <c r="F20" s="35" t="n">
        <v>0.396367314747191</v>
      </c>
      <c r="G20" s="35" t="n">
        <v>0.33750051403213</v>
      </c>
      <c r="H20" s="36" t="n">
        <v>5.58716750005077</v>
      </c>
      <c r="I20" s="36" t="n">
        <v>5.69354268017207</v>
      </c>
    </row>
    <row r="21" customFormat="false" ht="12" hidden="false" customHeight="false" outlineLevel="0" collapsed="false">
      <c r="A21" s="0" t="n">
        <v>0.95</v>
      </c>
      <c r="B21" s="0" t="n">
        <v>0.33</v>
      </c>
      <c r="C21" s="10" t="n">
        <v>9.52204404734523</v>
      </c>
      <c r="D21" s="10" t="n">
        <v>10.8188886659546</v>
      </c>
      <c r="E21" s="10" t="n">
        <v>10.3949069319773</v>
      </c>
      <c r="F21" s="35" t="n">
        <v>0.371420214258571</v>
      </c>
      <c r="G21" s="35" t="n">
        <v>0.285811461720539</v>
      </c>
      <c r="H21" s="36" t="n">
        <v>5.82667189236519</v>
      </c>
      <c r="I21" s="36" t="n">
        <v>6.03629231822704</v>
      </c>
    </row>
    <row r="22" customFormat="false" ht="12" hidden="false" customHeight="false" outlineLevel="0" collapsed="false">
      <c r="A22" s="0" t="n">
        <v>0.95</v>
      </c>
      <c r="B22" s="0" t="n">
        <v>0.17</v>
      </c>
      <c r="C22" s="10" t="n">
        <v>10.114132084475</v>
      </c>
      <c r="D22" s="10" t="n">
        <v>12.4891106496573</v>
      </c>
      <c r="E22" s="10" t="n">
        <v>12.0802976726373</v>
      </c>
      <c r="F22" s="35" t="n">
        <v>0.332334638759382</v>
      </c>
      <c r="G22" s="35" t="n">
        <v>0.175554906359492</v>
      </c>
      <c r="H22" s="36" t="n">
        <v>6.31312799319256</v>
      </c>
      <c r="I22" s="36" t="n">
        <v>7.01164552560548</v>
      </c>
    </row>
    <row r="23" customFormat="false" ht="12" hidden="false" customHeight="false" outlineLevel="0" collapsed="false">
      <c r="A23" s="0" t="n">
        <v>0.95</v>
      </c>
      <c r="B23" s="0" t="n">
        <v>0</v>
      </c>
      <c r="C23" s="10" t="s">
        <v>31</v>
      </c>
      <c r="D23" s="10" t="n">
        <v>15.1485050320441</v>
      </c>
      <c r="E23" s="10" t="s">
        <v>31</v>
      </c>
      <c r="F23" s="35"/>
      <c r="G23" s="35"/>
      <c r="H23" s="36" t="n">
        <v>0</v>
      </c>
      <c r="I23" s="36" t="n">
        <v>9.80464886939862</v>
      </c>
    </row>
    <row r="24" customFormat="false" ht="12" hidden="false" customHeight="false" outlineLevel="0" collapsed="false">
      <c r="A24" s="0" t="n">
        <v>0.67</v>
      </c>
      <c r="B24" s="0" t="n">
        <v>1</v>
      </c>
      <c r="C24" s="10" t="n">
        <v>2.91157418126176</v>
      </c>
      <c r="D24" s="10" t="s">
        <v>31</v>
      </c>
      <c r="E24" s="10" t="n">
        <v>2.91157418126176</v>
      </c>
      <c r="F24" s="35" t="n">
        <v>0.259688679636183</v>
      </c>
      <c r="G24" s="0" t="s">
        <v>31</v>
      </c>
      <c r="H24" s="36" t="n">
        <v>1.27466110075123</v>
      </c>
      <c r="I24" s="36" t="n">
        <v>0</v>
      </c>
    </row>
    <row r="25" customFormat="false" ht="12" hidden="false" customHeight="false" outlineLevel="0" collapsed="false">
      <c r="A25" s="0" t="n">
        <v>0.67</v>
      </c>
      <c r="B25" s="0" t="n">
        <v>0.83</v>
      </c>
      <c r="C25" s="10" t="n">
        <v>2.90938963182498</v>
      </c>
      <c r="D25" s="10" t="n">
        <v>3.30237616038501</v>
      </c>
      <c r="E25" s="10" t="n">
        <v>2.97621044123114</v>
      </c>
      <c r="F25" s="35" t="n">
        <v>0.260244134032073</v>
      </c>
      <c r="G25" s="35" t="n">
        <v>0.160321426338124</v>
      </c>
      <c r="H25" s="36" t="n">
        <v>1.29715076882632</v>
      </c>
      <c r="I25" s="36" t="n">
        <v>1.47933508012115</v>
      </c>
    </row>
    <row r="26" customFormat="false" ht="12" hidden="false" customHeight="false" outlineLevel="0" collapsed="false">
      <c r="A26" s="0" t="n">
        <v>0.67</v>
      </c>
      <c r="B26" s="0" t="n">
        <v>0.67</v>
      </c>
      <c r="C26" s="10" t="n">
        <v>2.89099783204972</v>
      </c>
      <c r="D26" s="10" t="n">
        <v>3.35602932241467</v>
      </c>
      <c r="E26" s="10" t="n">
        <v>3.04836448838922</v>
      </c>
      <c r="F26" s="35" t="n">
        <v>0.264920524440779</v>
      </c>
      <c r="G26" s="35" t="n">
        <v>0.146679306731659</v>
      </c>
      <c r="H26" s="36" t="n">
        <v>1.32147668928259</v>
      </c>
      <c r="I26" s="36" t="n">
        <v>1.58652006404682</v>
      </c>
    </row>
    <row r="27" customFormat="false" ht="12" hidden="false" customHeight="false" outlineLevel="0" collapsed="false">
      <c r="A27" s="0" t="n">
        <v>0.67</v>
      </c>
      <c r="B27" s="0" t="n">
        <v>0.5</v>
      </c>
      <c r="C27" s="10" t="n">
        <v>2.86530603166421</v>
      </c>
      <c r="D27" s="10" t="n">
        <v>3.44789978356641</v>
      </c>
      <c r="E27" s="10" t="n">
        <v>3.1538841367731</v>
      </c>
      <c r="F27" s="35" t="n">
        <v>0.271453049281923</v>
      </c>
      <c r="G27" s="35" t="n">
        <v>0.12331986672996</v>
      </c>
      <c r="H27" s="36" t="n">
        <v>1.26824694701051</v>
      </c>
      <c r="I27" s="36" t="n">
        <v>1.66765441888565</v>
      </c>
    </row>
    <row r="28" customFormat="false" ht="12" hidden="false" customHeight="false" outlineLevel="0" collapsed="false">
      <c r="A28" s="0" t="n">
        <v>0.67</v>
      </c>
      <c r="B28" s="0" t="n">
        <v>0.33</v>
      </c>
      <c r="C28" s="10" t="n">
        <v>2.89690585880091</v>
      </c>
      <c r="D28" s="10" t="n">
        <v>3.59208867022742</v>
      </c>
      <c r="E28" s="10" t="n">
        <v>3.36186729584334</v>
      </c>
      <c r="F28" s="35" t="n">
        <v>0.263418320199147</v>
      </c>
      <c r="G28" s="35" t="n">
        <v>0.0866576838624283</v>
      </c>
      <c r="H28" s="36" t="n">
        <v>1.32606553450831</v>
      </c>
      <c r="I28" s="36" t="n">
        <v>1.84733222095509</v>
      </c>
    </row>
    <row r="29" customFormat="false" ht="12" hidden="false" customHeight="false" outlineLevel="0" collapsed="false">
      <c r="A29" s="0" t="n">
        <v>0.67</v>
      </c>
      <c r="B29" s="0" t="n">
        <v>0.17</v>
      </c>
      <c r="C29" s="10" t="n">
        <v>2.80979268584884</v>
      </c>
      <c r="D29" s="10" t="n">
        <v>3.64731388880715</v>
      </c>
      <c r="E29" s="10" t="n">
        <v>3.50454444107619</v>
      </c>
      <c r="F29" s="35" t="n">
        <v>0.285568148461906</v>
      </c>
      <c r="G29" s="35" t="n">
        <v>0.0726158453452235</v>
      </c>
      <c r="H29" s="36" t="n">
        <v>1.24313274331531</v>
      </c>
      <c r="I29" s="36" t="n">
        <v>1.96957385958113</v>
      </c>
    </row>
    <row r="30" customFormat="false" ht="12" hidden="false" customHeight="false" outlineLevel="0" collapsed="false">
      <c r="A30" s="0" t="n">
        <v>0.67</v>
      </c>
      <c r="B30" s="0" t="n">
        <v>0</v>
      </c>
      <c r="C30" s="10" t="s">
        <v>31</v>
      </c>
      <c r="D30" s="10" t="n">
        <v>3.9329051186613</v>
      </c>
      <c r="E30" s="10" t="s">
        <v>31</v>
      </c>
      <c r="F30" s="35" t="s">
        <v>31</v>
      </c>
      <c r="G30" s="35" t="s">
        <v>31</v>
      </c>
      <c r="H30" s="36" t="n">
        <v>0</v>
      </c>
      <c r="I30" s="36" t="n">
        <v>2.55924951639899</v>
      </c>
    </row>
    <row r="31" customFormat="false" ht="12" hidden="false" customHeight="false" outlineLevel="0" collapsed="false">
      <c r="A31" s="0" t="n">
        <v>0.5</v>
      </c>
      <c r="B31" s="0" t="n">
        <v>1</v>
      </c>
      <c r="C31" s="10" t="n">
        <v>2.42454307429236</v>
      </c>
      <c r="D31" s="10" t="s">
        <v>31</v>
      </c>
      <c r="E31" s="10" t="n">
        <v>2.42454307429236</v>
      </c>
      <c r="F31" s="35" t="n">
        <v>0.190709771980173</v>
      </c>
      <c r="G31" s="35" t="s">
        <v>31</v>
      </c>
      <c r="H31" s="36" t="n">
        <v>0.82390854958247</v>
      </c>
      <c r="I31" s="36" t="n">
        <v>0</v>
      </c>
    </row>
    <row r="32" customFormat="false" ht="12" hidden="false" customHeight="false" outlineLevel="0" collapsed="false">
      <c r="A32" s="0" t="n">
        <v>0.5</v>
      </c>
      <c r="B32" s="0" t="n">
        <v>0.83</v>
      </c>
      <c r="C32" s="10" t="n">
        <v>2.41613764012816</v>
      </c>
      <c r="D32" s="10" t="n">
        <v>2.75625633401563</v>
      </c>
      <c r="E32" s="10" t="n">
        <v>2.47324356883186</v>
      </c>
      <c r="F32" s="35" t="n">
        <v>0.193515428767006</v>
      </c>
      <c r="G32" s="35" t="n">
        <v>0.0799869300372658</v>
      </c>
      <c r="H32" s="36" t="n">
        <v>0.815756652852056</v>
      </c>
      <c r="I32" s="36" t="n">
        <v>1.07408979208102</v>
      </c>
    </row>
    <row r="33" customFormat="false" ht="12" hidden="false" customHeight="false" outlineLevel="0" collapsed="false">
      <c r="A33" s="0" t="n">
        <v>0.5</v>
      </c>
      <c r="B33" s="0" t="n">
        <v>0.67</v>
      </c>
      <c r="C33" s="10" t="n">
        <v>2.40804673533897</v>
      </c>
      <c r="D33" s="10" t="n">
        <v>2.76876244715173</v>
      </c>
      <c r="E33" s="10" t="n">
        <v>2.5271069679513</v>
      </c>
      <c r="F33" s="35" t="n">
        <v>0.196216098534912</v>
      </c>
      <c r="G33" s="35" t="n">
        <v>0.0758125042417953</v>
      </c>
      <c r="H33" s="36" t="n">
        <v>0.798790041754914</v>
      </c>
      <c r="I33" s="36" t="n">
        <v>1.06528334736993</v>
      </c>
    </row>
    <row r="34" customFormat="false" ht="12" hidden="false" customHeight="false" outlineLevel="0" collapsed="false">
      <c r="A34" s="0" t="n">
        <v>0.5</v>
      </c>
      <c r="B34" s="0" t="n">
        <v>0.5</v>
      </c>
      <c r="C34" s="10" t="n">
        <v>2.39089716452271</v>
      </c>
      <c r="D34" s="10" t="n">
        <v>2.79825600912218</v>
      </c>
      <c r="E34" s="10" t="n">
        <v>2.59201022610147</v>
      </c>
      <c r="F34" s="35" t="n">
        <v>0.201940467890727</v>
      </c>
      <c r="G34" s="35" t="n">
        <v>0.0659678239202666</v>
      </c>
      <c r="H34" s="36" t="n">
        <v>0.786553578623266</v>
      </c>
      <c r="I34" s="36" t="n">
        <v>1.11690519521044</v>
      </c>
    </row>
    <row r="35" customFormat="false" ht="12" hidden="false" customHeight="false" outlineLevel="0" collapsed="false">
      <c r="A35" s="0" t="n">
        <v>0.5</v>
      </c>
      <c r="B35" s="0" t="n">
        <v>0.33</v>
      </c>
      <c r="C35" s="10" t="n">
        <v>2.38214583922111</v>
      </c>
      <c r="D35" s="10" t="n">
        <v>2.86506513213098</v>
      </c>
      <c r="E35" s="10" t="n">
        <v>2.70610419821481</v>
      </c>
      <c r="F35" s="35" t="n">
        <v>0.204861579964958</v>
      </c>
      <c r="G35" s="35" t="n">
        <v>0.0436675517713068</v>
      </c>
      <c r="H35" s="36" t="n">
        <v>0.806743895547534</v>
      </c>
      <c r="I35" s="36" t="n">
        <v>1.23107266567843</v>
      </c>
    </row>
    <row r="36" customFormat="false" ht="12" hidden="false" customHeight="false" outlineLevel="0" collapsed="false">
      <c r="A36" s="0" t="n">
        <v>0.5</v>
      </c>
      <c r="B36" s="0" t="n">
        <v>0.17</v>
      </c>
      <c r="C36" s="10" t="n">
        <v>2.37151204565819</v>
      </c>
      <c r="D36" s="10" t="n">
        <v>2.87550347849513</v>
      </c>
      <c r="E36" s="10" t="n">
        <v>2.78947214090986</v>
      </c>
      <c r="F36" s="35" t="n">
        <v>0.208411042669291</v>
      </c>
      <c r="G36" s="35" t="n">
        <v>0.040183327548292</v>
      </c>
      <c r="H36" s="36" t="n">
        <v>0.754127052796358</v>
      </c>
      <c r="I36" s="36" t="n">
        <v>1.36924504594597</v>
      </c>
    </row>
    <row r="37" customFormat="false" ht="12" hidden="false" customHeight="false" outlineLevel="0" collapsed="false">
      <c r="A37" s="0" t="n">
        <v>0.5</v>
      </c>
      <c r="B37" s="0" t="n">
        <v>0</v>
      </c>
      <c r="C37" s="10" t="s">
        <v>31</v>
      </c>
      <c r="D37" s="10" t="n">
        <v>2.99588823681306</v>
      </c>
      <c r="E37" s="10" t="n">
        <v>2.99588823681306</v>
      </c>
      <c r="F37" s="35" t="s">
        <v>31</v>
      </c>
      <c r="G37" s="35"/>
      <c r="H37" s="36" t="n">
        <v>0</v>
      </c>
      <c r="I37" s="36" t="n">
        <v>1.52987909115405</v>
      </c>
    </row>
    <row r="38" customFormat="false" ht="12" hidden="false" customHeight="false" outlineLevel="0" collapsed="false">
      <c r="A38" s="0" t="n">
        <v>1.05</v>
      </c>
      <c r="B38" s="0" t="n">
        <v>1</v>
      </c>
      <c r="C38" s="10" t="n">
        <v>31.6393095754699</v>
      </c>
      <c r="D38" s="10" t="s">
        <v>31</v>
      </c>
      <c r="E38" s="10" t="n">
        <v>31.6393095754699</v>
      </c>
      <c r="F38" s="35" t="n">
        <v>0.155497664245993</v>
      </c>
      <c r="G38" s="35" t="s">
        <v>31</v>
      </c>
      <c r="H38" s="36" t="n">
        <v>16.6211896245193</v>
      </c>
      <c r="I38" s="36" t="n">
        <v>0</v>
      </c>
    </row>
    <row r="39" customFormat="false" ht="12" hidden="false" customHeight="false" outlineLevel="0" collapsed="false">
      <c r="A39" s="0" t="n">
        <v>1.05</v>
      </c>
      <c r="B39" s="0" t="n">
        <v>0.83</v>
      </c>
      <c r="C39" s="10" t="n">
        <v>37.5273606423865</v>
      </c>
      <c r="D39" s="10" t="n">
        <v>38.0376444313638</v>
      </c>
      <c r="E39" s="10" t="n">
        <v>37.6138367351585</v>
      </c>
      <c r="F39" s="35" t="n">
        <v>-0.00166356796070389</v>
      </c>
      <c r="G39" s="35" t="n">
        <v>-0.0152838352001255</v>
      </c>
      <c r="H39" s="36" t="n">
        <v>19.1298957663275</v>
      </c>
      <c r="I39" s="36" t="n">
        <v>19.7808787923129</v>
      </c>
    </row>
    <row r="40" customFormat="false" ht="12" hidden="false" customHeight="false" outlineLevel="0" collapsed="false">
      <c r="A40" s="0" t="n">
        <v>1.05</v>
      </c>
      <c r="B40" s="0" t="n">
        <v>0.67</v>
      </c>
      <c r="C40" s="10" t="n">
        <v>30.561006071379</v>
      </c>
      <c r="D40" s="10" t="n">
        <v>31.4161218092221</v>
      </c>
      <c r="E40" s="10" t="n">
        <v>30.8400018327792</v>
      </c>
      <c r="F40" s="35" t="n">
        <v>0.184279260307195</v>
      </c>
      <c r="G40" s="35" t="n">
        <v>0.161454892530586</v>
      </c>
      <c r="H40" s="36" t="n">
        <v>16.2783913120397</v>
      </c>
      <c r="I40" s="36" t="n">
        <v>16.4428939878386</v>
      </c>
    </row>
    <row r="41" customFormat="false" ht="12" hidden="false" customHeight="false" outlineLevel="0" collapsed="false">
      <c r="A41" s="0" t="n">
        <v>1.05</v>
      </c>
      <c r="B41" s="0" t="n">
        <v>0.5</v>
      </c>
      <c r="C41" s="10" t="n">
        <v>29.0524700388846</v>
      </c>
      <c r="D41" s="10" t="n">
        <v>30.6005816988028</v>
      </c>
      <c r="E41" s="10" t="n">
        <v>29.8324602968734</v>
      </c>
      <c r="F41" s="35" t="n">
        <v>0.224544431074331</v>
      </c>
      <c r="G41" s="35" t="n">
        <v>0.183222925316109</v>
      </c>
      <c r="H41" s="36" t="n">
        <v>16.8777929483141</v>
      </c>
      <c r="I41" s="36" t="n">
        <v>16.9683977174038</v>
      </c>
    </row>
    <row r="42" customFormat="false" ht="12" hidden="false" customHeight="false" outlineLevel="0" collapsed="false">
      <c r="A42" s="0" t="n">
        <v>1.05</v>
      </c>
      <c r="B42" s="0" t="n">
        <v>0.33</v>
      </c>
      <c r="C42" s="10" t="n">
        <v>32.9994293018313</v>
      </c>
      <c r="D42" s="10" t="n">
        <v>34.4936456434312</v>
      </c>
      <c r="E42" s="10" t="n">
        <v>33.9972669747517</v>
      </c>
      <c r="F42" s="35" t="n">
        <v>0.119193955308302</v>
      </c>
      <c r="G42" s="35" t="n">
        <v>0.0793109993419923</v>
      </c>
      <c r="H42" s="36" t="n">
        <v>16.1304485206406</v>
      </c>
      <c r="I42" s="36" t="n">
        <v>16.5484215250669</v>
      </c>
    </row>
    <row r="43" customFormat="false" ht="12" hidden="false" customHeight="false" outlineLevel="0" collapsed="false">
      <c r="A43" s="0" t="n">
        <v>1.05</v>
      </c>
      <c r="B43" s="0" t="n">
        <v>0.17</v>
      </c>
      <c r="C43" s="10" t="n">
        <v>30.8748592255711</v>
      </c>
      <c r="D43" s="10" t="n">
        <v>33.8928361102844</v>
      </c>
      <c r="E43" s="10" t="n">
        <v>33.3874255813244</v>
      </c>
      <c r="F43" s="35" t="n">
        <v>0.175902031936684</v>
      </c>
      <c r="G43" s="35" t="n">
        <v>0.0953475393579978</v>
      </c>
      <c r="H43" s="36" t="n">
        <v>16.6525513851408</v>
      </c>
      <c r="I43" s="36" t="n">
        <v>18.4166513211587</v>
      </c>
    </row>
    <row r="44" customFormat="false" ht="12" hidden="false" customHeight="false" outlineLevel="0" collapsed="false">
      <c r="A44" s="0" t="n">
        <v>1.05</v>
      </c>
      <c r="B44" s="0" t="n">
        <v>0</v>
      </c>
      <c r="C44" s="10" t="s">
        <v>31</v>
      </c>
      <c r="D44" s="10" t="n">
        <v>37.4650350104964</v>
      </c>
      <c r="E44" s="10" t="n">
        <v>37.4650350104964</v>
      </c>
      <c r="F44" s="35" t="s">
        <v>31</v>
      </c>
      <c r="G44" s="35"/>
      <c r="H44" s="36" t="n">
        <v>0</v>
      </c>
      <c r="I44" s="36" t="n">
        <v>18.1982907851569</v>
      </c>
    </row>
    <row r="45" customFormat="false" ht="12" hidden="false" customHeight="false" outlineLevel="0" collapsed="false">
      <c r="A45" s="0" t="n">
        <v>1</v>
      </c>
      <c r="B45" s="0" t="n">
        <v>1</v>
      </c>
      <c r="C45" s="10" t="n">
        <v>23.2288327535796</v>
      </c>
      <c r="D45" s="10" t="s">
        <v>31</v>
      </c>
      <c r="E45" s="10" t="n">
        <v>23.2288327535796</v>
      </c>
      <c r="F45" s="35" t="n">
        <v>0.0448576734817094</v>
      </c>
      <c r="G45" s="35"/>
      <c r="H45" s="36" t="n">
        <v>11.7212943396345</v>
      </c>
      <c r="I45" s="36" t="n">
        <v>0</v>
      </c>
    </row>
    <row r="46" customFormat="false" ht="12" hidden="false" customHeight="false" outlineLevel="0" collapsed="false">
      <c r="A46" s="0" t="n">
        <v>1</v>
      </c>
      <c r="B46" s="0" t="n">
        <v>0.83</v>
      </c>
      <c r="C46" s="10" t="n">
        <v>18.3653339158044</v>
      </c>
      <c r="D46" s="10" t="n">
        <v>19.1760413159909</v>
      </c>
      <c r="E46" s="10" t="n">
        <v>18.5055592724567</v>
      </c>
      <c r="F46" s="35" t="n">
        <v>0.244839034758494</v>
      </c>
      <c r="G46" s="35" t="n">
        <v>0.211503698430828</v>
      </c>
      <c r="H46" s="36" t="n">
        <v>9.26071791715706</v>
      </c>
      <c r="I46" s="36" t="n">
        <v>9.43818257657365</v>
      </c>
    </row>
    <row r="47" customFormat="false" ht="12" hidden="false" customHeight="false" outlineLevel="0" collapsed="false">
      <c r="A47" s="0" t="n">
        <v>1</v>
      </c>
      <c r="B47" s="0" t="n">
        <v>0.67</v>
      </c>
      <c r="C47" s="10" t="n">
        <v>16.2270668428449</v>
      </c>
      <c r="D47" s="10" t="n">
        <v>17.2690202088566</v>
      </c>
      <c r="E47" s="10" t="n">
        <v>16.5716755527638</v>
      </c>
      <c r="F47" s="35" t="n">
        <v>0.332762065952101</v>
      </c>
      <c r="G47" s="35" t="n">
        <v>0.289918167048802</v>
      </c>
      <c r="H47" s="36" t="n">
        <v>8.86990791471115</v>
      </c>
      <c r="I47" s="36" t="n">
        <v>8.88509856106854</v>
      </c>
    </row>
    <row r="48" customFormat="false" ht="12" hidden="false" customHeight="false" outlineLevel="0" collapsed="false">
      <c r="A48" s="0" t="n">
        <v>1</v>
      </c>
      <c r="B48" s="0" t="n">
        <v>0.5</v>
      </c>
      <c r="C48" s="10" t="n">
        <v>19.4112884681381</v>
      </c>
      <c r="D48" s="10" t="n">
        <v>20.38275575217</v>
      </c>
      <c r="E48" s="10" t="n">
        <v>19.8956620559564</v>
      </c>
      <c r="F48" s="35" t="n">
        <v>0.201830611772004</v>
      </c>
      <c r="G48" s="35" t="n">
        <v>0.161885017791885</v>
      </c>
      <c r="H48" s="36" t="n">
        <v>11.2453812942807</v>
      </c>
      <c r="I48" s="36" t="n">
        <v>11.3893762578369</v>
      </c>
    </row>
    <row r="49" customFormat="false" ht="12" hidden="false" customHeight="false" outlineLevel="0" collapsed="false">
      <c r="A49" s="0" t="n">
        <v>1</v>
      </c>
      <c r="B49" s="0" t="n">
        <v>0.33</v>
      </c>
      <c r="C49" s="10" t="n">
        <v>21.4506546352596</v>
      </c>
      <c r="D49" s="10" t="n">
        <v>22.9503448995665</v>
      </c>
      <c r="E49" s="10" t="n">
        <v>22.4563969161793</v>
      </c>
      <c r="F49" s="35" t="n">
        <v>0.1179742696927</v>
      </c>
      <c r="G49" s="35" t="n">
        <v>0.0563087670261399</v>
      </c>
      <c r="H49" s="36" t="n">
        <v>11.8133376112714</v>
      </c>
      <c r="I49" s="36" t="n">
        <v>12.2650358349377</v>
      </c>
    </row>
    <row r="50" customFormat="false" ht="12" hidden="false" customHeight="false" outlineLevel="0" collapsed="false">
      <c r="A50" s="0" t="n">
        <v>1</v>
      </c>
      <c r="B50" s="0" t="n">
        <v>0.17</v>
      </c>
      <c r="C50" s="10" t="n">
        <v>16.7769525997346</v>
      </c>
      <c r="D50" s="10" t="n">
        <v>19.2924550113373</v>
      </c>
      <c r="E50" s="10" t="n">
        <v>18.8649034514452</v>
      </c>
      <c r="F50" s="35" t="n">
        <v>0.310151409328644</v>
      </c>
      <c r="G50" s="35" t="n">
        <v>0.206716903976223</v>
      </c>
      <c r="H50" s="36" t="n">
        <v>9.05431272185979</v>
      </c>
      <c r="I50" s="36" t="n">
        <v>9.84800007360268</v>
      </c>
    </row>
    <row r="51" customFormat="false" ht="12" hidden="false" customHeight="false" outlineLevel="0" collapsed="false">
      <c r="A51" s="0" t="n">
        <v>1</v>
      </c>
      <c r="B51" s="0" t="n">
        <v>0</v>
      </c>
      <c r="C51" s="10" t="s">
        <v>31</v>
      </c>
      <c r="D51" s="10" t="n">
        <v>24.3197606353118</v>
      </c>
      <c r="E51" s="10" t="s">
        <v>31</v>
      </c>
      <c r="F51" s="35"/>
      <c r="G51" s="35"/>
      <c r="H51" s="36" t="n">
        <v>0</v>
      </c>
      <c r="I51" s="36" t="n">
        <v>13.536657422744</v>
      </c>
    </row>
    <row r="52" customFormat="false" ht="12" hidden="false" customHeight="false" outlineLevel="0" collapsed="false">
      <c r="A52" s="0" t="n">
        <v>0.95</v>
      </c>
      <c r="B52" s="0" t="n">
        <v>1</v>
      </c>
      <c r="C52" s="10" t="n">
        <v>9.47908996039307</v>
      </c>
      <c r="D52" s="10" t="s">
        <v>31</v>
      </c>
      <c r="E52" s="10" t="n">
        <v>9.47908996039307</v>
      </c>
      <c r="F52" s="35" t="n">
        <v>0.408507265413491</v>
      </c>
      <c r="G52" s="35"/>
      <c r="H52" s="36" t="n">
        <v>5.90582101281971</v>
      </c>
      <c r="I52" s="36" t="n">
        <v>0</v>
      </c>
    </row>
    <row r="53" customFormat="false" ht="12" hidden="false" customHeight="false" outlineLevel="0" collapsed="false">
      <c r="A53" s="0" t="n">
        <v>0.95</v>
      </c>
      <c r="B53" s="0" t="n">
        <v>0.83</v>
      </c>
      <c r="C53" s="10" t="n">
        <v>9.34402666629349</v>
      </c>
      <c r="D53" s="10" t="n">
        <v>10.1191520070665</v>
      </c>
      <c r="E53" s="10" t="n">
        <v>9.47290417295268</v>
      </c>
      <c r="F53" s="35" t="n">
        <v>0.416935179643974</v>
      </c>
      <c r="G53" s="35" t="n">
        <v>0.368567561088099</v>
      </c>
      <c r="H53" s="36" t="n">
        <v>5.46219422879701</v>
      </c>
      <c r="I53" s="36" t="n">
        <v>5.6079164974355</v>
      </c>
    </row>
    <row r="54" customFormat="false" ht="12" hidden="false" customHeight="false" outlineLevel="0" collapsed="false">
      <c r="A54" s="0" t="n">
        <v>0.95</v>
      </c>
      <c r="B54" s="0" t="n">
        <v>0.67</v>
      </c>
      <c r="C54" s="10" t="n">
        <v>9.8245268967865</v>
      </c>
      <c r="D54" s="10" t="n">
        <v>10.6638001637247</v>
      </c>
      <c r="E54" s="10" t="n">
        <v>10.0984656911151</v>
      </c>
      <c r="F54" s="35" t="n">
        <v>0.38695209092013</v>
      </c>
      <c r="G54" s="35" t="n">
        <v>0.334581658547312</v>
      </c>
      <c r="H54" s="36" t="n">
        <v>6.27376023174664</v>
      </c>
      <c r="I54" s="36" t="n">
        <v>6.34544758188498</v>
      </c>
    </row>
    <row r="55" customFormat="false" ht="12" hidden="false" customHeight="false" outlineLevel="0" collapsed="false">
      <c r="A55" s="0" t="n">
        <v>0.95</v>
      </c>
      <c r="B55" s="0" t="n">
        <v>0.5</v>
      </c>
      <c r="C55" s="10" t="n">
        <v>9.11218140376343</v>
      </c>
      <c r="D55" s="10" t="n">
        <v>10.1009042837812</v>
      </c>
      <c r="E55" s="10" t="n">
        <v>9.61092618187372</v>
      </c>
      <c r="F55" s="35" t="n">
        <v>0.4314022633944</v>
      </c>
      <c r="G55" s="35" t="n">
        <v>0.369706214249013</v>
      </c>
      <c r="H55" s="36" t="n">
        <v>5.76501084148115</v>
      </c>
      <c r="I55" s="36" t="n">
        <v>6.02712836727989</v>
      </c>
    </row>
    <row r="56" customFormat="false" ht="12" hidden="false" customHeight="false" outlineLevel="0" collapsed="false">
      <c r="A56" s="0" t="n">
        <v>0.95</v>
      </c>
      <c r="B56" s="0" t="n">
        <v>0.33</v>
      </c>
      <c r="C56" s="10" t="n">
        <v>9.81345142751653</v>
      </c>
      <c r="D56" s="10" t="n">
        <v>11.0764520082651</v>
      </c>
      <c r="E56" s="10" t="n">
        <v>10.6497262120495</v>
      </c>
      <c r="F56" s="35" t="n">
        <v>0.387643197306154</v>
      </c>
      <c r="G56" s="35" t="n">
        <v>0.308832291363414</v>
      </c>
      <c r="H56" s="36" t="n">
        <v>5.91922618690678</v>
      </c>
      <c r="I56" s="36" t="n">
        <v>6.52167547044972</v>
      </c>
    </row>
    <row r="57" customFormat="false" ht="12" hidden="false" customHeight="false" outlineLevel="0" collapsed="false">
      <c r="A57" s="0" t="n">
        <v>0.95</v>
      </c>
      <c r="B57" s="0" t="n">
        <v>0.17</v>
      </c>
      <c r="C57" s="10" t="n">
        <v>8.96606497694596</v>
      </c>
      <c r="D57" s="10" t="n">
        <v>11.1667328516702</v>
      </c>
      <c r="E57" s="10" t="n">
        <v>10.7935729357128</v>
      </c>
      <c r="F57" s="35" t="n">
        <v>0.440519890215898</v>
      </c>
      <c r="G57" s="35" t="n">
        <v>0.303198790344902</v>
      </c>
      <c r="H57" s="36" t="n">
        <v>5.63944804934501</v>
      </c>
      <c r="I57" s="36" t="n">
        <v>6.78443626687792</v>
      </c>
    </row>
    <row r="58" customFormat="false" ht="12" hidden="false" customHeight="false" outlineLevel="0" collapsed="false">
      <c r="A58" s="0" t="n">
        <v>0.95</v>
      </c>
      <c r="B58" s="0" t="n">
        <v>0</v>
      </c>
      <c r="C58" s="10" t="s">
        <v>31</v>
      </c>
      <c r="D58" s="10" t="n">
        <v>16.0257081889933</v>
      </c>
      <c r="E58" s="10" t="s">
        <v>31</v>
      </c>
      <c r="F58" s="35"/>
      <c r="G58" s="35"/>
      <c r="H58" s="36" t="n">
        <v>0</v>
      </c>
      <c r="I58" s="36" t="n">
        <v>9.75978908693903</v>
      </c>
    </row>
    <row r="59" customFormat="false" ht="12" hidden="false" customHeight="false" outlineLevel="0" collapsed="false">
      <c r="A59" s="0" t="n">
        <v>0.67</v>
      </c>
      <c r="B59" s="0" t="n">
        <v>1</v>
      </c>
      <c r="C59" s="10" t="n">
        <v>2.89700036111537</v>
      </c>
      <c r="D59" s="10" t="s">
        <v>31</v>
      </c>
      <c r="E59" s="10" t="n">
        <v>2.89700036111537</v>
      </c>
      <c r="F59" s="35" t="n">
        <v>0.271209956794146</v>
      </c>
      <c r="H59" s="36" t="n">
        <v>1.27281847296811</v>
      </c>
      <c r="I59" s="36" t="n">
        <v>0</v>
      </c>
    </row>
    <row r="60" customFormat="false" ht="12" hidden="false" customHeight="false" outlineLevel="0" collapsed="false">
      <c r="A60" s="0" t="n">
        <v>0.67</v>
      </c>
      <c r="B60" s="0" t="n">
        <v>0.83</v>
      </c>
      <c r="C60" s="10" t="n">
        <v>2.94591462030045</v>
      </c>
      <c r="D60" s="10" t="n">
        <v>3.31669476150842</v>
      </c>
      <c r="E60" s="10" t="n">
        <v>3.00789670057238</v>
      </c>
      <c r="F60" s="35" t="n">
        <v>0.258904737387424</v>
      </c>
      <c r="G60" s="35" t="n">
        <v>0.165628644378312</v>
      </c>
      <c r="H60" s="36" t="n">
        <v>1.36488845531353</v>
      </c>
      <c r="I60" s="36" t="n">
        <v>1.49686091486268</v>
      </c>
    </row>
    <row r="61" customFormat="false" ht="12" hidden="false" customHeight="false" outlineLevel="0" collapsed="false">
      <c r="A61" s="0" t="n">
        <v>0.67</v>
      </c>
      <c r="B61" s="0" t="n">
        <v>0.67</v>
      </c>
      <c r="C61" s="10" t="n">
        <v>2.8808906519734</v>
      </c>
      <c r="D61" s="10" t="n">
        <v>3.33307762511105</v>
      </c>
      <c r="E61" s="10" t="n">
        <v>3.03032337369629</v>
      </c>
      <c r="F61" s="35" t="n">
        <v>0.275262629958845</v>
      </c>
      <c r="G61" s="35" t="n">
        <v>0.161507254532092</v>
      </c>
      <c r="H61" s="36" t="n">
        <v>1.31312279450074</v>
      </c>
      <c r="I61" s="36" t="n">
        <v>1.5521859514201</v>
      </c>
    </row>
    <row r="62" customFormat="false" ht="12" hidden="false" customHeight="false" outlineLevel="0" collapsed="false">
      <c r="A62" s="0" t="n">
        <v>0.67</v>
      </c>
      <c r="B62" s="0" t="n">
        <v>0.5</v>
      </c>
      <c r="C62" s="10" t="n">
        <v>2.90168228486903</v>
      </c>
      <c r="D62" s="10" t="n">
        <v>3.46515305766875</v>
      </c>
      <c r="E62" s="10" t="n">
        <v>3.18477000112361</v>
      </c>
      <c r="F62" s="35" t="n">
        <v>0.270032138710134</v>
      </c>
      <c r="G62" s="35" t="n">
        <v>0.128281418079971</v>
      </c>
      <c r="H62" s="36" t="n">
        <v>1.32313714699028</v>
      </c>
      <c r="I62" s="36" t="n">
        <v>1.68803687818506</v>
      </c>
    </row>
    <row r="63" customFormat="false" ht="12" hidden="false" customHeight="false" outlineLevel="0" collapsed="false">
      <c r="A63" s="0" t="n">
        <v>0.67</v>
      </c>
      <c r="B63" s="0" t="n">
        <v>0.33</v>
      </c>
      <c r="C63" s="10" t="n">
        <v>2.85283391938433</v>
      </c>
      <c r="D63" s="10" t="n">
        <v>3.5364187604708</v>
      </c>
      <c r="E63" s="10" t="n">
        <v>3.315073988927</v>
      </c>
      <c r="F63" s="35" t="n">
        <v>0.282320781428294</v>
      </c>
      <c r="G63" s="35" t="n">
        <v>0.110353310330544</v>
      </c>
      <c r="H63" s="36" t="n">
        <v>1.28420205904797</v>
      </c>
      <c r="I63" s="36" t="n">
        <v>1.79827221494155</v>
      </c>
    </row>
    <row r="64" customFormat="false" ht="12" hidden="false" customHeight="false" outlineLevel="0" collapsed="false">
      <c r="A64" s="0" t="n">
        <v>0.67</v>
      </c>
      <c r="B64" s="0" t="n">
        <v>0.17</v>
      </c>
      <c r="C64" s="10" t="n">
        <v>2.82748388196051</v>
      </c>
      <c r="D64" s="10" t="n">
        <v>3.73023616269822</v>
      </c>
      <c r="E64" s="10" t="n">
        <v>3.57712937588511</v>
      </c>
      <c r="F64" s="35" t="n">
        <v>0.288698017384958</v>
      </c>
      <c r="G64" s="35" t="n">
        <v>0.0615952242635533</v>
      </c>
      <c r="H64" s="36" t="n">
        <v>1.30448398338513</v>
      </c>
      <c r="I64" s="36" t="n">
        <v>2.19257500357039</v>
      </c>
    </row>
    <row r="65" customFormat="false" ht="12" hidden="false" customHeight="false" outlineLevel="0" collapsed="false">
      <c r="A65" s="0" t="n">
        <v>0.67</v>
      </c>
      <c r="B65" s="0" t="n">
        <v>0</v>
      </c>
      <c r="C65" s="10" t="s">
        <v>31</v>
      </c>
      <c r="D65" s="10" t="n">
        <v>3.97508224504802</v>
      </c>
      <c r="E65" s="10" t="s">
        <v>31</v>
      </c>
      <c r="F65" s="35" t="s">
        <v>31</v>
      </c>
      <c r="G65" s="35" t="s">
        <v>31</v>
      </c>
      <c r="H65" s="36" t="n">
        <v>0</v>
      </c>
      <c r="I65" s="36" t="n">
        <v>2.46616024372496</v>
      </c>
    </row>
    <row r="66" customFormat="false" ht="12" hidden="false" customHeight="false" outlineLevel="0" collapsed="false">
      <c r="A66" s="0" t="n">
        <v>0.5</v>
      </c>
      <c r="B66" s="0" t="n">
        <v>1</v>
      </c>
      <c r="C66" s="10" t="n">
        <v>2.4169524290633</v>
      </c>
      <c r="D66" s="10" t="s">
        <v>31</v>
      </c>
      <c r="E66" s="10" t="n">
        <v>2.4169524290633</v>
      </c>
      <c r="F66" s="35" t="n">
        <v>0.194350167140678</v>
      </c>
      <c r="G66" s="35" t="s">
        <v>31</v>
      </c>
      <c r="H66" s="36" t="n">
        <v>0.803892403558065</v>
      </c>
      <c r="I66" s="36" t="n">
        <v>0</v>
      </c>
    </row>
    <row r="67" customFormat="false" ht="12" hidden="false" customHeight="false" outlineLevel="0" collapsed="false">
      <c r="A67" s="0" t="n">
        <v>0.5</v>
      </c>
      <c r="B67" s="0" t="n">
        <v>0.83</v>
      </c>
      <c r="C67" s="10" t="n">
        <v>2.39367247800368</v>
      </c>
      <c r="D67" s="10" t="n">
        <v>2.73210135255808</v>
      </c>
      <c r="E67" s="10" t="n">
        <v>2.45146484881509</v>
      </c>
      <c r="F67" s="35" t="n">
        <v>0.202110141418461</v>
      </c>
      <c r="G67" s="35" t="n">
        <v>0.0893006533454217</v>
      </c>
      <c r="H67" s="36" t="n">
        <v>0.767925395517542</v>
      </c>
      <c r="I67" s="36" t="n">
        <v>0.986597028448406</v>
      </c>
    </row>
    <row r="68" customFormat="false" ht="12" hidden="false" customHeight="false" outlineLevel="0" collapsed="false">
      <c r="A68" s="0" t="n">
        <v>0.5</v>
      </c>
      <c r="B68" s="0" t="n">
        <v>0.67</v>
      </c>
      <c r="C68" s="10" t="n">
        <v>2.4131332799054</v>
      </c>
      <c r="D68" s="10" t="n">
        <v>2.7721663245215</v>
      </c>
      <c r="E68" s="10" t="n">
        <v>2.53071660201718</v>
      </c>
      <c r="F68" s="35" t="n">
        <v>0.195623215316442</v>
      </c>
      <c r="G68" s="35" t="n">
        <v>0.0759456788834906</v>
      </c>
      <c r="H68" s="36" t="n">
        <v>0.799199962991498</v>
      </c>
      <c r="I68" s="36" t="n">
        <v>1.10258874536474</v>
      </c>
    </row>
    <row r="69" customFormat="false" ht="12" hidden="false" customHeight="false" outlineLevel="0" collapsed="false">
      <c r="A69" s="0" t="n">
        <v>0.5</v>
      </c>
      <c r="B69" s="0" t="n">
        <v>0.5</v>
      </c>
      <c r="C69" s="10" t="n">
        <v>2.39379494921937</v>
      </c>
      <c r="D69" s="10" t="n">
        <v>2.79025185155401</v>
      </c>
      <c r="E69" s="10" t="n">
        <v>2.59199696992654</v>
      </c>
      <c r="F69" s="35" t="n">
        <v>0.202069317729395</v>
      </c>
      <c r="G69" s="35" t="n">
        <v>0.0699171771820482</v>
      </c>
      <c r="H69" s="36" t="n">
        <v>0.784111254515147</v>
      </c>
      <c r="I69" s="36" t="n">
        <v>1.13745302025892</v>
      </c>
    </row>
    <row r="70" customFormat="false" ht="12" hidden="false" customHeight="false" outlineLevel="0" collapsed="false">
      <c r="A70" s="0" t="n">
        <v>0.5</v>
      </c>
      <c r="B70" s="0" t="n">
        <v>0.33</v>
      </c>
      <c r="C70" s="10" t="n">
        <v>2.39458414823629</v>
      </c>
      <c r="D70" s="10" t="n">
        <v>2.86867510451438</v>
      </c>
      <c r="E70" s="10" t="n">
        <v>2.71113467974317</v>
      </c>
      <c r="F70" s="35" t="n">
        <v>0.201806251709382</v>
      </c>
      <c r="G70" s="35" t="n">
        <v>0.0437761245572393</v>
      </c>
      <c r="H70" s="36" t="n">
        <v>0.780394446913849</v>
      </c>
      <c r="I70" s="36" t="n">
        <v>1.28211182459417</v>
      </c>
    </row>
    <row r="71" customFormat="false" ht="12" hidden="false" customHeight="false" outlineLevel="0" collapsed="false">
      <c r="A71" s="0" t="n">
        <v>0.5</v>
      </c>
      <c r="B71" s="0" t="n">
        <v>0.17</v>
      </c>
      <c r="C71" s="10" t="n">
        <v>2.3578817607256</v>
      </c>
      <c r="D71" s="10" t="n">
        <v>2.91668021693998</v>
      </c>
      <c r="E71" s="10" t="n">
        <v>2.82032473647341</v>
      </c>
      <c r="F71" s="35" t="n">
        <v>0.214040366046085</v>
      </c>
      <c r="G71" s="35" t="n">
        <v>0.027774439816978</v>
      </c>
      <c r="H71" s="36" t="n">
        <v>0.76337021506796</v>
      </c>
      <c r="I71" s="36" t="n">
        <v>1.41885396170055</v>
      </c>
    </row>
    <row r="72" customFormat="false" ht="12" hidden="false" customHeight="false" outlineLevel="0" collapsed="false">
      <c r="A72" s="0" t="n">
        <v>0.5</v>
      </c>
      <c r="B72" s="0" t="n">
        <v>0</v>
      </c>
      <c r="C72" s="10" t="s">
        <v>31</v>
      </c>
      <c r="D72" s="10" t="n">
        <v>3.00000363741817</v>
      </c>
      <c r="E72" s="10" t="n">
        <v>3.00000363741817</v>
      </c>
      <c r="F72" s="35" t="s">
        <v>31</v>
      </c>
      <c r="G72" s="35"/>
      <c r="H72" s="36" t="n">
        <v>0</v>
      </c>
      <c r="I72" s="36" t="n">
        <v>1.48537206786739</v>
      </c>
    </row>
    <row r="73" customFormat="false" ht="12" hidden="false" customHeight="false" outlineLevel="0" collapsed="false">
      <c r="A73" s="0" t="n">
        <v>0.95</v>
      </c>
      <c r="B73" s="0" t="n">
        <v>1</v>
      </c>
      <c r="C73" s="10" t="n">
        <v>10.4553268108226</v>
      </c>
      <c r="D73" s="10" t="s">
        <v>31</v>
      </c>
      <c r="E73" s="10" t="n">
        <v>10.4553268108226</v>
      </c>
      <c r="F73" s="35" t="n">
        <v>0.23247378631406</v>
      </c>
      <c r="G73" s="35" t="s">
        <v>31</v>
      </c>
      <c r="H73" s="36" t="n">
        <v>6.44253558909984</v>
      </c>
      <c r="I73" s="36" t="n">
        <v>0</v>
      </c>
    </row>
    <row r="74" customFormat="false" ht="12" hidden="false" customHeight="false" outlineLevel="0" collapsed="false">
      <c r="A74" s="0" t="n">
        <v>0.95</v>
      </c>
      <c r="B74" s="0" t="n">
        <v>0.83</v>
      </c>
      <c r="C74" s="10" t="n">
        <v>11.3137945883053</v>
      </c>
      <c r="D74" s="10" t="n">
        <v>11.9879609297696</v>
      </c>
      <c r="E74" s="10" t="n">
        <v>11.4252342845493</v>
      </c>
      <c r="F74" s="35" t="n">
        <v>0.169453611551028</v>
      </c>
      <c r="G74" s="35" t="n">
        <v>0.119963017060664</v>
      </c>
      <c r="H74" s="36" t="n">
        <v>6.73220991834802</v>
      </c>
      <c r="I74" s="36" t="n">
        <v>6.67450663656052</v>
      </c>
    </row>
    <row r="75" customFormat="false" ht="12" hidden="false" customHeight="false" outlineLevel="0" collapsed="false">
      <c r="A75" s="0" t="n">
        <v>0.95</v>
      </c>
      <c r="B75" s="0" t="n">
        <v>0.67</v>
      </c>
      <c r="C75" s="10" t="n">
        <v>9.84029676569982</v>
      </c>
      <c r="D75" s="10" t="n">
        <v>10.4905233979801</v>
      </c>
      <c r="E75" s="10" t="n">
        <v>10.0555868036478</v>
      </c>
      <c r="F75" s="35" t="n">
        <v>0.277623181486245</v>
      </c>
      <c r="G75" s="35" t="n">
        <v>0.229890002586926</v>
      </c>
      <c r="H75" s="36" t="n">
        <v>6.05569178102137</v>
      </c>
      <c r="I75" s="36" t="n">
        <v>6.26378871601914</v>
      </c>
    </row>
    <row r="76" customFormat="false" ht="12" hidden="false" customHeight="false" outlineLevel="0" collapsed="false">
      <c r="A76" s="0" t="n">
        <v>0.95</v>
      </c>
      <c r="B76" s="0" t="n">
        <v>0.5</v>
      </c>
      <c r="C76" s="10" t="n">
        <v>8.90827999892926</v>
      </c>
      <c r="D76" s="10" t="n">
        <v>9.75690232860668</v>
      </c>
      <c r="E76" s="10" t="n">
        <v>9.33318519939875</v>
      </c>
      <c r="F76" s="35" t="n">
        <v>0.34604259228369</v>
      </c>
      <c r="G76" s="35" t="n">
        <v>0.283745172477316</v>
      </c>
      <c r="H76" s="36" t="n">
        <v>6.00037974994808</v>
      </c>
      <c r="I76" s="36" t="n">
        <v>6.13407187706444</v>
      </c>
    </row>
    <row r="77" customFormat="false" ht="12" hidden="false" customHeight="false" outlineLevel="0" collapsed="false">
      <c r="A77" s="0" t="n">
        <v>0.95</v>
      </c>
      <c r="B77" s="0" t="n">
        <v>0.33</v>
      </c>
      <c r="C77" s="10" t="n">
        <v>9.10459715828644</v>
      </c>
      <c r="D77" s="10" t="n">
        <v>10.4031367310602</v>
      </c>
      <c r="E77" s="10" t="n">
        <v>9.9773888898001</v>
      </c>
      <c r="F77" s="35" t="n">
        <v>0.331630936987844</v>
      </c>
      <c r="G77" s="35" t="n">
        <v>0.236305063426368</v>
      </c>
      <c r="H77" s="36" t="n">
        <v>5.8693534376554</v>
      </c>
      <c r="I77" s="36" t="n">
        <v>6.2112575563399</v>
      </c>
    </row>
    <row r="78" customFormat="false" ht="12" hidden="false" customHeight="false" outlineLevel="0" collapsed="false">
      <c r="A78" s="0" t="n">
        <v>0.95</v>
      </c>
      <c r="B78" s="0" t="n">
        <v>0.17</v>
      </c>
      <c r="C78" s="10" t="n">
        <v>9.4819210844518</v>
      </c>
      <c r="D78" s="10" t="n">
        <v>11.58826012401</v>
      </c>
      <c r="E78" s="10" t="n">
        <v>11.229059106464</v>
      </c>
      <c r="F78" s="35" t="n">
        <v>0.303931563297962</v>
      </c>
      <c r="G78" s="35" t="n">
        <v>0.14930507892088</v>
      </c>
      <c r="H78" s="36" t="n">
        <v>6.01591896246897</v>
      </c>
      <c r="I78" s="36" t="n">
        <v>6.91506853426749</v>
      </c>
    </row>
    <row r="79" customFormat="false" ht="12" hidden="false" customHeight="false" outlineLevel="0" collapsed="false">
      <c r="A79" s="0" t="n">
        <v>0.95</v>
      </c>
      <c r="B79" s="0" t="n">
        <v>0</v>
      </c>
      <c r="C79" s="10" t="s">
        <v>31</v>
      </c>
      <c r="D79" s="10" t="n">
        <v>13.6221103910084</v>
      </c>
      <c r="E79" s="10" t="n">
        <v>13.6221103910084</v>
      </c>
      <c r="F79" s="35" t="s">
        <v>31</v>
      </c>
      <c r="G79" s="35"/>
      <c r="H79" s="36" t="n">
        <v>0</v>
      </c>
      <c r="I79" s="36" t="n">
        <v>9.32908441470285</v>
      </c>
    </row>
    <row r="80" customFormat="false" ht="12" hidden="false" customHeight="false" outlineLevel="0" collapsed="false">
      <c r="A80" s="0" t="n">
        <v>0.67</v>
      </c>
      <c r="B80" s="0" t="n">
        <v>1</v>
      </c>
      <c r="C80" s="10" t="n">
        <v>2.89736680167573</v>
      </c>
      <c r="D80" s="10" t="s">
        <v>31</v>
      </c>
      <c r="E80" s="10" t="n">
        <v>2.89736680167573</v>
      </c>
      <c r="F80" s="35" t="n">
        <v>0.292631113863265</v>
      </c>
      <c r="G80" s="35" t="s">
        <v>31</v>
      </c>
      <c r="H80" s="36" t="n">
        <v>1.2940846104938</v>
      </c>
      <c r="I80" s="36" t="n">
        <v>0</v>
      </c>
    </row>
    <row r="81" customFormat="false" ht="12" hidden="false" customHeight="false" outlineLevel="0" collapsed="false">
      <c r="A81" s="0" t="n">
        <v>0.67</v>
      </c>
      <c r="B81" s="0" t="n">
        <v>0.83</v>
      </c>
      <c r="C81" s="10" t="n">
        <v>2.93061528976728</v>
      </c>
      <c r="D81" s="10" t="n">
        <v>3.33300293827254</v>
      </c>
      <c r="E81" s="10" t="n">
        <v>2.9992760355239</v>
      </c>
      <c r="F81" s="35" t="n">
        <v>0.284513761937561</v>
      </c>
      <c r="G81" s="35" t="n">
        <v>0.186274042150022</v>
      </c>
      <c r="H81" s="36" t="n">
        <v>1.33524676232656</v>
      </c>
      <c r="I81" s="36" t="n">
        <v>1.51985436867092</v>
      </c>
    </row>
    <row r="82" customFormat="false" ht="12" hidden="false" customHeight="false" outlineLevel="0" collapsed="false">
      <c r="A82" s="0" t="n">
        <v>0.67</v>
      </c>
      <c r="B82" s="0" t="n">
        <v>0.67</v>
      </c>
      <c r="C82" s="10" t="n">
        <v>2.97575328584818</v>
      </c>
      <c r="D82" s="10" t="n">
        <v>3.43631997054387</v>
      </c>
      <c r="E82" s="10" t="n">
        <v>3.12807804069987</v>
      </c>
      <c r="F82" s="35" t="n">
        <v>0.273493681914651</v>
      </c>
      <c r="G82" s="35" t="n">
        <v>0.161050016667831</v>
      </c>
      <c r="H82" s="36" t="n">
        <v>1.43236819344457</v>
      </c>
      <c r="I82" s="36" t="n">
        <v>1.6335748255151</v>
      </c>
    </row>
    <row r="83" customFormat="false" ht="12" hidden="false" customHeight="false" outlineLevel="0" collapsed="false">
      <c r="A83" s="0" t="n">
        <v>0.67</v>
      </c>
      <c r="B83" s="0" t="n">
        <v>0.5</v>
      </c>
      <c r="C83" s="10" t="n">
        <v>2.91911051849846</v>
      </c>
      <c r="D83" s="10" t="n">
        <v>3.49535990585099</v>
      </c>
      <c r="E83" s="10" t="n">
        <v>3.20663975447446</v>
      </c>
      <c r="F83" s="35" t="n">
        <v>0.287322559647598</v>
      </c>
      <c r="G83" s="35" t="n">
        <v>0.146635889588156</v>
      </c>
      <c r="H83" s="36" t="n">
        <v>1.36679098600733</v>
      </c>
      <c r="I83" s="36" t="n">
        <v>1.72262800675935</v>
      </c>
    </row>
    <row r="84" customFormat="false" ht="12" hidden="false" customHeight="false" outlineLevel="0" collapsed="false">
      <c r="A84" s="0" t="n">
        <v>0.67</v>
      </c>
      <c r="B84" s="0" t="n">
        <v>0.33</v>
      </c>
      <c r="C84" s="10" t="n">
        <v>2.86675774096403</v>
      </c>
      <c r="D84" s="10" t="n">
        <v>3.60300035850413</v>
      </c>
      <c r="E84" s="10" t="n">
        <v>3.35704624140457</v>
      </c>
      <c r="F84" s="35" t="n">
        <v>0.300104070745633</v>
      </c>
      <c r="G84" s="35" t="n">
        <v>0.120356335666137</v>
      </c>
      <c r="H84" s="36" t="n">
        <v>1.27604464899813</v>
      </c>
      <c r="I84" s="36" t="n">
        <v>1.84262307011313</v>
      </c>
    </row>
    <row r="85" customFormat="false" ht="12" hidden="false" customHeight="false" outlineLevel="0" collapsed="false">
      <c r="A85" s="0" t="n">
        <v>0.67</v>
      </c>
      <c r="B85" s="0" t="n">
        <v>0.17</v>
      </c>
      <c r="C85" s="10" t="n">
        <v>2.8427912110027</v>
      </c>
      <c r="D85" s="10" t="n">
        <v>3.74395292983998</v>
      </c>
      <c r="E85" s="10" t="n">
        <v>3.58808199120509</v>
      </c>
      <c r="F85" s="35" t="n">
        <v>0.305955306976236</v>
      </c>
      <c r="G85" s="35" t="n">
        <v>0.0859438949194969</v>
      </c>
      <c r="H85" s="36" t="n">
        <v>1.28303349751023</v>
      </c>
      <c r="I85" s="36" t="n">
        <v>2.00095074961359</v>
      </c>
    </row>
    <row r="86" customFormat="false" ht="12" hidden="false" customHeight="false" outlineLevel="0" collapsed="false">
      <c r="A86" s="0" t="n">
        <v>0.67</v>
      </c>
      <c r="B86" s="0" t="n">
        <v>0</v>
      </c>
      <c r="C86" s="10" t="s">
        <v>31</v>
      </c>
      <c r="D86" s="10" t="n">
        <v>4.09597716051603</v>
      </c>
      <c r="E86" s="10" t="n">
        <v>4.09597716051603</v>
      </c>
      <c r="F86" s="35" t="s">
        <v>31</v>
      </c>
      <c r="G86" s="35" t="s">
        <v>31</v>
      </c>
      <c r="H86" s="36" t="n">
        <v>0</v>
      </c>
      <c r="I86" s="36" t="n">
        <v>2.60008008726982</v>
      </c>
    </row>
    <row r="87" customFormat="false" ht="12" hidden="false" customHeight="false" outlineLevel="0" collapsed="false">
      <c r="A87" s="0" t="n">
        <v>1.05</v>
      </c>
      <c r="B87" s="0" t="n">
        <v>1</v>
      </c>
      <c r="C87" s="10" t="n">
        <v>29.6671168052226</v>
      </c>
      <c r="D87" s="10" t="s">
        <v>31</v>
      </c>
      <c r="E87" s="10" t="n">
        <v>29.6671168052226</v>
      </c>
      <c r="F87" s="35" t="n">
        <v>0.220797575074859</v>
      </c>
      <c r="G87" s="35"/>
      <c r="H87" s="37" t="n">
        <v>16.4420920475255</v>
      </c>
      <c r="I87" s="37" t="n">
        <v>0</v>
      </c>
    </row>
    <row r="88" customFormat="false" ht="12" hidden="false" customHeight="false" outlineLevel="0" collapsed="false">
      <c r="A88" s="0" t="n">
        <v>1.05</v>
      </c>
      <c r="B88" s="0" t="n">
        <v>0.83</v>
      </c>
      <c r="C88" s="10" t="n">
        <v>32.5740205643283</v>
      </c>
      <c r="D88" s="10" t="n">
        <v>33.2429626517628</v>
      </c>
      <c r="E88" s="10" t="n">
        <v>32.6889671130191</v>
      </c>
      <c r="F88" s="35" t="n">
        <v>0.144448178772203</v>
      </c>
      <c r="G88" s="35" t="n">
        <v>0.126878514012205</v>
      </c>
      <c r="H88" s="37" t="n">
        <v>16.4761592936365</v>
      </c>
      <c r="I88" s="37" t="n">
        <v>16.3466381604107</v>
      </c>
    </row>
    <row r="89" customFormat="false" ht="12" hidden="false" customHeight="false" outlineLevel="0" collapsed="false">
      <c r="A89" s="0" t="n">
        <v>1.05</v>
      </c>
      <c r="B89" s="0" t="n">
        <v>0.67</v>
      </c>
      <c r="C89" s="10" t="n">
        <v>36.8504238174541</v>
      </c>
      <c r="D89" s="10" t="n">
        <v>37.6337342193515</v>
      </c>
      <c r="E89" s="10" t="n">
        <v>37.1089684707737</v>
      </c>
      <c r="F89" s="35" t="n">
        <v>0.0321290812788185</v>
      </c>
      <c r="G89" s="35" t="n">
        <v>0.0115555496938387</v>
      </c>
      <c r="H89" s="37" t="n">
        <v>17.9071079250875</v>
      </c>
      <c r="I89" s="37" t="n">
        <v>18.2038365117442</v>
      </c>
    </row>
    <row r="90" customFormat="false" ht="12" hidden="false" customHeight="false" outlineLevel="0" collapsed="false">
      <c r="A90" s="0" t="n">
        <v>1.05</v>
      </c>
      <c r="B90" s="0" t="n">
        <v>0.5</v>
      </c>
      <c r="C90" s="10" t="n">
        <v>29.1686401408893</v>
      </c>
      <c r="D90" s="10" t="n">
        <v>30.4464768575064</v>
      </c>
      <c r="E90" s="10" t="n">
        <v>29.8156514650698</v>
      </c>
      <c r="F90" s="35" t="n">
        <v>0.233889990767533</v>
      </c>
      <c r="G90" s="35" t="n">
        <v>0.200327798836865</v>
      </c>
      <c r="H90" s="37" t="n">
        <v>14.5533275822398</v>
      </c>
      <c r="I90" s="37" t="n">
        <v>15.0542307465541</v>
      </c>
    </row>
    <row r="91" customFormat="false" ht="12" hidden="false" customHeight="false" outlineLevel="0" collapsed="false">
      <c r="A91" s="0" t="n">
        <v>1.05</v>
      </c>
      <c r="B91" s="0" t="n">
        <v>0.33</v>
      </c>
      <c r="C91" s="10" t="n">
        <v>33.9042822564526</v>
      </c>
      <c r="D91" s="10" t="n">
        <v>35.5638524969614</v>
      </c>
      <c r="E91" s="10" t="n">
        <v>35.0160283605695</v>
      </c>
      <c r="F91" s="35" t="n">
        <v>0.109509052631511</v>
      </c>
      <c r="G91" s="35" t="n">
        <v>0.065920686285428</v>
      </c>
      <c r="H91" s="37" t="n">
        <v>17.7157725577849</v>
      </c>
      <c r="I91" s="37" t="n">
        <v>17.8623230149933</v>
      </c>
    </row>
    <row r="92" customFormat="false" ht="12" hidden="false" customHeight="false" outlineLevel="0" collapsed="false">
      <c r="A92" s="0" t="n">
        <v>1.05</v>
      </c>
      <c r="B92" s="0" t="n">
        <v>0.17</v>
      </c>
      <c r="C92" s="10" t="n">
        <v>30.7309281984245</v>
      </c>
      <c r="D92" s="10" t="n">
        <v>33.8905441403728</v>
      </c>
      <c r="E92" s="10" t="n">
        <v>33.3615191111593</v>
      </c>
      <c r="F92" s="35" t="n">
        <v>0.192856726535779</v>
      </c>
      <c r="G92" s="35" t="n">
        <v>0.109869882213757</v>
      </c>
      <c r="H92" s="37" t="n">
        <v>18.1606999586144</v>
      </c>
      <c r="I92" s="37" t="n">
        <v>18.7159663463725</v>
      </c>
    </row>
    <row r="93" customFormat="false" ht="12" hidden="false" customHeight="false" outlineLevel="0" collapsed="false">
      <c r="A93" s="0" t="n">
        <v>1.05</v>
      </c>
      <c r="B93" s="0" t="n">
        <v>0</v>
      </c>
      <c r="C93" s="10" t="s">
        <v>31</v>
      </c>
      <c r="D93" s="10" t="n">
        <v>38.0736967137554</v>
      </c>
      <c r="E93" s="10" t="s">
        <v>31</v>
      </c>
      <c r="F93" s="35"/>
      <c r="G93" s="35"/>
      <c r="H93" s="37" t="n">
        <v>0</v>
      </c>
      <c r="I93" s="37" t="n">
        <v>19.9089786424311</v>
      </c>
    </row>
    <row r="94" customFormat="false" ht="12" hidden="false" customHeight="false" outlineLevel="0" collapsed="false">
      <c r="A94" s="0" t="n">
        <v>1.05</v>
      </c>
      <c r="B94" s="0" t="n">
        <v>1</v>
      </c>
      <c r="C94" s="10" t="n">
        <v>27.1929519989514</v>
      </c>
      <c r="D94" s="10" t="s">
        <v>31</v>
      </c>
      <c r="E94" s="10" t="n">
        <v>27.1929519989514</v>
      </c>
      <c r="F94" s="35" t="n">
        <v>0.284768781900333</v>
      </c>
      <c r="H94" s="37" t="n">
        <v>15.5189015468342</v>
      </c>
      <c r="I94" s="37" t="n">
        <v>0</v>
      </c>
    </row>
    <row r="95" customFormat="false" ht="12" hidden="false" customHeight="false" outlineLevel="0" collapsed="false">
      <c r="A95" s="0" t="n">
        <v>1.05</v>
      </c>
      <c r="B95" s="0" t="n">
        <v>0.83</v>
      </c>
      <c r="C95" s="10" t="n">
        <v>35.4988649709262</v>
      </c>
      <c r="D95" s="10" t="n">
        <v>35.7960175668222</v>
      </c>
      <c r="E95" s="10" t="n">
        <v>35.5491233799787</v>
      </c>
      <c r="F95" s="35" t="n">
        <v>0.0663059885778411</v>
      </c>
      <c r="G95" s="35" t="n">
        <v>0.0584902570187095</v>
      </c>
      <c r="H95" s="37" t="n">
        <v>19.5705908766343</v>
      </c>
      <c r="I95" s="37" t="n">
        <v>19.6491087926803</v>
      </c>
    </row>
    <row r="96" customFormat="false" ht="12" hidden="false" customHeight="false" outlineLevel="0" collapsed="false">
      <c r="A96" s="0" t="n">
        <v>1.05</v>
      </c>
      <c r="B96" s="0" t="n">
        <v>0.67</v>
      </c>
      <c r="C96" s="10" t="n">
        <v>37.1116517473748</v>
      </c>
      <c r="D96" s="10" t="n">
        <v>37.3502644742207</v>
      </c>
      <c r="E96" s="10" t="n">
        <v>37.1895747102051</v>
      </c>
      <c r="F96" s="35" t="n">
        <v>0.0238863406227809</v>
      </c>
      <c r="G96" s="35" t="n">
        <v>0.0176103294238998</v>
      </c>
      <c r="H96" s="37" t="n">
        <v>19.0601007215185</v>
      </c>
      <c r="I96" s="37" t="n">
        <v>19.1176445100272</v>
      </c>
    </row>
    <row r="97" customFormat="false" ht="12" hidden="false" customHeight="false" outlineLevel="0" collapsed="false">
      <c r="A97" s="0" t="n">
        <v>1.05</v>
      </c>
      <c r="B97" s="0" t="n">
        <v>0.5</v>
      </c>
      <c r="C97" s="10" t="n">
        <v>33.0703387539862</v>
      </c>
      <c r="D97" s="10" t="n">
        <v>33.6796064234725</v>
      </c>
      <c r="E97" s="10" t="n">
        <v>33.3778564556982</v>
      </c>
      <c r="F97" s="35" t="n">
        <v>0.130181281131439</v>
      </c>
      <c r="G97" s="35" t="n">
        <v>0.114156273717305</v>
      </c>
      <c r="H97" s="37" t="n">
        <v>17.1611577877529</v>
      </c>
      <c r="I97" s="37" t="n">
        <v>17.0663996999544</v>
      </c>
    </row>
    <row r="98" customFormat="false" ht="12" hidden="false" customHeight="false" outlineLevel="0" collapsed="false">
      <c r="A98" s="0" t="n">
        <v>1.05</v>
      </c>
      <c r="B98" s="0" t="n">
        <v>0.33</v>
      </c>
      <c r="C98" s="10" t="n">
        <v>33.4460384962272</v>
      </c>
      <c r="D98" s="10" t="n">
        <v>34.8810051397329</v>
      </c>
      <c r="E98" s="10" t="n">
        <v>34.4035439052171</v>
      </c>
      <c r="F98" s="35" t="n">
        <v>0.120299596189947</v>
      </c>
      <c r="G98" s="35" t="n">
        <v>0.0825569877226305</v>
      </c>
      <c r="H98" s="37" t="n">
        <v>16.2931054041734</v>
      </c>
      <c r="I98" s="37" t="n">
        <v>16.8639822229205</v>
      </c>
    </row>
    <row r="99" customFormat="false" ht="12" hidden="false" customHeight="false" outlineLevel="0" collapsed="false">
      <c r="A99" s="0" t="n">
        <v>1.05</v>
      </c>
      <c r="B99" s="0" t="n">
        <v>0.17</v>
      </c>
      <c r="C99" s="10" t="n">
        <v>29.6291286032009</v>
      </c>
      <c r="D99" s="10" t="n">
        <v>31.9200227521488</v>
      </c>
      <c r="E99" s="10" t="n">
        <v>31.5309525625191</v>
      </c>
      <c r="F99" s="35" t="n">
        <v>0.220692268242291</v>
      </c>
      <c r="G99" s="35" t="n">
        <v>0.160436985448699</v>
      </c>
      <c r="H99" s="37" t="n">
        <v>16.2356934419345</v>
      </c>
      <c r="I99" s="37" t="n">
        <v>17.1193622852097</v>
      </c>
    </row>
    <row r="100" customFormat="false" ht="12" hidden="false" customHeight="false" outlineLevel="0" collapsed="false">
      <c r="A100" s="0" t="n">
        <v>1.05</v>
      </c>
      <c r="B100" s="0" t="n">
        <v>0</v>
      </c>
      <c r="C100" s="10" t="s">
        <v>31</v>
      </c>
      <c r="D100" s="10" t="n">
        <v>38.0198057786148</v>
      </c>
      <c r="E100" s="10" t="s">
        <v>31</v>
      </c>
      <c r="F100" s="35" t="s">
        <v>31</v>
      </c>
      <c r="G100" s="35" t="s">
        <v>31</v>
      </c>
      <c r="H100" s="37" t="n">
        <v>0</v>
      </c>
      <c r="I100" s="37" t="n">
        <v>19.467941100619</v>
      </c>
    </row>
    <row r="101" customFormat="false" ht="12" hidden="false" customHeight="false" outlineLevel="0" collapsed="false">
      <c r="A101" s="0" t="n">
        <v>1</v>
      </c>
      <c r="B101" s="0" t="n">
        <v>1</v>
      </c>
      <c r="C101" s="10" t="n">
        <v>17.422844441695</v>
      </c>
      <c r="D101" s="10" t="s">
        <v>31</v>
      </c>
      <c r="E101" s="10" t="n">
        <v>17.422844441695</v>
      </c>
      <c r="F101" s="35" t="n">
        <v>0.31309052787336</v>
      </c>
      <c r="G101" s="35" t="s">
        <v>31</v>
      </c>
      <c r="H101" s="37" t="n">
        <v>10.1945466018767</v>
      </c>
      <c r="I101" s="37" t="n">
        <v>0</v>
      </c>
    </row>
    <row r="102" customFormat="false" ht="12" hidden="false" customHeight="false" outlineLevel="0" collapsed="false">
      <c r="A102" s="0" t="n">
        <v>1</v>
      </c>
      <c r="B102" s="0" t="n">
        <v>0.83</v>
      </c>
      <c r="C102" s="10" t="n">
        <v>18.0520598173722</v>
      </c>
      <c r="D102" s="10" t="n">
        <v>18.5882954329707</v>
      </c>
      <c r="E102" s="10" t="n">
        <v>18.1424333931211</v>
      </c>
      <c r="F102" s="35" t="n">
        <v>0.288283212224832</v>
      </c>
      <c r="G102" s="35" t="n">
        <v>0.267141697423449</v>
      </c>
      <c r="H102" s="37" t="n">
        <v>10.2261276885052</v>
      </c>
      <c r="I102" s="37" t="n">
        <v>10.0740811268197</v>
      </c>
    </row>
    <row r="103" customFormat="false" ht="12" hidden="false" customHeight="false" outlineLevel="0" collapsed="false">
      <c r="A103" s="0" t="n">
        <v>1</v>
      </c>
      <c r="B103" s="0" t="n">
        <v>0.67</v>
      </c>
      <c r="C103" s="10" t="n">
        <v>18.0340059097819</v>
      </c>
      <c r="D103" s="10" t="n">
        <v>18.625504958789</v>
      </c>
      <c r="E103" s="10" t="n">
        <v>18.2285696636353</v>
      </c>
      <c r="F103" s="35" t="n">
        <v>0.28899500186252</v>
      </c>
      <c r="G103" s="35" t="n">
        <v>0.265674682331657</v>
      </c>
      <c r="H103" s="37" t="n">
        <v>10.4079493257494</v>
      </c>
      <c r="I103" s="37" t="n">
        <v>10.3537584038318</v>
      </c>
    </row>
    <row r="104" customFormat="false" ht="12" hidden="false" customHeight="false" outlineLevel="0" collapsed="false">
      <c r="A104" s="0" t="n">
        <v>1</v>
      </c>
      <c r="B104" s="0" t="n">
        <v>0.5</v>
      </c>
      <c r="C104" s="10" t="n">
        <v>18.0501826305467</v>
      </c>
      <c r="D104" s="10" t="n">
        <v>19.005240148859</v>
      </c>
      <c r="E104" s="10" t="n">
        <v>18.5331233823066</v>
      </c>
      <c r="F104" s="35" t="n">
        <v>0.288357221805512</v>
      </c>
      <c r="G104" s="35" t="n">
        <v>0.250703321034606</v>
      </c>
      <c r="H104" s="37" t="n">
        <v>9.82675504710411</v>
      </c>
      <c r="I104" s="37" t="n">
        <v>9.93552405442692</v>
      </c>
    </row>
    <row r="105" customFormat="false" ht="12" hidden="false" customHeight="false" outlineLevel="0" collapsed="false">
      <c r="A105" s="0" t="n">
        <v>1</v>
      </c>
      <c r="B105" s="0" t="n">
        <v>0.33</v>
      </c>
      <c r="C105" s="10" t="n">
        <v>18.2147830545602</v>
      </c>
      <c r="D105" s="10" t="n">
        <v>19.7539931108385</v>
      </c>
      <c r="E105" s="10" t="n">
        <v>19.2470286253023</v>
      </c>
      <c r="F105" s="35" t="n">
        <v>0.281867719431241</v>
      </c>
      <c r="G105" s="35" t="n">
        <v>0.221183141158824</v>
      </c>
      <c r="H105" s="37" t="n">
        <v>9.99625213381963</v>
      </c>
      <c r="I105" s="37" t="n">
        <v>10.3381886965503</v>
      </c>
    </row>
    <row r="106" customFormat="false" ht="12" hidden="false" customHeight="false" outlineLevel="0" collapsed="false">
      <c r="A106" s="0" t="n">
        <v>1</v>
      </c>
      <c r="B106" s="0" t="n">
        <v>0.17</v>
      </c>
      <c r="C106" s="10" t="n">
        <v>18.2296283019763</v>
      </c>
      <c r="D106" s="10" t="n">
        <v>21.0668195521862</v>
      </c>
      <c r="E106" s="10" t="n">
        <v>20.5822272866504</v>
      </c>
      <c r="F106" s="35" t="n">
        <v>0.281282433767907</v>
      </c>
      <c r="G106" s="35" t="n">
        <v>0.16942391660523</v>
      </c>
      <c r="H106" s="37" t="n">
        <v>9.90868070027445</v>
      </c>
      <c r="I106" s="37" t="n">
        <v>10.7497255851667</v>
      </c>
    </row>
    <row r="107" customFormat="false" ht="12" hidden="false" customHeight="false" outlineLevel="0" collapsed="false">
      <c r="A107" s="0" t="n">
        <v>1</v>
      </c>
      <c r="B107" s="0" t="n">
        <v>0</v>
      </c>
      <c r="C107" s="10" t="s">
        <v>31</v>
      </c>
      <c r="D107" s="10" t="n">
        <v>25.3641056772077</v>
      </c>
      <c r="E107" s="10" t="n">
        <v>25.3641056772077</v>
      </c>
      <c r="F107" s="35" t="s">
        <v>31</v>
      </c>
      <c r="G107" s="35"/>
      <c r="H107" s="37" t="n">
        <v>0</v>
      </c>
      <c r="I107" s="37" t="n">
        <v>12.8419485765301</v>
      </c>
    </row>
    <row r="108" customFormat="false" ht="12" hidden="false" customHeight="false" outlineLevel="0" collapsed="false">
      <c r="A108" s="0" t="n">
        <v>0.5</v>
      </c>
      <c r="B108" s="0" t="n">
        <v>1</v>
      </c>
      <c r="C108" s="10" t="n">
        <v>2.42679755644688</v>
      </c>
      <c r="D108" s="10" t="s">
        <v>31</v>
      </c>
      <c r="E108" s="10" t="n">
        <v>2.42679755644688</v>
      </c>
      <c r="F108" s="35" t="n">
        <v>0.190082331348528</v>
      </c>
      <c r="G108" s="35" t="s">
        <v>31</v>
      </c>
      <c r="H108" s="37" t="n">
        <v>0.808267926905258</v>
      </c>
      <c r="I108" s="37" t="n">
        <v>0</v>
      </c>
    </row>
    <row r="109" customFormat="false" ht="12" hidden="false" customHeight="false" outlineLevel="0" collapsed="false">
      <c r="A109" s="0" t="n">
        <v>0.5</v>
      </c>
      <c r="B109" s="0" t="n">
        <v>0.83</v>
      </c>
      <c r="C109" s="10" t="n">
        <v>2.42055393524762</v>
      </c>
      <c r="D109" s="10" t="n">
        <v>2.72357829385273</v>
      </c>
      <c r="E109" s="10" t="n">
        <v>2.47351249231984</v>
      </c>
      <c r="F109" s="35" t="n">
        <v>0.192166072990768</v>
      </c>
      <c r="G109" s="35" t="n">
        <v>0.091034941795222</v>
      </c>
      <c r="H109" s="37" t="n">
        <v>0.809716071961205</v>
      </c>
      <c r="I109" s="37" t="n">
        <v>1.00798510509095</v>
      </c>
    </row>
    <row r="110" customFormat="false" ht="12" hidden="false" customHeight="false" outlineLevel="0" collapsed="false">
      <c r="A110" s="0" t="n">
        <v>0.5</v>
      </c>
      <c r="B110" s="0" t="n">
        <v>0.67</v>
      </c>
      <c r="C110" s="10" t="n">
        <v>2.40558072128571</v>
      </c>
      <c r="D110" s="10" t="n">
        <v>2.77088332561144</v>
      </c>
      <c r="E110" s="10" t="n">
        <v>2.52659329734535</v>
      </c>
      <c r="F110" s="35" t="n">
        <v>0.19716322263435</v>
      </c>
      <c r="G110" s="35" t="n">
        <v>0.0752473945662766</v>
      </c>
      <c r="H110" s="37" t="n">
        <v>0.790678706909674</v>
      </c>
      <c r="I110" s="37" t="n">
        <v>1.1033501046535</v>
      </c>
    </row>
    <row r="111" customFormat="false" ht="12" hidden="false" customHeight="false" outlineLevel="0" collapsed="false">
      <c r="A111" s="0" t="n">
        <v>0.5</v>
      </c>
      <c r="B111" s="0" t="n">
        <v>0.5</v>
      </c>
      <c r="C111" s="10" t="n">
        <v>2.39349196090518</v>
      </c>
      <c r="D111" s="10" t="n">
        <v>2.80737629563953</v>
      </c>
      <c r="E111" s="10" t="n">
        <v>2.59928904827959</v>
      </c>
      <c r="F111" s="35" t="n">
        <v>0.201197716817137</v>
      </c>
      <c r="G111" s="35" t="n">
        <v>0.0630682570322033</v>
      </c>
      <c r="H111" s="37" t="n">
        <v>0.805487207300939</v>
      </c>
      <c r="I111" s="37" t="n">
        <v>1.17300318719714</v>
      </c>
    </row>
    <row r="112" customFormat="false" ht="12" hidden="false" customHeight="false" outlineLevel="0" collapsed="false">
      <c r="A112" s="0" t="n">
        <v>0.5</v>
      </c>
      <c r="B112" s="0" t="n">
        <v>0.33</v>
      </c>
      <c r="C112" s="10" t="n">
        <v>2.38412786745665</v>
      </c>
      <c r="D112" s="10" t="n">
        <v>2.84280520228842</v>
      </c>
      <c r="E112" s="10" t="n">
        <v>2.6931846556663</v>
      </c>
      <c r="F112" s="35" t="n">
        <v>0.204322882620408</v>
      </c>
      <c r="G112" s="35" t="n">
        <v>0.0512442392439399</v>
      </c>
      <c r="H112" s="37" t="n">
        <v>0.79714547685976</v>
      </c>
      <c r="I112" s="37" t="n">
        <v>1.21213657814478</v>
      </c>
    </row>
    <row r="113" customFormat="false" ht="12" hidden="false" customHeight="false" outlineLevel="0" collapsed="false">
      <c r="A113" s="0" t="n">
        <v>0.5</v>
      </c>
      <c r="B113" s="0" t="n">
        <v>0.17</v>
      </c>
      <c r="C113" s="10" t="n">
        <v>2.36225425210764</v>
      </c>
      <c r="D113" s="10" t="n">
        <v>2.91931575321576</v>
      </c>
      <c r="E113" s="10" t="n">
        <v>2.82465243546079</v>
      </c>
      <c r="F113" s="35" t="n">
        <v>0.211622967253092</v>
      </c>
      <c r="G113" s="35" t="n">
        <v>0.0257096630821608</v>
      </c>
      <c r="H113" s="37" t="n">
        <v>0.768362210667091</v>
      </c>
      <c r="I113" s="37" t="n">
        <v>1.32458562643018</v>
      </c>
    </row>
    <row r="114" customFormat="false" ht="12" hidden="false" customHeight="false" outlineLevel="0" collapsed="false">
      <c r="A114" s="0" t="n">
        <v>0.5</v>
      </c>
      <c r="B114" s="0" t="n">
        <v>0</v>
      </c>
      <c r="C114" s="10" t="s">
        <v>31</v>
      </c>
      <c r="D114" s="10" t="n">
        <v>2.99635092599912</v>
      </c>
      <c r="E114" s="10" t="n">
        <v>2.99635092599912</v>
      </c>
      <c r="F114" s="35" t="s">
        <v>31</v>
      </c>
      <c r="G114" s="35"/>
      <c r="H114" s="37" t="n">
        <v>0</v>
      </c>
      <c r="I114" s="37" t="n">
        <v>1.49456991775564</v>
      </c>
    </row>
    <row r="115" customFormat="false" ht="12" hidden="false" customHeight="false" outlineLevel="0" collapsed="false">
      <c r="A115" s="0" t="n">
        <v>1</v>
      </c>
      <c r="B115" s="0" t="n">
        <v>1</v>
      </c>
      <c r="C115" s="10" t="n">
        <v>18.7304848052089</v>
      </c>
      <c r="D115" s="10" t="s">
        <v>31</v>
      </c>
      <c r="E115" s="10" t="n">
        <v>18.7304848052089</v>
      </c>
      <c r="F115" s="35" t="n">
        <v>0.28929889050439</v>
      </c>
      <c r="G115" s="35" t="s">
        <v>31</v>
      </c>
      <c r="H115" s="37" t="n">
        <v>9.27779809823858</v>
      </c>
      <c r="I115" s="37" t="n">
        <v>0</v>
      </c>
    </row>
    <row r="116" customFormat="false" ht="12" hidden="false" customHeight="false" outlineLevel="0" collapsed="false">
      <c r="A116" s="0" t="n">
        <v>1</v>
      </c>
      <c r="B116" s="0" t="n">
        <v>0.83</v>
      </c>
      <c r="C116" s="10" t="n">
        <v>19.4661781616465</v>
      </c>
      <c r="D116" s="10" t="n">
        <v>20.2871983015783</v>
      </c>
      <c r="E116" s="10" t="n">
        <v>19.6055052793929</v>
      </c>
      <c r="F116" s="35" t="n">
        <v>0.261384071955575</v>
      </c>
      <c r="G116" s="35" t="n">
        <v>0.230231652227203</v>
      </c>
      <c r="H116" s="37" t="n">
        <v>9.825734044306</v>
      </c>
      <c r="I116" s="37" t="n">
        <v>10.1894807553771</v>
      </c>
    </row>
    <row r="117" customFormat="false" ht="12" hidden="false" customHeight="false" outlineLevel="0" collapsed="false">
      <c r="A117" s="0" t="n">
        <v>1</v>
      </c>
      <c r="B117" s="0" t="n">
        <v>0.67</v>
      </c>
      <c r="C117" s="10" t="n">
        <v>19.6085490156015</v>
      </c>
      <c r="D117" s="10" t="n">
        <v>20.1563432727919</v>
      </c>
      <c r="E117" s="10" t="n">
        <v>19.7870386444027</v>
      </c>
      <c r="F117" s="35" t="n">
        <v>0.255982016166952</v>
      </c>
      <c r="G117" s="35" t="n">
        <v>0.235196756713751</v>
      </c>
      <c r="H117" s="37" t="n">
        <v>9.88450998192565</v>
      </c>
      <c r="I117" s="37" t="n">
        <v>9.98758210721816</v>
      </c>
    </row>
    <row r="118" customFormat="false" ht="12" hidden="false" customHeight="false" outlineLevel="0" collapsed="false">
      <c r="A118" s="0" t="n">
        <v>1</v>
      </c>
      <c r="B118" s="0" t="n">
        <v>0.5</v>
      </c>
      <c r="C118" s="10" t="n">
        <v>14.9639634809117</v>
      </c>
      <c r="D118" s="10" t="n">
        <v>15.7240400559482</v>
      </c>
      <c r="E118" s="10" t="n">
        <v>15.3431150124257</v>
      </c>
      <c r="F118" s="35" t="n">
        <v>0.432214085276734</v>
      </c>
      <c r="G118" s="35" t="n">
        <v>0.403374080824217</v>
      </c>
      <c r="H118" s="37" t="n">
        <v>8.14376222148341</v>
      </c>
      <c r="I118" s="37" t="n">
        <v>8.31697410889924</v>
      </c>
    </row>
    <row r="119" customFormat="false" ht="12" hidden="false" customHeight="false" outlineLevel="0" collapsed="false">
      <c r="A119" s="0" t="n">
        <v>1</v>
      </c>
      <c r="B119" s="0" t="n">
        <v>0.33</v>
      </c>
      <c r="C119" s="10" t="n">
        <v>22.8441565510617</v>
      </c>
      <c r="D119" s="10" t="n">
        <v>24.6291441993086</v>
      </c>
      <c r="E119" s="10" t="n">
        <v>24.040276774152</v>
      </c>
      <c r="F119" s="35" t="n">
        <v>0.133211575932303</v>
      </c>
      <c r="G119" s="35" t="n">
        <v>0.0654828056821997</v>
      </c>
      <c r="H119" s="37" t="n">
        <v>13.1580990977818</v>
      </c>
      <c r="I119" s="37" t="n">
        <v>13.2214965945335</v>
      </c>
    </row>
    <row r="120" customFormat="false" ht="12" hidden="false" customHeight="false" outlineLevel="0" collapsed="false">
      <c r="A120" s="0" t="n">
        <v>1</v>
      </c>
      <c r="B120" s="0" t="n">
        <v>0.17</v>
      </c>
      <c r="C120" s="10" t="n">
        <v>15.9645522853837</v>
      </c>
      <c r="D120" s="10" t="n">
        <v>18.3733325764386</v>
      </c>
      <c r="E120" s="10" t="n">
        <v>17.9662487072503</v>
      </c>
      <c r="F120" s="35" t="n">
        <v>0.394248192728702</v>
      </c>
      <c r="G120" s="35" t="n">
        <v>0.302850514388427</v>
      </c>
      <c r="H120" s="37" t="n">
        <v>9.34966173977911</v>
      </c>
      <c r="I120" s="37" t="n">
        <v>10.548829964491</v>
      </c>
    </row>
    <row r="121" customFormat="false" ht="12" hidden="false" customHeight="false" outlineLevel="0" collapsed="false">
      <c r="A121" s="0" t="n">
        <v>1</v>
      </c>
      <c r="B121" s="0" t="n">
        <v>0</v>
      </c>
      <c r="C121" s="10" t="s">
        <v>31</v>
      </c>
      <c r="D121" s="10" t="n">
        <v>26.3549395870538</v>
      </c>
      <c r="E121" s="10" t="n">
        <v>26.3549395870538</v>
      </c>
      <c r="F121" s="35" t="s">
        <v>31</v>
      </c>
      <c r="G121" s="35" t="s">
        <v>31</v>
      </c>
      <c r="H121" s="37" t="n">
        <v>0</v>
      </c>
      <c r="I121" s="37" t="n">
        <v>13.7528343209842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2"/>
  <sheetViews>
    <sheetView showFormulas="false" showGridLines="true" showRowColHeaders="true" showZeros="true" rightToLeft="false" tabSelected="false" showOutlineSymbols="true" defaultGridColor="true" view="normal" topLeftCell="O108" colorId="64" zoomScale="100" zoomScaleNormal="100" zoomScalePageLayoutView="100" workbookViewId="0">
      <pane xSplit="0" ySplit="4575" topLeftCell="BM46" activePane="bottomLeft" state="split"/>
      <selection pane="topLeft" activeCell="O108" activeCellId="0" sqref="O108"/>
      <selection pane="bottomLeft" activeCell="Y60" activeCellId="0" sqref="Y60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0" t="s">
        <v>47</v>
      </c>
      <c r="B1" s="0" t="s">
        <v>48</v>
      </c>
      <c r="C1" s="0" t="s">
        <v>49</v>
      </c>
      <c r="D1" s="0" t="s">
        <v>48</v>
      </c>
      <c r="E1" s="0" t="s">
        <v>50</v>
      </c>
      <c r="F1" s="0" t="s">
        <v>51</v>
      </c>
      <c r="G1" s="0" t="s">
        <v>52</v>
      </c>
      <c r="H1" s="0" t="s">
        <v>53</v>
      </c>
      <c r="L1" s="0" t="s">
        <v>54</v>
      </c>
      <c r="P1" s="0" t="s">
        <v>55</v>
      </c>
    </row>
    <row r="2" customFormat="false" ht="12" hidden="false" customHeight="false" outlineLevel="0" collapsed="false">
      <c r="A2" s="0" t="s">
        <v>56</v>
      </c>
      <c r="B2" s="0" t="s">
        <v>57</v>
      </c>
      <c r="D2" s="0" t="s">
        <v>58</v>
      </c>
      <c r="E2" s="0" t="s">
        <v>59</v>
      </c>
      <c r="F2" s="0" t="s">
        <v>60</v>
      </c>
      <c r="G2" s="0" t="s">
        <v>61</v>
      </c>
      <c r="H2" s="38" t="s">
        <v>17</v>
      </c>
      <c r="I2" s="38" t="s">
        <v>17</v>
      </c>
      <c r="J2" s="39" t="s">
        <v>18</v>
      </c>
      <c r="K2" s="39" t="s">
        <v>18</v>
      </c>
      <c r="L2" s="38" t="s">
        <v>17</v>
      </c>
      <c r="M2" s="38" t="s">
        <v>17</v>
      </c>
      <c r="N2" s="39" t="s">
        <v>18</v>
      </c>
      <c r="O2" s="39" t="s">
        <v>18</v>
      </c>
      <c r="P2" s="38" t="s">
        <v>17</v>
      </c>
      <c r="Q2" s="38" t="s">
        <v>17</v>
      </c>
      <c r="R2" s="39" t="s">
        <v>18</v>
      </c>
      <c r="S2" s="39" t="s">
        <v>18</v>
      </c>
      <c r="T2" s="0" t="s">
        <v>60</v>
      </c>
      <c r="W2" s="0" t="s">
        <v>61</v>
      </c>
      <c r="X2" s="0" t="s">
        <v>62</v>
      </c>
    </row>
    <row r="3" customFormat="false" ht="12.75" hidden="false" customHeight="false" outlineLevel="0" collapsed="false">
      <c r="A3" s="0" t="s">
        <v>63</v>
      </c>
      <c r="B3" s="0" t="s">
        <v>64</v>
      </c>
      <c r="F3" s="0" t="s">
        <v>64</v>
      </c>
      <c r="H3" s="34" t="s">
        <v>19</v>
      </c>
      <c r="I3" s="34" t="s">
        <v>20</v>
      </c>
      <c r="J3" s="34" t="s">
        <v>19</v>
      </c>
      <c r="K3" s="34" t="s">
        <v>20</v>
      </c>
      <c r="L3" s="34" t="s">
        <v>19</v>
      </c>
      <c r="M3" s="34" t="s">
        <v>20</v>
      </c>
      <c r="N3" s="34" t="s">
        <v>19</v>
      </c>
      <c r="O3" s="34" t="s">
        <v>20</v>
      </c>
      <c r="P3" s="34" t="s">
        <v>19</v>
      </c>
      <c r="Q3" s="34" t="s">
        <v>20</v>
      </c>
      <c r="R3" s="34" t="s">
        <v>19</v>
      </c>
      <c r="S3" s="34" t="s">
        <v>20</v>
      </c>
      <c r="T3" s="0" t="s">
        <v>61</v>
      </c>
      <c r="U3" s="0" t="s">
        <v>62</v>
      </c>
      <c r="V3" s="0" t="s">
        <v>65</v>
      </c>
      <c r="W3" s="0" t="s">
        <v>66</v>
      </c>
      <c r="X3" s="0" t="s">
        <v>66</v>
      </c>
    </row>
    <row r="4" customFormat="false" ht="12" hidden="false" customHeight="false" outlineLevel="0" collapsed="false"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customFormat="false" ht="12" hidden="false" customHeight="false" outlineLevel="0" collapsed="false">
      <c r="A5" s="0" t="n">
        <v>1.05</v>
      </c>
      <c r="B5" s="0" t="n">
        <v>2</v>
      </c>
      <c r="C5" s="0" t="n">
        <v>2</v>
      </c>
      <c r="D5" s="0" t="n">
        <v>0.5</v>
      </c>
      <c r="E5" s="0" t="n">
        <v>-0.15</v>
      </c>
      <c r="F5" s="0" t="n">
        <v>0</v>
      </c>
      <c r="G5" s="0" t="n">
        <v>1</v>
      </c>
      <c r="H5" s="36" t="n">
        <v>31.6844109163161</v>
      </c>
      <c r="I5" s="36" t="n">
        <v>0</v>
      </c>
      <c r="J5" s="36" t="n">
        <v>31.6805413421408</v>
      </c>
      <c r="K5" s="36" t="n">
        <v>0</v>
      </c>
      <c r="L5" s="36" t="n">
        <v>16.5870821929673</v>
      </c>
      <c r="M5" s="36" t="n">
        <v>0</v>
      </c>
      <c r="N5" s="36" t="n">
        <v>16.527711367894</v>
      </c>
      <c r="O5" s="36" t="n">
        <v>0</v>
      </c>
      <c r="P5" s="36" t="n">
        <v>15009</v>
      </c>
      <c r="Q5" s="36" t="n">
        <v>0</v>
      </c>
      <c r="R5" s="36" t="n">
        <v>14991</v>
      </c>
      <c r="S5" s="36" t="n">
        <v>0</v>
      </c>
      <c r="T5" s="10" t="n">
        <f aca="false">(H5*P5+J5*R5)/(P5+R5)</f>
        <v>31.6824772901007</v>
      </c>
      <c r="U5" s="10" t="s">
        <v>31</v>
      </c>
      <c r="V5" s="10" t="n">
        <f aca="false">(H5*P5+I5*Q5+J5*R5+K5*S5)/(P5+Q5+R5+S5)</f>
        <v>31.6824772901007</v>
      </c>
      <c r="W5" s="35" t="n">
        <f aca="false">($U$11-T5)/($U$11)</f>
        <v>0.244897113649111</v>
      </c>
      <c r="X5" s="35" t="s">
        <v>31</v>
      </c>
    </row>
    <row r="6" customFormat="false" ht="12" hidden="false" customHeight="false" outlineLevel="0" collapsed="false">
      <c r="A6" s="0" t="n">
        <v>1.05</v>
      </c>
      <c r="B6" s="0" t="n">
        <v>2</v>
      </c>
      <c r="C6" s="0" t="n">
        <v>2</v>
      </c>
      <c r="D6" s="0" t="n">
        <v>0.5</v>
      </c>
      <c r="E6" s="0" t="n">
        <v>-0.15</v>
      </c>
      <c r="F6" s="0" t="n">
        <v>0</v>
      </c>
      <c r="G6" s="0" t="n">
        <v>0.83</v>
      </c>
      <c r="H6" s="36" t="n">
        <v>39.1075789080731</v>
      </c>
      <c r="I6" s="36" t="n">
        <v>40.0025429654447</v>
      </c>
      <c r="J6" s="36" t="n">
        <v>39.2647455655812</v>
      </c>
      <c r="K6" s="36" t="n">
        <v>40.1461779480992</v>
      </c>
      <c r="L6" s="36" t="n">
        <v>21.3661292639075</v>
      </c>
      <c r="M6" s="36" t="n">
        <v>21.231430693714</v>
      </c>
      <c r="N6" s="36" t="n">
        <v>21.342568274658</v>
      </c>
      <c r="O6" s="36" t="n">
        <v>21.0377998686898</v>
      </c>
      <c r="P6" s="36" t="n">
        <v>12518</v>
      </c>
      <c r="Q6" s="36" t="n">
        <v>2513</v>
      </c>
      <c r="R6" s="36" t="n">
        <v>12412</v>
      </c>
      <c r="S6" s="36" t="n">
        <v>2557</v>
      </c>
      <c r="T6" s="10" t="n">
        <f aca="false">(H6*P6+J6*R6)/(P6+R6)</f>
        <v>39.1858281079524</v>
      </c>
      <c r="U6" s="10" t="n">
        <f aca="false">(I6*Q6+K6*S6)/(Q6+S6)</f>
        <v>40.0749837249413</v>
      </c>
      <c r="V6" s="10" t="n">
        <f aca="false">(H6*P6+I6*Q6+J6*R6+K6*S6)/(P6+Q6+R6+S6)</f>
        <v>39.3360954072235</v>
      </c>
      <c r="W6" s="35" t="n">
        <f aca="false">($U$11-T6)/($U$11)</f>
        <v>0.0660663420530577</v>
      </c>
      <c r="X6" s="35" t="n">
        <f aca="false">($U$11-U6)/($U$11)</f>
        <v>0.0448746919603049</v>
      </c>
    </row>
    <row r="7" customFormat="false" ht="12" hidden="false" customHeight="false" outlineLevel="0" collapsed="false">
      <c r="A7" s="0" t="n">
        <v>1.05</v>
      </c>
      <c r="B7" s="0" t="n">
        <v>2</v>
      </c>
      <c r="C7" s="0" t="n">
        <v>2</v>
      </c>
      <c r="D7" s="0" t="n">
        <v>0.5</v>
      </c>
      <c r="E7" s="0" t="n">
        <v>-0.15</v>
      </c>
      <c r="F7" s="0" t="n">
        <v>0</v>
      </c>
      <c r="G7" s="0" t="n">
        <v>0.67</v>
      </c>
      <c r="H7" s="36" t="n">
        <v>40.7023549254119</v>
      </c>
      <c r="I7" s="36" t="n">
        <v>41.9144189747646</v>
      </c>
      <c r="J7" s="36" t="n">
        <v>40.7234023854334</v>
      </c>
      <c r="K7" s="36" t="n">
        <v>41.7473333382428</v>
      </c>
      <c r="L7" s="36" t="n">
        <v>20.9718418804741</v>
      </c>
      <c r="M7" s="36" t="n">
        <v>20.7562447079636</v>
      </c>
      <c r="N7" s="36" t="n">
        <v>20.8616600942489</v>
      </c>
      <c r="O7" s="36" t="n">
        <v>20.6061012352645</v>
      </c>
      <c r="P7" s="36" t="n">
        <v>9983</v>
      </c>
      <c r="Q7" s="36" t="n">
        <v>5017</v>
      </c>
      <c r="R7" s="36" t="n">
        <v>10174</v>
      </c>
      <c r="S7" s="36" t="n">
        <v>4826</v>
      </c>
      <c r="T7" s="10" t="n">
        <f aca="false">(H7*P7+J7*R7)/(P7+R7)</f>
        <v>40.7129783742515</v>
      </c>
      <c r="U7" s="10" t="n">
        <f aca="false">(I7*Q7+K7*S7)/(Q7+S7)</f>
        <v>41.8324972759071</v>
      </c>
      <c r="V7" s="10" t="n">
        <f aca="false">(H7*P7+I7*Q7+J7*R7+K7*S7)/(P7+Q7+R7+S7)</f>
        <v>41.0802925258847</v>
      </c>
      <c r="W7" s="35" t="n">
        <f aca="false">($U$11-T7)/($U$11)</f>
        <v>0.0296690754057842</v>
      </c>
      <c r="X7" s="35" t="n">
        <f aca="false">($U$11-U7)/($U$11)</f>
        <v>0.00298707241011999</v>
      </c>
    </row>
    <row r="8" customFormat="false" ht="12" hidden="false" customHeight="false" outlineLevel="0" collapsed="false">
      <c r="A8" s="0" t="n">
        <v>1.05</v>
      </c>
      <c r="B8" s="0" t="n">
        <v>2</v>
      </c>
      <c r="C8" s="0" t="n">
        <v>2</v>
      </c>
      <c r="D8" s="0" t="n">
        <v>0.5</v>
      </c>
      <c r="E8" s="0" t="n">
        <v>-0.15</v>
      </c>
      <c r="F8" s="0" t="n">
        <v>0</v>
      </c>
      <c r="G8" s="0" t="n">
        <v>0.5</v>
      </c>
      <c r="H8" s="36" t="n">
        <v>31.9928674583898</v>
      </c>
      <c r="I8" s="36" t="n">
        <v>33.1847119922229</v>
      </c>
      <c r="J8" s="36" t="n">
        <v>32.1484119525092</v>
      </c>
      <c r="K8" s="36" t="n">
        <v>32.9582194724882</v>
      </c>
      <c r="L8" s="36" t="n">
        <v>17.3020789856854</v>
      </c>
      <c r="M8" s="36" t="n">
        <v>16.9172866374432</v>
      </c>
      <c r="N8" s="36" t="n">
        <v>17.002178102767</v>
      </c>
      <c r="O8" s="36" t="n">
        <v>17.0862248971439</v>
      </c>
      <c r="P8" s="36" t="n">
        <v>7523</v>
      </c>
      <c r="Q8" s="36" t="n">
        <v>7492</v>
      </c>
      <c r="R8" s="36" t="n">
        <v>7584</v>
      </c>
      <c r="S8" s="36" t="n">
        <v>7401</v>
      </c>
      <c r="T8" s="10" t="n">
        <f aca="false">(H8*P8+J8*R8)/(P8+R8)</f>
        <v>32.0709537391472</v>
      </c>
      <c r="U8" s="10" t="n">
        <f aca="false">(I8*Q8+K8*S8)/(Q8+S8)</f>
        <v>33.0721576956704</v>
      </c>
      <c r="V8" s="10" t="n">
        <f aca="false">(H8*P8+I8*Q8+J8*R8+K8*S8)/(P8+Q8+R8+S8)</f>
        <v>32.5679847566305</v>
      </c>
      <c r="W8" s="35" t="n">
        <f aca="false">($U$11-T8)/($U$11)</f>
        <v>0.235638377810105</v>
      </c>
      <c r="X8" s="35" t="n">
        <f aca="false">($U$11-U8)/($U$11)</f>
        <v>0.211776228696126</v>
      </c>
    </row>
    <row r="9" customFormat="false" ht="12" hidden="false" customHeight="false" outlineLevel="0" collapsed="false">
      <c r="A9" s="0" t="n">
        <v>1.05</v>
      </c>
      <c r="B9" s="0" t="n">
        <v>2</v>
      </c>
      <c r="C9" s="0" t="n">
        <v>2</v>
      </c>
      <c r="D9" s="0" t="n">
        <v>0.5</v>
      </c>
      <c r="E9" s="0" t="n">
        <v>-0.15</v>
      </c>
      <c r="F9" s="0" t="n">
        <v>0</v>
      </c>
      <c r="G9" s="0" t="n">
        <v>0.33</v>
      </c>
      <c r="H9" s="36" t="n">
        <v>34.206931427299</v>
      </c>
      <c r="I9" s="36" t="n">
        <v>35.4430441513165</v>
      </c>
      <c r="J9" s="36" t="n">
        <v>33.7445401545382</v>
      </c>
      <c r="K9" s="36" t="n">
        <v>35.7001196788503</v>
      </c>
      <c r="L9" s="36" t="n">
        <v>18.0957058998062</v>
      </c>
      <c r="M9" s="36" t="n">
        <v>18.2271417370074</v>
      </c>
      <c r="N9" s="36" t="n">
        <v>17.7716757040124</v>
      </c>
      <c r="O9" s="36" t="n">
        <v>18.3756163348094</v>
      </c>
      <c r="P9" s="36" t="n">
        <v>4863</v>
      </c>
      <c r="Q9" s="36" t="n">
        <v>10150</v>
      </c>
      <c r="R9" s="36" t="n">
        <v>4993</v>
      </c>
      <c r="S9" s="36" t="n">
        <v>9994</v>
      </c>
      <c r="T9" s="10" t="n">
        <f aca="false">(H9*P9+J9*R9)/(P9+R9)</f>
        <v>33.9726863354875</v>
      </c>
      <c r="U9" s="10" t="n">
        <f aca="false">(I9*Q9+K9*S9)/(Q9+S9)</f>
        <v>35.5705864876039</v>
      </c>
      <c r="V9" s="10" t="n">
        <f aca="false">(H9*P9+I9*Q9+J9*R9+K9*S9)/(P9+Q9+R9+S9)</f>
        <v>35.0456230242952</v>
      </c>
      <c r="W9" s="35" t="n">
        <f aca="false">($U$11-T9)/($U$11)</f>
        <v>0.190313520179328</v>
      </c>
      <c r="X9" s="35" t="n">
        <f aca="false">($U$11-U9)/($U$11)</f>
        <v>0.152230039335466</v>
      </c>
    </row>
    <row r="10" customFormat="false" ht="12" hidden="false" customHeight="false" outlineLevel="0" collapsed="false">
      <c r="A10" s="0" t="n">
        <v>1.05</v>
      </c>
      <c r="B10" s="0" t="n">
        <v>2</v>
      </c>
      <c r="C10" s="0" t="n">
        <v>2</v>
      </c>
      <c r="D10" s="0" t="n">
        <v>0.5</v>
      </c>
      <c r="E10" s="0" t="n">
        <v>-0.15</v>
      </c>
      <c r="F10" s="0" t="n">
        <v>0</v>
      </c>
      <c r="G10" s="0" t="n">
        <v>0.17</v>
      </c>
      <c r="H10" s="36" t="n">
        <v>29.8187238981282</v>
      </c>
      <c r="I10" s="36" t="n">
        <v>33.8728785878259</v>
      </c>
      <c r="J10" s="36" t="n">
        <v>30.7717531266436</v>
      </c>
      <c r="K10" s="36" t="n">
        <v>33.7626994743067</v>
      </c>
      <c r="L10" s="36" t="n">
        <v>16.3892829984699</v>
      </c>
      <c r="M10" s="36" t="n">
        <v>17.5750577721932</v>
      </c>
      <c r="N10" s="36" t="n">
        <v>16.7805244616091</v>
      </c>
      <c r="O10" s="36" t="n">
        <v>17.3761778089607</v>
      </c>
      <c r="P10" s="36" t="n">
        <v>2600</v>
      </c>
      <c r="Q10" s="36" t="n">
        <v>12416</v>
      </c>
      <c r="R10" s="36" t="n">
        <v>2591</v>
      </c>
      <c r="S10" s="36" t="n">
        <v>12393</v>
      </c>
      <c r="T10" s="10" t="n">
        <f aca="false">(H10*P10+J10*R10)/(P10+R10)</f>
        <v>30.2944123456496</v>
      </c>
      <c r="U10" s="10" t="n">
        <f aca="false">(I10*Q10+K10*S10)/(Q10+S10)</f>
        <v>33.8178401036531</v>
      </c>
      <c r="V10" s="10" t="n">
        <f aca="false">(H10*P10+I10*Q10+J10*R10+K10*S10)/(P10+Q10+R10+S10)</f>
        <v>33.2081696539265</v>
      </c>
      <c r="W10" s="35" t="n">
        <f aca="false">($U$11-T10)/($U$11)</f>
        <v>0.277979496582752</v>
      </c>
      <c r="X10" s="35" t="n">
        <f aca="false">($U$11-U10)/($U$11)</f>
        <v>0.19400404082669</v>
      </c>
    </row>
    <row r="11" customFormat="false" ht="12" hidden="false" customHeight="false" outlineLevel="0" collapsed="false">
      <c r="A11" s="0" t="n">
        <v>1.05</v>
      </c>
      <c r="B11" s="0" t="n">
        <v>2</v>
      </c>
      <c r="C11" s="0" t="n">
        <v>2</v>
      </c>
      <c r="D11" s="0" t="n">
        <v>0.5</v>
      </c>
      <c r="E11" s="0" t="n">
        <v>-0.15</v>
      </c>
      <c r="F11" s="0" t="n">
        <v>0</v>
      </c>
      <c r="G11" s="0" t="n">
        <v>0</v>
      </c>
      <c r="H11" s="36" t="n">
        <v>0</v>
      </c>
      <c r="I11" s="36" t="n">
        <v>37.42751428615</v>
      </c>
      <c r="J11" s="36" t="n">
        <v>0</v>
      </c>
      <c r="K11" s="36" t="n">
        <v>46.4120731435613</v>
      </c>
      <c r="L11" s="36" t="n">
        <v>0</v>
      </c>
      <c r="M11" s="36" t="n">
        <v>19.9785381522874</v>
      </c>
      <c r="N11" s="36" t="n">
        <v>0</v>
      </c>
      <c r="O11" s="36" t="n">
        <v>25.6564058348708</v>
      </c>
      <c r="P11" s="36" t="n">
        <v>0</v>
      </c>
      <c r="Q11" s="36" t="n">
        <v>14873</v>
      </c>
      <c r="R11" s="36" t="n">
        <v>0</v>
      </c>
      <c r="S11" s="36" t="n">
        <v>15127</v>
      </c>
      <c r="T11" s="10" t="s">
        <v>31</v>
      </c>
      <c r="U11" s="10" t="n">
        <f aca="false">(I11*Q11+K11*S11)/(Q11+S11)</f>
        <v>41.957828347352</v>
      </c>
      <c r="V11" s="10" t="s">
        <v>31</v>
      </c>
      <c r="W11" s="35"/>
      <c r="X11" s="35"/>
    </row>
    <row r="12" customFormat="false" ht="12" hidden="false" customHeight="false" outlineLevel="0" collapsed="false">
      <c r="A12" s="0" t="n">
        <v>1</v>
      </c>
      <c r="B12" s="0" t="n">
        <v>2</v>
      </c>
      <c r="C12" s="0" t="n">
        <v>2</v>
      </c>
      <c r="D12" s="0" t="n">
        <v>0.5</v>
      </c>
      <c r="E12" s="0" t="n">
        <v>-0.15</v>
      </c>
      <c r="F12" s="0" t="n">
        <v>0</v>
      </c>
      <c r="G12" s="0" t="n">
        <v>1</v>
      </c>
      <c r="H12" s="36" t="n">
        <v>17.7500009426726</v>
      </c>
      <c r="I12" s="36" t="n">
        <v>0</v>
      </c>
      <c r="J12" s="36" t="n">
        <v>17.7217902431</v>
      </c>
      <c r="K12" s="36" t="n">
        <v>0</v>
      </c>
      <c r="L12" s="36" t="n">
        <v>9.71956231221947</v>
      </c>
      <c r="M12" s="36" t="n">
        <v>0</v>
      </c>
      <c r="N12" s="36" t="n">
        <v>9.714144868658</v>
      </c>
      <c r="O12" s="36" t="n">
        <v>0</v>
      </c>
      <c r="P12" s="36" t="n">
        <v>14999</v>
      </c>
      <c r="Q12" s="36" t="n">
        <v>0</v>
      </c>
      <c r="R12" s="36" t="n">
        <v>15001</v>
      </c>
      <c r="S12" s="36" t="n">
        <v>0</v>
      </c>
      <c r="T12" s="10" t="n">
        <f aca="false">(H12*P12+J12*R12)/(P12+R12)</f>
        <v>17.7358946525296</v>
      </c>
      <c r="U12" s="10" t="s">
        <v>31</v>
      </c>
      <c r="V12" s="10" t="n">
        <f aca="false">(H12*P12+I12*Q12+J12*R12+K12*S12)/(P12+Q12+R12+S12)</f>
        <v>17.7358946525296</v>
      </c>
      <c r="W12" s="35" t="n">
        <f aca="false">($U$18-T12)/($U$18)</f>
        <v>0.400530364273952</v>
      </c>
      <c r="X12" s="35" t="s">
        <v>31</v>
      </c>
    </row>
    <row r="13" customFormat="false" ht="12" hidden="false" customHeight="false" outlineLevel="0" collapsed="false">
      <c r="A13" s="0" t="n">
        <v>1</v>
      </c>
      <c r="B13" s="0" t="n">
        <v>2</v>
      </c>
      <c r="C13" s="0" t="n">
        <v>2</v>
      </c>
      <c r="D13" s="0" t="n">
        <v>0.5</v>
      </c>
      <c r="E13" s="0" t="n">
        <v>-0.15</v>
      </c>
      <c r="F13" s="0" t="n">
        <v>0</v>
      </c>
      <c r="G13" s="0" t="n">
        <v>0.83</v>
      </c>
      <c r="H13" s="36" t="n">
        <v>18.3838661362701</v>
      </c>
      <c r="I13" s="36" t="n">
        <v>18.455802410572</v>
      </c>
      <c r="J13" s="36" t="n">
        <v>18.3580687719947</v>
      </c>
      <c r="K13" s="36" t="n">
        <v>18.815893443803</v>
      </c>
      <c r="L13" s="36" t="n">
        <v>10.4462044081009</v>
      </c>
      <c r="M13" s="36" t="n">
        <v>10.2045446100475</v>
      </c>
      <c r="N13" s="36" t="n">
        <v>10.4356742732643</v>
      </c>
      <c r="O13" s="36" t="n">
        <v>10.2260030992425</v>
      </c>
      <c r="P13" s="36" t="n">
        <v>12493</v>
      </c>
      <c r="Q13" s="36" t="n">
        <v>2517</v>
      </c>
      <c r="R13" s="36" t="n">
        <v>12447</v>
      </c>
      <c r="S13" s="36" t="n">
        <v>2543</v>
      </c>
      <c r="T13" s="10" t="n">
        <f aca="false">(H13*P13+J13*R13)/(P13+R13)</f>
        <v>18.3709912448051</v>
      </c>
      <c r="U13" s="10" t="n">
        <f aca="false">(I13*Q13+K13*S13)/(Q13+S13)</f>
        <v>18.6367730622531</v>
      </c>
      <c r="V13" s="10" t="n">
        <f aca="false">(H13*P13+I13*Q13+J13*R13+K13*S13)/(P13+Q13+R13+S13)</f>
        <v>18.4158197780147</v>
      </c>
      <c r="W13" s="35" t="n">
        <f aca="false">($U$18-T13)/($U$18)</f>
        <v>0.379064228492189</v>
      </c>
      <c r="X13" s="35" t="n">
        <f aca="false">($U$18-U13)/($U$18)</f>
        <v>0.370080857063255</v>
      </c>
    </row>
    <row r="14" customFormat="false" ht="12" hidden="false" customHeight="false" outlineLevel="0" collapsed="false">
      <c r="A14" s="0" t="n">
        <v>1</v>
      </c>
      <c r="B14" s="0" t="n">
        <v>2</v>
      </c>
      <c r="C14" s="0" t="n">
        <v>2</v>
      </c>
      <c r="D14" s="0" t="n">
        <v>0.5</v>
      </c>
      <c r="E14" s="0" t="n">
        <v>-0.15</v>
      </c>
      <c r="F14" s="0" t="n">
        <v>0</v>
      </c>
      <c r="G14" s="0" t="n">
        <v>0.67</v>
      </c>
      <c r="H14" s="36" t="n">
        <v>18.726791626756</v>
      </c>
      <c r="I14" s="36" t="n">
        <v>19.5412326974969</v>
      </c>
      <c r="J14" s="36" t="n">
        <v>18.7947856353861</v>
      </c>
      <c r="K14" s="36" t="n">
        <v>19.4747565072065</v>
      </c>
      <c r="L14" s="36" t="n">
        <v>10.0007206725747</v>
      </c>
      <c r="M14" s="36" t="n">
        <v>9.96824961616845</v>
      </c>
      <c r="N14" s="36" t="n">
        <v>9.95176239825807</v>
      </c>
      <c r="O14" s="36" t="n">
        <v>9.9913236489454</v>
      </c>
      <c r="P14" s="36" t="n">
        <v>9976</v>
      </c>
      <c r="Q14" s="36" t="n">
        <v>5033</v>
      </c>
      <c r="R14" s="36" t="n">
        <v>9933</v>
      </c>
      <c r="S14" s="36" t="n">
        <v>5058</v>
      </c>
      <c r="T14" s="10" t="n">
        <f aca="false">(H14*P14+J14*R14)/(P14+R14)</f>
        <v>18.7607152034159</v>
      </c>
      <c r="U14" s="10" t="n">
        <f aca="false">(I14*Q14+K14*S14)/(Q14+S14)</f>
        <v>19.5079122564615</v>
      </c>
      <c r="V14" s="10" t="n">
        <f aca="false">(H14*P14+I14*Q14+J14*R14+K14*S14)/(P14+Q14+R14+S14)</f>
        <v>19.012047385492</v>
      </c>
      <c r="W14" s="35" t="n">
        <f aca="false">($U$18-T14)/($U$18)</f>
        <v>0.365891637874168</v>
      </c>
      <c r="X14" s="35" t="n">
        <f aca="false">($U$18-U14)/($U$18)</f>
        <v>0.340636529294635</v>
      </c>
    </row>
    <row r="15" customFormat="false" ht="12" hidden="false" customHeight="false" outlineLevel="0" collapsed="false">
      <c r="A15" s="0" t="n">
        <v>1</v>
      </c>
      <c r="B15" s="0" t="n">
        <v>2</v>
      </c>
      <c r="C15" s="0" t="n">
        <v>2</v>
      </c>
      <c r="D15" s="0" t="n">
        <v>0.5</v>
      </c>
      <c r="E15" s="0" t="n">
        <v>-0.15</v>
      </c>
      <c r="F15" s="0" t="n">
        <v>0</v>
      </c>
      <c r="G15" s="0" t="n">
        <v>0.5</v>
      </c>
      <c r="H15" s="36" t="n">
        <v>18.4520619980548</v>
      </c>
      <c r="I15" s="36" t="n">
        <v>19.186195822925</v>
      </c>
      <c r="J15" s="36" t="n">
        <v>18.2436414929414</v>
      </c>
      <c r="K15" s="36" t="n">
        <v>19.5598100929374</v>
      </c>
      <c r="L15" s="36" t="n">
        <v>10.0000252832503</v>
      </c>
      <c r="M15" s="36" t="n">
        <v>9.91911190454</v>
      </c>
      <c r="N15" s="36" t="n">
        <v>9.73874255961844</v>
      </c>
      <c r="O15" s="36" t="n">
        <v>10.1403558481014</v>
      </c>
      <c r="P15" s="36" t="n">
        <v>7452</v>
      </c>
      <c r="Q15" s="36" t="n">
        <v>7569</v>
      </c>
      <c r="R15" s="36" t="n">
        <v>7426</v>
      </c>
      <c r="S15" s="36" t="n">
        <v>7553</v>
      </c>
      <c r="T15" s="10" t="n">
        <f aca="false">(H15*P15+J15*R15)/(P15+R15)</f>
        <v>18.3480338577824</v>
      </c>
      <c r="U15" s="10" t="n">
        <f aca="false">(I15*Q15+K15*S15)/(Q15+S15)</f>
        <v>19.3728053045678</v>
      </c>
      <c r="V15" s="10" t="n">
        <f aca="false">(H15*P15+I15*Q15+J15*R15+K15*S15)/(P15+Q15+R15+S15)</f>
        <v>18.8645869850587</v>
      </c>
      <c r="W15" s="35" t="n">
        <f aca="false">($U$18-T15)/($U$18)</f>
        <v>0.37984018350914</v>
      </c>
      <c r="X15" s="35" t="n">
        <f aca="false">($U$18-U15)/($U$18)</f>
        <v>0.345203116817987</v>
      </c>
    </row>
    <row r="16" customFormat="false" ht="12" hidden="false" customHeight="false" outlineLevel="0" collapsed="false">
      <c r="A16" s="0" t="n">
        <v>1</v>
      </c>
      <c r="B16" s="0" t="n">
        <v>2</v>
      </c>
      <c r="C16" s="0" t="n">
        <v>2</v>
      </c>
      <c r="D16" s="0" t="n">
        <v>0.5</v>
      </c>
      <c r="E16" s="0" t="n">
        <v>-0.15</v>
      </c>
      <c r="F16" s="0" t="n">
        <v>0</v>
      </c>
      <c r="G16" s="0" t="n">
        <v>0.33</v>
      </c>
      <c r="H16" s="36" t="n">
        <v>18.8428820047582</v>
      </c>
      <c r="I16" s="36" t="n">
        <v>20.7776855249756</v>
      </c>
      <c r="J16" s="36" t="n">
        <v>19.7220432531335</v>
      </c>
      <c r="K16" s="36" t="n">
        <v>20.5150857842615</v>
      </c>
      <c r="L16" s="36" t="n">
        <v>10.7677791503404</v>
      </c>
      <c r="M16" s="36" t="n">
        <v>11.1347496627267</v>
      </c>
      <c r="N16" s="36" t="n">
        <v>10.8465636346</v>
      </c>
      <c r="O16" s="36" t="n">
        <v>10.9239682489128</v>
      </c>
      <c r="P16" s="36" t="n">
        <v>5010</v>
      </c>
      <c r="Q16" s="36" t="n">
        <v>10008</v>
      </c>
      <c r="R16" s="36" t="n">
        <v>4933</v>
      </c>
      <c r="S16" s="36" t="n">
        <v>10049</v>
      </c>
      <c r="T16" s="10" t="n">
        <f aca="false">(H16*P16+J16*R16)/(P16+R16)</f>
        <v>19.2790584543444</v>
      </c>
      <c r="U16" s="10" t="n">
        <f aca="false">(I16*Q16+K16*S16)/(Q16+S16)</f>
        <v>20.6461172548237</v>
      </c>
      <c r="V16" s="10" t="n">
        <f aca="false">(H16*P16+I16*Q16+J16*R16+K16*S16)/(P16+Q16+R16+S16)</f>
        <v>20.1930283997182</v>
      </c>
      <c r="W16" s="35" t="n">
        <f aca="false">($U$18-T16)/($U$18)</f>
        <v>0.348371741308318</v>
      </c>
      <c r="X16" s="35" t="n">
        <f aca="false">($U$18-U16)/($U$18)</f>
        <v>0.302165431607298</v>
      </c>
    </row>
    <row r="17" customFormat="false" ht="12" hidden="false" customHeight="false" outlineLevel="0" collapsed="false">
      <c r="A17" s="0" t="n">
        <v>1</v>
      </c>
      <c r="B17" s="0" t="n">
        <v>2</v>
      </c>
      <c r="C17" s="0" t="n">
        <v>2</v>
      </c>
      <c r="D17" s="0" t="n">
        <v>0.5</v>
      </c>
      <c r="E17" s="0" t="n">
        <v>-0.15</v>
      </c>
      <c r="F17" s="0" t="n">
        <v>0</v>
      </c>
      <c r="G17" s="0" t="n">
        <v>0.17</v>
      </c>
      <c r="H17" s="36" t="n">
        <v>14.9858783184987</v>
      </c>
      <c r="I17" s="36" t="n">
        <v>17.7096912148027</v>
      </c>
      <c r="J17" s="36" t="n">
        <v>15.4948690053344</v>
      </c>
      <c r="K17" s="36" t="n">
        <v>18.2425306355971</v>
      </c>
      <c r="L17" s="36" t="n">
        <v>8.60724549327703</v>
      </c>
      <c r="M17" s="36" t="n">
        <v>9.66549216645627</v>
      </c>
      <c r="N17" s="36" t="n">
        <v>8.94675304307757</v>
      </c>
      <c r="O17" s="36" t="n">
        <v>9.68463303190704</v>
      </c>
      <c r="P17" s="36" t="n">
        <v>2615</v>
      </c>
      <c r="Q17" s="36" t="n">
        <v>12426</v>
      </c>
      <c r="R17" s="36" t="n">
        <v>2528</v>
      </c>
      <c r="S17" s="36" t="n">
        <v>12431</v>
      </c>
      <c r="T17" s="10" t="n">
        <f aca="false">(H17*P17+J17*R17)/(P17+R17)</f>
        <v>15.2360685686096</v>
      </c>
      <c r="U17" s="10" t="n">
        <f aca="false">(I17*Q17+K17*S17)/(Q17+S17)</f>
        <v>17.9761645156795</v>
      </c>
      <c r="V17" s="10" t="n">
        <f aca="false">(H17*P17+I17*Q17+J17*R17+K17*S17)/(P17+Q17+R17+S17)</f>
        <v>17.5064207338202</v>
      </c>
      <c r="W17" s="35" t="n">
        <f aca="false">($U$18-T17)/($U$18)</f>
        <v>0.485023978002779</v>
      </c>
      <c r="X17" s="35" t="n">
        <f aca="false">($U$18-U17)/($U$18)</f>
        <v>0.392409291716846</v>
      </c>
    </row>
    <row r="18" customFormat="false" ht="12" hidden="false" customHeight="false" outlineLevel="0" collapsed="false">
      <c r="A18" s="0" t="n">
        <v>1</v>
      </c>
      <c r="B18" s="0" t="n">
        <v>2</v>
      </c>
      <c r="C18" s="0" t="n">
        <v>2</v>
      </c>
      <c r="D18" s="0" t="n">
        <v>0.5</v>
      </c>
      <c r="E18" s="0" t="n">
        <v>-0.15</v>
      </c>
      <c r="F18" s="0" t="n">
        <v>0</v>
      </c>
      <c r="G18" s="0" t="n">
        <v>0</v>
      </c>
      <c r="H18" s="36" t="n">
        <v>0</v>
      </c>
      <c r="I18" s="36" t="n">
        <v>28.6602920711718</v>
      </c>
      <c r="J18" s="36" t="n">
        <v>0</v>
      </c>
      <c r="K18" s="36" t="n">
        <v>30.5125256296937</v>
      </c>
      <c r="L18" s="36" t="n">
        <v>0</v>
      </c>
      <c r="M18" s="36" t="n">
        <v>16.1390985339157</v>
      </c>
      <c r="N18" s="36" t="n">
        <v>0</v>
      </c>
      <c r="O18" s="36" t="n">
        <v>15.7324068177773</v>
      </c>
      <c r="P18" s="36" t="n">
        <v>0</v>
      </c>
      <c r="Q18" s="36" t="n">
        <v>15007</v>
      </c>
      <c r="R18" s="36" t="n">
        <v>0</v>
      </c>
      <c r="S18" s="36" t="n">
        <v>14993</v>
      </c>
      <c r="T18" s="10" t="s">
        <v>31</v>
      </c>
      <c r="U18" s="10" t="n">
        <f aca="false">(I18*Q18+K18*S18)/(Q18+S18)</f>
        <v>29.5859766626024</v>
      </c>
      <c r="V18" s="10" t="s">
        <v>31</v>
      </c>
      <c r="W18" s="35"/>
      <c r="X18" s="35"/>
    </row>
    <row r="19" customFormat="false" ht="12" hidden="false" customHeight="false" outlineLevel="0" collapsed="false">
      <c r="A19" s="0" t="n">
        <v>0.95</v>
      </c>
      <c r="B19" s="0" t="n">
        <v>2</v>
      </c>
      <c r="C19" s="0" t="n">
        <v>2</v>
      </c>
      <c r="D19" s="0" t="n">
        <v>0.5</v>
      </c>
      <c r="E19" s="0" t="n">
        <v>-0.15</v>
      </c>
      <c r="F19" s="0" t="n">
        <v>0</v>
      </c>
      <c r="G19" s="0" t="n">
        <v>1</v>
      </c>
      <c r="H19" s="36" t="n">
        <v>9.88774740418614</v>
      </c>
      <c r="I19" s="36" t="n">
        <v>0</v>
      </c>
      <c r="J19" s="36" t="n">
        <v>9.89918072815945</v>
      </c>
      <c r="K19" s="36" t="n">
        <v>0</v>
      </c>
      <c r="L19" s="36" t="n">
        <v>5.5278837762796</v>
      </c>
      <c r="M19" s="36" t="n">
        <v>0</v>
      </c>
      <c r="N19" s="36" t="n">
        <v>5.53402459415701</v>
      </c>
      <c r="O19" s="36" t="n">
        <v>0</v>
      </c>
      <c r="P19" s="36" t="n">
        <v>15024</v>
      </c>
      <c r="Q19" s="36" t="n">
        <v>0</v>
      </c>
      <c r="R19" s="36" t="n">
        <v>14976</v>
      </c>
      <c r="S19" s="36" t="n">
        <v>0</v>
      </c>
      <c r="T19" s="10" t="n">
        <f aca="false">(H19*P19+J19*R19)/(P19+R19)</f>
        <v>9.89345491951361</v>
      </c>
      <c r="U19" s="10" t="s">
        <v>31</v>
      </c>
      <c r="V19" s="10" t="n">
        <f aca="false">(H19*P19+I19*Q19+J19*R19+K19*S19)/(P19+Q19+R19+S19)</f>
        <v>9.89345491951361</v>
      </c>
      <c r="W19" s="35" t="n">
        <f aca="false">($U$25-T19)/($U$25)</f>
        <v>0.346902225758536</v>
      </c>
      <c r="X19" s="35" t="s">
        <v>31</v>
      </c>
    </row>
    <row r="20" customFormat="false" ht="12" hidden="false" customHeight="false" outlineLevel="0" collapsed="false">
      <c r="A20" s="0" t="n">
        <v>0.95</v>
      </c>
      <c r="B20" s="0" t="n">
        <v>2</v>
      </c>
      <c r="C20" s="0" t="n">
        <v>2</v>
      </c>
      <c r="D20" s="0" t="n">
        <v>0.5</v>
      </c>
      <c r="E20" s="0" t="n">
        <v>-0.15</v>
      </c>
      <c r="F20" s="0" t="n">
        <v>0</v>
      </c>
      <c r="G20" s="0" t="n">
        <v>0.83</v>
      </c>
      <c r="H20" s="36" t="n">
        <v>9.28235531696469</v>
      </c>
      <c r="I20" s="36" t="n">
        <v>9.91538793432169</v>
      </c>
      <c r="J20" s="36" t="n">
        <v>9.31489396531814</v>
      </c>
      <c r="K20" s="36" t="n">
        <v>9.84199045650015</v>
      </c>
      <c r="L20" s="36" t="n">
        <v>5.84495559776001</v>
      </c>
      <c r="M20" s="36" t="n">
        <v>5.77058170303519</v>
      </c>
      <c r="N20" s="36" t="n">
        <v>5.7947939978801</v>
      </c>
      <c r="O20" s="36" t="n">
        <v>5.93738401299095</v>
      </c>
      <c r="P20" s="36" t="n">
        <v>12394</v>
      </c>
      <c r="Q20" s="36" t="n">
        <v>2631</v>
      </c>
      <c r="R20" s="36" t="n">
        <v>12366</v>
      </c>
      <c r="S20" s="36" t="n">
        <v>2609</v>
      </c>
      <c r="T20" s="10" t="n">
        <f aca="false">(H20*P20+J20*R20)/(P20+R20)</f>
        <v>9.29860624287498</v>
      </c>
      <c r="U20" s="10" t="n">
        <f aca="false">(I20*Q20+K20*S20)/(Q20+S20)</f>
        <v>9.87884327408574</v>
      </c>
      <c r="V20" s="10" t="n">
        <f aca="false">(H20*P20+I20*Q20+J20*R20+K20*S20)/(P20+Q20+R20+S20)</f>
        <v>9.39995431099312</v>
      </c>
      <c r="W20" s="35" t="n">
        <f aca="false">($U$25-T20)/($U$25)</f>
        <v>0.386170039670228</v>
      </c>
      <c r="X20" s="35" t="n">
        <f aca="false">($U$25-U20)/($U$25)</f>
        <v>0.347866785983916</v>
      </c>
    </row>
    <row r="21" customFormat="false" ht="12" hidden="false" customHeight="false" outlineLevel="0" collapsed="false">
      <c r="A21" s="0" t="n">
        <v>0.95</v>
      </c>
      <c r="B21" s="0" t="n">
        <v>2</v>
      </c>
      <c r="C21" s="0" t="n">
        <v>2</v>
      </c>
      <c r="D21" s="0" t="n">
        <v>0.5</v>
      </c>
      <c r="E21" s="0" t="n">
        <v>-0.15</v>
      </c>
      <c r="F21" s="0" t="n">
        <v>0</v>
      </c>
      <c r="G21" s="0" t="n">
        <v>0.67</v>
      </c>
      <c r="H21" s="36" t="n">
        <v>9.99895512101473</v>
      </c>
      <c r="I21" s="36" t="n">
        <v>10.3294887923783</v>
      </c>
      <c r="J21" s="36" t="n">
        <v>9.78737209886456</v>
      </c>
      <c r="K21" s="36" t="n">
        <v>10.79269462881</v>
      </c>
      <c r="L21" s="36" t="n">
        <v>6.04449888655839</v>
      </c>
      <c r="M21" s="36" t="n">
        <v>6.04682414761005</v>
      </c>
      <c r="N21" s="36" t="n">
        <v>5.99073116859828</v>
      </c>
      <c r="O21" s="36" t="n">
        <v>6.29875610532506</v>
      </c>
      <c r="P21" s="36" t="n">
        <v>9902</v>
      </c>
      <c r="Q21" s="36" t="n">
        <v>5139</v>
      </c>
      <c r="R21" s="36" t="n">
        <v>9973</v>
      </c>
      <c r="S21" s="36" t="n">
        <v>4986</v>
      </c>
      <c r="T21" s="10" t="n">
        <f aca="false">(H21*P21+J21*R21)/(P21+R21)</f>
        <v>9.89278568806361</v>
      </c>
      <c r="U21" s="10" t="n">
        <f aca="false">(I21*Q21+K21*S21)/(Q21+S21)</f>
        <v>10.5575919331633</v>
      </c>
      <c r="V21" s="10" t="n">
        <f aca="false">(H21*P21+I21*Q21+J21*R21+K21*S21)/(P21+Q21+R21+S21)</f>
        <v>10.1171577957848</v>
      </c>
      <c r="W21" s="35" t="n">
        <f aca="false">($U$25-T21)/($U$25)</f>
        <v>0.346946403810996</v>
      </c>
      <c r="X21" s="35" t="n">
        <f aca="false">($U$25-U21)/($U$25)</f>
        <v>0.303060472909336</v>
      </c>
    </row>
    <row r="22" customFormat="false" ht="12" hidden="false" customHeight="false" outlineLevel="0" collapsed="false">
      <c r="A22" s="0" t="n">
        <v>0.95</v>
      </c>
      <c r="B22" s="0" t="n">
        <v>2</v>
      </c>
      <c r="C22" s="0" t="n">
        <v>2</v>
      </c>
      <c r="D22" s="0" t="n">
        <v>0.5</v>
      </c>
      <c r="E22" s="0" t="n">
        <v>-0.15</v>
      </c>
      <c r="F22" s="0" t="n">
        <v>0</v>
      </c>
      <c r="G22" s="0" t="n">
        <v>0.5</v>
      </c>
      <c r="H22" s="36" t="n">
        <v>9.20224315371056</v>
      </c>
      <c r="I22" s="36" t="n">
        <v>10.0004188058877</v>
      </c>
      <c r="J22" s="36" t="n">
        <v>9.08756446437506</v>
      </c>
      <c r="K22" s="36" t="n">
        <v>10.0724896146196</v>
      </c>
      <c r="L22" s="36" t="n">
        <v>5.58716750005077</v>
      </c>
      <c r="M22" s="36" t="n">
        <v>5.69354268017207</v>
      </c>
      <c r="N22" s="36" t="n">
        <v>5.53022147930741</v>
      </c>
      <c r="O22" s="36" t="n">
        <v>5.78388413132545</v>
      </c>
      <c r="P22" s="36" t="n">
        <v>7410</v>
      </c>
      <c r="Q22" s="36" t="n">
        <v>7609</v>
      </c>
      <c r="R22" s="36" t="n">
        <v>7612</v>
      </c>
      <c r="S22" s="36" t="n">
        <v>7369</v>
      </c>
      <c r="T22" s="10" t="n">
        <f aca="false">(H22*P22+J22*R22)/(P22+R22)</f>
        <v>9.14413277005846</v>
      </c>
      <c r="U22" s="10" t="n">
        <f aca="false">(I22*Q22+K22*S22)/(Q22+S22)</f>
        <v>10.0358767969109</v>
      </c>
      <c r="V22" s="10" t="n">
        <f aca="false">(H22*P22+I22*Q22+J22*R22+K22*S22)/(P22+Q22+R22+S22)</f>
        <v>9.58935083786499</v>
      </c>
      <c r="W22" s="35" t="n">
        <f aca="false">($U$25-T22)/($U$25)</f>
        <v>0.396367314747191</v>
      </c>
      <c r="X22" s="35" t="n">
        <f aca="false">($U$25-U22)/($U$25)</f>
        <v>0.33750051403213</v>
      </c>
    </row>
    <row r="23" customFormat="false" ht="12" hidden="false" customHeight="false" outlineLevel="0" collapsed="false">
      <c r="A23" s="0" t="n">
        <v>0.95</v>
      </c>
      <c r="B23" s="0" t="n">
        <v>2</v>
      </c>
      <c r="C23" s="0" t="n">
        <v>2</v>
      </c>
      <c r="D23" s="0" t="n">
        <v>0.5</v>
      </c>
      <c r="E23" s="0" t="n">
        <v>-0.15</v>
      </c>
      <c r="F23" s="0" t="n">
        <v>0</v>
      </c>
      <c r="G23" s="0" t="n">
        <v>0.33</v>
      </c>
      <c r="H23" s="36" t="n">
        <v>9.47476968984767</v>
      </c>
      <c r="I23" s="36" t="n">
        <v>10.6785737018465</v>
      </c>
      <c r="J23" s="36" t="n">
        <v>9.57056863578488</v>
      </c>
      <c r="K23" s="36" t="n">
        <v>10.9576556320347</v>
      </c>
      <c r="L23" s="36" t="n">
        <v>5.82667189236519</v>
      </c>
      <c r="M23" s="36" t="n">
        <v>6.03629231822704</v>
      </c>
      <c r="N23" s="36" t="n">
        <v>5.89219325313292</v>
      </c>
      <c r="O23" s="36" t="n">
        <v>6.31516825974076</v>
      </c>
      <c r="P23" s="36" t="n">
        <v>4968</v>
      </c>
      <c r="Q23" s="36" t="n">
        <v>10040</v>
      </c>
      <c r="R23" s="36" t="n">
        <v>4840</v>
      </c>
      <c r="S23" s="36" t="n">
        <v>10152</v>
      </c>
      <c r="T23" s="10" t="n">
        <f aca="false">(H23*P23+J23*R23)/(P23+R23)</f>
        <v>9.52204404734523</v>
      </c>
      <c r="U23" s="10" t="n">
        <f aca="false">(I23*Q23+K23*S23)/(Q23+S23)</f>
        <v>10.8188886659546</v>
      </c>
      <c r="V23" s="10" t="n">
        <f aca="false">(H23*P23+I23*Q23+J23*R23+K23*S23)/(P23+Q23+R23+S23)</f>
        <v>10.3949069319773</v>
      </c>
      <c r="W23" s="35" t="n">
        <f aca="false">($U$25-T23)/($U$25)</f>
        <v>0.371420214258571</v>
      </c>
      <c r="X23" s="35" t="n">
        <f aca="false">($U$25-U23)/($U$25)</f>
        <v>0.285811461720539</v>
      </c>
    </row>
    <row r="24" customFormat="false" ht="12" hidden="false" customHeight="false" outlineLevel="0" collapsed="false">
      <c r="A24" s="0" t="n">
        <v>0.95</v>
      </c>
      <c r="B24" s="0" t="n">
        <v>2</v>
      </c>
      <c r="C24" s="0" t="n">
        <v>2</v>
      </c>
      <c r="D24" s="0" t="n">
        <v>0.5</v>
      </c>
      <c r="E24" s="0" t="n">
        <v>-0.15</v>
      </c>
      <c r="F24" s="0" t="n">
        <v>0</v>
      </c>
      <c r="G24" s="0" t="n">
        <v>0.17</v>
      </c>
      <c r="H24" s="36" t="n">
        <v>10.296591344178</v>
      </c>
      <c r="I24" s="36" t="n">
        <v>12.1805181860445</v>
      </c>
      <c r="J24" s="36" t="n">
        <v>9.9189482110694</v>
      </c>
      <c r="K24" s="36" t="n">
        <v>12.7916498682299</v>
      </c>
      <c r="L24" s="36" t="n">
        <v>6.31312799319256</v>
      </c>
      <c r="M24" s="36" t="n">
        <v>7.01164552560548</v>
      </c>
      <c r="N24" s="36" t="n">
        <v>6.2041244986304</v>
      </c>
      <c r="O24" s="36" t="n">
        <v>7.53456411801362</v>
      </c>
      <c r="P24" s="36" t="n">
        <v>2669</v>
      </c>
      <c r="Q24" s="36" t="n">
        <v>12295</v>
      </c>
      <c r="R24" s="36" t="n">
        <v>2495</v>
      </c>
      <c r="S24" s="36" t="n">
        <v>12541</v>
      </c>
      <c r="T24" s="10" t="n">
        <f aca="false">(H24*P24+J24*R24)/(P24+R24)</f>
        <v>10.114132084475</v>
      </c>
      <c r="U24" s="10" t="n">
        <f aca="false">(I24*Q24+K24*S24)/(Q24+S24)</f>
        <v>12.4891106496573</v>
      </c>
      <c r="V24" s="10" t="n">
        <f aca="false">(H24*P24+I24*Q24+J24*R24+K24*S24)/(P24+Q24+R24+S24)</f>
        <v>12.0802976726373</v>
      </c>
      <c r="W24" s="35" t="n">
        <f aca="false">($U$25-T24)/($U$25)</f>
        <v>0.332334638759382</v>
      </c>
      <c r="X24" s="35" t="n">
        <f aca="false">($U$25-U24)/($U$25)</f>
        <v>0.175554906359492</v>
      </c>
    </row>
    <row r="25" customFormat="false" ht="12" hidden="false" customHeight="false" outlineLevel="0" collapsed="false">
      <c r="A25" s="0" t="n">
        <v>0.95</v>
      </c>
      <c r="B25" s="0" t="n">
        <v>2</v>
      </c>
      <c r="C25" s="0" t="n">
        <v>2</v>
      </c>
      <c r="D25" s="0" t="n">
        <v>0.5</v>
      </c>
      <c r="E25" s="0" t="n">
        <v>-0.15</v>
      </c>
      <c r="F25" s="0" t="n">
        <v>0</v>
      </c>
      <c r="G25" s="0" t="n">
        <v>0</v>
      </c>
      <c r="H25" s="36" t="n">
        <v>0</v>
      </c>
      <c r="I25" s="36" t="n">
        <v>15.7274061833678</v>
      </c>
      <c r="J25" s="36" t="n">
        <v>0</v>
      </c>
      <c r="K25" s="36" t="n">
        <v>14.5579876566887</v>
      </c>
      <c r="L25" s="36" t="n">
        <v>0</v>
      </c>
      <c r="M25" s="36" t="n">
        <v>9.80464886939862</v>
      </c>
      <c r="N25" s="36" t="n">
        <v>0</v>
      </c>
      <c r="O25" s="36" t="n">
        <v>8.95878006260656</v>
      </c>
      <c r="P25" s="36" t="n">
        <v>0</v>
      </c>
      <c r="Q25" s="36" t="n">
        <v>15149</v>
      </c>
      <c r="R25" s="36" t="n">
        <v>0</v>
      </c>
      <c r="S25" s="36" t="n">
        <v>14851</v>
      </c>
      <c r="T25" s="10" t="s">
        <v>31</v>
      </c>
      <c r="U25" s="10" t="n">
        <f aca="false">(I25*Q25+K25*S25)/(Q25+S25)</f>
        <v>15.1485050320441</v>
      </c>
      <c r="V25" s="10" t="s">
        <v>31</v>
      </c>
      <c r="W25" s="35"/>
      <c r="X25" s="35"/>
    </row>
    <row r="26" customFormat="false" ht="12" hidden="false" customHeight="false" outlineLevel="0" collapsed="false">
      <c r="A26" s="0" t="n">
        <v>0.67</v>
      </c>
      <c r="B26" s="0" t="n">
        <v>2</v>
      </c>
      <c r="C26" s="0" t="n">
        <v>2</v>
      </c>
      <c r="D26" s="0" t="n">
        <v>0.5</v>
      </c>
      <c r="E26" s="0" t="n">
        <v>-0.15</v>
      </c>
      <c r="F26" s="0" t="n">
        <v>0</v>
      </c>
      <c r="G26" s="0" t="n">
        <v>1</v>
      </c>
      <c r="H26" s="36" t="n">
        <v>2.90837854559744</v>
      </c>
      <c r="I26" s="36" t="n">
        <v>0</v>
      </c>
      <c r="J26" s="36" t="n">
        <v>2.91478604926871</v>
      </c>
      <c r="K26" s="36" t="n">
        <v>0</v>
      </c>
      <c r="L26" s="36" t="n">
        <v>1.27466110075123</v>
      </c>
      <c r="M26" s="36" t="n">
        <v>0</v>
      </c>
      <c r="N26" s="36" t="n">
        <v>1.27295311428999</v>
      </c>
      <c r="O26" s="36" t="n">
        <v>0</v>
      </c>
      <c r="P26" s="36" t="n">
        <v>15038</v>
      </c>
      <c r="Q26" s="36" t="n">
        <v>0</v>
      </c>
      <c r="R26" s="36" t="n">
        <v>14962</v>
      </c>
      <c r="S26" s="36" t="n">
        <v>0</v>
      </c>
      <c r="T26" s="10" t="n">
        <f aca="false">(H26*P26+J26*R26)/(P26+R26)</f>
        <v>2.91157418126176</v>
      </c>
      <c r="U26" s="10" t="s">
        <v>31</v>
      </c>
      <c r="V26" s="10" t="n">
        <f aca="false">(H26*P26+I26*Q26+J26*R26+K26*S26)/(P26+Q26+R26+S26)</f>
        <v>2.91157418126176</v>
      </c>
      <c r="W26" s="35" t="n">
        <f aca="false">($U$32-T26)/($U$32)</f>
        <v>0.259688679636183</v>
      </c>
      <c r="X26" s="35" t="s">
        <v>31</v>
      </c>
    </row>
    <row r="27" customFormat="false" ht="12" hidden="false" customHeight="false" outlineLevel="0" collapsed="false">
      <c r="A27" s="0" t="n">
        <v>0.67</v>
      </c>
      <c r="B27" s="0" t="n">
        <v>2</v>
      </c>
      <c r="C27" s="0" t="n">
        <v>2</v>
      </c>
      <c r="D27" s="0" t="n">
        <v>0.5</v>
      </c>
      <c r="E27" s="0" t="n">
        <v>-0.15</v>
      </c>
      <c r="F27" s="0" t="n">
        <v>0</v>
      </c>
      <c r="G27" s="0" t="n">
        <v>0.83</v>
      </c>
      <c r="H27" s="36" t="n">
        <v>2.90713789694496</v>
      </c>
      <c r="I27" s="36" t="n">
        <v>3.32368053071209</v>
      </c>
      <c r="J27" s="36" t="n">
        <v>2.91164915754825</v>
      </c>
      <c r="K27" s="36" t="n">
        <v>3.28127959702562</v>
      </c>
      <c r="L27" s="36" t="n">
        <v>1.29715076882632</v>
      </c>
      <c r="M27" s="36" t="n">
        <v>1.47933508012115</v>
      </c>
      <c r="N27" s="36" t="n">
        <v>1.29517170571155</v>
      </c>
      <c r="O27" s="36" t="n">
        <v>1.42785257221931</v>
      </c>
      <c r="P27" s="36" t="n">
        <v>12471</v>
      </c>
      <c r="Q27" s="36" t="n">
        <v>2538</v>
      </c>
      <c r="R27" s="36" t="n">
        <v>12428</v>
      </c>
      <c r="S27" s="36" t="n">
        <v>2563</v>
      </c>
      <c r="T27" s="10" t="n">
        <f aca="false">(H27*P27+J27*R27)/(P27+R27)</f>
        <v>2.90938963182498</v>
      </c>
      <c r="U27" s="10" t="n">
        <f aca="false">(I27*Q27+K27*S27)/(Q27+S27)</f>
        <v>3.30237616038501</v>
      </c>
      <c r="V27" s="10" t="n">
        <f aca="false">(H27*P27+I27*Q27+J27*R27+K27*S27)/(P27+Q27+R27+S27)</f>
        <v>2.97621044123114</v>
      </c>
      <c r="W27" s="35" t="n">
        <f aca="false">($U$32-T27)/($U$32)</f>
        <v>0.260244134032073</v>
      </c>
      <c r="X27" s="35" t="n">
        <f aca="false">($U$32-U27)/($U$32)</f>
        <v>0.160321426338124</v>
      </c>
    </row>
    <row r="28" customFormat="false" ht="12" hidden="false" customHeight="false" outlineLevel="0" collapsed="false">
      <c r="A28" s="0" t="n">
        <v>0.67</v>
      </c>
      <c r="B28" s="0" t="n">
        <v>2</v>
      </c>
      <c r="C28" s="0" t="n">
        <v>2</v>
      </c>
      <c r="D28" s="0" t="n">
        <v>0.5</v>
      </c>
      <c r="E28" s="0" t="n">
        <v>-0.15</v>
      </c>
      <c r="F28" s="0" t="n">
        <v>0</v>
      </c>
      <c r="G28" s="0" t="n">
        <v>0.67</v>
      </c>
      <c r="H28" s="36" t="n">
        <v>2.89416838281738</v>
      </c>
      <c r="I28" s="36" t="n">
        <v>3.35745152794552</v>
      </c>
      <c r="J28" s="36" t="n">
        <v>2.88777639788732</v>
      </c>
      <c r="K28" s="36" t="n">
        <v>3.3545986865013</v>
      </c>
      <c r="L28" s="36" t="n">
        <v>1.32147668928259</v>
      </c>
      <c r="M28" s="36" t="n">
        <v>1.58652006404682</v>
      </c>
      <c r="N28" s="36" t="n">
        <v>1.3046132250414</v>
      </c>
      <c r="O28" s="36" t="n">
        <v>1.55081347778147</v>
      </c>
      <c r="P28" s="36" t="n">
        <v>10003</v>
      </c>
      <c r="Q28" s="36" t="n">
        <v>5091</v>
      </c>
      <c r="R28" s="36" t="n">
        <v>9845</v>
      </c>
      <c r="S28" s="36" t="n">
        <v>5061</v>
      </c>
      <c r="T28" s="10" t="n">
        <f aca="false">(H28*P28+J28*R28)/(P28+R28)</f>
        <v>2.89099783204972</v>
      </c>
      <c r="U28" s="10" t="n">
        <f aca="false">(I28*Q28+K28*S28)/(Q28+S28)</f>
        <v>3.35602932241467</v>
      </c>
      <c r="V28" s="10" t="n">
        <f aca="false">(H28*P28+I28*Q28+J28*R28+K28*S28)/(P28+Q28+R28+S28)</f>
        <v>3.04836448838922</v>
      </c>
      <c r="W28" s="35" t="n">
        <f aca="false">($U$32-T28)/($U$32)</f>
        <v>0.264920524440779</v>
      </c>
      <c r="X28" s="35" t="n">
        <f aca="false">($U$32-U28)/($U$32)</f>
        <v>0.146679306731659</v>
      </c>
    </row>
    <row r="29" customFormat="false" ht="12" hidden="false" customHeight="false" outlineLevel="0" collapsed="false">
      <c r="A29" s="0" t="n">
        <v>0.67</v>
      </c>
      <c r="B29" s="0" t="n">
        <v>2</v>
      </c>
      <c r="C29" s="0" t="n">
        <v>2</v>
      </c>
      <c r="D29" s="0" t="n">
        <v>0.5</v>
      </c>
      <c r="E29" s="0" t="n">
        <v>-0.15</v>
      </c>
      <c r="F29" s="0" t="n">
        <v>0</v>
      </c>
      <c r="G29" s="0" t="n">
        <v>0.5</v>
      </c>
      <c r="H29" s="36" t="n">
        <v>2.85627311523202</v>
      </c>
      <c r="I29" s="36" t="n">
        <v>3.43522424076764</v>
      </c>
      <c r="J29" s="36" t="n">
        <v>2.87442286371023</v>
      </c>
      <c r="K29" s="36" t="n">
        <v>3.46038232357647</v>
      </c>
      <c r="L29" s="36" t="n">
        <v>1.26824694701051</v>
      </c>
      <c r="M29" s="36" t="n">
        <v>1.66765441888565</v>
      </c>
      <c r="N29" s="36" t="n">
        <v>1.26914487402545</v>
      </c>
      <c r="O29" s="36" t="n">
        <v>1.65356228459858</v>
      </c>
      <c r="P29" s="36" t="n">
        <v>7605</v>
      </c>
      <c r="Q29" s="36" t="n">
        <v>7373</v>
      </c>
      <c r="R29" s="36" t="n">
        <v>7535</v>
      </c>
      <c r="S29" s="36" t="n">
        <v>7487</v>
      </c>
      <c r="T29" s="10" t="n">
        <f aca="false">(H29*P29+J29*R29)/(P29+R29)</f>
        <v>2.86530603166421</v>
      </c>
      <c r="U29" s="10" t="n">
        <f aca="false">(I29*Q29+K29*S29)/(Q29+S29)</f>
        <v>3.44789978356641</v>
      </c>
      <c r="V29" s="10" t="n">
        <f aca="false">(H29*P29+I29*Q29+J29*R29+K29*S29)/(P29+Q29+R29+S29)</f>
        <v>3.1538841367731</v>
      </c>
      <c r="W29" s="35" t="n">
        <f aca="false">($U$32-T29)/($U$32)</f>
        <v>0.271453049281923</v>
      </c>
      <c r="X29" s="35" t="n">
        <f aca="false">($U$32-U29)/($U$32)</f>
        <v>0.12331986672996</v>
      </c>
    </row>
    <row r="30" customFormat="false" ht="12" hidden="false" customHeight="false" outlineLevel="0" collapsed="false">
      <c r="A30" s="0" t="n">
        <v>0.67</v>
      </c>
      <c r="B30" s="0" t="n">
        <v>2</v>
      </c>
      <c r="C30" s="0" t="n">
        <v>2</v>
      </c>
      <c r="D30" s="0" t="n">
        <v>0.5</v>
      </c>
      <c r="E30" s="0" t="n">
        <v>-0.15</v>
      </c>
      <c r="F30" s="0" t="n">
        <v>0</v>
      </c>
      <c r="G30" s="0" t="n">
        <v>0.33</v>
      </c>
      <c r="H30" s="36" t="n">
        <v>2.88192164853018</v>
      </c>
      <c r="I30" s="36" t="n">
        <v>3.58801022309837</v>
      </c>
      <c r="J30" s="36" t="n">
        <v>2.91213640985344</v>
      </c>
      <c r="K30" s="36" t="n">
        <v>3.59611661652526</v>
      </c>
      <c r="L30" s="36" t="n">
        <v>1.32606553450831</v>
      </c>
      <c r="M30" s="36" t="n">
        <v>1.84733222095509</v>
      </c>
      <c r="N30" s="36" t="n">
        <v>1.34582183748048</v>
      </c>
      <c r="O30" s="36" t="n">
        <v>1.86400834806899</v>
      </c>
      <c r="P30" s="36" t="n">
        <v>5008</v>
      </c>
      <c r="Q30" s="36" t="n">
        <v>9970</v>
      </c>
      <c r="R30" s="36" t="n">
        <v>4927</v>
      </c>
      <c r="S30" s="36" t="n">
        <v>10095</v>
      </c>
      <c r="T30" s="10" t="n">
        <f aca="false">(H30*P30+J30*R30)/(P30+R30)</f>
        <v>2.89690585880091</v>
      </c>
      <c r="U30" s="10" t="n">
        <f aca="false">(I30*Q30+K30*S30)/(Q30+S30)</f>
        <v>3.59208867022742</v>
      </c>
      <c r="V30" s="10" t="n">
        <f aca="false">(H30*P30+I30*Q30+J30*R30+K30*S30)/(P30+Q30+R30+S30)</f>
        <v>3.36186729584334</v>
      </c>
      <c r="W30" s="35" t="n">
        <f aca="false">($U$32-T30)/($U$32)</f>
        <v>0.263418320199147</v>
      </c>
      <c r="X30" s="35" t="n">
        <f aca="false">($U$32-U30)/($U$32)</f>
        <v>0.0866576838624283</v>
      </c>
    </row>
    <row r="31" customFormat="false" ht="12" hidden="false" customHeight="false" outlineLevel="0" collapsed="false">
      <c r="A31" s="0" t="n">
        <v>0.67</v>
      </c>
      <c r="B31" s="0" t="n">
        <v>2</v>
      </c>
      <c r="C31" s="0" t="n">
        <v>2</v>
      </c>
      <c r="D31" s="0" t="n">
        <v>0.5</v>
      </c>
      <c r="E31" s="0" t="n">
        <v>-0.15</v>
      </c>
      <c r="F31" s="0" t="n">
        <v>0</v>
      </c>
      <c r="G31" s="0" t="n">
        <v>0.17</v>
      </c>
      <c r="H31" s="36" t="n">
        <v>2.81945357114829</v>
      </c>
      <c r="I31" s="36" t="n">
        <v>3.63939447076252</v>
      </c>
      <c r="J31" s="36" t="n">
        <v>2.79971495052448</v>
      </c>
      <c r="K31" s="36" t="n">
        <v>3.65510202136894</v>
      </c>
      <c r="L31" s="36" t="n">
        <v>1.24313274331531</v>
      </c>
      <c r="M31" s="36" t="n">
        <v>1.96957385958113</v>
      </c>
      <c r="N31" s="36" t="n">
        <v>1.21114966985664</v>
      </c>
      <c r="O31" s="36" t="n">
        <v>1.97152892995487</v>
      </c>
      <c r="P31" s="36" t="n">
        <v>2611</v>
      </c>
      <c r="Q31" s="36" t="n">
        <v>12339</v>
      </c>
      <c r="R31" s="36" t="n">
        <v>2503</v>
      </c>
      <c r="S31" s="36" t="n">
        <v>12547</v>
      </c>
      <c r="T31" s="10" t="n">
        <f aca="false">(H31*P31+J31*R31)/(P31+R31)</f>
        <v>2.80979268584884</v>
      </c>
      <c r="U31" s="10" t="n">
        <f aca="false">(I31*Q31+K31*S31)/(Q31+S31)</f>
        <v>3.64731388880715</v>
      </c>
      <c r="V31" s="10" t="n">
        <f aca="false">(H31*P31+I31*Q31+J31*R31+K31*S31)/(P31+Q31+R31+S31)</f>
        <v>3.50454444107619</v>
      </c>
      <c r="W31" s="35" t="n">
        <f aca="false">($U$32-T31)/($U$32)</f>
        <v>0.285568148461906</v>
      </c>
      <c r="X31" s="35" t="n">
        <f aca="false">($U$32-U31)/($U$32)</f>
        <v>0.0726158453452235</v>
      </c>
    </row>
    <row r="32" customFormat="false" ht="12" hidden="false" customHeight="false" outlineLevel="0" collapsed="false">
      <c r="A32" s="0" t="n">
        <v>0.67</v>
      </c>
      <c r="B32" s="0" t="n">
        <v>2</v>
      </c>
      <c r="C32" s="0" t="n">
        <v>2</v>
      </c>
      <c r="D32" s="0" t="n">
        <v>0.5</v>
      </c>
      <c r="E32" s="0" t="n">
        <v>-0.15</v>
      </c>
      <c r="F32" s="0" t="n">
        <v>0</v>
      </c>
      <c r="G32" s="0" t="n">
        <v>0</v>
      </c>
      <c r="H32" s="36" t="n">
        <v>0</v>
      </c>
      <c r="I32" s="36" t="n">
        <v>4.05302603101942</v>
      </c>
      <c r="J32" s="36" t="n">
        <v>0</v>
      </c>
      <c r="K32" s="36" t="n">
        <v>3.80874543376185</v>
      </c>
      <c r="L32" s="36" t="n">
        <v>0</v>
      </c>
      <c r="M32" s="36" t="n">
        <v>2.55924951639899</v>
      </c>
      <c r="N32" s="36" t="n">
        <v>0</v>
      </c>
      <c r="O32" s="36" t="n">
        <v>2.26878064026028</v>
      </c>
      <c r="P32" s="36" t="n">
        <v>0</v>
      </c>
      <c r="Q32" s="36" t="n">
        <v>15248</v>
      </c>
      <c r="R32" s="36" t="n">
        <v>0</v>
      </c>
      <c r="S32" s="36" t="n">
        <v>14752</v>
      </c>
      <c r="T32" s="10" t="s">
        <v>31</v>
      </c>
      <c r="U32" s="10" t="n">
        <f aca="false">(I32*Q32+K32*S32)/(Q32+S32)</f>
        <v>3.9329051186613</v>
      </c>
      <c r="V32" s="10" t="s">
        <v>31</v>
      </c>
      <c r="W32" s="35" t="s">
        <v>31</v>
      </c>
      <c r="X32" s="35" t="s">
        <v>31</v>
      </c>
    </row>
    <row r="33" customFormat="false" ht="12" hidden="false" customHeight="false" outlineLevel="0" collapsed="false">
      <c r="A33" s="0" t="n">
        <v>0.5</v>
      </c>
      <c r="B33" s="0" t="n">
        <v>2</v>
      </c>
      <c r="C33" s="0" t="n">
        <v>2</v>
      </c>
      <c r="D33" s="0" t="n">
        <v>0.5</v>
      </c>
      <c r="E33" s="0" t="n">
        <v>-0.15</v>
      </c>
      <c r="F33" s="0" t="n">
        <v>0</v>
      </c>
      <c r="G33" s="0" t="n">
        <v>1</v>
      </c>
      <c r="H33" s="36" t="n">
        <v>2.4264202981409</v>
      </c>
      <c r="I33" s="36" t="n">
        <v>0</v>
      </c>
      <c r="J33" s="36" t="n">
        <v>2.42265253769024</v>
      </c>
      <c r="K33" s="36" t="n">
        <v>0</v>
      </c>
      <c r="L33" s="36" t="n">
        <v>0.82390854958247</v>
      </c>
      <c r="M33" s="36" t="n">
        <v>0</v>
      </c>
      <c r="N33" s="36" t="n">
        <v>0.812674085651281</v>
      </c>
      <c r="O33" s="36" t="n">
        <v>0</v>
      </c>
      <c r="P33" s="36" t="n">
        <v>15053</v>
      </c>
      <c r="Q33" s="36" t="n">
        <v>0</v>
      </c>
      <c r="R33" s="36" t="n">
        <v>14947</v>
      </c>
      <c r="S33" s="36" t="n">
        <v>0</v>
      </c>
      <c r="T33" s="10" t="n">
        <f aca="false">(H33*P33+J33*R33)/(P33+R33)</f>
        <v>2.42454307429236</v>
      </c>
      <c r="U33" s="10" t="s">
        <v>31</v>
      </c>
      <c r="V33" s="10" t="n">
        <f aca="false">(H33*P33+I33*Q33+J33*R33+K33*S33)/(P33+Q33+R33+S33)</f>
        <v>2.42454307429236</v>
      </c>
      <c r="W33" s="35" t="n">
        <f aca="false">($U$39-T33)/($U$39)</f>
        <v>0.190709771980173</v>
      </c>
      <c r="X33" s="35" t="s">
        <v>31</v>
      </c>
    </row>
    <row r="34" customFormat="false" ht="12" hidden="false" customHeight="false" outlineLevel="0" collapsed="false">
      <c r="A34" s="0" t="n">
        <v>0.5</v>
      </c>
      <c r="B34" s="0" t="n">
        <v>2</v>
      </c>
      <c r="C34" s="0" t="n">
        <v>2</v>
      </c>
      <c r="D34" s="0" t="n">
        <v>0.5</v>
      </c>
      <c r="E34" s="0" t="n">
        <v>-0.15</v>
      </c>
      <c r="F34" s="0" t="n">
        <v>0</v>
      </c>
      <c r="G34" s="0" t="n">
        <v>0.83</v>
      </c>
      <c r="H34" s="36" t="n">
        <v>2.41758089155163</v>
      </c>
      <c r="I34" s="36" t="n">
        <v>2.76467360943824</v>
      </c>
      <c r="J34" s="36" t="n">
        <v>2.41468615546902</v>
      </c>
      <c r="K34" s="36" t="n">
        <v>2.74798812486378</v>
      </c>
      <c r="L34" s="36" t="n">
        <v>0.815756652852056</v>
      </c>
      <c r="M34" s="36" t="n">
        <v>1.07408979208102</v>
      </c>
      <c r="N34" s="36" t="n">
        <v>0.818388917825515</v>
      </c>
      <c r="O34" s="36" t="n">
        <v>1.05415378872429</v>
      </c>
      <c r="P34" s="36" t="n">
        <v>12517</v>
      </c>
      <c r="Q34" s="36" t="n">
        <v>2496</v>
      </c>
      <c r="R34" s="36" t="n">
        <v>12446</v>
      </c>
      <c r="S34" s="36" t="n">
        <v>2541</v>
      </c>
      <c r="T34" s="10" t="n">
        <f aca="false">(H34*P34+J34*R34)/(P34+R34)</f>
        <v>2.41613764012816</v>
      </c>
      <c r="U34" s="10" t="n">
        <f aca="false">(I34*Q34+K34*S34)/(Q34+S34)</f>
        <v>2.75625633401563</v>
      </c>
      <c r="V34" s="10" t="n">
        <f aca="false">(H34*P34+I34*Q34+J34*R34+K34*S34)/(P34+Q34+R34+S34)</f>
        <v>2.47324356883186</v>
      </c>
      <c r="W34" s="35" t="n">
        <f aca="false">($U$39-T34)/($U$39)</f>
        <v>0.193515428767006</v>
      </c>
      <c r="X34" s="35" t="n">
        <f aca="false">($U$39-U34)/($U$39)</f>
        <v>0.0799869300372658</v>
      </c>
    </row>
    <row r="35" customFormat="false" ht="12" hidden="false" customHeight="false" outlineLevel="0" collapsed="false">
      <c r="A35" s="0" t="n">
        <v>0.5</v>
      </c>
      <c r="B35" s="0" t="n">
        <v>2</v>
      </c>
      <c r="C35" s="0" t="n">
        <v>2</v>
      </c>
      <c r="D35" s="0" t="n">
        <v>0.5</v>
      </c>
      <c r="E35" s="0" t="n">
        <v>-0.15</v>
      </c>
      <c r="F35" s="0" t="n">
        <v>0</v>
      </c>
      <c r="G35" s="0" t="n">
        <v>0.67</v>
      </c>
      <c r="H35" s="36" t="n">
        <v>2.40099316430079</v>
      </c>
      <c r="I35" s="36" t="n">
        <v>2.7399852165718</v>
      </c>
      <c r="J35" s="36" t="n">
        <v>2.41504576845674</v>
      </c>
      <c r="K35" s="36" t="n">
        <v>2.79723901146882</v>
      </c>
      <c r="L35" s="36" t="n">
        <v>0.798790041754914</v>
      </c>
      <c r="M35" s="36" t="n">
        <v>1.06528334736993</v>
      </c>
      <c r="N35" s="36" t="n">
        <v>0.819599129464528</v>
      </c>
      <c r="O35" s="36" t="n">
        <v>1.11421480934134</v>
      </c>
      <c r="P35" s="36" t="n">
        <v>10010</v>
      </c>
      <c r="Q35" s="36" t="n">
        <v>4925</v>
      </c>
      <c r="R35" s="36" t="n">
        <v>10088</v>
      </c>
      <c r="S35" s="36" t="n">
        <v>4977</v>
      </c>
      <c r="T35" s="10" t="n">
        <f aca="false">(H35*P35+J35*R35)/(P35+R35)</f>
        <v>2.40804673533897</v>
      </c>
      <c r="U35" s="10" t="n">
        <f aca="false">(I35*Q35+K35*S35)/(Q35+S35)</f>
        <v>2.76876244715173</v>
      </c>
      <c r="V35" s="10" t="n">
        <f aca="false">(H35*P35+I35*Q35+J35*R35+K35*S35)/(P35+Q35+R35+S35)</f>
        <v>2.5271069679513</v>
      </c>
      <c r="W35" s="35" t="n">
        <f aca="false">($U$39-T35)/($U$39)</f>
        <v>0.196216098534912</v>
      </c>
      <c r="X35" s="35" t="n">
        <f aca="false">($U$39-U35)/($U$39)</f>
        <v>0.0758125042417953</v>
      </c>
    </row>
    <row r="36" customFormat="false" ht="12" hidden="false" customHeight="false" outlineLevel="0" collapsed="false">
      <c r="A36" s="0" t="n">
        <v>0.5</v>
      </c>
      <c r="B36" s="0" t="n">
        <v>2</v>
      </c>
      <c r="C36" s="0" t="n">
        <v>2</v>
      </c>
      <c r="D36" s="0" t="n">
        <v>0.5</v>
      </c>
      <c r="E36" s="0" t="n">
        <v>-0.15</v>
      </c>
      <c r="F36" s="0" t="n">
        <v>0</v>
      </c>
      <c r="G36" s="0" t="n">
        <v>0.5</v>
      </c>
      <c r="H36" s="36" t="n">
        <v>2.39075624910436</v>
      </c>
      <c r="I36" s="36" t="n">
        <v>2.77714869801972</v>
      </c>
      <c r="J36" s="36" t="n">
        <v>2.39103809849721</v>
      </c>
      <c r="K36" s="36" t="n">
        <v>2.81915063067303</v>
      </c>
      <c r="L36" s="36" t="n">
        <v>0.786553578623266</v>
      </c>
      <c r="M36" s="36" t="n">
        <v>1.11690519521044</v>
      </c>
      <c r="N36" s="36" t="n">
        <v>0.791582622298686</v>
      </c>
      <c r="O36" s="36" t="n">
        <v>1.16040488817178</v>
      </c>
      <c r="P36" s="36" t="n">
        <v>7595</v>
      </c>
      <c r="Q36" s="36" t="n">
        <v>7368</v>
      </c>
      <c r="R36" s="36" t="n">
        <v>7594</v>
      </c>
      <c r="S36" s="36" t="n">
        <v>7443</v>
      </c>
      <c r="T36" s="10" t="n">
        <f aca="false">(H36*P36+J36*R36)/(P36+R36)</f>
        <v>2.39089716452271</v>
      </c>
      <c r="U36" s="10" t="n">
        <f aca="false">(I36*Q36+K36*S36)/(Q36+S36)</f>
        <v>2.79825600912218</v>
      </c>
      <c r="V36" s="10" t="n">
        <f aca="false">(H36*P36+I36*Q36+J36*R36+K36*S36)/(P36+Q36+R36+S36)</f>
        <v>2.59201022610147</v>
      </c>
      <c r="W36" s="35" t="n">
        <f aca="false">($U$39-T36)/($U$39)</f>
        <v>0.201940467890727</v>
      </c>
      <c r="X36" s="35" t="n">
        <f aca="false">($U$39-U36)/($U$39)</f>
        <v>0.0659678239202666</v>
      </c>
    </row>
    <row r="37" customFormat="false" ht="12" hidden="false" customHeight="false" outlineLevel="0" collapsed="false">
      <c r="A37" s="0" t="n">
        <v>0.5</v>
      </c>
      <c r="B37" s="0" t="n">
        <v>2</v>
      </c>
      <c r="C37" s="0" t="n">
        <v>2</v>
      </c>
      <c r="D37" s="0" t="n">
        <v>0.5</v>
      </c>
      <c r="E37" s="0" t="n">
        <v>-0.15</v>
      </c>
      <c r="F37" s="0" t="n">
        <v>0</v>
      </c>
      <c r="G37" s="0" t="n">
        <v>0.33</v>
      </c>
      <c r="H37" s="36" t="n">
        <v>2.39631679072909</v>
      </c>
      <c r="I37" s="36" t="n">
        <v>2.8657032013703</v>
      </c>
      <c r="J37" s="36" t="n">
        <v>2.36752293349836</v>
      </c>
      <c r="K37" s="36" t="n">
        <v>2.86442712629912</v>
      </c>
      <c r="L37" s="36" t="n">
        <v>0.806743895547534</v>
      </c>
      <c r="M37" s="36" t="n">
        <v>1.23107266567843</v>
      </c>
      <c r="N37" s="36" t="n">
        <v>0.762029243777664</v>
      </c>
      <c r="O37" s="36" t="n">
        <v>1.24844593373318</v>
      </c>
      <c r="P37" s="36" t="n">
        <v>5015</v>
      </c>
      <c r="Q37" s="36" t="n">
        <v>10062</v>
      </c>
      <c r="R37" s="36" t="n">
        <v>4860</v>
      </c>
      <c r="S37" s="36" t="n">
        <v>10063</v>
      </c>
      <c r="T37" s="10" t="n">
        <f aca="false">(H37*P37+J37*R37)/(P37+R37)</f>
        <v>2.38214583922111</v>
      </c>
      <c r="U37" s="10" t="n">
        <f aca="false">(I37*Q37+K37*S37)/(Q37+S37)</f>
        <v>2.86506513213098</v>
      </c>
      <c r="V37" s="10" t="n">
        <f aca="false">(H37*P37+I37*Q37+J37*R37+K37*S37)/(P37+Q37+R37+S37)</f>
        <v>2.70610419821481</v>
      </c>
      <c r="W37" s="35" t="n">
        <f aca="false">($U$39-T37)/($U$39)</f>
        <v>0.204861579964958</v>
      </c>
      <c r="X37" s="35" t="n">
        <f aca="false">($U$39-U37)/($U$39)</f>
        <v>0.0436675517713068</v>
      </c>
    </row>
    <row r="38" customFormat="false" ht="12" hidden="false" customHeight="false" outlineLevel="0" collapsed="false">
      <c r="A38" s="0" t="n">
        <v>0.5</v>
      </c>
      <c r="B38" s="0" t="n">
        <v>2</v>
      </c>
      <c r="C38" s="0" t="n">
        <v>2</v>
      </c>
      <c r="D38" s="0" t="n">
        <v>0.5</v>
      </c>
      <c r="E38" s="0" t="n">
        <v>-0.15</v>
      </c>
      <c r="F38" s="0" t="n">
        <v>0</v>
      </c>
      <c r="G38" s="0" t="n">
        <v>0.17</v>
      </c>
      <c r="H38" s="36" t="n">
        <v>2.3706271650919</v>
      </c>
      <c r="I38" s="36" t="n">
        <v>2.90343924850108</v>
      </c>
      <c r="J38" s="36" t="n">
        <v>2.37240212528774</v>
      </c>
      <c r="K38" s="36" t="n">
        <v>2.84730371647798</v>
      </c>
      <c r="L38" s="36" t="n">
        <v>0.754127052796358</v>
      </c>
      <c r="M38" s="36" t="n">
        <v>1.36924504594597</v>
      </c>
      <c r="N38" s="36" t="n">
        <v>0.783059478606257</v>
      </c>
      <c r="O38" s="36" t="n">
        <v>1.25510174260532</v>
      </c>
      <c r="P38" s="36" t="n">
        <v>2568</v>
      </c>
      <c r="Q38" s="36" t="n">
        <v>12498</v>
      </c>
      <c r="R38" s="36" t="n">
        <v>2553</v>
      </c>
      <c r="S38" s="36" t="n">
        <v>12381</v>
      </c>
      <c r="T38" s="10" t="n">
        <f aca="false">(H38*P38+J38*R38)/(P38+R38)</f>
        <v>2.37151204565819</v>
      </c>
      <c r="U38" s="10" t="n">
        <f aca="false">(I38*Q38+K38*S38)/(Q38+S38)</f>
        <v>2.87550347849513</v>
      </c>
      <c r="V38" s="10" t="n">
        <f aca="false">(H38*P38+I38*Q38+J38*R38+K38*S38)/(P38+Q38+R38+S38)</f>
        <v>2.78947214090986</v>
      </c>
      <c r="W38" s="35" t="n">
        <f aca="false">($U$39-T38)/($U$39)</f>
        <v>0.208411042669291</v>
      </c>
      <c r="X38" s="35" t="n">
        <f aca="false">($U$39-U38)/($U$39)</f>
        <v>0.040183327548292</v>
      </c>
    </row>
    <row r="39" customFormat="false" ht="12" hidden="false" customHeight="false" outlineLevel="0" collapsed="false">
      <c r="A39" s="0" t="n">
        <v>0.5</v>
      </c>
      <c r="B39" s="0" t="n">
        <v>2</v>
      </c>
      <c r="C39" s="0" t="n">
        <v>2</v>
      </c>
      <c r="D39" s="0" t="n">
        <v>0.5</v>
      </c>
      <c r="E39" s="0" t="n">
        <v>-0.15</v>
      </c>
      <c r="F39" s="0" t="n">
        <v>0</v>
      </c>
      <c r="G39" s="0" t="n">
        <v>0</v>
      </c>
      <c r="H39" s="36" t="n">
        <v>0</v>
      </c>
      <c r="I39" s="36" t="n">
        <v>2.97712185728614</v>
      </c>
      <c r="J39" s="36" t="n">
        <v>0</v>
      </c>
      <c r="K39" s="36" t="n">
        <v>3.01448027704777</v>
      </c>
      <c r="L39" s="36" t="n">
        <v>0</v>
      </c>
      <c r="M39" s="36" t="n">
        <v>1.52987909115405</v>
      </c>
      <c r="N39" s="36" t="n">
        <v>0</v>
      </c>
      <c r="O39" s="36" t="n">
        <v>1.54805806495821</v>
      </c>
      <c r="P39" s="36" t="n">
        <v>0</v>
      </c>
      <c r="Q39" s="36" t="n">
        <v>14930</v>
      </c>
      <c r="R39" s="36" t="n">
        <v>0</v>
      </c>
      <c r="S39" s="36" t="n">
        <v>15070</v>
      </c>
      <c r="T39" s="10" t="s">
        <v>31</v>
      </c>
      <c r="U39" s="10" t="n">
        <f aca="false">(I39*Q39+K39*S39)/(Q39+S39)</f>
        <v>2.99588823681306</v>
      </c>
      <c r="V39" s="10"/>
      <c r="W39" s="35" t="s">
        <v>31</v>
      </c>
      <c r="X39" s="35"/>
    </row>
    <row r="40" customFormat="false" ht="12" hidden="false" customHeight="false" outlineLevel="0" collapsed="false">
      <c r="A40" s="0" t="n">
        <v>1.05</v>
      </c>
      <c r="B40" s="0" t="n">
        <v>2</v>
      </c>
      <c r="C40" s="0" t="n">
        <v>2</v>
      </c>
      <c r="D40" s="0" t="n">
        <v>0.5</v>
      </c>
      <c r="E40" s="0" t="n">
        <v>-0.15</v>
      </c>
      <c r="F40" s="0" t="n">
        <v>0</v>
      </c>
      <c r="G40" s="0" t="n">
        <v>1</v>
      </c>
      <c r="H40" s="36" t="n">
        <v>31.632206269286</v>
      </c>
      <c r="I40" s="36" t="n">
        <v>0</v>
      </c>
      <c r="J40" s="36" t="n">
        <v>31.6464242560432</v>
      </c>
      <c r="K40" s="36" t="n">
        <v>0</v>
      </c>
      <c r="L40" s="36" t="n">
        <v>16.6211896245193</v>
      </c>
      <c r="M40" s="36" t="n">
        <v>0</v>
      </c>
      <c r="N40" s="36" t="n">
        <v>16.6023752768704</v>
      </c>
      <c r="O40" s="36" t="n">
        <v>0</v>
      </c>
      <c r="P40" s="36" t="n">
        <v>15012</v>
      </c>
      <c r="Q40" s="36" t="n">
        <v>0</v>
      </c>
      <c r="R40" s="36" t="n">
        <v>14988</v>
      </c>
      <c r="S40" s="36" t="n">
        <v>0</v>
      </c>
      <c r="T40" s="10" t="n">
        <f aca="false">(H40*P40+J40*R40)/(P40+R40)</f>
        <v>31.6393095754699</v>
      </c>
      <c r="U40" s="10" t="s">
        <v>31</v>
      </c>
      <c r="V40" s="10" t="n">
        <f aca="false">(H40*P40+I40*Q40+J40*R40+K40*S40)/(P40+Q40+R40+S40)</f>
        <v>31.6393095754699</v>
      </c>
      <c r="W40" s="35" t="n">
        <f aca="false">($U$46-T40)/($U$46)</f>
        <v>0.155497664245993</v>
      </c>
      <c r="X40" s="35" t="s">
        <v>31</v>
      </c>
    </row>
    <row r="41" customFormat="false" ht="12" hidden="false" customHeight="false" outlineLevel="0" collapsed="false">
      <c r="A41" s="0" t="n">
        <v>1.05</v>
      </c>
      <c r="B41" s="0" t="n">
        <v>2</v>
      </c>
      <c r="C41" s="0" t="n">
        <v>2</v>
      </c>
      <c r="D41" s="0" t="n">
        <v>0.5</v>
      </c>
      <c r="E41" s="0" t="n">
        <v>-0.15</v>
      </c>
      <c r="F41" s="0" t="n">
        <v>0</v>
      </c>
      <c r="G41" s="0" t="n">
        <v>0.83</v>
      </c>
      <c r="H41" s="36" t="n">
        <v>37.5800447569927</v>
      </c>
      <c r="I41" s="36" t="n">
        <v>37.9626176027076</v>
      </c>
      <c r="J41" s="36" t="n">
        <v>37.4749043965981</v>
      </c>
      <c r="K41" s="36" t="n">
        <v>38.1137413732654</v>
      </c>
      <c r="L41" s="36" t="n">
        <v>19.1298957663275</v>
      </c>
      <c r="M41" s="36" t="n">
        <v>19.7808787923129</v>
      </c>
      <c r="N41" s="36" t="n">
        <v>19.1895919467871</v>
      </c>
      <c r="O41" s="36" t="n">
        <v>18.8483783041028</v>
      </c>
      <c r="P41" s="36" t="n">
        <v>12431</v>
      </c>
      <c r="Q41" s="36" t="n">
        <v>2560</v>
      </c>
      <c r="R41" s="36" t="n">
        <v>12485</v>
      </c>
      <c r="S41" s="36" t="n">
        <v>2524</v>
      </c>
      <c r="T41" s="10" t="n">
        <f aca="false">(H41*P41+J41*R41)/(P41+R41)</f>
        <v>37.5273606423865</v>
      </c>
      <c r="U41" s="10" t="n">
        <f aca="false">(I41*Q41+K41*S41)/(Q41+S41)</f>
        <v>38.0376444313638</v>
      </c>
      <c r="V41" s="10" t="n">
        <f aca="false">(H41*P41+I41*Q41+J41*R41+K41*S41)/(P41+Q41+R41+S41)</f>
        <v>37.6138367351585</v>
      </c>
      <c r="W41" s="35" t="n">
        <f aca="false">($U$46-T41)/($U$46)</f>
        <v>-0.00166356796070389</v>
      </c>
      <c r="X41" s="35" t="n">
        <f aca="false">($U$46-U41)/($U$46)</f>
        <v>-0.0152838352001255</v>
      </c>
    </row>
    <row r="42" customFormat="false" ht="12" hidden="false" customHeight="false" outlineLevel="0" collapsed="false">
      <c r="A42" s="0" t="n">
        <v>1.05</v>
      </c>
      <c r="B42" s="0" t="n">
        <v>2</v>
      </c>
      <c r="C42" s="0" t="n">
        <v>2</v>
      </c>
      <c r="D42" s="0" t="n">
        <v>0.5</v>
      </c>
      <c r="E42" s="0" t="n">
        <v>-0.15</v>
      </c>
      <c r="F42" s="0" t="n">
        <v>0</v>
      </c>
      <c r="G42" s="0" t="n">
        <v>0.67</v>
      </c>
      <c r="H42" s="36" t="n">
        <v>30.6220271957401</v>
      </c>
      <c r="I42" s="36" t="n">
        <v>31.2689217486835</v>
      </c>
      <c r="J42" s="36" t="n">
        <v>30.4994269009501</v>
      </c>
      <c r="K42" s="36" t="n">
        <v>31.560580492115</v>
      </c>
      <c r="L42" s="36" t="n">
        <v>16.2783913120397</v>
      </c>
      <c r="M42" s="36" t="n">
        <v>16.4428939878386</v>
      </c>
      <c r="N42" s="36" t="n">
        <v>16.1916749529363</v>
      </c>
      <c r="O42" s="36" t="n">
        <v>16.5454273754848</v>
      </c>
      <c r="P42" s="36" t="n">
        <v>10152</v>
      </c>
      <c r="Q42" s="36" t="n">
        <v>4848</v>
      </c>
      <c r="R42" s="36" t="n">
        <v>10060</v>
      </c>
      <c r="S42" s="36" t="n">
        <v>4940</v>
      </c>
      <c r="T42" s="10" t="n">
        <f aca="false">(H42*P42+J42*R42)/(P42+R42)</f>
        <v>30.561006071379</v>
      </c>
      <c r="U42" s="10" t="n">
        <f aca="false">(I42*Q42+K42*S42)/(Q42+S42)</f>
        <v>31.4161218092221</v>
      </c>
      <c r="V42" s="10" t="n">
        <f aca="false">(H42*P42+I42*Q42+J42*R42+K42*S42)/(P42+Q42+R42+S42)</f>
        <v>30.8400018327792</v>
      </c>
      <c r="W42" s="35" t="n">
        <f aca="false">($U$46-T42)/($U$46)</f>
        <v>0.184279260307195</v>
      </c>
      <c r="X42" s="35" t="n">
        <f aca="false">($U$46-U42)/($U$46)</f>
        <v>0.161454892530586</v>
      </c>
    </row>
    <row r="43" customFormat="false" ht="12" hidden="false" customHeight="false" outlineLevel="0" collapsed="false">
      <c r="A43" s="0" t="n">
        <v>1.05</v>
      </c>
      <c r="B43" s="0" t="n">
        <v>2</v>
      </c>
      <c r="C43" s="0" t="n">
        <v>2</v>
      </c>
      <c r="D43" s="0" t="n">
        <v>0.5</v>
      </c>
      <c r="E43" s="0" t="n">
        <v>-0.15</v>
      </c>
      <c r="F43" s="0" t="n">
        <v>0</v>
      </c>
      <c r="G43" s="0" t="n">
        <v>0.5</v>
      </c>
      <c r="H43" s="36" t="n">
        <v>29.1342322280443</v>
      </c>
      <c r="I43" s="36" t="n">
        <v>30.4922768076092</v>
      </c>
      <c r="J43" s="36" t="n">
        <v>28.9710695808205</v>
      </c>
      <c r="K43" s="36" t="n">
        <v>30.7099667584592</v>
      </c>
      <c r="L43" s="36" t="n">
        <v>16.8777929483141</v>
      </c>
      <c r="M43" s="36" t="n">
        <v>16.9683977174038</v>
      </c>
      <c r="N43" s="36" t="n">
        <v>16.7087455791394</v>
      </c>
      <c r="O43" s="36" t="n">
        <v>17.065129288072</v>
      </c>
      <c r="P43" s="36" t="n">
        <v>7426</v>
      </c>
      <c r="Q43" s="36" t="n">
        <v>7595</v>
      </c>
      <c r="R43" s="36" t="n">
        <v>7459</v>
      </c>
      <c r="S43" s="36" t="n">
        <v>7520</v>
      </c>
      <c r="T43" s="10" t="n">
        <f aca="false">(H43*P43+J43*R43)/(P43+R43)</f>
        <v>29.0524700388846</v>
      </c>
      <c r="U43" s="10" t="n">
        <f aca="false">(I43*Q43+K43*S43)/(Q43+S43)</f>
        <v>30.6005816988028</v>
      </c>
      <c r="V43" s="10" t="n">
        <f aca="false">(H43*P43+I43*Q43+J43*R43+K43*S43)/(P43+Q43+R43+S43)</f>
        <v>29.8324602968734</v>
      </c>
      <c r="W43" s="35" t="n">
        <f aca="false">($U$46-T43)/($U$46)</f>
        <v>0.224544431074331</v>
      </c>
      <c r="X43" s="35" t="n">
        <f aca="false">($U$46-U43)/($U$46)</f>
        <v>0.183222925316109</v>
      </c>
    </row>
    <row r="44" customFormat="false" ht="12" hidden="false" customHeight="false" outlineLevel="0" collapsed="false">
      <c r="A44" s="0" t="n">
        <v>1.05</v>
      </c>
      <c r="B44" s="0" t="n">
        <v>2</v>
      </c>
      <c r="C44" s="0" t="n">
        <v>2</v>
      </c>
      <c r="D44" s="0" t="n">
        <v>0.5</v>
      </c>
      <c r="E44" s="0" t="n">
        <v>-0.15</v>
      </c>
      <c r="F44" s="0" t="n">
        <v>0</v>
      </c>
      <c r="G44" s="0" t="n">
        <v>0.33</v>
      </c>
      <c r="H44" s="36" t="n">
        <v>33.0759634492128</v>
      </c>
      <c r="I44" s="36" t="n">
        <v>34.4678542364942</v>
      </c>
      <c r="J44" s="36" t="n">
        <v>32.9232934506532</v>
      </c>
      <c r="K44" s="36" t="n">
        <v>34.5195402469549</v>
      </c>
      <c r="L44" s="36" t="n">
        <v>16.1304485206406</v>
      </c>
      <c r="M44" s="36" t="n">
        <v>16.5484215250669</v>
      </c>
      <c r="N44" s="36" t="n">
        <v>16.0763690860888</v>
      </c>
      <c r="O44" s="36" t="n">
        <v>16.4899715137118</v>
      </c>
      <c r="P44" s="36" t="n">
        <v>4970</v>
      </c>
      <c r="Q44" s="36" t="n">
        <v>10037</v>
      </c>
      <c r="R44" s="36" t="n">
        <v>4996</v>
      </c>
      <c r="S44" s="36" t="n">
        <v>9997</v>
      </c>
      <c r="T44" s="10" t="n">
        <f aca="false">(H44*P44+J44*R44)/(P44+R44)</f>
        <v>32.9994293018313</v>
      </c>
      <c r="U44" s="10" t="n">
        <f aca="false">(I44*Q44+K44*S44)/(Q44+S44)</f>
        <v>34.4936456434312</v>
      </c>
      <c r="V44" s="10" t="n">
        <f aca="false">(H44*P44+I44*Q44+J44*R44+K44*S44)/(P44+Q44+R44+S44)</f>
        <v>33.9972669747517</v>
      </c>
      <c r="W44" s="35" t="n">
        <f aca="false">($U$46-T44)/($U$46)</f>
        <v>0.119193955308302</v>
      </c>
      <c r="X44" s="35" t="n">
        <f aca="false">($U$46-U44)/($U$46)</f>
        <v>0.0793109993419923</v>
      </c>
    </row>
    <row r="45" customFormat="false" ht="12" hidden="false" customHeight="false" outlineLevel="0" collapsed="false">
      <c r="A45" s="0" t="n">
        <v>1.05</v>
      </c>
      <c r="B45" s="0" t="n">
        <v>2</v>
      </c>
      <c r="C45" s="0" t="n">
        <v>2</v>
      </c>
      <c r="D45" s="0" t="n">
        <v>0.5</v>
      </c>
      <c r="E45" s="0" t="n">
        <v>-0.15</v>
      </c>
      <c r="F45" s="0" t="n">
        <v>0</v>
      </c>
      <c r="G45" s="0" t="n">
        <v>0.17</v>
      </c>
      <c r="H45" s="36" t="n">
        <v>30.5052960376933</v>
      </c>
      <c r="I45" s="36" t="n">
        <v>33.7682391837667</v>
      </c>
      <c r="J45" s="36" t="n">
        <v>31.2696786873014</v>
      </c>
      <c r="K45" s="36" t="n">
        <v>34.0160439963726</v>
      </c>
      <c r="L45" s="36" t="n">
        <v>16.6525513851408</v>
      </c>
      <c r="M45" s="36" t="n">
        <v>18.4166513211587</v>
      </c>
      <c r="N45" s="36" t="n">
        <v>17.9137584287855</v>
      </c>
      <c r="O45" s="36" t="n">
        <v>18.5741888891738</v>
      </c>
      <c r="P45" s="36" t="n">
        <v>2595</v>
      </c>
      <c r="Q45" s="36" t="n">
        <v>12418</v>
      </c>
      <c r="R45" s="36" t="n">
        <v>2429</v>
      </c>
      <c r="S45" s="36" t="n">
        <v>12558</v>
      </c>
      <c r="T45" s="10" t="n">
        <f aca="false">(H45*P45+J45*R45)/(P45+R45)</f>
        <v>30.8748592255711</v>
      </c>
      <c r="U45" s="10" t="n">
        <f aca="false">(I45*Q45+K45*S45)/(Q45+S45)</f>
        <v>33.8928361102844</v>
      </c>
      <c r="V45" s="10" t="n">
        <f aca="false">(H45*P45+I45*Q45+J45*R45+K45*S45)/(P45+Q45+R45+S45)</f>
        <v>33.3874255813244</v>
      </c>
      <c r="W45" s="35" t="n">
        <f aca="false">($U$46-T45)/($U$46)</f>
        <v>0.175902031936684</v>
      </c>
      <c r="X45" s="35" t="n">
        <f aca="false">($U$46-U45)/($U$46)</f>
        <v>0.0953475393579978</v>
      </c>
    </row>
    <row r="46" customFormat="false" ht="12" hidden="false" customHeight="false" outlineLevel="0" collapsed="false">
      <c r="A46" s="0" t="n">
        <v>1.05</v>
      </c>
      <c r="B46" s="0" t="n">
        <v>2</v>
      </c>
      <c r="C46" s="0" t="n">
        <v>2</v>
      </c>
      <c r="D46" s="0" t="n">
        <v>0.5</v>
      </c>
      <c r="E46" s="0" t="n">
        <v>-0.15</v>
      </c>
      <c r="F46" s="0" t="n">
        <v>0</v>
      </c>
      <c r="G46" s="0" t="n">
        <v>0</v>
      </c>
      <c r="H46" s="36" t="n">
        <v>0</v>
      </c>
      <c r="I46" s="36" t="n">
        <v>33.60753876799</v>
      </c>
      <c r="J46" s="36" t="n">
        <v>0</v>
      </c>
      <c r="K46" s="36" t="n">
        <v>41.2411065302058</v>
      </c>
      <c r="L46" s="36" t="n">
        <v>0</v>
      </c>
      <c r="M46" s="36" t="n">
        <v>18.1982907851569</v>
      </c>
      <c r="N46" s="36" t="n">
        <v>0</v>
      </c>
      <c r="O46" s="36" t="n">
        <v>23.4171289035459</v>
      </c>
      <c r="P46" s="36" t="n">
        <v>0</v>
      </c>
      <c r="Q46" s="36" t="n">
        <v>14840</v>
      </c>
      <c r="R46" s="36" t="n">
        <v>0</v>
      </c>
      <c r="S46" s="36" t="n">
        <v>15160</v>
      </c>
      <c r="T46" s="10" t="s">
        <v>31</v>
      </c>
      <c r="U46" s="10" t="n">
        <f aca="false">(I46*Q46+K46*S46)/(Q46+S46)</f>
        <v>37.4650350104964</v>
      </c>
      <c r="V46" s="10"/>
      <c r="W46" s="35" t="s">
        <v>31</v>
      </c>
      <c r="X46" s="35"/>
    </row>
    <row r="47" customFormat="false" ht="12" hidden="false" customHeight="false" outlineLevel="0" collapsed="false">
      <c r="A47" s="0" t="n">
        <v>1</v>
      </c>
      <c r="B47" s="0" t="n">
        <v>2</v>
      </c>
      <c r="C47" s="0" t="n">
        <v>2</v>
      </c>
      <c r="D47" s="0" t="n">
        <v>0.5</v>
      </c>
      <c r="E47" s="0" t="n">
        <v>-0.15</v>
      </c>
      <c r="F47" s="0" t="n">
        <v>0</v>
      </c>
      <c r="G47" s="0" t="n">
        <v>1</v>
      </c>
      <c r="H47" s="36" t="n">
        <v>23.2154137224865</v>
      </c>
      <c r="I47" s="36" t="n">
        <v>0</v>
      </c>
      <c r="J47" s="36" t="n">
        <v>23.2422768569316</v>
      </c>
      <c r="K47" s="36" t="n">
        <v>0</v>
      </c>
      <c r="L47" s="36" t="n">
        <v>11.7212943396345</v>
      </c>
      <c r="M47" s="36" t="n">
        <v>0</v>
      </c>
      <c r="N47" s="36" t="n">
        <v>11.6510688295162</v>
      </c>
      <c r="O47" s="36" t="n">
        <v>0</v>
      </c>
      <c r="P47" s="36" t="n">
        <v>15014</v>
      </c>
      <c r="Q47" s="36" t="n">
        <v>0</v>
      </c>
      <c r="R47" s="36" t="n">
        <v>14986</v>
      </c>
      <c r="S47" s="36" t="n">
        <v>0</v>
      </c>
      <c r="T47" s="10" t="n">
        <f aca="false">(H47*P47+J47*R47)/(P47+R47)</f>
        <v>23.2288327535796</v>
      </c>
      <c r="U47" s="10" t="s">
        <v>31</v>
      </c>
      <c r="V47" s="10" t="n">
        <f aca="false">(H47*P47+I47*Q47+J47*R47+K47*S47)/(P47+Q47+R47+S47)</f>
        <v>23.2288327535796</v>
      </c>
      <c r="W47" s="35" t="n">
        <f aca="false">($U$53-T47)/($U$53)</f>
        <v>0.0448576734817094</v>
      </c>
      <c r="X47" s="35"/>
    </row>
    <row r="48" customFormat="false" ht="12" hidden="false" customHeight="false" outlineLevel="0" collapsed="false">
      <c r="A48" s="0" t="n">
        <v>1</v>
      </c>
      <c r="B48" s="0" t="n">
        <v>2</v>
      </c>
      <c r="C48" s="0" t="n">
        <v>2</v>
      </c>
      <c r="D48" s="0" t="n">
        <v>0.5</v>
      </c>
      <c r="E48" s="0" t="n">
        <v>-0.15</v>
      </c>
      <c r="F48" s="0" t="n">
        <v>0</v>
      </c>
      <c r="G48" s="0" t="n">
        <v>0.83</v>
      </c>
      <c r="H48" s="36" t="n">
        <v>18.3583116965331</v>
      </c>
      <c r="I48" s="36" t="n">
        <v>19.1664151243164</v>
      </c>
      <c r="J48" s="36" t="n">
        <v>18.3724158236553</v>
      </c>
      <c r="K48" s="36" t="n">
        <v>19.1853428653543</v>
      </c>
      <c r="L48" s="36" t="n">
        <v>9.26071791715706</v>
      </c>
      <c r="M48" s="36" t="n">
        <v>9.43818257657365</v>
      </c>
      <c r="N48" s="36" t="n">
        <v>9.24145473460676</v>
      </c>
      <c r="O48" s="36" t="n">
        <v>9.32063880360211</v>
      </c>
      <c r="P48" s="36" t="n">
        <v>12458</v>
      </c>
      <c r="Q48" s="36" t="n">
        <v>2550</v>
      </c>
      <c r="R48" s="36" t="n">
        <v>12353</v>
      </c>
      <c r="S48" s="36" t="n">
        <v>2639</v>
      </c>
      <c r="T48" s="10" t="n">
        <f aca="false">(H48*P48+J48*R48)/(P48+R48)</f>
        <v>18.3653339158044</v>
      </c>
      <c r="U48" s="10" t="n">
        <f aca="false">(I48*Q48+K48*S48)/(Q48+S48)</f>
        <v>19.1760413159909</v>
      </c>
      <c r="V48" s="10" t="n">
        <f aca="false">(H48*P48+I48*Q48+J48*R48+K48*S48)/(P48+Q48+R48+S48)</f>
        <v>18.5055592724567</v>
      </c>
      <c r="W48" s="35" t="n">
        <f aca="false">($U$53-T48)/($U$53)</f>
        <v>0.244839034758494</v>
      </c>
      <c r="X48" s="35" t="n">
        <f aca="false">($U$53-U48)/($U$53)</f>
        <v>0.211503698430828</v>
      </c>
    </row>
    <row r="49" customFormat="false" ht="12" hidden="false" customHeight="false" outlineLevel="0" collapsed="false">
      <c r="A49" s="0" t="n">
        <v>1</v>
      </c>
      <c r="B49" s="0" t="n">
        <v>2</v>
      </c>
      <c r="C49" s="0" t="n">
        <v>2</v>
      </c>
      <c r="D49" s="0" t="n">
        <v>0.5</v>
      </c>
      <c r="E49" s="0" t="n">
        <v>-0.15</v>
      </c>
      <c r="F49" s="0" t="n">
        <v>0</v>
      </c>
      <c r="G49" s="0" t="n">
        <v>0.67</v>
      </c>
      <c r="H49" s="36" t="n">
        <v>16.2056540272667</v>
      </c>
      <c r="I49" s="36" t="n">
        <v>17.2565677901142</v>
      </c>
      <c r="J49" s="36" t="n">
        <v>16.2487242047039</v>
      </c>
      <c r="K49" s="36" t="n">
        <v>17.2812142889696</v>
      </c>
      <c r="L49" s="36" t="n">
        <v>8.86990791471115</v>
      </c>
      <c r="M49" s="36" t="n">
        <v>8.88509856106854</v>
      </c>
      <c r="N49" s="36" t="n">
        <v>8.84279267865987</v>
      </c>
      <c r="O49" s="36" t="n">
        <v>8.87364624152646</v>
      </c>
      <c r="P49" s="36" t="n">
        <v>10096</v>
      </c>
      <c r="Q49" s="36" t="n">
        <v>4909</v>
      </c>
      <c r="R49" s="36" t="n">
        <v>9982</v>
      </c>
      <c r="S49" s="36" t="n">
        <v>5013</v>
      </c>
      <c r="T49" s="10" t="n">
        <f aca="false">(H49*P49+J49*R49)/(P49+R49)</f>
        <v>16.2270668428449</v>
      </c>
      <c r="U49" s="10" t="n">
        <f aca="false">(I49*Q49+K49*S49)/(Q49+S49)</f>
        <v>17.2690202088566</v>
      </c>
      <c r="V49" s="10" t="n">
        <f aca="false">(H49*P49+I49*Q49+J49*R49+K49*S49)/(P49+Q49+R49+S49)</f>
        <v>16.5716755527638</v>
      </c>
      <c r="W49" s="35" t="n">
        <f aca="false">($U$53-T49)/($U$53)</f>
        <v>0.332762065952101</v>
      </c>
      <c r="X49" s="35" t="n">
        <f aca="false">($U$53-U49)/($U$53)</f>
        <v>0.289918167048802</v>
      </c>
    </row>
    <row r="50" customFormat="false" ht="12" hidden="false" customHeight="false" outlineLevel="0" collapsed="false">
      <c r="A50" s="0" t="n">
        <v>1</v>
      </c>
      <c r="B50" s="0" t="n">
        <v>2</v>
      </c>
      <c r="C50" s="0" t="n">
        <v>2</v>
      </c>
      <c r="D50" s="0" t="n">
        <v>0.5</v>
      </c>
      <c r="E50" s="0" t="n">
        <v>-0.15</v>
      </c>
      <c r="F50" s="0" t="n">
        <v>0</v>
      </c>
      <c r="G50" s="0" t="n">
        <v>0.5</v>
      </c>
      <c r="H50" s="36" t="n">
        <v>19.4393023518673</v>
      </c>
      <c r="I50" s="36" t="n">
        <v>20.3205146729487</v>
      </c>
      <c r="J50" s="36" t="n">
        <v>19.3830276671645</v>
      </c>
      <c r="K50" s="36" t="n">
        <v>20.4446317324063</v>
      </c>
      <c r="L50" s="36" t="n">
        <v>11.2453812942807</v>
      </c>
      <c r="M50" s="36" t="n">
        <v>11.3893762578369</v>
      </c>
      <c r="N50" s="36" t="n">
        <v>11.3755853892846</v>
      </c>
      <c r="O50" s="36" t="n">
        <v>11.2824172928206</v>
      </c>
      <c r="P50" s="36" t="n">
        <v>7554</v>
      </c>
      <c r="Q50" s="36" t="n">
        <v>7457</v>
      </c>
      <c r="R50" s="36" t="n">
        <v>7488</v>
      </c>
      <c r="S50" s="36" t="n">
        <v>7501</v>
      </c>
      <c r="T50" s="10" t="n">
        <f aca="false">(H50*P50+J50*R50)/(P50+R50)</f>
        <v>19.4112884681381</v>
      </c>
      <c r="U50" s="10" t="n">
        <f aca="false">(I50*Q50+K50*S50)/(Q50+S50)</f>
        <v>20.38275575217</v>
      </c>
      <c r="V50" s="10" t="n">
        <f aca="false">(H50*P50+I50*Q50+J50*R50+K50*S50)/(P50+Q50+R50+S50)</f>
        <v>19.8956620559564</v>
      </c>
      <c r="W50" s="35" t="n">
        <f aca="false">($U$53-T50)/($U$53)</f>
        <v>0.201830611772004</v>
      </c>
      <c r="X50" s="35" t="n">
        <f aca="false">($U$53-U50)/($U$53)</f>
        <v>0.161885017791885</v>
      </c>
    </row>
    <row r="51" customFormat="false" ht="12" hidden="false" customHeight="false" outlineLevel="0" collapsed="false">
      <c r="A51" s="0" t="n">
        <v>1</v>
      </c>
      <c r="B51" s="0" t="n">
        <v>2</v>
      </c>
      <c r="C51" s="0" t="n">
        <v>2</v>
      </c>
      <c r="D51" s="0" t="n">
        <v>0.5</v>
      </c>
      <c r="E51" s="0" t="n">
        <v>-0.15</v>
      </c>
      <c r="F51" s="0" t="n">
        <v>0</v>
      </c>
      <c r="G51" s="0" t="n">
        <v>0.33</v>
      </c>
      <c r="H51" s="36" t="n">
        <v>21.5744674974148</v>
      </c>
      <c r="I51" s="36" t="n">
        <v>22.8615509334081</v>
      </c>
      <c r="J51" s="36" t="n">
        <v>21.3274667118393</v>
      </c>
      <c r="K51" s="36" t="n">
        <v>23.0393244238192</v>
      </c>
      <c r="L51" s="36" t="n">
        <v>11.8133376112714</v>
      </c>
      <c r="M51" s="36" t="n">
        <v>12.2650358349377</v>
      </c>
      <c r="N51" s="36" t="n">
        <v>11.745803076307</v>
      </c>
      <c r="O51" s="36" t="n">
        <v>12.1905148090572</v>
      </c>
      <c r="P51" s="36" t="n">
        <v>4928</v>
      </c>
      <c r="Q51" s="36" t="n">
        <v>10070</v>
      </c>
      <c r="R51" s="36" t="n">
        <v>4953</v>
      </c>
      <c r="S51" s="36" t="n">
        <v>10049</v>
      </c>
      <c r="T51" s="10" t="n">
        <f aca="false">(H51*P51+J51*R51)/(P51+R51)</f>
        <v>21.4506546352596</v>
      </c>
      <c r="U51" s="10" t="n">
        <f aca="false">(I51*Q51+K51*S51)/(Q51+S51)</f>
        <v>22.9503448995665</v>
      </c>
      <c r="V51" s="10" t="n">
        <f aca="false">(H51*P51+I51*Q51+J51*R51+K51*S51)/(P51+Q51+R51+S51)</f>
        <v>22.4563969161793</v>
      </c>
      <c r="W51" s="35" t="n">
        <f aca="false">($U$53-T51)/($U$53)</f>
        <v>0.1179742696927</v>
      </c>
      <c r="X51" s="35" t="n">
        <f aca="false">($U$53-U51)/($U$53)</f>
        <v>0.0563087670261399</v>
      </c>
    </row>
    <row r="52" customFormat="false" ht="12" hidden="false" customHeight="false" outlineLevel="0" collapsed="false">
      <c r="A52" s="0" t="n">
        <v>1</v>
      </c>
      <c r="B52" s="0" t="n">
        <v>2</v>
      </c>
      <c r="C52" s="0" t="n">
        <v>2</v>
      </c>
      <c r="D52" s="0" t="n">
        <v>0.5</v>
      </c>
      <c r="E52" s="0" t="n">
        <v>-0.15</v>
      </c>
      <c r="F52" s="0" t="n">
        <v>0</v>
      </c>
      <c r="G52" s="0" t="n">
        <v>0.17</v>
      </c>
      <c r="H52" s="36" t="n">
        <v>17.0890687696518</v>
      </c>
      <c r="I52" s="36" t="n">
        <v>18.9237670975458</v>
      </c>
      <c r="J52" s="36" t="n">
        <v>16.4303434590525</v>
      </c>
      <c r="K52" s="36" t="n">
        <v>19.6554717075181</v>
      </c>
      <c r="L52" s="36" t="n">
        <v>9.05431272185979</v>
      </c>
      <c r="M52" s="36" t="n">
        <v>9.84800007360268</v>
      </c>
      <c r="N52" s="36" t="n">
        <v>8.96697514066575</v>
      </c>
      <c r="O52" s="36" t="n">
        <v>10.2627118059004</v>
      </c>
      <c r="P52" s="36" t="n">
        <v>2683</v>
      </c>
      <c r="Q52" s="36" t="n">
        <v>12354</v>
      </c>
      <c r="R52" s="36" t="n">
        <v>2416</v>
      </c>
      <c r="S52" s="36" t="n">
        <v>12547</v>
      </c>
      <c r="T52" s="10" t="n">
        <f aca="false">(H52*P52+J52*R52)/(P52+R52)</f>
        <v>16.7769525997346</v>
      </c>
      <c r="U52" s="10" t="n">
        <f aca="false">(I52*Q52+K52*S52)/(Q52+S52)</f>
        <v>19.2924550113373</v>
      </c>
      <c r="V52" s="10" t="n">
        <f aca="false">(H52*P52+I52*Q52+J52*R52+K52*S52)/(P52+Q52+R52+S52)</f>
        <v>18.8649034514452</v>
      </c>
      <c r="W52" s="35" t="n">
        <f aca="false">($U$53-T52)/($U$53)</f>
        <v>0.310151409328644</v>
      </c>
      <c r="X52" s="35" t="n">
        <f aca="false">($U$53-U52)/($U$53)</f>
        <v>0.206716903976223</v>
      </c>
    </row>
    <row r="53" customFormat="false" ht="12" hidden="false" customHeight="false" outlineLevel="0" collapsed="false">
      <c r="A53" s="0" t="n">
        <v>1</v>
      </c>
      <c r="B53" s="0" t="n">
        <v>2</v>
      </c>
      <c r="C53" s="0" t="n">
        <v>2</v>
      </c>
      <c r="D53" s="0" t="n">
        <v>0.5</v>
      </c>
      <c r="E53" s="0" t="n">
        <v>-0.15</v>
      </c>
      <c r="F53" s="0" t="n">
        <v>0</v>
      </c>
      <c r="G53" s="0" t="n">
        <v>0</v>
      </c>
      <c r="H53" s="36" t="n">
        <v>0</v>
      </c>
      <c r="I53" s="36" t="n">
        <v>22.5181234714479</v>
      </c>
      <c r="J53" s="36" t="n">
        <v>0</v>
      </c>
      <c r="K53" s="36" t="n">
        <v>26.113487997219</v>
      </c>
      <c r="L53" s="36" t="n">
        <v>0</v>
      </c>
      <c r="M53" s="36" t="n">
        <v>13.536657422744</v>
      </c>
      <c r="N53" s="36" t="n">
        <v>0</v>
      </c>
      <c r="O53" s="36" t="n">
        <v>14.5617149618376</v>
      </c>
      <c r="P53" s="36" t="n">
        <v>0</v>
      </c>
      <c r="Q53" s="36" t="n">
        <v>14967</v>
      </c>
      <c r="R53" s="36" t="n">
        <v>0</v>
      </c>
      <c r="S53" s="36" t="n">
        <v>15033</v>
      </c>
      <c r="T53" s="10" t="s">
        <v>31</v>
      </c>
      <c r="U53" s="10" t="n">
        <f aca="false">(I53*Q53+K53*S53)/(Q53+S53)</f>
        <v>24.3197606353118</v>
      </c>
      <c r="V53" s="10" t="s">
        <v>31</v>
      </c>
      <c r="W53" s="35"/>
      <c r="X53" s="35"/>
    </row>
    <row r="54" customFormat="false" ht="12" hidden="false" customHeight="false" outlineLevel="0" collapsed="false">
      <c r="A54" s="0" t="n">
        <v>0.95</v>
      </c>
      <c r="B54" s="0" t="n">
        <v>2</v>
      </c>
      <c r="C54" s="0" t="n">
        <v>2</v>
      </c>
      <c r="D54" s="0" t="n">
        <v>0.5</v>
      </c>
      <c r="E54" s="0" t="n">
        <v>-0.15</v>
      </c>
      <c r="F54" s="0" t="n">
        <v>0</v>
      </c>
      <c r="G54" s="0" t="n">
        <v>1</v>
      </c>
      <c r="H54" s="36" t="n">
        <v>9.46044394435464</v>
      </c>
      <c r="I54" s="36" t="n">
        <v>0</v>
      </c>
      <c r="J54" s="36" t="n">
        <v>9.49784068731177</v>
      </c>
      <c r="K54" s="36" t="n">
        <v>0</v>
      </c>
      <c r="L54" s="36" t="n">
        <v>5.90582101281971</v>
      </c>
      <c r="M54" s="36" t="n">
        <v>0</v>
      </c>
      <c r="N54" s="36" t="n">
        <v>5.92109372266472</v>
      </c>
      <c r="O54" s="36" t="n">
        <v>0</v>
      </c>
      <c r="P54" s="36" t="n">
        <v>15042</v>
      </c>
      <c r="Q54" s="36" t="n">
        <v>0</v>
      </c>
      <c r="R54" s="36" t="n">
        <v>14958</v>
      </c>
      <c r="S54" s="36" t="n">
        <v>0</v>
      </c>
      <c r="T54" s="10" t="n">
        <f aca="false">(H54*P54+J54*R54)/(P54+R54)</f>
        <v>9.47908996039307</v>
      </c>
      <c r="U54" s="10" t="s">
        <v>31</v>
      </c>
      <c r="V54" s="10" t="n">
        <f aca="false">(H54*P54+I54*Q54+J54*R54+K54*S54)/(P54+Q54+R54+S54)</f>
        <v>9.47908996039307</v>
      </c>
      <c r="W54" s="35" t="n">
        <f aca="false">($U$60-T54)/($U$60)</f>
        <v>0.408507265413491</v>
      </c>
      <c r="X54" s="35"/>
    </row>
    <row r="55" customFormat="false" ht="12" hidden="false" customHeight="false" outlineLevel="0" collapsed="false">
      <c r="A55" s="0" t="n">
        <v>0.95</v>
      </c>
      <c r="B55" s="0" t="n">
        <v>2</v>
      </c>
      <c r="C55" s="0" t="n">
        <v>2</v>
      </c>
      <c r="D55" s="0" t="n">
        <v>0.5</v>
      </c>
      <c r="E55" s="0" t="n">
        <v>-0.15</v>
      </c>
      <c r="F55" s="0" t="n">
        <v>0</v>
      </c>
      <c r="G55" s="0" t="n">
        <v>0.83</v>
      </c>
      <c r="H55" s="36" t="n">
        <v>9.31762507189425</v>
      </c>
      <c r="I55" s="36" t="n">
        <v>10.0983124377189</v>
      </c>
      <c r="J55" s="36" t="n">
        <v>9.37065724978646</v>
      </c>
      <c r="K55" s="36" t="n">
        <v>10.1393013067669</v>
      </c>
      <c r="L55" s="36" t="n">
        <v>5.46219422879701</v>
      </c>
      <c r="M55" s="36" t="n">
        <v>5.6079164974355</v>
      </c>
      <c r="N55" s="36" t="n">
        <v>5.49010626221629</v>
      </c>
      <c r="O55" s="36" t="n">
        <v>5.58246340625444</v>
      </c>
      <c r="P55" s="36" t="n">
        <v>12560</v>
      </c>
      <c r="Q55" s="36" t="n">
        <v>2452</v>
      </c>
      <c r="R55" s="36" t="n">
        <v>12452</v>
      </c>
      <c r="S55" s="36" t="n">
        <v>2536</v>
      </c>
      <c r="T55" s="10" t="n">
        <f aca="false">(H55*P55+J55*R55)/(P55+R55)</f>
        <v>9.34402666629349</v>
      </c>
      <c r="U55" s="10" t="n">
        <f aca="false">(I55*Q55+K55*S55)/(Q55+S55)</f>
        <v>10.1191520070665</v>
      </c>
      <c r="V55" s="10" t="n">
        <f aca="false">(H55*P55+I55*Q55+J55*R55+K55*S55)/(P55+Q55+R55+S55)</f>
        <v>9.47290417295268</v>
      </c>
      <c r="W55" s="35" t="n">
        <f aca="false">($U$60-T55)/($U$60)</f>
        <v>0.416935179643974</v>
      </c>
      <c r="X55" s="35" t="n">
        <f aca="false">($U$60-U55)/($U$60)</f>
        <v>0.368567561088099</v>
      </c>
    </row>
    <row r="56" customFormat="false" ht="12" hidden="false" customHeight="false" outlineLevel="0" collapsed="false">
      <c r="A56" s="0" t="n">
        <v>0.95</v>
      </c>
      <c r="B56" s="0" t="n">
        <v>2</v>
      </c>
      <c r="C56" s="0" t="n">
        <v>2</v>
      </c>
      <c r="D56" s="0" t="n">
        <v>0.5</v>
      </c>
      <c r="E56" s="0" t="n">
        <v>-0.15</v>
      </c>
      <c r="F56" s="0" t="n">
        <v>0</v>
      </c>
      <c r="G56" s="0" t="n">
        <v>0.67</v>
      </c>
      <c r="H56" s="36" t="n">
        <v>9.85076748839653</v>
      </c>
      <c r="I56" s="36" t="n">
        <v>10.5632223345884</v>
      </c>
      <c r="J56" s="36" t="n">
        <v>9.7978357779498</v>
      </c>
      <c r="K56" s="36" t="n">
        <v>10.7629907124591</v>
      </c>
      <c r="L56" s="36" t="n">
        <v>6.27376023174664</v>
      </c>
      <c r="M56" s="36" t="n">
        <v>6.34544758188498</v>
      </c>
      <c r="N56" s="36" t="n">
        <v>6.23445474109397</v>
      </c>
      <c r="O56" s="36" t="n">
        <v>6.3706161136523</v>
      </c>
      <c r="P56" s="36" t="n">
        <v>10190</v>
      </c>
      <c r="Q56" s="36" t="n">
        <v>4862</v>
      </c>
      <c r="R56" s="36" t="n">
        <v>10018</v>
      </c>
      <c r="S56" s="36" t="n">
        <v>4930</v>
      </c>
      <c r="T56" s="10" t="n">
        <f aca="false">(H56*P56+J56*R56)/(P56+R56)</f>
        <v>9.8245268967865</v>
      </c>
      <c r="U56" s="10" t="n">
        <f aca="false">(I56*Q56+K56*S56)/(Q56+S56)</f>
        <v>10.6638001637247</v>
      </c>
      <c r="V56" s="10" t="n">
        <f aca="false">(H56*P56+I56*Q56+J56*R56+K56*S56)/(P56+Q56+R56+S56)</f>
        <v>10.0984656911151</v>
      </c>
      <c r="W56" s="35" t="n">
        <f aca="false">($U$60-T56)/($U$60)</f>
        <v>0.38695209092013</v>
      </c>
      <c r="X56" s="35" t="n">
        <f aca="false">($U$60-U56)/($U$60)</f>
        <v>0.334581658547312</v>
      </c>
    </row>
    <row r="57" customFormat="false" ht="12" hidden="false" customHeight="false" outlineLevel="0" collapsed="false">
      <c r="A57" s="0" t="n">
        <v>0.95</v>
      </c>
      <c r="B57" s="0" t="n">
        <v>2</v>
      </c>
      <c r="C57" s="0" t="n">
        <v>2</v>
      </c>
      <c r="D57" s="0" t="n">
        <v>0.5</v>
      </c>
      <c r="E57" s="0" t="n">
        <v>-0.15</v>
      </c>
      <c r="F57" s="0" t="n">
        <v>0</v>
      </c>
      <c r="G57" s="0" t="n">
        <v>0.5</v>
      </c>
      <c r="H57" s="36" t="n">
        <v>9.16423218220048</v>
      </c>
      <c r="I57" s="36" t="n">
        <v>10.0567749950442</v>
      </c>
      <c r="J57" s="36" t="n">
        <v>9.06051432627987</v>
      </c>
      <c r="K57" s="36" t="n">
        <v>10.1454378371123</v>
      </c>
      <c r="L57" s="36" t="n">
        <v>5.76501084148115</v>
      </c>
      <c r="M57" s="36" t="n">
        <v>6.02712836727989</v>
      </c>
      <c r="N57" s="36" t="n">
        <v>5.76058276322065</v>
      </c>
      <c r="O57" s="36" t="n">
        <v>5.94867030369458</v>
      </c>
      <c r="P57" s="36" t="n">
        <v>7406</v>
      </c>
      <c r="Q57" s="36" t="n">
        <v>7601</v>
      </c>
      <c r="R57" s="36" t="n">
        <v>7461</v>
      </c>
      <c r="S57" s="36" t="n">
        <v>7532</v>
      </c>
      <c r="T57" s="10" t="n">
        <f aca="false">(H57*P57+J57*R57)/(P57+R57)</f>
        <v>9.11218140376343</v>
      </c>
      <c r="U57" s="10" t="n">
        <f aca="false">(I57*Q57+K57*S57)/(Q57+S57)</f>
        <v>10.1009042837812</v>
      </c>
      <c r="V57" s="10" t="n">
        <f aca="false">(H57*P57+I57*Q57+J57*R57+K57*S57)/(P57+Q57+R57+S57)</f>
        <v>9.61092618187372</v>
      </c>
      <c r="W57" s="35" t="n">
        <f aca="false">($U$60-T57)/($U$60)</f>
        <v>0.4314022633944</v>
      </c>
      <c r="X57" s="35" t="n">
        <f aca="false">($U$60-U57)/($U$60)</f>
        <v>0.369706214249013</v>
      </c>
    </row>
    <row r="58" customFormat="false" ht="12" hidden="false" customHeight="false" outlineLevel="0" collapsed="false">
      <c r="A58" s="0" t="n">
        <v>0.95</v>
      </c>
      <c r="B58" s="0" t="n">
        <v>2</v>
      </c>
      <c r="C58" s="0" t="n">
        <v>2</v>
      </c>
      <c r="D58" s="0" t="n">
        <v>0.5</v>
      </c>
      <c r="E58" s="0" t="n">
        <v>-0.15</v>
      </c>
      <c r="F58" s="0" t="n">
        <v>0</v>
      </c>
      <c r="G58" s="0" t="n">
        <v>0.33</v>
      </c>
      <c r="H58" s="36" t="n">
        <v>9.66362044935973</v>
      </c>
      <c r="I58" s="36" t="n">
        <v>11.1259854159928</v>
      </c>
      <c r="J58" s="36" t="n">
        <v>9.96281012520633</v>
      </c>
      <c r="K58" s="36" t="n">
        <v>11.0267086920393</v>
      </c>
      <c r="L58" s="36" t="n">
        <v>5.91922618690678</v>
      </c>
      <c r="M58" s="36" t="n">
        <v>6.52167547044972</v>
      </c>
      <c r="N58" s="36" t="n">
        <v>5.98803455643927</v>
      </c>
      <c r="O58" s="36" t="n">
        <v>6.18464537869849</v>
      </c>
      <c r="P58" s="36" t="n">
        <v>5060</v>
      </c>
      <c r="Q58" s="36" t="n">
        <v>9953</v>
      </c>
      <c r="R58" s="36" t="n">
        <v>5076</v>
      </c>
      <c r="S58" s="36" t="n">
        <v>9911</v>
      </c>
      <c r="T58" s="10" t="n">
        <f aca="false">(H58*P58+J58*R58)/(P58+R58)</f>
        <v>9.81345142751653</v>
      </c>
      <c r="U58" s="10" t="n">
        <f aca="false">(I58*Q58+K58*S58)/(Q58+S58)</f>
        <v>11.0764520082651</v>
      </c>
      <c r="V58" s="10" t="n">
        <f aca="false">(H58*P58+I58*Q58+J58*R58+K58*S58)/(P58+Q58+R58+S58)</f>
        <v>10.6497262120495</v>
      </c>
      <c r="W58" s="35" t="n">
        <f aca="false">($U$60-T58)/($U$60)</f>
        <v>0.387643197306154</v>
      </c>
      <c r="X58" s="35" t="n">
        <f aca="false">($U$60-U58)/($U$60)</f>
        <v>0.308832291363414</v>
      </c>
    </row>
    <row r="59" customFormat="false" ht="12" hidden="false" customHeight="false" outlineLevel="0" collapsed="false">
      <c r="A59" s="0" t="n">
        <v>0.95</v>
      </c>
      <c r="B59" s="0" t="n">
        <v>2</v>
      </c>
      <c r="C59" s="0" t="n">
        <v>2</v>
      </c>
      <c r="D59" s="0" t="n">
        <v>0.5</v>
      </c>
      <c r="E59" s="0" t="n">
        <v>-0.15</v>
      </c>
      <c r="F59" s="0" t="n">
        <v>0</v>
      </c>
      <c r="G59" s="0" t="n">
        <v>0.17</v>
      </c>
      <c r="H59" s="36" t="n">
        <v>8.96136239285046</v>
      </c>
      <c r="I59" s="36" t="n">
        <v>11.2459383218714</v>
      </c>
      <c r="J59" s="36" t="n">
        <v>8.97082897191409</v>
      </c>
      <c r="K59" s="36" t="n">
        <v>11.0879016504695</v>
      </c>
      <c r="L59" s="36" t="n">
        <v>5.63944804934501</v>
      </c>
      <c r="M59" s="36" t="n">
        <v>6.78443626687792</v>
      </c>
      <c r="N59" s="36" t="n">
        <v>5.62953879090775</v>
      </c>
      <c r="O59" s="36" t="n">
        <v>6.43655876192136</v>
      </c>
      <c r="P59" s="36" t="n">
        <v>2560</v>
      </c>
      <c r="Q59" s="36" t="n">
        <v>12427</v>
      </c>
      <c r="R59" s="36" t="n">
        <v>2527</v>
      </c>
      <c r="S59" s="36" t="n">
        <v>12486</v>
      </c>
      <c r="T59" s="10" t="n">
        <f aca="false">(H59*P59+J59*R59)/(P59+R59)</f>
        <v>8.96606497694596</v>
      </c>
      <c r="U59" s="10" t="n">
        <f aca="false">(I59*Q59+K59*S59)/(Q59+S59)</f>
        <v>11.1667328516702</v>
      </c>
      <c r="V59" s="10" t="n">
        <f aca="false">(H59*P59+I59*Q59+J59*R59+K59*S59)/(P59+Q59+R59+S59)</f>
        <v>10.7935729357128</v>
      </c>
      <c r="W59" s="35" t="n">
        <f aca="false">($U$60-T59)/($U$60)</f>
        <v>0.440519890215898</v>
      </c>
      <c r="X59" s="35" t="n">
        <f aca="false">($U$60-U59)/($U$60)</f>
        <v>0.303198790344902</v>
      </c>
    </row>
    <row r="60" customFormat="false" ht="12" hidden="false" customHeight="false" outlineLevel="0" collapsed="false">
      <c r="A60" s="0" t="n">
        <v>0.95</v>
      </c>
      <c r="B60" s="0" t="n">
        <v>2</v>
      </c>
      <c r="C60" s="0" t="n">
        <v>2</v>
      </c>
      <c r="D60" s="0" t="n">
        <v>0.5</v>
      </c>
      <c r="E60" s="0" t="n">
        <v>-0.15</v>
      </c>
      <c r="F60" s="0" t="n">
        <v>0</v>
      </c>
      <c r="G60" s="0" t="n">
        <v>0</v>
      </c>
      <c r="H60" s="36" t="n">
        <v>0</v>
      </c>
      <c r="I60" s="36" t="n">
        <v>16.2487899447658</v>
      </c>
      <c r="J60" s="36" t="n">
        <v>0</v>
      </c>
      <c r="K60" s="36" t="n">
        <v>15.8016725828487</v>
      </c>
      <c r="L60" s="36" t="n">
        <v>0</v>
      </c>
      <c r="M60" s="36" t="n">
        <v>9.75978908693903</v>
      </c>
      <c r="N60" s="36" t="n">
        <v>0</v>
      </c>
      <c r="O60" s="36" t="n">
        <v>9.56940501470623</v>
      </c>
      <c r="P60" s="36" t="n">
        <v>0</v>
      </c>
      <c r="Q60" s="36" t="n">
        <v>15032</v>
      </c>
      <c r="R60" s="36" t="n">
        <v>0</v>
      </c>
      <c r="S60" s="36" t="n">
        <v>14968</v>
      </c>
      <c r="T60" s="10" t="s">
        <v>31</v>
      </c>
      <c r="U60" s="10" t="n">
        <f aca="false">(I60*Q60+K60*S60)/(Q60+S60)</f>
        <v>16.0257081889933</v>
      </c>
      <c r="V60" s="10" t="s">
        <v>31</v>
      </c>
      <c r="W60" s="35"/>
      <c r="X60" s="35"/>
    </row>
    <row r="61" customFormat="false" ht="12" hidden="false" customHeight="false" outlineLevel="0" collapsed="false">
      <c r="A61" s="0" t="n">
        <v>0.67</v>
      </c>
      <c r="B61" s="0" t="n">
        <v>2</v>
      </c>
      <c r="C61" s="0" t="n">
        <v>2</v>
      </c>
      <c r="D61" s="0" t="n">
        <v>0.5</v>
      </c>
      <c r="E61" s="0" t="n">
        <v>-0.15</v>
      </c>
      <c r="F61" s="0" t="n">
        <v>0</v>
      </c>
      <c r="G61" s="0" t="n">
        <v>1</v>
      </c>
      <c r="H61" s="36" t="n">
        <v>2.88974983047852</v>
      </c>
      <c r="I61" s="36" t="n">
        <v>0</v>
      </c>
      <c r="J61" s="36" t="n">
        <v>2.90426250188935</v>
      </c>
      <c r="K61" s="36" t="n">
        <v>0</v>
      </c>
      <c r="L61" s="36" t="n">
        <v>1.27281847296811</v>
      </c>
      <c r="M61" s="36" t="n">
        <v>0</v>
      </c>
      <c r="N61" s="36" t="n">
        <v>1.27740742151313</v>
      </c>
      <c r="O61" s="36" t="n">
        <v>0</v>
      </c>
      <c r="P61" s="36" t="n">
        <v>15012</v>
      </c>
      <c r="Q61" s="36" t="n">
        <v>0</v>
      </c>
      <c r="R61" s="36" t="n">
        <v>14988</v>
      </c>
      <c r="S61" s="36" t="n">
        <v>0</v>
      </c>
      <c r="T61" s="10" t="n">
        <f aca="false">(H61*P61+J61*R61)/(P61+R61)</f>
        <v>2.89700036111537</v>
      </c>
      <c r="U61" s="10" t="s">
        <v>31</v>
      </c>
      <c r="V61" s="10" t="n">
        <f aca="false">(H61*P61+I61*Q61+J61*R61+K61*S61)/(P61+Q61+R61+S61)</f>
        <v>2.89700036111537</v>
      </c>
      <c r="W61" s="35" t="n">
        <f aca="false">($U$67-T61)/($U$67)</f>
        <v>0.271209956794146</v>
      </c>
    </row>
    <row r="62" customFormat="false" ht="12" hidden="false" customHeight="false" outlineLevel="0" collapsed="false">
      <c r="A62" s="0" t="n">
        <v>0.67</v>
      </c>
      <c r="B62" s="0" t="n">
        <v>2</v>
      </c>
      <c r="C62" s="0" t="n">
        <v>2</v>
      </c>
      <c r="D62" s="0" t="n">
        <v>0.5</v>
      </c>
      <c r="E62" s="0" t="n">
        <v>-0.15</v>
      </c>
      <c r="F62" s="0" t="n">
        <v>0</v>
      </c>
      <c r="G62" s="0" t="n">
        <v>0.83</v>
      </c>
      <c r="H62" s="36" t="n">
        <v>2.95080993613167</v>
      </c>
      <c r="I62" s="36" t="n">
        <v>3.33367657457483</v>
      </c>
      <c r="J62" s="36" t="n">
        <v>2.94100871279303</v>
      </c>
      <c r="K62" s="36" t="n">
        <v>3.30004158542474</v>
      </c>
      <c r="L62" s="36" t="n">
        <v>1.36488845531353</v>
      </c>
      <c r="M62" s="36" t="n">
        <v>1.49686091486268</v>
      </c>
      <c r="N62" s="36" t="n">
        <v>1.35148520448476</v>
      </c>
      <c r="O62" s="36" t="n">
        <v>1.53242176059217</v>
      </c>
      <c r="P62" s="36" t="n">
        <v>12506</v>
      </c>
      <c r="Q62" s="36" t="n">
        <v>2483</v>
      </c>
      <c r="R62" s="36" t="n">
        <v>12479</v>
      </c>
      <c r="S62" s="36" t="n">
        <v>2532</v>
      </c>
      <c r="T62" s="10" t="n">
        <f aca="false">(H62*P62+J62*R62)/(P62+R62)</f>
        <v>2.94591462030045</v>
      </c>
      <c r="U62" s="10" t="n">
        <f aca="false">(I62*Q62+K62*S62)/(Q62+S62)</f>
        <v>3.31669476150842</v>
      </c>
      <c r="V62" s="10" t="n">
        <f aca="false">(H62*P62+I62*Q62+J62*R62+K62*S62)/(P62+Q62+R62+S62)</f>
        <v>3.00789670057238</v>
      </c>
      <c r="W62" s="35" t="n">
        <f aca="false">($U$67-T62)/($U$67)</f>
        <v>0.258904737387424</v>
      </c>
      <c r="X62" s="35" t="n">
        <f aca="false">($U$67-U62)/($U$67)</f>
        <v>0.165628644378312</v>
      </c>
    </row>
    <row r="63" customFormat="false" ht="12" hidden="false" customHeight="false" outlineLevel="0" collapsed="false">
      <c r="A63" s="0" t="n">
        <v>0.67</v>
      </c>
      <c r="B63" s="0" t="n">
        <v>2</v>
      </c>
      <c r="C63" s="0" t="n">
        <v>2</v>
      </c>
      <c r="D63" s="0" t="n">
        <v>0.5</v>
      </c>
      <c r="E63" s="0" t="n">
        <v>-0.15</v>
      </c>
      <c r="F63" s="0" t="n">
        <v>0</v>
      </c>
      <c r="G63" s="0" t="n">
        <v>0.67</v>
      </c>
      <c r="H63" s="36" t="n">
        <v>2.89042375244422</v>
      </c>
      <c r="I63" s="36" t="n">
        <v>3.35809196635678</v>
      </c>
      <c r="J63" s="36" t="n">
        <v>2.87148015766217</v>
      </c>
      <c r="K63" s="36" t="n">
        <v>3.30745031246457</v>
      </c>
      <c r="L63" s="36" t="n">
        <v>1.31312279450074</v>
      </c>
      <c r="M63" s="36" t="n">
        <v>1.5521859514201</v>
      </c>
      <c r="N63" s="36" t="n">
        <v>1.29502373087218</v>
      </c>
      <c r="O63" s="36" t="n">
        <v>1.51865084321636</v>
      </c>
      <c r="P63" s="36" t="n">
        <v>9978</v>
      </c>
      <c r="Q63" s="36" t="n">
        <v>5017</v>
      </c>
      <c r="R63" s="36" t="n">
        <v>10108</v>
      </c>
      <c r="S63" s="36" t="n">
        <v>4897</v>
      </c>
      <c r="T63" s="10" t="n">
        <f aca="false">(H63*P63+J63*R63)/(P63+R63)</f>
        <v>2.8808906519734</v>
      </c>
      <c r="U63" s="10" t="n">
        <f aca="false">(I63*Q63+K63*S63)/(Q63+S63)</f>
        <v>3.33307762511105</v>
      </c>
      <c r="V63" s="10" t="n">
        <f aca="false">(H63*P63+I63*Q63+J63*R63+K63*S63)/(P63+Q63+R63+S63)</f>
        <v>3.03032337369629</v>
      </c>
      <c r="W63" s="35" t="n">
        <f aca="false">($U$67-T63)/($U$67)</f>
        <v>0.275262629958845</v>
      </c>
      <c r="X63" s="35" t="n">
        <f aca="false">($U$67-U63)/($U$67)</f>
        <v>0.161507254532092</v>
      </c>
    </row>
    <row r="64" customFormat="false" ht="12" hidden="false" customHeight="false" outlineLevel="0" collapsed="false">
      <c r="A64" s="0" t="n">
        <v>0.67</v>
      </c>
      <c r="B64" s="0" t="n">
        <v>2</v>
      </c>
      <c r="C64" s="0" t="n">
        <v>2</v>
      </c>
      <c r="D64" s="0" t="n">
        <v>0.5</v>
      </c>
      <c r="E64" s="0" t="n">
        <v>-0.15</v>
      </c>
      <c r="F64" s="0" t="n">
        <v>0</v>
      </c>
      <c r="G64" s="0" t="n">
        <v>0.5</v>
      </c>
      <c r="H64" s="36" t="n">
        <v>2.90922284645956</v>
      </c>
      <c r="I64" s="36" t="n">
        <v>3.48016470206866</v>
      </c>
      <c r="J64" s="36" t="n">
        <v>2.8942659631984</v>
      </c>
      <c r="K64" s="36" t="n">
        <v>3.44981113292518</v>
      </c>
      <c r="L64" s="36" t="n">
        <v>1.32313714699028</v>
      </c>
      <c r="M64" s="36" t="n">
        <v>1.68803687818506</v>
      </c>
      <c r="N64" s="36" t="n">
        <v>1.29491724529348</v>
      </c>
      <c r="O64" s="36" t="n">
        <v>1.6403562620132</v>
      </c>
      <c r="P64" s="36" t="n">
        <v>7402</v>
      </c>
      <c r="Q64" s="36" t="n">
        <v>7618</v>
      </c>
      <c r="R64" s="36" t="n">
        <v>7526</v>
      </c>
      <c r="S64" s="36" t="n">
        <v>7454</v>
      </c>
      <c r="T64" s="10" t="n">
        <f aca="false">(H64*P64+J64*R64)/(P64+R64)</f>
        <v>2.90168228486903</v>
      </c>
      <c r="U64" s="10" t="n">
        <f aca="false">(I64*Q64+K64*S64)/(Q64+S64)</f>
        <v>3.46515305766875</v>
      </c>
      <c r="V64" s="10" t="n">
        <f aca="false">(H64*P64+I64*Q64+J64*R64+K64*S64)/(P64+Q64+R64+S64)</f>
        <v>3.18477000112361</v>
      </c>
      <c r="W64" s="35" t="n">
        <f aca="false">($U$67-T64)/($U$67)</f>
        <v>0.270032138710134</v>
      </c>
      <c r="X64" s="35" t="n">
        <f aca="false">($U$67-U64)/($U$67)</f>
        <v>0.128281418079971</v>
      </c>
    </row>
    <row r="65" customFormat="false" ht="12" hidden="false" customHeight="false" outlineLevel="0" collapsed="false">
      <c r="A65" s="0" t="n">
        <v>0.67</v>
      </c>
      <c r="B65" s="0" t="n">
        <v>2</v>
      </c>
      <c r="C65" s="0" t="n">
        <v>2</v>
      </c>
      <c r="D65" s="0" t="n">
        <v>0.5</v>
      </c>
      <c r="E65" s="0" t="n">
        <v>-0.15</v>
      </c>
      <c r="F65" s="0" t="n">
        <v>0</v>
      </c>
      <c r="G65" s="0" t="n">
        <v>0.33</v>
      </c>
      <c r="H65" s="36" t="n">
        <v>2.83641639934311</v>
      </c>
      <c r="I65" s="36" t="n">
        <v>3.56119135162289</v>
      </c>
      <c r="J65" s="36" t="n">
        <v>2.86881123779129</v>
      </c>
      <c r="K65" s="36" t="n">
        <v>3.51122746376136</v>
      </c>
      <c r="L65" s="36" t="n">
        <v>1.28420205904797</v>
      </c>
      <c r="M65" s="36" t="n">
        <v>1.79827221494155</v>
      </c>
      <c r="N65" s="36" t="n">
        <v>1.29549199510969</v>
      </c>
      <c r="O65" s="36" t="n">
        <v>1.76844052893154</v>
      </c>
      <c r="P65" s="36" t="n">
        <v>4791</v>
      </c>
      <c r="Q65" s="36" t="n">
        <v>10228</v>
      </c>
      <c r="R65" s="36" t="n">
        <v>4923</v>
      </c>
      <c r="S65" s="36" t="n">
        <v>10058</v>
      </c>
      <c r="T65" s="10" t="n">
        <f aca="false">(H65*P65+J65*R65)/(P65+R65)</f>
        <v>2.85283391938433</v>
      </c>
      <c r="U65" s="10" t="n">
        <f aca="false">(I65*Q65+K65*S65)/(Q65+S65)</f>
        <v>3.5364187604708</v>
      </c>
      <c r="V65" s="10" t="n">
        <f aca="false">(H65*P65+I65*Q65+J65*R65+K65*S65)/(P65+Q65+R65+S65)</f>
        <v>3.315073988927</v>
      </c>
      <c r="W65" s="35" t="n">
        <f aca="false">($U$67-T65)/($U$67)</f>
        <v>0.282320781428294</v>
      </c>
      <c r="X65" s="35" t="n">
        <f aca="false">($U$67-U65)/($U$67)</f>
        <v>0.110353310330544</v>
      </c>
    </row>
    <row r="66" customFormat="false" ht="12" hidden="false" customHeight="false" outlineLevel="0" collapsed="false">
      <c r="A66" s="0" t="n">
        <v>0.67</v>
      </c>
      <c r="B66" s="0" t="n">
        <v>2</v>
      </c>
      <c r="C66" s="0" t="n">
        <v>2</v>
      </c>
      <c r="D66" s="0" t="n">
        <v>0.5</v>
      </c>
      <c r="E66" s="0" t="n">
        <v>-0.15</v>
      </c>
      <c r="F66" s="0" t="n">
        <v>0</v>
      </c>
      <c r="G66" s="0" t="n">
        <v>0.17</v>
      </c>
      <c r="H66" s="36" t="n">
        <v>2.84681099704732</v>
      </c>
      <c r="I66" s="36" t="n">
        <v>3.79785354482997</v>
      </c>
      <c r="J66" s="36" t="n">
        <v>2.80703091550943</v>
      </c>
      <c r="K66" s="36" t="n">
        <v>3.66215031243924</v>
      </c>
      <c r="L66" s="36" t="n">
        <v>1.30448398338513</v>
      </c>
      <c r="M66" s="36" t="n">
        <v>2.19257500357039</v>
      </c>
      <c r="N66" s="36" t="n">
        <v>1.25376875124756</v>
      </c>
      <c r="O66" s="36" t="n">
        <v>1.99071074068259</v>
      </c>
      <c r="P66" s="36" t="n">
        <v>2616</v>
      </c>
      <c r="Q66" s="36" t="n">
        <v>12499</v>
      </c>
      <c r="R66" s="36" t="n">
        <v>2472</v>
      </c>
      <c r="S66" s="36" t="n">
        <v>12413</v>
      </c>
      <c r="T66" s="10" t="n">
        <f aca="false">(H66*P66+J66*R66)/(P66+R66)</f>
        <v>2.82748388196051</v>
      </c>
      <c r="U66" s="10" t="n">
        <f aca="false">(I66*Q66+K66*S66)/(Q66+S66)</f>
        <v>3.73023616269822</v>
      </c>
      <c r="V66" s="10" t="n">
        <f aca="false">(H66*P66+I66*Q66+J66*R66+K66*S66)/(P66+Q66+R66+S66)</f>
        <v>3.57712937588511</v>
      </c>
      <c r="W66" s="35" t="n">
        <f aca="false">($U$67-T66)/($U$67)</f>
        <v>0.288698017384958</v>
      </c>
      <c r="X66" s="35" t="n">
        <f aca="false">($U$67-U66)/($U$67)</f>
        <v>0.0615952242635533</v>
      </c>
    </row>
    <row r="67" customFormat="false" ht="12" hidden="false" customHeight="false" outlineLevel="0" collapsed="false">
      <c r="A67" s="0" t="n">
        <v>0.67</v>
      </c>
      <c r="B67" s="0" t="n">
        <v>2</v>
      </c>
      <c r="C67" s="0" t="n">
        <v>2</v>
      </c>
      <c r="D67" s="0" t="n">
        <v>0.5</v>
      </c>
      <c r="E67" s="0" t="n">
        <v>-0.15</v>
      </c>
      <c r="F67" s="0" t="n">
        <v>0</v>
      </c>
      <c r="G67" s="0" t="n">
        <v>0</v>
      </c>
      <c r="H67" s="36" t="n">
        <v>0</v>
      </c>
      <c r="I67" s="36" t="n">
        <v>3.96049346079204</v>
      </c>
      <c r="J67" s="36" t="n">
        <v>0</v>
      </c>
      <c r="K67" s="36" t="n">
        <v>3.98964188088392</v>
      </c>
      <c r="L67" s="36" t="n">
        <v>0</v>
      </c>
      <c r="M67" s="36" t="n">
        <v>2.46616024372496</v>
      </c>
      <c r="N67" s="36" t="n">
        <v>0</v>
      </c>
      <c r="O67" s="36" t="n">
        <v>2.50386091400104</v>
      </c>
      <c r="P67" s="36" t="n">
        <v>0</v>
      </c>
      <c r="Q67" s="36" t="n">
        <v>14985</v>
      </c>
      <c r="R67" s="36" t="n">
        <v>0</v>
      </c>
      <c r="S67" s="36" t="n">
        <v>15015</v>
      </c>
      <c r="T67" s="10" t="s">
        <v>31</v>
      </c>
      <c r="U67" s="10" t="n">
        <f aca="false">(I67*Q67+K67*S67)/(Q67+S67)</f>
        <v>3.97508224504802</v>
      </c>
      <c r="V67" s="10" t="s">
        <v>31</v>
      </c>
      <c r="W67" s="35" t="s">
        <v>31</v>
      </c>
      <c r="X67" s="35" t="s">
        <v>31</v>
      </c>
    </row>
    <row r="68" customFormat="false" ht="12" hidden="false" customHeight="false" outlineLevel="0" collapsed="false">
      <c r="A68" s="0" t="n">
        <v>0.5</v>
      </c>
      <c r="B68" s="0" t="n">
        <v>2</v>
      </c>
      <c r="C68" s="0" t="n">
        <v>2</v>
      </c>
      <c r="D68" s="0" t="n">
        <v>0.5</v>
      </c>
      <c r="E68" s="0" t="n">
        <v>-0.15</v>
      </c>
      <c r="F68" s="0" t="n">
        <v>0</v>
      </c>
      <c r="G68" s="0" t="n">
        <v>1</v>
      </c>
      <c r="H68" s="36" t="n">
        <v>2.41756821784499</v>
      </c>
      <c r="I68" s="36" t="n">
        <v>0</v>
      </c>
      <c r="J68" s="36" t="n">
        <v>2.41633565423072</v>
      </c>
      <c r="K68" s="36" t="n">
        <v>0</v>
      </c>
      <c r="L68" s="36" t="n">
        <v>0.803892403558065</v>
      </c>
      <c r="M68" s="36" t="n">
        <v>0</v>
      </c>
      <c r="N68" s="36" t="n">
        <v>0.795195241332994</v>
      </c>
      <c r="O68" s="36" t="n">
        <v>0</v>
      </c>
      <c r="P68" s="36" t="n">
        <v>15012</v>
      </c>
      <c r="Q68" s="36" t="n">
        <v>0</v>
      </c>
      <c r="R68" s="36" t="n">
        <v>14988</v>
      </c>
      <c r="S68" s="36" t="n">
        <v>0</v>
      </c>
      <c r="T68" s="10" t="n">
        <f aca="false">(H68*P68+J68*R68)/(P68+R68)</f>
        <v>2.4169524290633</v>
      </c>
      <c r="U68" s="10" t="s">
        <v>31</v>
      </c>
      <c r="V68" s="10" t="n">
        <f aca="false">(H68*P68+I68*Q68+J68*R68+K68*S68)/(P68+Q68+R68+S68)</f>
        <v>2.4169524290633</v>
      </c>
      <c r="W68" s="35" t="n">
        <f aca="false">($U$74-T68)/($U$74)</f>
        <v>0.194350167140678</v>
      </c>
      <c r="X68" s="35" t="s">
        <v>31</v>
      </c>
    </row>
    <row r="69" customFormat="false" ht="12" hidden="false" customHeight="false" outlineLevel="0" collapsed="false">
      <c r="A69" s="0" t="n">
        <v>0.5</v>
      </c>
      <c r="B69" s="0" t="n">
        <v>2</v>
      </c>
      <c r="C69" s="0" t="n">
        <v>2</v>
      </c>
      <c r="D69" s="0" t="n">
        <v>0.5</v>
      </c>
      <c r="E69" s="0" t="n">
        <v>-0.15</v>
      </c>
      <c r="F69" s="0" t="n">
        <v>0</v>
      </c>
      <c r="G69" s="0" t="n">
        <v>0.83</v>
      </c>
      <c r="H69" s="36" t="n">
        <v>2.39364931388642</v>
      </c>
      <c r="I69" s="36" t="n">
        <v>2.71893210660167</v>
      </c>
      <c r="J69" s="36" t="n">
        <v>2.3936955325057</v>
      </c>
      <c r="K69" s="36" t="n">
        <v>2.74542054281475</v>
      </c>
      <c r="L69" s="36" t="n">
        <v>0.767925395517542</v>
      </c>
      <c r="M69" s="36" t="n">
        <v>0.986597028448406</v>
      </c>
      <c r="N69" s="36" t="n">
        <v>0.76984675761523</v>
      </c>
      <c r="O69" s="36" t="n">
        <v>0.986613534400168</v>
      </c>
      <c r="P69" s="36" t="n">
        <v>12409</v>
      </c>
      <c r="Q69" s="36" t="n">
        <v>2576</v>
      </c>
      <c r="R69" s="36" t="n">
        <v>12468</v>
      </c>
      <c r="S69" s="36" t="n">
        <v>2547</v>
      </c>
      <c r="T69" s="10" t="n">
        <f aca="false">(H69*P69+J69*R69)/(P69+R69)</f>
        <v>2.39367247800368</v>
      </c>
      <c r="U69" s="10" t="n">
        <f aca="false">(I69*Q69+K69*S69)/(Q69+S69)</f>
        <v>2.73210135255808</v>
      </c>
      <c r="V69" s="10" t="n">
        <f aca="false">(H69*P69+I69*Q69+J69*R69+K69*S69)/(P69+Q69+R69+S69)</f>
        <v>2.45146484881509</v>
      </c>
      <c r="W69" s="35" t="n">
        <f aca="false">($U$74-T69)/($U$74)</f>
        <v>0.202110141418461</v>
      </c>
      <c r="X69" s="35" t="n">
        <f aca="false">($U$74-U69)/($U$74)</f>
        <v>0.0893006533454217</v>
      </c>
    </row>
    <row r="70" customFormat="false" ht="12" hidden="false" customHeight="false" outlineLevel="0" collapsed="false">
      <c r="A70" s="0" t="n">
        <v>0.5</v>
      </c>
      <c r="B70" s="0" t="n">
        <v>2</v>
      </c>
      <c r="C70" s="0" t="n">
        <v>2</v>
      </c>
      <c r="D70" s="0" t="n">
        <v>0.5</v>
      </c>
      <c r="E70" s="0" t="n">
        <v>-0.15</v>
      </c>
      <c r="F70" s="0" t="n">
        <v>0</v>
      </c>
      <c r="G70" s="0" t="n">
        <v>0.67</v>
      </c>
      <c r="H70" s="36" t="n">
        <v>2.4091448084956</v>
      </c>
      <c r="I70" s="36" t="n">
        <v>2.76576096320816</v>
      </c>
      <c r="J70" s="36" t="n">
        <v>2.41710399847511</v>
      </c>
      <c r="K70" s="36" t="n">
        <v>2.77862799958183</v>
      </c>
      <c r="L70" s="36" t="n">
        <v>0.799199962991498</v>
      </c>
      <c r="M70" s="36" t="n">
        <v>1.10258874536474</v>
      </c>
      <c r="N70" s="36" t="n">
        <v>0.81524346762336</v>
      </c>
      <c r="O70" s="36" t="n">
        <v>1.07507252196573</v>
      </c>
      <c r="P70" s="36" t="n">
        <v>10065</v>
      </c>
      <c r="Q70" s="36" t="n">
        <v>4934</v>
      </c>
      <c r="R70" s="36" t="n">
        <v>10110</v>
      </c>
      <c r="S70" s="36" t="n">
        <v>4891</v>
      </c>
      <c r="T70" s="10" t="n">
        <f aca="false">(H70*P70+J70*R70)/(P70+R70)</f>
        <v>2.4131332799054</v>
      </c>
      <c r="U70" s="10" t="n">
        <f aca="false">(I70*Q70+K70*S70)/(Q70+S70)</f>
        <v>2.7721663245215</v>
      </c>
      <c r="V70" s="10" t="n">
        <f aca="false">(H70*P70+I70*Q70+J70*R70+K70*S70)/(P70+Q70+R70+S70)</f>
        <v>2.53071660201718</v>
      </c>
      <c r="W70" s="35" t="n">
        <f aca="false">($U$74-T70)/($U$74)</f>
        <v>0.195623215316442</v>
      </c>
      <c r="X70" s="35" t="n">
        <f aca="false">($U$74-U70)/($U$74)</f>
        <v>0.0759456788834906</v>
      </c>
    </row>
    <row r="71" customFormat="false" ht="12" hidden="false" customHeight="false" outlineLevel="0" collapsed="false">
      <c r="A71" s="0" t="n">
        <v>0.5</v>
      </c>
      <c r="B71" s="0" t="n">
        <v>2</v>
      </c>
      <c r="C71" s="0" t="n">
        <v>2</v>
      </c>
      <c r="D71" s="0" t="n">
        <v>0.5</v>
      </c>
      <c r="E71" s="0" t="n">
        <v>-0.15</v>
      </c>
      <c r="F71" s="0" t="n">
        <v>0</v>
      </c>
      <c r="G71" s="0" t="n">
        <v>0.5</v>
      </c>
      <c r="H71" s="36" t="n">
        <v>2.38859041561675</v>
      </c>
      <c r="I71" s="36" t="n">
        <v>2.79810986376352</v>
      </c>
      <c r="J71" s="36" t="n">
        <v>2.39908623670918</v>
      </c>
      <c r="K71" s="36" t="n">
        <v>2.78252889243641</v>
      </c>
      <c r="L71" s="36" t="n">
        <v>0.784111254515147</v>
      </c>
      <c r="M71" s="36" t="n">
        <v>1.13745302025892</v>
      </c>
      <c r="N71" s="36" t="n">
        <v>0.7923759701459</v>
      </c>
      <c r="O71" s="36" t="n">
        <v>1.10934169195702</v>
      </c>
      <c r="P71" s="36" t="n">
        <v>7563</v>
      </c>
      <c r="Q71" s="36" t="n">
        <v>7434</v>
      </c>
      <c r="R71" s="36" t="n">
        <v>7439</v>
      </c>
      <c r="S71" s="36" t="n">
        <v>7564</v>
      </c>
      <c r="T71" s="10" t="n">
        <f aca="false">(H71*P71+J71*R71)/(P71+R71)</f>
        <v>2.39379494921937</v>
      </c>
      <c r="U71" s="10" t="n">
        <f aca="false">(I71*Q71+K71*S71)/(Q71+S71)</f>
        <v>2.79025185155401</v>
      </c>
      <c r="V71" s="10" t="n">
        <f aca="false">(H71*P71+I71*Q71+J71*R71+K71*S71)/(P71+Q71+R71+S71)</f>
        <v>2.59199696992654</v>
      </c>
      <c r="W71" s="35" t="n">
        <f aca="false">($U$74-T71)/($U$74)</f>
        <v>0.202069317729395</v>
      </c>
      <c r="X71" s="35" t="n">
        <f aca="false">($U$74-U71)/($U$74)</f>
        <v>0.0699171771820482</v>
      </c>
    </row>
    <row r="72" customFormat="false" ht="12" hidden="false" customHeight="false" outlineLevel="0" collapsed="false">
      <c r="A72" s="0" t="n">
        <v>0.5</v>
      </c>
      <c r="B72" s="0" t="n">
        <v>2</v>
      </c>
      <c r="C72" s="0" t="n">
        <v>2</v>
      </c>
      <c r="D72" s="0" t="n">
        <v>0.5</v>
      </c>
      <c r="E72" s="0" t="n">
        <v>-0.15</v>
      </c>
      <c r="F72" s="0" t="n">
        <v>0</v>
      </c>
      <c r="G72" s="0" t="n">
        <v>0.33</v>
      </c>
      <c r="H72" s="36" t="n">
        <v>2.38016482433493</v>
      </c>
      <c r="I72" s="36" t="n">
        <v>2.87307754431793</v>
      </c>
      <c r="J72" s="36" t="n">
        <v>2.40944700807351</v>
      </c>
      <c r="K72" s="36" t="n">
        <v>2.86427749724629</v>
      </c>
      <c r="L72" s="36" t="n">
        <v>0.780394446913849</v>
      </c>
      <c r="M72" s="36" t="n">
        <v>1.28211182459417</v>
      </c>
      <c r="N72" s="36" t="n">
        <v>0.811922904248872</v>
      </c>
      <c r="O72" s="36" t="n">
        <v>1.26254021567676</v>
      </c>
      <c r="P72" s="36" t="n">
        <v>5060</v>
      </c>
      <c r="Q72" s="36" t="n">
        <v>10010</v>
      </c>
      <c r="R72" s="36" t="n">
        <v>4909</v>
      </c>
      <c r="S72" s="36" t="n">
        <v>10021</v>
      </c>
      <c r="T72" s="10" t="n">
        <f aca="false">(H72*P72+J72*R72)/(P72+R72)</f>
        <v>2.39458414823629</v>
      </c>
      <c r="U72" s="10" t="n">
        <f aca="false">(I72*Q72+K72*S72)/(Q72+S72)</f>
        <v>2.86867510451438</v>
      </c>
      <c r="V72" s="10" t="n">
        <f aca="false">(H72*P72+I72*Q72+J72*R72+K72*S72)/(P72+Q72+R72+S72)</f>
        <v>2.71113467974317</v>
      </c>
      <c r="W72" s="35" t="n">
        <f aca="false">($U$74-T72)/($U$74)</f>
        <v>0.201806251709382</v>
      </c>
      <c r="X72" s="35" t="n">
        <f aca="false">($U$74-U72)/($U$74)</f>
        <v>0.0437761245572393</v>
      </c>
    </row>
    <row r="73" customFormat="false" ht="12" hidden="false" customHeight="false" outlineLevel="0" collapsed="false">
      <c r="A73" s="0" t="n">
        <v>0.5</v>
      </c>
      <c r="B73" s="0" t="n">
        <v>2</v>
      </c>
      <c r="C73" s="0" t="n">
        <v>2</v>
      </c>
      <c r="D73" s="0" t="n">
        <v>0.5</v>
      </c>
      <c r="E73" s="0" t="n">
        <v>-0.15</v>
      </c>
      <c r="F73" s="0" t="n">
        <v>0</v>
      </c>
      <c r="G73" s="0" t="n">
        <v>0.17</v>
      </c>
      <c r="H73" s="36" t="n">
        <v>2.36211758375413</v>
      </c>
      <c r="I73" s="36" t="n">
        <v>2.94975664954999</v>
      </c>
      <c r="J73" s="36" t="n">
        <v>2.35363445850186</v>
      </c>
      <c r="K73" s="36" t="n">
        <v>2.88390879513505</v>
      </c>
      <c r="L73" s="36" t="n">
        <v>0.76337021506796</v>
      </c>
      <c r="M73" s="36" t="n">
        <v>1.41885396170055</v>
      </c>
      <c r="N73" s="36" t="n">
        <v>0.767373941582265</v>
      </c>
      <c r="O73" s="36" t="n">
        <v>1.31031430603254</v>
      </c>
      <c r="P73" s="36" t="n">
        <v>2590</v>
      </c>
      <c r="Q73" s="36" t="n">
        <v>12356</v>
      </c>
      <c r="R73" s="36" t="n">
        <v>2583</v>
      </c>
      <c r="S73" s="36" t="n">
        <v>12471</v>
      </c>
      <c r="T73" s="10" t="n">
        <f aca="false">(H73*P73+J73*R73)/(P73+R73)</f>
        <v>2.3578817607256</v>
      </c>
      <c r="U73" s="10" t="n">
        <f aca="false">(I73*Q73+K73*S73)/(Q73+S73)</f>
        <v>2.91668021693998</v>
      </c>
      <c r="V73" s="10" t="n">
        <f aca="false">(H73*P73+I73*Q73+J73*R73+K73*S73)/(P73+Q73+R73+S73)</f>
        <v>2.82032473647341</v>
      </c>
      <c r="W73" s="35" t="n">
        <f aca="false">($U$74-T73)/($U$74)</f>
        <v>0.214040366046085</v>
      </c>
      <c r="X73" s="35" t="n">
        <f aca="false">($U$74-U73)/($U$74)</f>
        <v>0.027774439816978</v>
      </c>
    </row>
    <row r="74" customFormat="false" ht="12" hidden="false" customHeight="false" outlineLevel="0" collapsed="false">
      <c r="A74" s="0" t="n">
        <v>0.5</v>
      </c>
      <c r="B74" s="0" t="n">
        <v>2</v>
      </c>
      <c r="C74" s="0" t="n">
        <v>2</v>
      </c>
      <c r="D74" s="0" t="n">
        <v>0.5</v>
      </c>
      <c r="E74" s="0" t="n">
        <v>-0.15</v>
      </c>
      <c r="F74" s="0" t="n">
        <v>0</v>
      </c>
      <c r="G74" s="0" t="n">
        <v>0</v>
      </c>
      <c r="H74" s="36" t="n">
        <v>0</v>
      </c>
      <c r="I74" s="36" t="n">
        <v>3.00173812050841</v>
      </c>
      <c r="J74" s="36" t="n">
        <v>0</v>
      </c>
      <c r="K74" s="36" t="n">
        <v>2.99829144284349</v>
      </c>
      <c r="L74" s="36" t="n">
        <v>0</v>
      </c>
      <c r="M74" s="36" t="n">
        <v>1.48537206786739</v>
      </c>
      <c r="N74" s="36" t="n">
        <v>0</v>
      </c>
      <c r="O74" s="36" t="n">
        <v>1.4909517505774</v>
      </c>
      <c r="P74" s="36" t="n">
        <v>0</v>
      </c>
      <c r="Q74" s="36" t="n">
        <v>14903</v>
      </c>
      <c r="R74" s="36" t="n">
        <v>0</v>
      </c>
      <c r="S74" s="36" t="n">
        <v>15097</v>
      </c>
      <c r="T74" s="10" t="s">
        <v>31</v>
      </c>
      <c r="U74" s="10" t="n">
        <f aca="false">(I74*Q74+K74*S74)/(Q74+S74)</f>
        <v>3.00000363741817</v>
      </c>
      <c r="V74" s="10" t="n">
        <f aca="false">(H74*P74+I74*Q74+J74*R74+K74*S74)/(P74+Q74+R74+S74)</f>
        <v>3.00000363741817</v>
      </c>
      <c r="W74" s="35" t="s">
        <v>31</v>
      </c>
      <c r="X74" s="35"/>
    </row>
    <row r="75" customFormat="false" ht="12" hidden="false" customHeight="false" outlineLevel="0" collapsed="false">
      <c r="A75" s="0" t="n">
        <v>0.95</v>
      </c>
      <c r="B75" s="0" t="n">
        <v>2</v>
      </c>
      <c r="C75" s="0" t="n">
        <v>2</v>
      </c>
      <c r="D75" s="0" t="n">
        <v>0.5</v>
      </c>
      <c r="E75" s="0" t="n">
        <v>-0.15</v>
      </c>
      <c r="F75" s="0" t="n">
        <v>0</v>
      </c>
      <c r="G75" s="0" t="n">
        <v>1</v>
      </c>
      <c r="H75" s="36" t="n">
        <v>10.4400898267636</v>
      </c>
      <c r="I75" s="36" t="n">
        <v>0</v>
      </c>
      <c r="J75" s="36" t="n">
        <v>10.4706514047384</v>
      </c>
      <c r="K75" s="36" t="n">
        <v>0</v>
      </c>
      <c r="L75" s="36" t="n">
        <v>6.44253558909984</v>
      </c>
      <c r="M75" s="36" t="n">
        <v>0</v>
      </c>
      <c r="N75" s="36" t="n">
        <v>6.47335724360121</v>
      </c>
      <c r="O75" s="36" t="n">
        <v>0</v>
      </c>
      <c r="P75" s="36" t="n">
        <v>15043</v>
      </c>
      <c r="Q75" s="36" t="n">
        <v>0</v>
      </c>
      <c r="R75" s="36" t="n">
        <v>14957</v>
      </c>
      <c r="S75" s="36" t="n">
        <v>0</v>
      </c>
      <c r="T75" s="10" t="n">
        <f aca="false">(H75*P75+J75*R75)/(P75+R75)</f>
        <v>10.4553268108226</v>
      </c>
      <c r="U75" s="10" t="s">
        <v>31</v>
      </c>
      <c r="V75" s="10" t="n">
        <f aca="false">(H75*P75+I75*Q75+J75*R75+K75*S75)/(P75+Q75+R75+S75)</f>
        <v>10.4553268108226</v>
      </c>
      <c r="W75" s="35" t="n">
        <f aca="false">($U$81-T75)/($U$81)</f>
        <v>0.23247378631406</v>
      </c>
      <c r="X75" s="35" t="s">
        <v>31</v>
      </c>
    </row>
    <row r="76" customFormat="false" ht="12" hidden="false" customHeight="false" outlineLevel="0" collapsed="false">
      <c r="A76" s="0" t="n">
        <v>0.95</v>
      </c>
      <c r="B76" s="0" t="n">
        <v>2</v>
      </c>
      <c r="C76" s="0" t="n">
        <v>2</v>
      </c>
      <c r="D76" s="0" t="n">
        <v>0.5</v>
      </c>
      <c r="E76" s="0" t="n">
        <v>-0.15</v>
      </c>
      <c r="F76" s="0" t="n">
        <v>0</v>
      </c>
      <c r="G76" s="0" t="n">
        <v>0.83</v>
      </c>
      <c r="H76" s="36" t="n">
        <v>11.3216069005468</v>
      </c>
      <c r="I76" s="36" t="n">
        <v>11.9365233858848</v>
      </c>
      <c r="J76" s="36" t="n">
        <v>11.3059941223472</v>
      </c>
      <c r="K76" s="36" t="n">
        <v>12.0397105946732</v>
      </c>
      <c r="L76" s="36" t="n">
        <v>6.73220991834802</v>
      </c>
      <c r="M76" s="36" t="n">
        <v>6.67450663656052</v>
      </c>
      <c r="N76" s="36" t="n">
        <v>6.77600093888457</v>
      </c>
      <c r="O76" s="36" t="n">
        <v>6.62925605873737</v>
      </c>
      <c r="P76" s="36" t="n">
        <v>12511</v>
      </c>
      <c r="Q76" s="36" t="n">
        <v>2487</v>
      </c>
      <c r="R76" s="36" t="n">
        <v>12530</v>
      </c>
      <c r="S76" s="36" t="n">
        <v>2472</v>
      </c>
      <c r="T76" s="10" t="n">
        <f aca="false">(H76*P76+J76*R76)/(P76+R76)</f>
        <v>11.3137945883053</v>
      </c>
      <c r="U76" s="10" t="n">
        <f aca="false">(I76*Q76+K76*S76)/(Q76+S76)</f>
        <v>11.9879609297696</v>
      </c>
      <c r="V76" s="10" t="n">
        <f aca="false">(H76*P76+I76*Q76+J76*R76+K76*S76)/(P76+Q76+R76+S76)</f>
        <v>11.4252342845493</v>
      </c>
      <c r="W76" s="35" t="n">
        <f aca="false">($U$81-T76)/($U$81)</f>
        <v>0.169453611551028</v>
      </c>
      <c r="X76" s="35" t="n">
        <f aca="false">($U$81-U76)/($U$81)</f>
        <v>0.119963017060664</v>
      </c>
    </row>
    <row r="77" customFormat="false" ht="12" hidden="false" customHeight="false" outlineLevel="0" collapsed="false">
      <c r="A77" s="0" t="n">
        <v>0.95</v>
      </c>
      <c r="B77" s="0" t="n">
        <v>2</v>
      </c>
      <c r="C77" s="0" t="n">
        <v>2</v>
      </c>
      <c r="D77" s="0" t="n">
        <v>0.5</v>
      </c>
      <c r="E77" s="0" t="n">
        <v>-0.15</v>
      </c>
      <c r="F77" s="0" t="n">
        <v>0</v>
      </c>
      <c r="G77" s="0" t="n">
        <v>0.67</v>
      </c>
      <c r="H77" s="36" t="n">
        <v>9.74931463834389</v>
      </c>
      <c r="I77" s="36" t="n">
        <v>10.6662400763207</v>
      </c>
      <c r="J77" s="36" t="n">
        <v>9.93116108751235</v>
      </c>
      <c r="K77" s="36" t="n">
        <v>10.312921500216</v>
      </c>
      <c r="L77" s="36" t="n">
        <v>6.05569178102137</v>
      </c>
      <c r="M77" s="36" t="n">
        <v>6.26378871601914</v>
      </c>
      <c r="N77" s="36" t="n">
        <v>6.1428330680918</v>
      </c>
      <c r="O77" s="36" t="n">
        <v>6.06670134036351</v>
      </c>
      <c r="P77" s="36" t="n">
        <v>10027</v>
      </c>
      <c r="Q77" s="36" t="n">
        <v>4993</v>
      </c>
      <c r="R77" s="36" t="n">
        <v>10040</v>
      </c>
      <c r="S77" s="36" t="n">
        <v>4940</v>
      </c>
      <c r="T77" s="10" t="n">
        <f aca="false">(H77*P77+J77*R77)/(P77+R77)</f>
        <v>9.84029676569982</v>
      </c>
      <c r="U77" s="10" t="n">
        <f aca="false">(I77*Q77+K77*S77)/(Q77+S77)</f>
        <v>10.4905233979801</v>
      </c>
      <c r="V77" s="10" t="n">
        <f aca="false">(H77*P77+I77*Q77+J77*R77+K77*S77)/(P77+Q77+R77+S77)</f>
        <v>10.0555868036478</v>
      </c>
      <c r="W77" s="35" t="n">
        <f aca="false">($U$81-T77)/($U$81)</f>
        <v>0.277623181486245</v>
      </c>
      <c r="X77" s="35" t="n">
        <f aca="false">($U$81-U77)/($U$81)</f>
        <v>0.229890002586926</v>
      </c>
    </row>
    <row r="78" customFormat="false" ht="12" hidden="false" customHeight="false" outlineLevel="0" collapsed="false">
      <c r="A78" s="0" t="n">
        <v>0.95</v>
      </c>
      <c r="B78" s="0" t="n">
        <v>2</v>
      </c>
      <c r="C78" s="0" t="n">
        <v>2</v>
      </c>
      <c r="D78" s="0" t="n">
        <v>0.5</v>
      </c>
      <c r="E78" s="0" t="n">
        <v>-0.15</v>
      </c>
      <c r="F78" s="0" t="n">
        <v>0</v>
      </c>
      <c r="G78" s="0" t="n">
        <v>0.5</v>
      </c>
      <c r="H78" s="36" t="n">
        <v>8.86265229965775</v>
      </c>
      <c r="I78" s="36" t="n">
        <v>9.76165925016087</v>
      </c>
      <c r="J78" s="36" t="n">
        <v>8.95369496748617</v>
      </c>
      <c r="K78" s="36" t="n">
        <v>9.75212445983988</v>
      </c>
      <c r="L78" s="36" t="n">
        <v>6.00037974994808</v>
      </c>
      <c r="M78" s="36" t="n">
        <v>6.13407187706444</v>
      </c>
      <c r="N78" s="36" t="n">
        <v>6.04088491964654</v>
      </c>
      <c r="O78" s="36" t="n">
        <v>6.08984611042575</v>
      </c>
      <c r="P78" s="36" t="n">
        <v>7472</v>
      </c>
      <c r="Q78" s="36" t="n">
        <v>7527</v>
      </c>
      <c r="R78" s="36" t="n">
        <v>7507</v>
      </c>
      <c r="S78" s="36" t="n">
        <v>7494</v>
      </c>
      <c r="T78" s="10" t="n">
        <f aca="false">(H78*P78+J78*R78)/(P78+R78)</f>
        <v>8.90827999892926</v>
      </c>
      <c r="U78" s="10" t="n">
        <f aca="false">(I78*Q78+K78*S78)/(Q78+S78)</f>
        <v>9.75690232860668</v>
      </c>
      <c r="V78" s="10" t="n">
        <f aca="false">(H78*P78+I78*Q78+J78*R78+K78*S78)/(P78+Q78+R78+S78)</f>
        <v>9.33318519939875</v>
      </c>
      <c r="W78" s="35" t="n">
        <f aca="false">($U$81-T78)/($U$81)</f>
        <v>0.34604259228369</v>
      </c>
      <c r="X78" s="35" t="n">
        <f aca="false">($U$81-U78)/($U$81)</f>
        <v>0.283745172477316</v>
      </c>
    </row>
    <row r="79" customFormat="false" ht="12" hidden="false" customHeight="false" outlineLevel="0" collapsed="false">
      <c r="A79" s="0" t="n">
        <v>0.95</v>
      </c>
      <c r="B79" s="0" t="n">
        <v>2</v>
      </c>
      <c r="C79" s="0" t="n">
        <v>2</v>
      </c>
      <c r="D79" s="0" t="n">
        <v>0.5</v>
      </c>
      <c r="E79" s="0" t="n">
        <v>-0.15</v>
      </c>
      <c r="F79" s="0" t="n">
        <v>0</v>
      </c>
      <c r="G79" s="0" t="n">
        <v>0.33</v>
      </c>
      <c r="H79" s="36" t="n">
        <v>9.1191369648984</v>
      </c>
      <c r="I79" s="36" t="n">
        <v>10.4836612215682</v>
      </c>
      <c r="J79" s="36" t="n">
        <v>9.09011047051333</v>
      </c>
      <c r="K79" s="36" t="n">
        <v>10.3225962650555</v>
      </c>
      <c r="L79" s="36" t="n">
        <v>5.8693534376554</v>
      </c>
      <c r="M79" s="36" t="n">
        <v>6.2112575563399</v>
      </c>
      <c r="N79" s="36" t="n">
        <v>5.74666461566336</v>
      </c>
      <c r="O79" s="36" t="n">
        <v>6.08130802751561</v>
      </c>
      <c r="P79" s="36" t="n">
        <v>4909</v>
      </c>
      <c r="Q79" s="36" t="n">
        <v>10083</v>
      </c>
      <c r="R79" s="36" t="n">
        <v>4927</v>
      </c>
      <c r="S79" s="36" t="n">
        <v>10081</v>
      </c>
      <c r="T79" s="10" t="n">
        <f aca="false">(H79*P79+J79*R79)/(P79+R79)</f>
        <v>9.10459715828644</v>
      </c>
      <c r="U79" s="10" t="n">
        <f aca="false">(I79*Q79+K79*S79)/(Q79+S79)</f>
        <v>10.4031367310602</v>
      </c>
      <c r="V79" s="10" t="n">
        <f aca="false">(H79*P79+I79*Q79+J79*R79+K79*S79)/(P79+Q79+R79+S79)</f>
        <v>9.9773888898001</v>
      </c>
      <c r="W79" s="35" t="n">
        <f aca="false">($U$81-T79)/($U$81)</f>
        <v>0.331630936987844</v>
      </c>
      <c r="X79" s="35" t="n">
        <f aca="false">($U$81-U79)/($U$81)</f>
        <v>0.236305063426368</v>
      </c>
    </row>
    <row r="80" customFormat="false" ht="12" hidden="false" customHeight="false" outlineLevel="0" collapsed="false">
      <c r="A80" s="0" t="n">
        <v>0.95</v>
      </c>
      <c r="B80" s="0" t="n">
        <v>2</v>
      </c>
      <c r="C80" s="0" t="n">
        <v>2</v>
      </c>
      <c r="D80" s="0" t="n">
        <v>0.5</v>
      </c>
      <c r="E80" s="0" t="n">
        <v>-0.15</v>
      </c>
      <c r="F80" s="0" t="n">
        <v>0</v>
      </c>
      <c r="G80" s="0" t="n">
        <v>0.17</v>
      </c>
      <c r="H80" s="36" t="n">
        <v>9.58233773192499</v>
      </c>
      <c r="I80" s="36" t="n">
        <v>11.5731399376793</v>
      </c>
      <c r="J80" s="36" t="n">
        <v>9.37807070668729</v>
      </c>
      <c r="K80" s="36" t="n">
        <v>11.6032882322828</v>
      </c>
      <c r="L80" s="36" t="n">
        <v>6.01591896246897</v>
      </c>
      <c r="M80" s="36" t="n">
        <v>6.91506853426749</v>
      </c>
      <c r="N80" s="36" t="n">
        <v>6.0588824886481</v>
      </c>
      <c r="O80" s="36" t="n">
        <v>6.87738897911775</v>
      </c>
      <c r="P80" s="36" t="n">
        <v>2601</v>
      </c>
      <c r="Q80" s="36" t="n">
        <v>12404</v>
      </c>
      <c r="R80" s="36" t="n">
        <v>2515</v>
      </c>
      <c r="S80" s="36" t="n">
        <v>12480</v>
      </c>
      <c r="T80" s="10" t="n">
        <f aca="false">(H80*P80+J80*R80)/(P80+R80)</f>
        <v>9.4819210844518</v>
      </c>
      <c r="U80" s="10" t="n">
        <f aca="false">(I80*Q80+K80*S80)/(Q80+S80)</f>
        <v>11.58826012401</v>
      </c>
      <c r="V80" s="10" t="n">
        <f aca="false">(H80*P80+I80*Q80+J80*R80+K80*S80)/(P80+Q80+R80+S80)</f>
        <v>11.229059106464</v>
      </c>
      <c r="W80" s="35" t="n">
        <f aca="false">($U$81-T80)/($U$81)</f>
        <v>0.303931563297962</v>
      </c>
      <c r="X80" s="35" t="n">
        <f aca="false">($U$81-U80)/($U$81)</f>
        <v>0.14930507892088</v>
      </c>
    </row>
    <row r="81" customFormat="false" ht="12" hidden="false" customHeight="false" outlineLevel="0" collapsed="false">
      <c r="A81" s="0" t="n">
        <v>0.95</v>
      </c>
      <c r="B81" s="0" t="n">
        <v>2</v>
      </c>
      <c r="C81" s="0" t="n">
        <v>2</v>
      </c>
      <c r="D81" s="0" t="n">
        <v>0.5</v>
      </c>
      <c r="E81" s="0" t="n">
        <v>-0.15</v>
      </c>
      <c r="F81" s="0" t="n">
        <v>0</v>
      </c>
      <c r="G81" s="0" t="n">
        <v>0</v>
      </c>
      <c r="H81" s="36" t="n">
        <v>0</v>
      </c>
      <c r="I81" s="36" t="n">
        <v>14.9351318152284</v>
      </c>
      <c r="J81" s="36" t="n">
        <v>0</v>
      </c>
      <c r="K81" s="36" t="n">
        <v>12.281848592367</v>
      </c>
      <c r="L81" s="36" t="n">
        <v>0</v>
      </c>
      <c r="M81" s="36" t="n">
        <v>9.32908441470285</v>
      </c>
      <c r="N81" s="36" t="n">
        <v>0</v>
      </c>
      <c r="O81" s="36" t="n">
        <v>7.79351393458092</v>
      </c>
      <c r="P81" s="36" t="n">
        <v>0</v>
      </c>
      <c r="Q81" s="36" t="n">
        <v>15154</v>
      </c>
      <c r="R81" s="36" t="n">
        <v>0</v>
      </c>
      <c r="S81" s="36" t="n">
        <v>14846</v>
      </c>
      <c r="T81" s="10" t="s">
        <v>31</v>
      </c>
      <c r="U81" s="10" t="n">
        <f aca="false">(I81*Q81+K81*S81)/(Q81+S81)</f>
        <v>13.6221103910084</v>
      </c>
      <c r="V81" s="10" t="n">
        <f aca="false">(H81*P81+I81*Q81+J81*R81+K81*S81)/(P81+Q81+R81+S81)</f>
        <v>13.6221103910084</v>
      </c>
      <c r="W81" s="35" t="s">
        <v>31</v>
      </c>
      <c r="X81" s="35"/>
    </row>
    <row r="82" customFormat="false" ht="12" hidden="false" customHeight="false" outlineLevel="0" collapsed="false">
      <c r="A82" s="0" t="n">
        <v>0.67</v>
      </c>
      <c r="B82" s="0" t="n">
        <v>2</v>
      </c>
      <c r="C82" s="0" t="n">
        <v>2</v>
      </c>
      <c r="D82" s="0" t="n">
        <v>0.5</v>
      </c>
      <c r="E82" s="0" t="n">
        <v>-0.15</v>
      </c>
      <c r="F82" s="0" t="n">
        <v>0</v>
      </c>
      <c r="G82" s="0" t="n">
        <v>1</v>
      </c>
      <c r="H82" s="36" t="n">
        <v>2.907590342649</v>
      </c>
      <c r="I82" s="36" t="n">
        <v>0</v>
      </c>
      <c r="J82" s="36" t="n">
        <v>2.88718543085351</v>
      </c>
      <c r="K82" s="36" t="n">
        <v>0</v>
      </c>
      <c r="L82" s="36" t="n">
        <v>1.2940846104938</v>
      </c>
      <c r="M82" s="36" t="n">
        <v>0</v>
      </c>
      <c r="N82" s="36" t="n">
        <v>1.27924760215709</v>
      </c>
      <c r="O82" s="36" t="n">
        <v>0</v>
      </c>
      <c r="P82" s="36" t="n">
        <v>14969</v>
      </c>
      <c r="Q82" s="36" t="n">
        <v>0</v>
      </c>
      <c r="R82" s="36" t="n">
        <v>15031</v>
      </c>
      <c r="S82" s="36" t="n">
        <v>0</v>
      </c>
      <c r="T82" s="10" t="n">
        <f aca="false">(H82*P82+J82*R82)/(P82+R82)</f>
        <v>2.89736680167573</v>
      </c>
      <c r="U82" s="10" t="s">
        <v>31</v>
      </c>
      <c r="V82" s="10" t="n">
        <f aca="false">(H82*P82+I82*Q82+J82*R82+K82*S82)/(P82+Q82+R82+S82)</f>
        <v>2.89736680167573</v>
      </c>
      <c r="W82" s="35" t="n">
        <f aca="false">($U$88-T82)/($U$88)</f>
        <v>0.292631113863265</v>
      </c>
      <c r="X82" s="35" t="s">
        <v>31</v>
      </c>
    </row>
    <row r="83" customFormat="false" ht="12" hidden="false" customHeight="false" outlineLevel="0" collapsed="false">
      <c r="A83" s="0" t="n">
        <v>0.67</v>
      </c>
      <c r="B83" s="0" t="n">
        <v>2</v>
      </c>
      <c r="C83" s="0" t="n">
        <v>2</v>
      </c>
      <c r="D83" s="0" t="n">
        <v>0.5</v>
      </c>
      <c r="E83" s="0" t="n">
        <v>-0.15</v>
      </c>
      <c r="F83" s="0" t="n">
        <v>0</v>
      </c>
      <c r="G83" s="0" t="n">
        <v>0.83</v>
      </c>
      <c r="H83" s="36" t="n">
        <v>2.93407432163512</v>
      </c>
      <c r="I83" s="36" t="n">
        <v>3.34521127287096</v>
      </c>
      <c r="J83" s="36" t="n">
        <v>2.92715208469282</v>
      </c>
      <c r="K83" s="36" t="n">
        <v>3.32041188207361</v>
      </c>
      <c r="L83" s="36" t="n">
        <v>1.33524676232656</v>
      </c>
      <c r="M83" s="36" t="n">
        <v>1.51985436867092</v>
      </c>
      <c r="N83" s="36" t="n">
        <v>1.32689895733508</v>
      </c>
      <c r="O83" s="36" t="n">
        <v>1.50007956826088</v>
      </c>
      <c r="P83" s="36" t="n">
        <v>12448</v>
      </c>
      <c r="Q83" s="36" t="n">
        <v>2599</v>
      </c>
      <c r="R83" s="36" t="n">
        <v>12433</v>
      </c>
      <c r="S83" s="36" t="n">
        <v>2520</v>
      </c>
      <c r="T83" s="10" t="n">
        <f aca="false">(H83*P83+J83*R83)/(P83+R83)</f>
        <v>2.93061528976728</v>
      </c>
      <c r="U83" s="10" t="n">
        <f aca="false">(I83*Q83+K83*S83)/(Q83+S83)</f>
        <v>3.33300293827254</v>
      </c>
      <c r="V83" s="10" t="n">
        <f aca="false">(H83*P83+I83*Q83+J83*R83+K83*S83)/(P83+Q83+R83+S83)</f>
        <v>2.9992760355239</v>
      </c>
      <c r="W83" s="35" t="n">
        <f aca="false">($U$88-T83)/($U$88)</f>
        <v>0.284513761937561</v>
      </c>
      <c r="X83" s="35" t="n">
        <f aca="false">($U$88-U83)/($U$88)</f>
        <v>0.186274042150022</v>
      </c>
    </row>
    <row r="84" customFormat="false" ht="12" hidden="false" customHeight="false" outlineLevel="0" collapsed="false">
      <c r="A84" s="0" t="n">
        <v>0.67</v>
      </c>
      <c r="B84" s="0" t="n">
        <v>2</v>
      </c>
      <c r="C84" s="0" t="n">
        <v>2</v>
      </c>
      <c r="D84" s="0" t="n">
        <v>0.5</v>
      </c>
      <c r="E84" s="0" t="n">
        <v>-0.15</v>
      </c>
      <c r="F84" s="0" t="n">
        <v>0</v>
      </c>
      <c r="G84" s="0" t="n">
        <v>0.67</v>
      </c>
      <c r="H84" s="36" t="n">
        <v>2.98045159989046</v>
      </c>
      <c r="I84" s="36" t="n">
        <v>3.44036011148591</v>
      </c>
      <c r="J84" s="36" t="n">
        <v>2.97104654013565</v>
      </c>
      <c r="K84" s="36" t="n">
        <v>3.43233161590671</v>
      </c>
      <c r="L84" s="36" t="n">
        <v>1.43236819344457</v>
      </c>
      <c r="M84" s="36" t="n">
        <v>1.6335748255151</v>
      </c>
      <c r="N84" s="36" t="n">
        <v>1.40216418036442</v>
      </c>
      <c r="O84" s="36" t="n">
        <v>1.61950694353001</v>
      </c>
      <c r="P84" s="36" t="n">
        <v>10048</v>
      </c>
      <c r="Q84" s="36" t="n">
        <v>4929</v>
      </c>
      <c r="R84" s="36" t="n">
        <v>10030</v>
      </c>
      <c r="S84" s="36" t="n">
        <v>4993</v>
      </c>
      <c r="T84" s="10" t="n">
        <f aca="false">(H84*P84+J84*R84)/(P84+R84)</f>
        <v>2.97575328584818</v>
      </c>
      <c r="U84" s="10" t="n">
        <f aca="false">(I84*Q84+K84*S84)/(Q84+S84)</f>
        <v>3.43631997054387</v>
      </c>
      <c r="V84" s="10" t="n">
        <f aca="false">(H84*P84+I84*Q84+J84*R84+K84*S84)/(P84+Q84+R84+S84)</f>
        <v>3.12807804069987</v>
      </c>
      <c r="W84" s="35" t="n">
        <f aca="false">($U$88-T84)/($U$88)</f>
        <v>0.273493681914651</v>
      </c>
      <c r="X84" s="35" t="n">
        <f aca="false">($U$88-U84)/($U$88)</f>
        <v>0.161050016667831</v>
      </c>
    </row>
    <row r="85" customFormat="false" ht="12" hidden="false" customHeight="false" outlineLevel="0" collapsed="false">
      <c r="A85" s="0" t="n">
        <v>0.67</v>
      </c>
      <c r="B85" s="0" t="n">
        <v>2</v>
      </c>
      <c r="C85" s="0" t="n">
        <v>2</v>
      </c>
      <c r="D85" s="0" t="n">
        <v>0.5</v>
      </c>
      <c r="E85" s="0" t="n">
        <v>-0.15</v>
      </c>
      <c r="F85" s="0" t="n">
        <v>0</v>
      </c>
      <c r="G85" s="0" t="n">
        <v>0.5</v>
      </c>
      <c r="H85" s="36" t="n">
        <v>2.91702661175839</v>
      </c>
      <c r="I85" s="36" t="n">
        <v>3.49624390301309</v>
      </c>
      <c r="J85" s="36" t="n">
        <v>2.921179230373</v>
      </c>
      <c r="K85" s="36" t="n">
        <v>3.49446891260136</v>
      </c>
      <c r="L85" s="36" t="n">
        <v>1.36679098600733</v>
      </c>
      <c r="M85" s="36" t="n">
        <v>1.72262800675935</v>
      </c>
      <c r="N85" s="36" t="n">
        <v>1.35902121917144</v>
      </c>
      <c r="O85" s="36" t="n">
        <v>1.70196805502169</v>
      </c>
      <c r="P85" s="36" t="n">
        <v>7488</v>
      </c>
      <c r="Q85" s="36" t="n">
        <v>7514</v>
      </c>
      <c r="R85" s="36" t="n">
        <v>7543</v>
      </c>
      <c r="S85" s="36" t="n">
        <v>7455</v>
      </c>
      <c r="T85" s="10" t="n">
        <f aca="false">(H85*P85+J85*R85)/(P85+R85)</f>
        <v>2.91911051849846</v>
      </c>
      <c r="U85" s="10" t="n">
        <f aca="false">(I85*Q85+K85*S85)/(Q85+S85)</f>
        <v>3.49535990585099</v>
      </c>
      <c r="V85" s="10" t="n">
        <f aca="false">(H85*P85+I85*Q85+J85*R85+K85*S85)/(P85+Q85+R85+S85)</f>
        <v>3.20663975447446</v>
      </c>
      <c r="W85" s="35" t="n">
        <f aca="false">($U$88-T85)/($U$88)</f>
        <v>0.287322559647598</v>
      </c>
      <c r="X85" s="35" t="n">
        <f aca="false">($U$88-U85)/($U$88)</f>
        <v>0.146635889588156</v>
      </c>
    </row>
    <row r="86" customFormat="false" ht="12" hidden="false" customHeight="false" outlineLevel="0" collapsed="false">
      <c r="A86" s="0" t="n">
        <v>0.67</v>
      </c>
      <c r="B86" s="0" t="n">
        <v>2</v>
      </c>
      <c r="C86" s="0" t="n">
        <v>2</v>
      </c>
      <c r="D86" s="0" t="n">
        <v>0.5</v>
      </c>
      <c r="E86" s="0" t="n">
        <v>-0.15</v>
      </c>
      <c r="F86" s="0" t="n">
        <v>0</v>
      </c>
      <c r="G86" s="0" t="n">
        <v>0.33</v>
      </c>
      <c r="H86" s="36" t="n">
        <v>2.86461879604861</v>
      </c>
      <c r="I86" s="36" t="n">
        <v>3.61622500245421</v>
      </c>
      <c r="J86" s="36" t="n">
        <v>2.86892245112638</v>
      </c>
      <c r="K86" s="36" t="n">
        <v>3.59000929131761</v>
      </c>
      <c r="L86" s="36" t="n">
        <v>1.27604464899813</v>
      </c>
      <c r="M86" s="36" t="n">
        <v>1.84262307011313</v>
      </c>
      <c r="N86" s="36" t="n">
        <v>1.27807989272566</v>
      </c>
      <c r="O86" s="36" t="n">
        <v>1.81316231238915</v>
      </c>
      <c r="P86" s="36" t="n">
        <v>5041</v>
      </c>
      <c r="Q86" s="36" t="n">
        <v>9900</v>
      </c>
      <c r="R86" s="36" t="n">
        <v>4981</v>
      </c>
      <c r="S86" s="36" t="n">
        <v>10078</v>
      </c>
      <c r="T86" s="10" t="n">
        <f aca="false">(H86*P86+J86*R86)/(P86+R86)</f>
        <v>2.86675774096403</v>
      </c>
      <c r="U86" s="10" t="n">
        <f aca="false">(I86*Q86+K86*S86)/(Q86+S86)</f>
        <v>3.60300035850413</v>
      </c>
      <c r="V86" s="10" t="n">
        <f aca="false">(H86*P86+I86*Q86+J86*R86+K86*S86)/(P86+Q86+R86+S86)</f>
        <v>3.35704624140457</v>
      </c>
      <c r="W86" s="35" t="n">
        <f aca="false">($U$88-T86)/($U$88)</f>
        <v>0.300104070745633</v>
      </c>
      <c r="X86" s="35" t="n">
        <f aca="false">($U$88-U86)/($U$88)</f>
        <v>0.120356335666137</v>
      </c>
    </row>
    <row r="87" customFormat="false" ht="12" hidden="false" customHeight="false" outlineLevel="0" collapsed="false">
      <c r="A87" s="0" t="n">
        <v>0.67</v>
      </c>
      <c r="B87" s="0" t="n">
        <v>2</v>
      </c>
      <c r="C87" s="0" t="n">
        <v>2</v>
      </c>
      <c r="D87" s="0" t="n">
        <v>0.5</v>
      </c>
      <c r="E87" s="0" t="n">
        <v>-0.15</v>
      </c>
      <c r="F87" s="0" t="n">
        <v>0</v>
      </c>
      <c r="G87" s="0" t="n">
        <v>0.17</v>
      </c>
      <c r="H87" s="36" t="n">
        <v>2.84848947275832</v>
      </c>
      <c r="I87" s="36" t="n">
        <v>3.70020688998666</v>
      </c>
      <c r="J87" s="36" t="n">
        <v>2.83701555725582</v>
      </c>
      <c r="K87" s="36" t="n">
        <v>3.78735824656292</v>
      </c>
      <c r="L87" s="36" t="n">
        <v>1.28303349751023</v>
      </c>
      <c r="M87" s="36" t="n">
        <v>2.00095074961359</v>
      </c>
      <c r="N87" s="36" t="n">
        <v>1.26244681092799</v>
      </c>
      <c r="O87" s="36" t="n">
        <v>2.15134391084601</v>
      </c>
      <c r="P87" s="36" t="n">
        <v>2612</v>
      </c>
      <c r="Q87" s="36" t="n">
        <v>12357</v>
      </c>
      <c r="R87" s="36" t="n">
        <v>2577</v>
      </c>
      <c r="S87" s="36" t="n">
        <v>12454</v>
      </c>
      <c r="T87" s="10" t="n">
        <f aca="false">(H87*P87+J87*R87)/(P87+R87)</f>
        <v>2.8427912110027</v>
      </c>
      <c r="U87" s="10" t="n">
        <f aca="false">(I87*Q87+K87*S87)/(Q87+S87)</f>
        <v>3.74395292983998</v>
      </c>
      <c r="V87" s="10" t="n">
        <f aca="false">(H87*P87+I87*Q87+J87*R87+K87*S87)/(P87+Q87+R87+S87)</f>
        <v>3.58808199120509</v>
      </c>
      <c r="W87" s="35" t="n">
        <f aca="false">($U$88-T87)/($U$88)</f>
        <v>0.305955306976236</v>
      </c>
      <c r="X87" s="35" t="n">
        <f aca="false">($U$88-U87)/($U$88)</f>
        <v>0.0859438949194969</v>
      </c>
    </row>
    <row r="88" customFormat="false" ht="12" hidden="false" customHeight="false" outlineLevel="0" collapsed="false">
      <c r="A88" s="0" t="n">
        <v>0.67</v>
      </c>
      <c r="B88" s="0" t="n">
        <v>2</v>
      </c>
      <c r="C88" s="0" t="n">
        <v>2</v>
      </c>
      <c r="D88" s="0" t="n">
        <v>0.5</v>
      </c>
      <c r="E88" s="0" t="n">
        <v>-0.15</v>
      </c>
      <c r="F88" s="0" t="n">
        <v>0</v>
      </c>
      <c r="G88" s="0" t="n">
        <v>0</v>
      </c>
      <c r="H88" s="36" t="n">
        <v>0</v>
      </c>
      <c r="I88" s="36" t="n">
        <v>4.14433437329818</v>
      </c>
      <c r="J88" s="36" t="n">
        <v>0</v>
      </c>
      <c r="K88" s="36" t="n">
        <v>4.04673504717704</v>
      </c>
      <c r="L88" s="36" t="n">
        <v>0</v>
      </c>
      <c r="M88" s="36" t="n">
        <v>2.60008008726982</v>
      </c>
      <c r="N88" s="36" t="n">
        <v>0</v>
      </c>
      <c r="O88" s="36" t="n">
        <v>2.50770025791259</v>
      </c>
      <c r="P88" s="36" t="n">
        <v>0</v>
      </c>
      <c r="Q88" s="36" t="n">
        <v>15136</v>
      </c>
      <c r="R88" s="36" t="n">
        <v>0</v>
      </c>
      <c r="S88" s="36" t="n">
        <v>14864</v>
      </c>
      <c r="T88" s="10" t="s">
        <v>31</v>
      </c>
      <c r="U88" s="10" t="n">
        <f aca="false">(I88*Q88+K88*S88)/(Q88+S88)</f>
        <v>4.09597716051603</v>
      </c>
      <c r="V88" s="10" t="n">
        <f aca="false">(H88*P88+I88*Q88+J88*R88+K88*S88)/(P88+Q88+R88+S88)</f>
        <v>4.09597716051603</v>
      </c>
      <c r="W88" s="35" t="s">
        <v>31</v>
      </c>
      <c r="X88" s="35" t="s">
        <v>31</v>
      </c>
    </row>
    <row r="89" customFormat="false" ht="12" hidden="false" customHeight="false" outlineLevel="0" collapsed="false">
      <c r="A89" s="0" t="n">
        <v>1.05</v>
      </c>
      <c r="B89" s="0" t="n">
        <v>2</v>
      </c>
      <c r="C89" s="0" t="n">
        <v>2</v>
      </c>
      <c r="D89" s="0" t="n">
        <v>0.5</v>
      </c>
      <c r="E89" s="0" t="n">
        <v>-0.15</v>
      </c>
      <c r="F89" s="0" t="n">
        <v>0</v>
      </c>
      <c r="G89" s="0" t="n">
        <v>1</v>
      </c>
      <c r="H89" s="37" t="n">
        <v>29.6510523978458</v>
      </c>
      <c r="I89" s="37" t="n">
        <v>0</v>
      </c>
      <c r="J89" s="37" t="n">
        <v>29.6832241082132</v>
      </c>
      <c r="K89" s="37" t="n">
        <v>0</v>
      </c>
      <c r="L89" s="37" t="n">
        <v>16.4420920475255</v>
      </c>
      <c r="M89" s="37" t="n">
        <v>0</v>
      </c>
      <c r="N89" s="37" t="n">
        <v>16.3821277895102</v>
      </c>
      <c r="O89" s="37" t="n">
        <v>0</v>
      </c>
      <c r="P89" s="36" t="n">
        <v>15020</v>
      </c>
      <c r="Q89" s="36" t="n">
        <v>0</v>
      </c>
      <c r="R89" s="36" t="n">
        <v>14980</v>
      </c>
      <c r="S89" s="36" t="n">
        <v>0</v>
      </c>
      <c r="T89" s="10" t="n">
        <f aca="false">(H89*P89+J89*R89)/(P89+R89)</f>
        <v>29.6671168052226</v>
      </c>
      <c r="U89" s="10" t="s">
        <v>31</v>
      </c>
      <c r="V89" s="10" t="n">
        <f aca="false">(H89*P89+I89*Q89+J89*R89+K89*S89)/(P89+Q89+R89+S89)</f>
        <v>29.6671168052226</v>
      </c>
      <c r="W89" s="35" t="n">
        <f aca="false">($U$95-T89)/($U$95)</f>
        <v>0.220797575074859</v>
      </c>
      <c r="X89" s="35"/>
    </row>
    <row r="90" customFormat="false" ht="12" hidden="false" customHeight="false" outlineLevel="0" collapsed="false">
      <c r="A90" s="0" t="n">
        <v>1.05</v>
      </c>
      <c r="B90" s="0" t="n">
        <v>2</v>
      </c>
      <c r="C90" s="0" t="n">
        <v>2</v>
      </c>
      <c r="D90" s="0" t="n">
        <v>0.5</v>
      </c>
      <c r="E90" s="0" t="n">
        <v>-0.15</v>
      </c>
      <c r="F90" s="0" t="n">
        <v>0</v>
      </c>
      <c r="G90" s="0" t="n">
        <v>0.83</v>
      </c>
      <c r="H90" s="37" t="n">
        <v>32.5716626335258</v>
      </c>
      <c r="I90" s="37" t="n">
        <v>33.2469330887476</v>
      </c>
      <c r="J90" s="37" t="n">
        <v>32.576377166826</v>
      </c>
      <c r="K90" s="37" t="n">
        <v>33.2389783267356</v>
      </c>
      <c r="L90" s="37" t="n">
        <v>16.4761592936365</v>
      </c>
      <c r="M90" s="37" t="n">
        <v>16.3466381604107</v>
      </c>
      <c r="N90" s="37" t="n">
        <v>16.4669267665715</v>
      </c>
      <c r="O90" s="37" t="n">
        <v>16.3037885739783</v>
      </c>
      <c r="P90" s="36" t="n">
        <v>12419</v>
      </c>
      <c r="Q90" s="36" t="n">
        <v>2582</v>
      </c>
      <c r="R90" s="36" t="n">
        <v>12426</v>
      </c>
      <c r="S90" s="36" t="n">
        <v>2573</v>
      </c>
      <c r="T90" s="10" t="n">
        <f aca="false">(H90*P90+J90*R90)/(P90+R90)</f>
        <v>32.5740205643283</v>
      </c>
      <c r="U90" s="10" t="n">
        <f aca="false">(I90*Q90+K90*S90)/(Q90+S90)</f>
        <v>33.2429626517628</v>
      </c>
      <c r="V90" s="10" t="n">
        <f aca="false">(H90*P90+I90*Q90+J90*R90+K90*S90)/(P90+Q90+R90+S90)</f>
        <v>32.6889671130191</v>
      </c>
      <c r="W90" s="35" t="n">
        <f aca="false">($U$95-T90)/($U$95)</f>
        <v>0.144448178772203</v>
      </c>
      <c r="X90" s="35" t="n">
        <f aca="false">($U$95-U90)/($U$95)</f>
        <v>0.126878514012205</v>
      </c>
    </row>
    <row r="91" customFormat="false" ht="12" hidden="false" customHeight="false" outlineLevel="0" collapsed="false">
      <c r="A91" s="0" t="n">
        <v>1.05</v>
      </c>
      <c r="B91" s="0" t="n">
        <v>2</v>
      </c>
      <c r="C91" s="0" t="n">
        <v>2</v>
      </c>
      <c r="D91" s="0" t="n">
        <v>0.5</v>
      </c>
      <c r="E91" s="0" t="n">
        <v>-0.15</v>
      </c>
      <c r="F91" s="0" t="n">
        <v>0</v>
      </c>
      <c r="G91" s="0" t="n">
        <v>0.67</v>
      </c>
      <c r="H91" s="37" t="n">
        <v>36.7548198026089</v>
      </c>
      <c r="I91" s="37" t="n">
        <v>37.7973272182178</v>
      </c>
      <c r="J91" s="37" t="n">
        <v>36.94589473204</v>
      </c>
      <c r="K91" s="37" t="n">
        <v>37.4683471461678</v>
      </c>
      <c r="L91" s="37" t="n">
        <v>17.9071079250875</v>
      </c>
      <c r="M91" s="37" t="n">
        <v>18.2038365117442</v>
      </c>
      <c r="N91" s="37" t="n">
        <v>18.1968136996035</v>
      </c>
      <c r="O91" s="37" t="n">
        <v>17.6035299031473</v>
      </c>
      <c r="P91" s="36" t="n">
        <v>10042</v>
      </c>
      <c r="Q91" s="36" t="n">
        <v>4978</v>
      </c>
      <c r="R91" s="36" t="n">
        <v>10056</v>
      </c>
      <c r="S91" s="36" t="n">
        <v>4924</v>
      </c>
      <c r="T91" s="10" t="n">
        <f aca="false">(H91*P91+J91*R91)/(P91+R91)</f>
        <v>36.8504238174541</v>
      </c>
      <c r="U91" s="10" t="n">
        <f aca="false">(I91*Q91+K91*S91)/(Q91+S91)</f>
        <v>37.6337342193515</v>
      </c>
      <c r="V91" s="10" t="n">
        <f aca="false">(H91*P91+I91*Q91+J91*R91+K91*S91)/(P91+Q91+R91+S91)</f>
        <v>37.1089684707737</v>
      </c>
      <c r="W91" s="35" t="n">
        <f aca="false">($U$95-T91)/($U$95)</f>
        <v>0.0321290812788185</v>
      </c>
      <c r="X91" s="35" t="n">
        <f aca="false">($U$95-U91)/($U$95)</f>
        <v>0.0115555496938387</v>
      </c>
    </row>
    <row r="92" customFormat="false" ht="12" hidden="false" customHeight="false" outlineLevel="0" collapsed="false">
      <c r="A92" s="0" t="n">
        <v>1.05</v>
      </c>
      <c r="B92" s="0" t="n">
        <v>2</v>
      </c>
      <c r="C92" s="0" t="n">
        <v>2</v>
      </c>
      <c r="D92" s="0" t="n">
        <v>0.5</v>
      </c>
      <c r="E92" s="0" t="n">
        <v>-0.15</v>
      </c>
      <c r="F92" s="0" t="n">
        <v>0</v>
      </c>
      <c r="G92" s="0" t="n">
        <v>0.5</v>
      </c>
      <c r="H92" s="37" t="n">
        <v>29.1984172314046</v>
      </c>
      <c r="I92" s="37" t="n">
        <v>30.3849325830802</v>
      </c>
      <c r="J92" s="37" t="n">
        <v>29.1394759442446</v>
      </c>
      <c r="K92" s="37" t="n">
        <v>30.5093480114185</v>
      </c>
      <c r="L92" s="37" t="n">
        <v>14.5533275822398</v>
      </c>
      <c r="M92" s="37" t="n">
        <v>15.0542307465541</v>
      </c>
      <c r="N92" s="37" t="n">
        <v>14.7967081115848</v>
      </c>
      <c r="O92" s="37" t="n">
        <v>14.9254599925936</v>
      </c>
      <c r="P92" s="36" t="n">
        <v>7328</v>
      </c>
      <c r="Q92" s="36" t="n">
        <v>7676</v>
      </c>
      <c r="R92" s="36" t="n">
        <v>7482</v>
      </c>
      <c r="S92" s="36" t="n">
        <v>7514</v>
      </c>
      <c r="T92" s="10" t="n">
        <f aca="false">(H92*P92+J92*R92)/(P92+R92)</f>
        <v>29.1686401408893</v>
      </c>
      <c r="U92" s="10" t="n">
        <f aca="false">(I92*Q92+K92*S92)/(Q92+S92)</f>
        <v>30.4464768575064</v>
      </c>
      <c r="V92" s="10" t="n">
        <f aca="false">(H92*P92+I92*Q92+J92*R92+K92*S92)/(P92+Q92+R92+S92)</f>
        <v>29.8156514650698</v>
      </c>
      <c r="W92" s="35" t="n">
        <f aca="false">($U$95-T92)/($U$95)</f>
        <v>0.233889990767533</v>
      </c>
      <c r="X92" s="35" t="n">
        <f aca="false">($U$95-U92)/($U$95)</f>
        <v>0.200327798836865</v>
      </c>
    </row>
    <row r="93" customFormat="false" ht="12" hidden="false" customHeight="false" outlineLevel="0" collapsed="false">
      <c r="A93" s="0" t="n">
        <v>1.05</v>
      </c>
      <c r="B93" s="0" t="n">
        <v>2</v>
      </c>
      <c r="C93" s="0" t="n">
        <v>2</v>
      </c>
      <c r="D93" s="0" t="n">
        <v>0.5</v>
      </c>
      <c r="E93" s="0" t="n">
        <v>-0.15</v>
      </c>
      <c r="F93" s="0" t="n">
        <v>0</v>
      </c>
      <c r="G93" s="0" t="n">
        <v>0.33</v>
      </c>
      <c r="H93" s="37" t="n">
        <v>33.5569125056985</v>
      </c>
      <c r="I93" s="37" t="n">
        <v>35.6680469411995</v>
      </c>
      <c r="J93" s="37" t="n">
        <v>34.2709022611401</v>
      </c>
      <c r="K93" s="37" t="n">
        <v>35.4624508934967</v>
      </c>
      <c r="L93" s="37" t="n">
        <v>17.7157725577849</v>
      </c>
      <c r="M93" s="37" t="n">
        <v>17.8623230149933</v>
      </c>
      <c r="N93" s="37" t="n">
        <v>17.9344291327216</v>
      </c>
      <c r="O93" s="37" t="n">
        <v>17.9261549249593</v>
      </c>
      <c r="P93" s="36" t="n">
        <v>5085</v>
      </c>
      <c r="Q93" s="36" t="n">
        <v>9912</v>
      </c>
      <c r="R93" s="36" t="n">
        <v>4818</v>
      </c>
      <c r="S93" s="36" t="n">
        <v>10185</v>
      </c>
      <c r="T93" s="10" t="n">
        <f aca="false">(H93*P93+J93*R93)/(P93+R93)</f>
        <v>33.9042822564526</v>
      </c>
      <c r="U93" s="10" t="n">
        <f aca="false">(I93*Q93+K93*S93)/(Q93+S93)</f>
        <v>35.5638524969614</v>
      </c>
      <c r="V93" s="10" t="n">
        <f aca="false">(H93*P93+I93*Q93+J93*R93+K93*S93)/(P93+Q93+R93+S93)</f>
        <v>35.0160283605695</v>
      </c>
      <c r="W93" s="35" t="n">
        <f aca="false">($U$95-T93)/($U$95)</f>
        <v>0.109509052631511</v>
      </c>
      <c r="X93" s="35" t="n">
        <f aca="false">($U$95-U93)/($U$95)</f>
        <v>0.065920686285428</v>
      </c>
    </row>
    <row r="94" customFormat="false" ht="12" hidden="false" customHeight="false" outlineLevel="0" collapsed="false">
      <c r="A94" s="0" t="n">
        <v>1.05</v>
      </c>
      <c r="B94" s="0" t="n">
        <v>2</v>
      </c>
      <c r="C94" s="0" t="n">
        <v>2</v>
      </c>
      <c r="D94" s="0" t="n">
        <v>0.5</v>
      </c>
      <c r="E94" s="0" t="n">
        <v>-0.15</v>
      </c>
      <c r="F94" s="0" t="n">
        <v>0</v>
      </c>
      <c r="G94" s="0" t="n">
        <v>0.17</v>
      </c>
      <c r="H94" s="37" t="n">
        <v>31.0560300621906</v>
      </c>
      <c r="I94" s="37" t="n">
        <v>33.9731745840831</v>
      </c>
      <c r="J94" s="37" t="n">
        <v>30.4105807887925</v>
      </c>
      <c r="K94" s="37" t="n">
        <v>33.8074825005449</v>
      </c>
      <c r="L94" s="37" t="n">
        <v>18.1606999586144</v>
      </c>
      <c r="M94" s="37" t="n">
        <v>18.7159663463725</v>
      </c>
      <c r="N94" s="37" t="n">
        <v>17.2686089832607</v>
      </c>
      <c r="O94" s="37" t="n">
        <v>18.8455625976309</v>
      </c>
      <c r="P94" s="36" t="n">
        <v>2493</v>
      </c>
      <c r="Q94" s="36" t="n">
        <v>12521</v>
      </c>
      <c r="R94" s="36" t="n">
        <v>2530</v>
      </c>
      <c r="S94" s="36" t="n">
        <v>12456</v>
      </c>
      <c r="T94" s="10" t="n">
        <f aca="false">(H94*P94+J94*R94)/(P94+R94)</f>
        <v>30.7309281984245</v>
      </c>
      <c r="U94" s="10" t="n">
        <f aca="false">(I94*Q94+K94*S94)/(Q94+S94)</f>
        <v>33.8905441403728</v>
      </c>
      <c r="V94" s="10" t="n">
        <f aca="false">(H94*P94+I94*Q94+J94*R94+K94*S94)/(P94+Q94+R94+S94)</f>
        <v>33.3615191111593</v>
      </c>
      <c r="W94" s="35" t="n">
        <f aca="false">($U$95-T94)/($U$95)</f>
        <v>0.192856726535779</v>
      </c>
      <c r="X94" s="35" t="n">
        <f aca="false">($U$95-U94)/($U$95)</f>
        <v>0.109869882213757</v>
      </c>
    </row>
    <row r="95" customFormat="false" ht="12" hidden="false" customHeight="false" outlineLevel="0" collapsed="false">
      <c r="A95" s="0" t="n">
        <v>1.05</v>
      </c>
      <c r="B95" s="0" t="n">
        <v>2</v>
      </c>
      <c r="C95" s="0" t="n">
        <v>2</v>
      </c>
      <c r="D95" s="0" t="n">
        <v>0.5</v>
      </c>
      <c r="E95" s="0" t="n">
        <v>-0.15</v>
      </c>
      <c r="F95" s="0" t="n">
        <v>0</v>
      </c>
      <c r="G95" s="0" t="n">
        <v>0</v>
      </c>
      <c r="H95" s="37" t="n">
        <v>0</v>
      </c>
      <c r="I95" s="37" t="n">
        <v>37.316208699413</v>
      </c>
      <c r="J95" s="37" t="n">
        <v>0</v>
      </c>
      <c r="K95" s="37" t="n">
        <v>38.838899695813</v>
      </c>
      <c r="L95" s="37" t="n">
        <v>0</v>
      </c>
      <c r="M95" s="37" t="n">
        <v>19.9089786424311</v>
      </c>
      <c r="N95" s="37" t="n">
        <v>0</v>
      </c>
      <c r="O95" s="37" t="n">
        <v>20.58050462888</v>
      </c>
      <c r="P95" s="36" t="n">
        <v>0</v>
      </c>
      <c r="Q95" s="36" t="n">
        <v>15076</v>
      </c>
      <c r="R95" s="36" t="n">
        <v>0</v>
      </c>
      <c r="S95" s="36" t="n">
        <v>14924</v>
      </c>
      <c r="T95" s="10" t="s">
        <v>31</v>
      </c>
      <c r="U95" s="10" t="n">
        <f aca="false">(I95*Q95+K95*S95)/(Q95+S95)</f>
        <v>38.0736967137554</v>
      </c>
      <c r="V95" s="10" t="s">
        <v>31</v>
      </c>
      <c r="W95" s="35"/>
      <c r="X95" s="35"/>
    </row>
    <row r="96" customFormat="false" ht="12" hidden="false" customHeight="false" outlineLevel="0" collapsed="false">
      <c r="A96" s="0" t="n">
        <v>1.05</v>
      </c>
      <c r="B96" s="0" t="n">
        <v>2</v>
      </c>
      <c r="C96" s="0" t="n">
        <v>2</v>
      </c>
      <c r="D96" s="0" t="n">
        <v>0.5</v>
      </c>
      <c r="E96" s="0" t="n">
        <v>-0.15</v>
      </c>
      <c r="F96" s="0" t="n">
        <v>0</v>
      </c>
      <c r="G96" s="0" t="n">
        <v>1</v>
      </c>
      <c r="H96" s="37" t="n">
        <v>27.1756109036209</v>
      </c>
      <c r="I96" s="37" t="n">
        <v>0</v>
      </c>
      <c r="J96" s="37" t="n">
        <v>27.2103185465533</v>
      </c>
      <c r="K96" s="37" t="n">
        <v>0</v>
      </c>
      <c r="L96" s="37" t="n">
        <v>15.5189015468342</v>
      </c>
      <c r="M96" s="37" t="n">
        <v>0</v>
      </c>
      <c r="N96" s="37" t="n">
        <v>15.5086120663105</v>
      </c>
      <c r="O96" s="37" t="n">
        <v>0</v>
      </c>
      <c r="P96" s="36" t="n">
        <v>15011</v>
      </c>
      <c r="Q96" s="36" t="n">
        <v>0</v>
      </c>
      <c r="R96" s="36" t="n">
        <v>14989</v>
      </c>
      <c r="S96" s="36" t="n">
        <v>0</v>
      </c>
      <c r="T96" s="10" t="n">
        <f aca="false">(H96*P96+J96*R96)/(P96+R96)</f>
        <v>27.1929519989514</v>
      </c>
      <c r="U96" s="10" t="s">
        <v>31</v>
      </c>
      <c r="V96" s="10" t="n">
        <f aca="false">(H96*P96+I96*Q96+J96*R96+K96*S96)/(P96+Q96+R96+S96)</f>
        <v>27.1929519989514</v>
      </c>
      <c r="W96" s="35" t="n">
        <f aca="false">($U$102-T96)/($U$102)</f>
        <v>0.284768781900333</v>
      </c>
    </row>
    <row r="97" customFormat="false" ht="12" hidden="false" customHeight="false" outlineLevel="0" collapsed="false">
      <c r="A97" s="0" t="n">
        <v>1.05</v>
      </c>
      <c r="B97" s="0" t="n">
        <v>2</v>
      </c>
      <c r="C97" s="0" t="n">
        <v>2</v>
      </c>
      <c r="D97" s="0" t="n">
        <v>0.5</v>
      </c>
      <c r="E97" s="0" t="n">
        <v>-0.15</v>
      </c>
      <c r="F97" s="0" t="n">
        <v>0</v>
      </c>
      <c r="G97" s="0" t="n">
        <v>0.83</v>
      </c>
      <c r="H97" s="37" t="n">
        <v>35.4641854021218</v>
      </c>
      <c r="I97" s="37" t="n">
        <v>35.6575890468715</v>
      </c>
      <c r="J97" s="37" t="n">
        <v>35.5334556106336</v>
      </c>
      <c r="K97" s="37" t="n">
        <v>35.9384312340886</v>
      </c>
      <c r="L97" s="37" t="n">
        <v>19.5705908766343</v>
      </c>
      <c r="M97" s="37" t="n">
        <v>19.6491087926803</v>
      </c>
      <c r="N97" s="37" t="n">
        <v>19.6585375089324</v>
      </c>
      <c r="O97" s="37" t="n">
        <v>19.4950206683678</v>
      </c>
      <c r="P97" s="36" t="n">
        <v>12447</v>
      </c>
      <c r="Q97" s="36" t="n">
        <v>2573</v>
      </c>
      <c r="R97" s="36" t="n">
        <v>12479</v>
      </c>
      <c r="S97" s="36" t="n">
        <v>2501</v>
      </c>
      <c r="T97" s="10" t="n">
        <f aca="false">(H97*P97+J97*R97)/(P97+R97)</f>
        <v>35.4988649709262</v>
      </c>
      <c r="U97" s="10" t="n">
        <f aca="false">(I97*Q97+K97*S97)/(Q97+S97)</f>
        <v>35.7960175668222</v>
      </c>
      <c r="V97" s="10" t="n">
        <f aca="false">(H97*P97+I97*Q97+J97*R97+K97*S97)/(P97+Q97+R97+S97)</f>
        <v>35.5491233799787</v>
      </c>
      <c r="W97" s="35" t="n">
        <f aca="false">($U$102-T97)/($U$102)</f>
        <v>0.0663059885778411</v>
      </c>
      <c r="X97" s="35" t="n">
        <f aca="false">($U$102-U97)/($U$102)</f>
        <v>0.0584902570187095</v>
      </c>
    </row>
    <row r="98" customFormat="false" ht="12" hidden="false" customHeight="false" outlineLevel="0" collapsed="false">
      <c r="A98" s="0" t="n">
        <v>1.05</v>
      </c>
      <c r="B98" s="0" t="n">
        <v>2</v>
      </c>
      <c r="C98" s="0" t="n">
        <v>2</v>
      </c>
      <c r="D98" s="0" t="n">
        <v>0.5</v>
      </c>
      <c r="E98" s="0" t="n">
        <v>-0.15</v>
      </c>
      <c r="F98" s="0" t="n">
        <v>0</v>
      </c>
      <c r="G98" s="0" t="n">
        <v>0.67</v>
      </c>
      <c r="H98" s="37" t="n">
        <v>37.1414205623589</v>
      </c>
      <c r="I98" s="37" t="n">
        <v>37.1375283289489</v>
      </c>
      <c r="J98" s="37" t="n">
        <v>37.0818504980638</v>
      </c>
      <c r="K98" s="37" t="n">
        <v>37.5637401930036</v>
      </c>
      <c r="L98" s="37" t="n">
        <v>19.0601007215185</v>
      </c>
      <c r="M98" s="37" t="n">
        <v>19.1176445100272</v>
      </c>
      <c r="N98" s="37" t="n">
        <v>19.0005298095431</v>
      </c>
      <c r="O98" s="37" t="n">
        <v>19.1840154449137</v>
      </c>
      <c r="P98" s="36" t="n">
        <v>10107</v>
      </c>
      <c r="Q98" s="36" t="n">
        <v>4907</v>
      </c>
      <c r="R98" s="36" t="n">
        <v>10096</v>
      </c>
      <c r="S98" s="36" t="n">
        <v>4890</v>
      </c>
      <c r="T98" s="10" t="n">
        <f aca="false">(H98*P98+J98*R98)/(P98+R98)</f>
        <v>37.1116517473748</v>
      </c>
      <c r="U98" s="10" t="n">
        <f aca="false">(I98*Q98+K98*S98)/(Q98+S98)</f>
        <v>37.3502644742207</v>
      </c>
      <c r="V98" s="10" t="n">
        <f aca="false">(H98*P98+I98*Q98+J98*R98+K98*S98)/(P98+Q98+R98+S98)</f>
        <v>37.1895747102051</v>
      </c>
      <c r="W98" s="35" t="n">
        <f aca="false">($U$102-T98)/($U$102)</f>
        <v>0.0238863406227809</v>
      </c>
      <c r="X98" s="35" t="n">
        <f aca="false">($U$102-U98)/($U$102)</f>
        <v>0.0176103294238998</v>
      </c>
    </row>
    <row r="99" customFormat="false" ht="12" hidden="false" customHeight="false" outlineLevel="0" collapsed="false">
      <c r="A99" s="0" t="n">
        <v>1.05</v>
      </c>
      <c r="B99" s="0" t="n">
        <v>2</v>
      </c>
      <c r="C99" s="0" t="n">
        <v>2</v>
      </c>
      <c r="D99" s="0" t="n">
        <v>0.5</v>
      </c>
      <c r="E99" s="0" t="n">
        <v>-0.15</v>
      </c>
      <c r="F99" s="0" t="n">
        <v>0</v>
      </c>
      <c r="G99" s="0" t="n">
        <v>0.5</v>
      </c>
      <c r="H99" s="37" t="n">
        <v>33.0185514911574</v>
      </c>
      <c r="I99" s="37" t="n">
        <v>33.6713091210238</v>
      </c>
      <c r="J99" s="37" t="n">
        <v>33.1219589835792</v>
      </c>
      <c r="K99" s="37" t="n">
        <v>33.6879366691548</v>
      </c>
      <c r="L99" s="37" t="n">
        <v>17.1611577877529</v>
      </c>
      <c r="M99" s="37" t="n">
        <v>17.0663996999544</v>
      </c>
      <c r="N99" s="37" t="n">
        <v>17.1647520328329</v>
      </c>
      <c r="O99" s="37" t="n">
        <v>17.1374503337807</v>
      </c>
      <c r="P99" s="36" t="n">
        <v>7417</v>
      </c>
      <c r="Q99" s="36" t="n">
        <v>7586</v>
      </c>
      <c r="R99" s="36" t="n">
        <v>7441</v>
      </c>
      <c r="S99" s="36" t="n">
        <v>7556</v>
      </c>
      <c r="T99" s="10" t="n">
        <f aca="false">(H99*P99+J99*R99)/(P99+R99)</f>
        <v>33.0703387539862</v>
      </c>
      <c r="U99" s="10" t="n">
        <f aca="false">(I99*Q99+K99*S99)/(Q99+S99)</f>
        <v>33.6796064234725</v>
      </c>
      <c r="V99" s="10" t="n">
        <f aca="false">(H99*P99+I99*Q99+J99*R99+K99*S99)/(P99+Q99+R99+S99)</f>
        <v>33.3778564556982</v>
      </c>
      <c r="W99" s="35" t="n">
        <f aca="false">($U$102-T99)/($U$102)</f>
        <v>0.130181281131439</v>
      </c>
      <c r="X99" s="35" t="n">
        <f aca="false">($U$102-U99)/($U$102)</f>
        <v>0.114156273717305</v>
      </c>
    </row>
    <row r="100" customFormat="false" ht="12" hidden="false" customHeight="false" outlineLevel="0" collapsed="false">
      <c r="A100" s="0" t="n">
        <v>1.05</v>
      </c>
      <c r="B100" s="0" t="n">
        <v>2</v>
      </c>
      <c r="C100" s="0" t="n">
        <v>2</v>
      </c>
      <c r="D100" s="0" t="n">
        <v>0.5</v>
      </c>
      <c r="E100" s="0" t="n">
        <v>-0.15</v>
      </c>
      <c r="F100" s="0" t="n">
        <v>0</v>
      </c>
      <c r="G100" s="0" t="n">
        <v>0.33</v>
      </c>
      <c r="H100" s="37" t="n">
        <v>33.4249337427226</v>
      </c>
      <c r="I100" s="37" t="n">
        <v>34.8628053600272</v>
      </c>
      <c r="J100" s="37" t="n">
        <v>33.4671178936003</v>
      </c>
      <c r="K100" s="37" t="n">
        <v>34.8993546367275</v>
      </c>
      <c r="L100" s="37" t="n">
        <v>16.2931054041734</v>
      </c>
      <c r="M100" s="37" t="n">
        <v>16.8639822229205</v>
      </c>
      <c r="N100" s="37" t="n">
        <v>16.4997095391697</v>
      </c>
      <c r="O100" s="37" t="n">
        <v>16.7095809263286</v>
      </c>
      <c r="P100" s="36" t="n">
        <v>4988</v>
      </c>
      <c r="Q100" s="36" t="n">
        <v>10050</v>
      </c>
      <c r="R100" s="36" t="n">
        <v>4994</v>
      </c>
      <c r="S100" s="36" t="n">
        <v>9968</v>
      </c>
      <c r="T100" s="10" t="n">
        <f aca="false">(H100*P100+J100*R100)/(P100+R100)</f>
        <v>33.4460384962272</v>
      </c>
      <c r="U100" s="10" t="n">
        <f aca="false">(I100*Q100+K100*S100)/(Q100+S100)</f>
        <v>34.8810051397329</v>
      </c>
      <c r="V100" s="10" t="n">
        <f aca="false">(H100*P100+I100*Q100+J100*R100+K100*S100)/(P100+Q100+R100+S100)</f>
        <v>34.4035439052171</v>
      </c>
      <c r="W100" s="35" t="n">
        <f aca="false">($U$102-T100)/($U$102)</f>
        <v>0.120299596189947</v>
      </c>
      <c r="X100" s="35" t="n">
        <f aca="false">($U$102-U100)/($U$102)</f>
        <v>0.0825569877226305</v>
      </c>
    </row>
    <row r="101" customFormat="false" ht="12" hidden="false" customHeight="false" outlineLevel="0" collapsed="false">
      <c r="A101" s="0" t="n">
        <v>1.05</v>
      </c>
      <c r="B101" s="0" t="n">
        <v>2</v>
      </c>
      <c r="C101" s="0" t="n">
        <v>2</v>
      </c>
      <c r="D101" s="0" t="n">
        <v>0.5</v>
      </c>
      <c r="E101" s="0" t="n">
        <v>-0.15</v>
      </c>
      <c r="F101" s="0" t="n">
        <v>0</v>
      </c>
      <c r="G101" s="0" t="n">
        <v>0.17</v>
      </c>
      <c r="H101" s="37" t="n">
        <v>29.9242341080961</v>
      </c>
      <c r="I101" s="37" t="n">
        <v>31.926683251962</v>
      </c>
      <c r="J101" s="37" t="n">
        <v>29.3434838000849</v>
      </c>
      <c r="K101" s="37" t="n">
        <v>31.9133004566536</v>
      </c>
      <c r="L101" s="37" t="n">
        <v>16.2356934419345</v>
      </c>
      <c r="M101" s="37" t="n">
        <v>17.1193622852097</v>
      </c>
      <c r="N101" s="37" t="n">
        <v>16.2149154246348</v>
      </c>
      <c r="O101" s="37" t="n">
        <v>16.9972689807068</v>
      </c>
      <c r="P101" s="36" t="n">
        <v>2506</v>
      </c>
      <c r="Q101" s="36" t="n">
        <v>12510</v>
      </c>
      <c r="R101" s="36" t="n">
        <v>2589</v>
      </c>
      <c r="S101" s="36" t="n">
        <v>12395</v>
      </c>
      <c r="T101" s="10" t="n">
        <f aca="false">(H101*P101+J101*R101)/(P101+R101)</f>
        <v>29.6291286032009</v>
      </c>
      <c r="U101" s="10" t="n">
        <f aca="false">(I101*Q101+K101*S101)/(Q101+S101)</f>
        <v>31.9200227521488</v>
      </c>
      <c r="V101" s="10" t="n">
        <f aca="false">(H101*P101+I101*Q101+J101*R101+K101*S101)/(P101+Q101+R101+S101)</f>
        <v>31.5309525625191</v>
      </c>
      <c r="W101" s="35" t="n">
        <f aca="false">($U$102-T101)/($U$102)</f>
        <v>0.220692268242291</v>
      </c>
      <c r="X101" s="35" t="n">
        <f aca="false">($U$102-U101)/($U$102)</f>
        <v>0.160436985448699</v>
      </c>
    </row>
    <row r="102" customFormat="false" ht="12" hidden="false" customHeight="false" outlineLevel="0" collapsed="false">
      <c r="A102" s="0" t="n">
        <v>1.05</v>
      </c>
      <c r="B102" s="0" t="n">
        <v>2</v>
      </c>
      <c r="C102" s="0" t="n">
        <v>2</v>
      </c>
      <c r="D102" s="0" t="n">
        <v>0.5</v>
      </c>
      <c r="E102" s="0" t="n">
        <v>-0.15</v>
      </c>
      <c r="F102" s="0" t="n">
        <v>0</v>
      </c>
      <c r="G102" s="0" t="n">
        <v>0</v>
      </c>
      <c r="H102" s="37" t="n">
        <v>0</v>
      </c>
      <c r="I102" s="37" t="n">
        <v>37.5484507559905</v>
      </c>
      <c r="J102" s="37" t="n">
        <v>0</v>
      </c>
      <c r="K102" s="37" t="n">
        <v>38.4888411715474</v>
      </c>
      <c r="L102" s="37" t="n">
        <v>0</v>
      </c>
      <c r="M102" s="37" t="n">
        <v>19.467941100619</v>
      </c>
      <c r="N102" s="37" t="n">
        <v>0</v>
      </c>
      <c r="O102" s="37" t="n">
        <v>20.9629128137958</v>
      </c>
      <c r="P102" s="36" t="n">
        <v>0</v>
      </c>
      <c r="Q102" s="36" t="n">
        <v>14963</v>
      </c>
      <c r="R102" s="36" t="n">
        <v>0</v>
      </c>
      <c r="S102" s="36" t="n">
        <v>15037</v>
      </c>
      <c r="T102" s="10" t="s">
        <v>31</v>
      </c>
      <c r="U102" s="10" t="n">
        <f aca="false">(I102*Q102+K102*S102)/(Q102+S102)</f>
        <v>38.0198057786148</v>
      </c>
      <c r="V102" s="10" t="s">
        <v>31</v>
      </c>
      <c r="W102" s="35" t="s">
        <v>31</v>
      </c>
      <c r="X102" s="35" t="s">
        <v>31</v>
      </c>
    </row>
    <row r="103" customFormat="false" ht="12" hidden="false" customHeight="false" outlineLevel="0" collapsed="false">
      <c r="A103" s="0" t="n">
        <v>1</v>
      </c>
      <c r="B103" s="0" t="n">
        <v>2</v>
      </c>
      <c r="C103" s="0" t="n">
        <v>2</v>
      </c>
      <c r="D103" s="0" t="n">
        <v>0.5</v>
      </c>
      <c r="E103" s="0" t="n">
        <v>-0.15</v>
      </c>
      <c r="F103" s="0" t="n">
        <v>0</v>
      </c>
      <c r="G103" s="0" t="n">
        <v>1</v>
      </c>
      <c r="H103" s="37" t="n">
        <v>17.425012320226</v>
      </c>
      <c r="I103" s="37" t="n">
        <v>0</v>
      </c>
      <c r="J103" s="37" t="n">
        <v>17.4206774301421</v>
      </c>
      <c r="K103" s="37" t="n">
        <v>0</v>
      </c>
      <c r="L103" s="37" t="n">
        <v>10.1945466018767</v>
      </c>
      <c r="M103" s="37" t="n">
        <v>0</v>
      </c>
      <c r="N103" s="37" t="n">
        <v>10.185752478003</v>
      </c>
      <c r="O103" s="37" t="n">
        <v>0</v>
      </c>
      <c r="P103" s="36" t="n">
        <v>14997</v>
      </c>
      <c r="Q103" s="36" t="n">
        <v>0</v>
      </c>
      <c r="R103" s="36" t="n">
        <v>15003</v>
      </c>
      <c r="S103" s="36" t="n">
        <v>0</v>
      </c>
      <c r="T103" s="10" t="n">
        <f aca="false">(H103*P103+J103*R103)/(P103+R103)</f>
        <v>17.422844441695</v>
      </c>
      <c r="U103" s="10" t="s">
        <v>31</v>
      </c>
      <c r="V103" s="10" t="n">
        <f aca="false">(H103*P103+I103*Q103+J103*R103+K103*S103)/(P103+Q103+R103+S103)</f>
        <v>17.422844441695</v>
      </c>
      <c r="W103" s="35" t="n">
        <f aca="false">($U$109-T103)/($U$109)</f>
        <v>0.31309052787336</v>
      </c>
      <c r="X103" s="35" t="s">
        <v>31</v>
      </c>
    </row>
    <row r="104" customFormat="false" ht="12" hidden="false" customHeight="false" outlineLevel="0" collapsed="false">
      <c r="A104" s="0" t="n">
        <v>1</v>
      </c>
      <c r="B104" s="0" t="n">
        <v>2</v>
      </c>
      <c r="C104" s="0" t="n">
        <v>2</v>
      </c>
      <c r="D104" s="0" t="n">
        <v>0.5</v>
      </c>
      <c r="E104" s="0" t="n">
        <v>-0.15</v>
      </c>
      <c r="F104" s="0" t="n">
        <v>0</v>
      </c>
      <c r="G104" s="0" t="n">
        <v>0.83</v>
      </c>
      <c r="H104" s="37" t="n">
        <v>18.0592612437156</v>
      </c>
      <c r="I104" s="37" t="n">
        <v>18.4138985236285</v>
      </c>
      <c r="J104" s="37" t="n">
        <v>18.0448259834528</v>
      </c>
      <c r="K104" s="37" t="n">
        <v>18.7631067508103</v>
      </c>
      <c r="L104" s="37" t="n">
        <v>10.2261276885052</v>
      </c>
      <c r="M104" s="37" t="n">
        <v>10.0740811268197</v>
      </c>
      <c r="N104" s="37" t="n">
        <v>10.128209359494</v>
      </c>
      <c r="O104" s="37" t="n">
        <v>10.5045560682157</v>
      </c>
      <c r="P104" s="36" t="n">
        <v>12500</v>
      </c>
      <c r="Q104" s="36" t="n">
        <v>2531</v>
      </c>
      <c r="R104" s="36" t="n">
        <v>12444</v>
      </c>
      <c r="S104" s="36" t="n">
        <v>2525</v>
      </c>
      <c r="T104" s="10" t="n">
        <f aca="false">(H104*P104+J104*R104)/(P104+R104)</f>
        <v>18.0520598173722</v>
      </c>
      <c r="U104" s="10" t="n">
        <f aca="false">(I104*Q104+K104*S104)/(Q104+S104)</f>
        <v>18.5882954329707</v>
      </c>
      <c r="V104" s="10" t="n">
        <f aca="false">(H104*P104+I104*Q104+J104*R104+K104*S104)/(P104+Q104+R104+S104)</f>
        <v>18.1424333931211</v>
      </c>
      <c r="W104" s="35" t="n">
        <f aca="false">($U$109-T104)/($U$109)</f>
        <v>0.288283212224832</v>
      </c>
      <c r="X104" s="35" t="n">
        <f aca="false">($U$109-U104)/($U$109)</f>
        <v>0.267141697423449</v>
      </c>
    </row>
    <row r="105" customFormat="false" ht="12" hidden="false" customHeight="false" outlineLevel="0" collapsed="false">
      <c r="A105" s="0" t="n">
        <v>1</v>
      </c>
      <c r="B105" s="0" t="n">
        <v>2</v>
      </c>
      <c r="C105" s="0" t="n">
        <v>2</v>
      </c>
      <c r="D105" s="0" t="n">
        <v>0.5</v>
      </c>
      <c r="E105" s="0" t="n">
        <v>-0.15</v>
      </c>
      <c r="F105" s="0" t="n">
        <v>0</v>
      </c>
      <c r="G105" s="0" t="n">
        <v>0.67</v>
      </c>
      <c r="H105" s="37" t="n">
        <v>18.0563577073573</v>
      </c>
      <c r="I105" s="37" t="n">
        <v>18.5519235396994</v>
      </c>
      <c r="J105" s="37" t="n">
        <v>18.0114981331585</v>
      </c>
      <c r="K105" s="37" t="n">
        <v>18.6983740123852</v>
      </c>
      <c r="L105" s="37" t="n">
        <v>10.4079493257494</v>
      </c>
      <c r="M105" s="37" t="n">
        <v>10.3537584038318</v>
      </c>
      <c r="N105" s="37" t="n">
        <v>10.3785959022683</v>
      </c>
      <c r="O105" s="37" t="n">
        <v>10.4897594093055</v>
      </c>
      <c r="P105" s="36" t="n">
        <v>10101</v>
      </c>
      <c r="Q105" s="36" t="n">
        <v>4910</v>
      </c>
      <c r="R105" s="36" t="n">
        <v>10031</v>
      </c>
      <c r="S105" s="36" t="n">
        <v>4958</v>
      </c>
      <c r="T105" s="10" t="n">
        <f aca="false">(H105*P105+J105*R105)/(P105+R105)</f>
        <v>18.0340059097819</v>
      </c>
      <c r="U105" s="10" t="n">
        <f aca="false">(I105*Q105+K105*S105)/(Q105+S105)</f>
        <v>18.625504958789</v>
      </c>
      <c r="V105" s="10" t="n">
        <f aca="false">(H105*P105+I105*Q105+J105*R105+K105*S105)/(P105+Q105+R105+S105)</f>
        <v>18.2285696636353</v>
      </c>
      <c r="W105" s="35" t="n">
        <f aca="false">($U$109-T105)/($U$109)</f>
        <v>0.28899500186252</v>
      </c>
      <c r="X105" s="35" t="n">
        <f aca="false">($U$109-U105)/($U$109)</f>
        <v>0.265674682331657</v>
      </c>
    </row>
    <row r="106" customFormat="false" ht="12" hidden="false" customHeight="false" outlineLevel="0" collapsed="false">
      <c r="A106" s="0" t="n">
        <v>1</v>
      </c>
      <c r="B106" s="0" t="n">
        <v>2</v>
      </c>
      <c r="C106" s="0" t="n">
        <v>2</v>
      </c>
      <c r="D106" s="0" t="n">
        <v>0.5</v>
      </c>
      <c r="E106" s="0" t="n">
        <v>-0.15</v>
      </c>
      <c r="F106" s="0" t="n">
        <v>0</v>
      </c>
      <c r="G106" s="0" t="n">
        <v>0.5</v>
      </c>
      <c r="H106" s="37" t="n">
        <v>17.8830915759488</v>
      </c>
      <c r="I106" s="37" t="n">
        <v>19.1665611243934</v>
      </c>
      <c r="J106" s="37" t="n">
        <v>18.2207343528512</v>
      </c>
      <c r="K106" s="37" t="n">
        <v>18.8469112812826</v>
      </c>
      <c r="L106" s="37" t="n">
        <v>9.82675504710411</v>
      </c>
      <c r="M106" s="37" t="n">
        <v>9.93552405442692</v>
      </c>
      <c r="N106" s="37" t="n">
        <v>9.76464399241395</v>
      </c>
      <c r="O106" s="37" t="n">
        <v>9.76455079741015</v>
      </c>
      <c r="P106" s="36" t="n">
        <v>7491</v>
      </c>
      <c r="Q106" s="36" t="n">
        <v>7514</v>
      </c>
      <c r="R106" s="36" t="n">
        <v>7339</v>
      </c>
      <c r="S106" s="36" t="n">
        <v>7656</v>
      </c>
      <c r="T106" s="10" t="n">
        <f aca="false">(H106*P106+J106*R106)/(P106+R106)</f>
        <v>18.0501826305467</v>
      </c>
      <c r="U106" s="10" t="n">
        <f aca="false">(I106*Q106+K106*S106)/(Q106+S106)</f>
        <v>19.005240148859</v>
      </c>
      <c r="V106" s="10" t="n">
        <f aca="false">(H106*P106+I106*Q106+J106*R106+K106*S106)/(P106+Q106+R106+S106)</f>
        <v>18.5331233823066</v>
      </c>
      <c r="W106" s="35" t="n">
        <f aca="false">($U$109-T106)/($U$109)</f>
        <v>0.288357221805512</v>
      </c>
      <c r="X106" s="35" t="n">
        <f aca="false">($U$109-U106)/($U$109)</f>
        <v>0.250703321034606</v>
      </c>
    </row>
    <row r="107" customFormat="false" ht="12" hidden="false" customHeight="false" outlineLevel="0" collapsed="false">
      <c r="A107" s="0" t="n">
        <v>1</v>
      </c>
      <c r="B107" s="0" t="n">
        <v>2</v>
      </c>
      <c r="C107" s="0" t="n">
        <v>2</v>
      </c>
      <c r="D107" s="0" t="n">
        <v>0.5</v>
      </c>
      <c r="E107" s="0" t="n">
        <v>-0.15</v>
      </c>
      <c r="F107" s="0" t="n">
        <v>0</v>
      </c>
      <c r="G107" s="0" t="n">
        <v>0.33</v>
      </c>
      <c r="H107" s="37" t="n">
        <v>17.9782701972427</v>
      </c>
      <c r="I107" s="37" t="n">
        <v>19.8238476150988</v>
      </c>
      <c r="J107" s="37" t="n">
        <v>18.4553029678396</v>
      </c>
      <c r="K107" s="37" t="n">
        <v>19.684450395181</v>
      </c>
      <c r="L107" s="37" t="n">
        <v>9.99625213381963</v>
      </c>
      <c r="M107" s="37" t="n">
        <v>10.3381886965503</v>
      </c>
      <c r="N107" s="37" t="n">
        <v>10.1415828829919</v>
      </c>
      <c r="O107" s="37" t="n">
        <v>10.2827088753095</v>
      </c>
      <c r="P107" s="36" t="n">
        <v>4982</v>
      </c>
      <c r="Q107" s="36" t="n">
        <v>10037</v>
      </c>
      <c r="R107" s="36" t="n">
        <v>4899</v>
      </c>
      <c r="S107" s="36" t="n">
        <v>10082</v>
      </c>
      <c r="T107" s="10" t="n">
        <f aca="false">(H107*P107+J107*R107)/(P107+R107)</f>
        <v>18.2147830545602</v>
      </c>
      <c r="U107" s="10" t="n">
        <f aca="false">(I107*Q107+K107*S107)/(Q107+S107)</f>
        <v>19.7539931108385</v>
      </c>
      <c r="V107" s="10" t="n">
        <f aca="false">(H107*P107+I107*Q107+J107*R107+K107*S107)/(P107+Q107+R107+S107)</f>
        <v>19.2470286253023</v>
      </c>
      <c r="W107" s="35" t="n">
        <f aca="false">($U$109-T107)/($U$109)</f>
        <v>0.281867719431241</v>
      </c>
      <c r="X107" s="35" t="n">
        <f aca="false">($U$109-U107)/($U$109)</f>
        <v>0.221183141158824</v>
      </c>
    </row>
    <row r="108" customFormat="false" ht="12" hidden="false" customHeight="false" outlineLevel="0" collapsed="false">
      <c r="A108" s="0" t="n">
        <v>1</v>
      </c>
      <c r="B108" s="0" t="n">
        <v>2</v>
      </c>
      <c r="C108" s="0" t="n">
        <v>2</v>
      </c>
      <c r="D108" s="0" t="n">
        <v>0.5</v>
      </c>
      <c r="E108" s="0" t="n">
        <v>-0.15</v>
      </c>
      <c r="F108" s="0" t="n">
        <v>0</v>
      </c>
      <c r="G108" s="0" t="n">
        <v>0.17</v>
      </c>
      <c r="H108" s="37" t="n">
        <v>18.1596358226739</v>
      </c>
      <c r="I108" s="37" t="n">
        <v>21.0655631669672</v>
      </c>
      <c r="J108" s="37" t="n">
        <v>18.3017846391407</v>
      </c>
      <c r="K108" s="37" t="n">
        <v>21.0680700923469</v>
      </c>
      <c r="L108" s="37" t="n">
        <v>9.90868070027445</v>
      </c>
      <c r="M108" s="37" t="n">
        <v>10.7497255851667</v>
      </c>
      <c r="N108" s="37" t="n">
        <v>10.1749419319092</v>
      </c>
      <c r="O108" s="37" t="n">
        <v>10.779228491678</v>
      </c>
      <c r="P108" s="36" t="n">
        <v>2601</v>
      </c>
      <c r="Q108" s="36" t="n">
        <v>12409</v>
      </c>
      <c r="R108" s="36" t="n">
        <v>2523</v>
      </c>
      <c r="S108" s="36" t="n">
        <v>12467</v>
      </c>
      <c r="T108" s="10" t="n">
        <f aca="false">(H108*P108+J108*R108)/(P108+R108)</f>
        <v>18.2296283019763</v>
      </c>
      <c r="U108" s="10" t="n">
        <f aca="false">(I108*Q108+K108*S108)/(Q108+S108)</f>
        <v>21.0668195521862</v>
      </c>
      <c r="V108" s="10" t="n">
        <f aca="false">(H108*P108+I108*Q108+J108*R108+K108*S108)/(P108+Q108+R108+S108)</f>
        <v>20.5822272866504</v>
      </c>
      <c r="W108" s="35" t="n">
        <f aca="false">($U$109-T108)/($U$109)</f>
        <v>0.281282433767907</v>
      </c>
      <c r="X108" s="35" t="n">
        <f aca="false">($U$109-U108)/($U$109)</f>
        <v>0.16942391660523</v>
      </c>
    </row>
    <row r="109" customFormat="false" ht="12" hidden="false" customHeight="false" outlineLevel="0" collapsed="false">
      <c r="A109" s="0" t="n">
        <v>1</v>
      </c>
      <c r="B109" s="0" t="n">
        <v>2</v>
      </c>
      <c r="C109" s="0" t="n">
        <v>2</v>
      </c>
      <c r="D109" s="0" t="n">
        <v>0.5</v>
      </c>
      <c r="E109" s="0" t="n">
        <v>-0.15</v>
      </c>
      <c r="F109" s="0" t="n">
        <v>0</v>
      </c>
      <c r="G109" s="0" t="n">
        <v>0</v>
      </c>
      <c r="H109" s="37" t="n">
        <v>0</v>
      </c>
      <c r="I109" s="37" t="n">
        <v>22.5053448052636</v>
      </c>
      <c r="J109" s="37" t="n">
        <v>0</v>
      </c>
      <c r="K109" s="37" t="n">
        <v>28.2236289870427</v>
      </c>
      <c r="L109" s="37" t="n">
        <v>0</v>
      </c>
      <c r="M109" s="37" t="n">
        <v>12.8419485765301</v>
      </c>
      <c r="N109" s="37" t="n">
        <v>0</v>
      </c>
      <c r="O109" s="37" t="n">
        <v>16.6162415307584</v>
      </c>
      <c r="P109" s="36" t="n">
        <v>0</v>
      </c>
      <c r="Q109" s="36" t="n">
        <v>15002</v>
      </c>
      <c r="R109" s="36" t="n">
        <v>0</v>
      </c>
      <c r="S109" s="36" t="n">
        <v>14998</v>
      </c>
      <c r="T109" s="10" t="s">
        <v>31</v>
      </c>
      <c r="U109" s="10" t="n">
        <f aca="false">(I109*Q109+K109*S109)/(Q109+S109)</f>
        <v>25.3641056772077</v>
      </c>
      <c r="V109" s="10" t="n">
        <f aca="false">(H109*P109+I109*Q109+J109*R109+K109*S109)/(P109+Q109+R109+S109)</f>
        <v>25.3641056772077</v>
      </c>
      <c r="W109" s="35" t="s">
        <v>31</v>
      </c>
      <c r="X109" s="35"/>
    </row>
    <row r="110" customFormat="false" ht="12" hidden="false" customHeight="false" outlineLevel="0" collapsed="false">
      <c r="A110" s="0" t="n">
        <v>0.5</v>
      </c>
      <c r="B110" s="0" t="n">
        <v>2</v>
      </c>
      <c r="C110" s="0" t="n">
        <v>2</v>
      </c>
      <c r="D110" s="0" t="n">
        <v>0.5</v>
      </c>
      <c r="E110" s="0" t="n">
        <v>-0.15</v>
      </c>
      <c r="F110" s="0" t="n">
        <v>0</v>
      </c>
      <c r="G110" s="0" t="n">
        <v>1</v>
      </c>
      <c r="H110" s="37" t="n">
        <v>2.425447864096</v>
      </c>
      <c r="I110" s="37" t="n">
        <v>0</v>
      </c>
      <c r="J110" s="37" t="n">
        <v>2.42813845951939</v>
      </c>
      <c r="K110" s="37" t="n">
        <v>0</v>
      </c>
      <c r="L110" s="37" t="n">
        <v>0.808267926905258</v>
      </c>
      <c r="M110" s="37" t="n">
        <v>0</v>
      </c>
      <c r="N110" s="37" t="n">
        <v>0.806067491935052</v>
      </c>
      <c r="O110" s="37" t="n">
        <v>0</v>
      </c>
      <c r="P110" s="36" t="n">
        <v>14951</v>
      </c>
      <c r="Q110" s="36" t="n">
        <v>0</v>
      </c>
      <c r="R110" s="36" t="n">
        <v>15049</v>
      </c>
      <c r="S110" s="36" t="n">
        <v>0</v>
      </c>
      <c r="T110" s="10" t="n">
        <f aca="false">(H110*P110+J110*R110)/(P110+R110)</f>
        <v>2.42679755644688</v>
      </c>
      <c r="U110" s="10" t="s">
        <v>31</v>
      </c>
      <c r="V110" s="10" t="n">
        <f aca="false">(H110*P110+I110*Q110+J110*R110+K110*S110)/(P110+Q110+R110+S110)</f>
        <v>2.42679755644688</v>
      </c>
      <c r="W110" s="35" t="n">
        <f aca="false">($U$116-T110)/($U$116)</f>
        <v>0.190082331348528</v>
      </c>
      <c r="X110" s="35" t="s">
        <v>31</v>
      </c>
    </row>
    <row r="111" customFormat="false" ht="12" hidden="false" customHeight="false" outlineLevel="0" collapsed="false">
      <c r="A111" s="0" t="n">
        <v>0.5</v>
      </c>
      <c r="B111" s="0" t="n">
        <v>2</v>
      </c>
      <c r="C111" s="0" t="n">
        <v>2</v>
      </c>
      <c r="D111" s="0" t="n">
        <v>0.5</v>
      </c>
      <c r="E111" s="0" t="n">
        <v>-0.15</v>
      </c>
      <c r="F111" s="0" t="n">
        <v>0</v>
      </c>
      <c r="G111" s="0" t="n">
        <v>0.83</v>
      </c>
      <c r="H111" s="37" t="n">
        <v>2.4202800710116</v>
      </c>
      <c r="I111" s="37" t="n">
        <v>2.69594298496791</v>
      </c>
      <c r="J111" s="37" t="n">
        <v>2.42082299677162</v>
      </c>
      <c r="K111" s="37" t="n">
        <v>2.75232116570064</v>
      </c>
      <c r="L111" s="37" t="n">
        <v>0.809716071961205</v>
      </c>
      <c r="M111" s="37" t="n">
        <v>1.00798510509095</v>
      </c>
      <c r="N111" s="37" t="n">
        <v>0.809218900612005</v>
      </c>
      <c r="O111" s="37" t="n">
        <v>1.04212935140388</v>
      </c>
      <c r="P111" s="36" t="n">
        <v>12269</v>
      </c>
      <c r="Q111" s="36" t="n">
        <v>2673</v>
      </c>
      <c r="R111" s="36" t="n">
        <v>12488</v>
      </c>
      <c r="S111" s="36" t="n">
        <v>2570</v>
      </c>
      <c r="T111" s="10" t="n">
        <f aca="false">(H111*P111+J111*R111)/(P111+R111)</f>
        <v>2.42055393524762</v>
      </c>
      <c r="U111" s="10" t="n">
        <f aca="false">(I111*Q111+K111*S111)/(Q111+S111)</f>
        <v>2.72357829385273</v>
      </c>
      <c r="V111" s="10" t="n">
        <f aca="false">(H111*P111+I111*Q111+J111*R111+K111*S111)/(P111+Q111+R111+S111)</f>
        <v>2.47351249231984</v>
      </c>
      <c r="W111" s="35" t="n">
        <f aca="false">($U$116-T111)/($U$116)</f>
        <v>0.192166072990768</v>
      </c>
      <c r="X111" s="35" t="n">
        <f aca="false">($U$116-U111)/($U$116)</f>
        <v>0.091034941795222</v>
      </c>
    </row>
    <row r="112" customFormat="false" ht="12" hidden="false" customHeight="false" outlineLevel="0" collapsed="false">
      <c r="A112" s="0" t="n">
        <v>0.5</v>
      </c>
      <c r="B112" s="0" t="n">
        <v>2</v>
      </c>
      <c r="C112" s="0" t="n">
        <v>2</v>
      </c>
      <c r="D112" s="0" t="n">
        <v>0.5</v>
      </c>
      <c r="E112" s="0" t="n">
        <v>-0.15</v>
      </c>
      <c r="F112" s="0" t="n">
        <v>0</v>
      </c>
      <c r="G112" s="0" t="n">
        <v>0.67</v>
      </c>
      <c r="H112" s="37" t="n">
        <v>2.40126067827748</v>
      </c>
      <c r="I112" s="37" t="n">
        <v>2.77417512209718</v>
      </c>
      <c r="J112" s="37" t="n">
        <v>2.40994839909056</v>
      </c>
      <c r="K112" s="37" t="n">
        <v>2.76764540683264</v>
      </c>
      <c r="L112" s="37" t="n">
        <v>0.790678706909674</v>
      </c>
      <c r="M112" s="37" t="n">
        <v>1.1033501046535</v>
      </c>
      <c r="N112" s="37" t="n">
        <v>0.802127031241706</v>
      </c>
      <c r="O112" s="37" t="n">
        <v>1.06716076996122</v>
      </c>
      <c r="P112" s="36" t="n">
        <v>10086</v>
      </c>
      <c r="Q112" s="36" t="n">
        <v>4928</v>
      </c>
      <c r="R112" s="36" t="n">
        <v>9976</v>
      </c>
      <c r="S112" s="36" t="n">
        <v>5010</v>
      </c>
      <c r="T112" s="10" t="n">
        <f aca="false">(H112*P112+J112*R112)/(P112+R112)</f>
        <v>2.40558072128571</v>
      </c>
      <c r="U112" s="10" t="n">
        <f aca="false">(I112*Q112+K112*S112)/(Q112+S112)</f>
        <v>2.77088332561144</v>
      </c>
      <c r="V112" s="10" t="n">
        <f aca="false">(H112*P112+I112*Q112+J112*R112+K112*S112)/(P112+Q112+R112+S112)</f>
        <v>2.52659329734535</v>
      </c>
      <c r="W112" s="35" t="n">
        <f aca="false">($U$116-T112)/($U$116)</f>
        <v>0.19716322263435</v>
      </c>
      <c r="X112" s="35" t="n">
        <f aca="false">($U$116-U112)/($U$116)</f>
        <v>0.0752473945662766</v>
      </c>
    </row>
    <row r="113" customFormat="false" ht="12" hidden="false" customHeight="false" outlineLevel="0" collapsed="false">
      <c r="A113" s="0" t="n">
        <v>0.5</v>
      </c>
      <c r="B113" s="0" t="n">
        <v>2</v>
      </c>
      <c r="C113" s="0" t="n">
        <v>2</v>
      </c>
      <c r="D113" s="0" t="n">
        <v>0.5</v>
      </c>
      <c r="E113" s="0" t="n">
        <v>-0.15</v>
      </c>
      <c r="F113" s="0" t="n">
        <v>0</v>
      </c>
      <c r="G113" s="0" t="n">
        <v>0.5</v>
      </c>
      <c r="H113" s="37" t="n">
        <v>2.40086992222717</v>
      </c>
      <c r="I113" s="37" t="n">
        <v>2.80331371716177</v>
      </c>
      <c r="J113" s="37" t="n">
        <v>2.38609342632761</v>
      </c>
      <c r="K113" s="37" t="n">
        <v>2.81141985455512</v>
      </c>
      <c r="L113" s="37" t="n">
        <v>0.805487207300939</v>
      </c>
      <c r="M113" s="37" t="n">
        <v>1.17300318719714</v>
      </c>
      <c r="N113" s="37" t="n">
        <v>0.772285348774325</v>
      </c>
      <c r="O113" s="37" t="n">
        <v>1.14181676538443</v>
      </c>
      <c r="P113" s="36" t="n">
        <v>7552</v>
      </c>
      <c r="Q113" s="36" t="n">
        <v>7441</v>
      </c>
      <c r="R113" s="36" t="n">
        <v>7531</v>
      </c>
      <c r="S113" s="36" t="n">
        <v>7476</v>
      </c>
      <c r="T113" s="10" t="n">
        <f aca="false">(H113*P113+J113*R113)/(P113+R113)</f>
        <v>2.39349196090518</v>
      </c>
      <c r="U113" s="10" t="n">
        <f aca="false">(I113*Q113+K113*S113)/(Q113+S113)</f>
        <v>2.80737629563953</v>
      </c>
      <c r="V113" s="10" t="n">
        <f aca="false">(H113*P113+I113*Q113+J113*R113+K113*S113)/(P113+Q113+R113+S113)</f>
        <v>2.59928904827959</v>
      </c>
      <c r="W113" s="35" t="n">
        <f aca="false">($U$116-T113)/($U$116)</f>
        <v>0.201197716817137</v>
      </c>
      <c r="X113" s="35" t="n">
        <f aca="false">($U$116-U113)/($U$116)</f>
        <v>0.0630682570322033</v>
      </c>
    </row>
    <row r="114" customFormat="false" ht="12" hidden="false" customHeight="false" outlineLevel="0" collapsed="false">
      <c r="A114" s="0" t="n">
        <v>0.5</v>
      </c>
      <c r="B114" s="0" t="n">
        <v>2</v>
      </c>
      <c r="C114" s="0" t="n">
        <v>2</v>
      </c>
      <c r="D114" s="0" t="n">
        <v>0.5</v>
      </c>
      <c r="E114" s="0" t="n">
        <v>-0.15</v>
      </c>
      <c r="F114" s="0" t="n">
        <v>0</v>
      </c>
      <c r="G114" s="0" t="n">
        <v>0.33</v>
      </c>
      <c r="H114" s="37" t="n">
        <v>2.40718556414379</v>
      </c>
      <c r="I114" s="37" t="n">
        <v>2.83831922268369</v>
      </c>
      <c r="J114" s="37" t="n">
        <v>2.36074748639521</v>
      </c>
      <c r="K114" s="37" t="n">
        <v>2.84730897104594</v>
      </c>
      <c r="L114" s="37" t="n">
        <v>0.79714547685976</v>
      </c>
      <c r="M114" s="37" t="n">
        <v>1.21213657814478</v>
      </c>
      <c r="N114" s="37" t="n">
        <v>0.760162713889282</v>
      </c>
      <c r="O114" s="37" t="n">
        <v>1.21058923827458</v>
      </c>
      <c r="P114" s="36" t="n">
        <v>4927</v>
      </c>
      <c r="Q114" s="36" t="n">
        <v>10127</v>
      </c>
      <c r="R114" s="36" t="n">
        <v>4859</v>
      </c>
      <c r="S114" s="36" t="n">
        <v>10087</v>
      </c>
      <c r="T114" s="10" t="n">
        <f aca="false">(H114*P114+J114*R114)/(P114+R114)</f>
        <v>2.38412786745665</v>
      </c>
      <c r="U114" s="10" t="n">
        <f aca="false">(I114*Q114+K114*S114)/(Q114+S114)</f>
        <v>2.84280520228842</v>
      </c>
      <c r="V114" s="10" t="n">
        <f aca="false">(H114*P114+I114*Q114+J114*R114+K114*S114)/(P114+Q114+R114+S114)</f>
        <v>2.6931846556663</v>
      </c>
      <c r="W114" s="35" t="n">
        <f aca="false">($U$116-T114)/($U$116)</f>
        <v>0.204322882620408</v>
      </c>
      <c r="X114" s="35" t="n">
        <f aca="false">($U$116-U114)/($U$116)</f>
        <v>0.0512442392439399</v>
      </c>
    </row>
    <row r="115" customFormat="false" ht="12" hidden="false" customHeight="false" outlineLevel="0" collapsed="false">
      <c r="A115" s="0" t="n">
        <v>0.5</v>
      </c>
      <c r="B115" s="0" t="n">
        <v>2</v>
      </c>
      <c r="C115" s="0" t="n">
        <v>2</v>
      </c>
      <c r="D115" s="0" t="n">
        <v>0.5</v>
      </c>
      <c r="E115" s="0" t="n">
        <v>-0.15</v>
      </c>
      <c r="F115" s="0" t="n">
        <v>0</v>
      </c>
      <c r="G115" s="0" t="n">
        <v>0.17</v>
      </c>
      <c r="H115" s="37" t="n">
        <v>2.37629787527112</v>
      </c>
      <c r="I115" s="37" t="n">
        <v>2.90390429213464</v>
      </c>
      <c r="J115" s="37" t="n">
        <v>2.34795488600452</v>
      </c>
      <c r="K115" s="37" t="n">
        <v>2.93473464270036</v>
      </c>
      <c r="L115" s="37" t="n">
        <v>0.768362210667091</v>
      </c>
      <c r="M115" s="37" t="n">
        <v>1.32458562643018</v>
      </c>
      <c r="N115" s="37" t="n">
        <v>0.748918828076807</v>
      </c>
      <c r="O115" s="37" t="n">
        <v>1.39729647617582</v>
      </c>
      <c r="P115" s="36" t="n">
        <v>2572</v>
      </c>
      <c r="Q115" s="36" t="n">
        <v>12454</v>
      </c>
      <c r="R115" s="36" t="n">
        <v>2526</v>
      </c>
      <c r="S115" s="36" t="n">
        <v>12448</v>
      </c>
      <c r="T115" s="10" t="n">
        <f aca="false">(H115*P115+J115*R115)/(P115+R115)</f>
        <v>2.36225425210764</v>
      </c>
      <c r="U115" s="10" t="n">
        <f aca="false">(I115*Q115+K115*S115)/(Q115+S115)</f>
        <v>2.91931575321576</v>
      </c>
      <c r="V115" s="10" t="n">
        <f aca="false">(H115*P115+I115*Q115+J115*R115+K115*S115)/(P115+Q115+R115+S115)</f>
        <v>2.82465243546079</v>
      </c>
      <c r="W115" s="35" t="n">
        <f aca="false">($U$116-T115)/($U$116)</f>
        <v>0.211622967253092</v>
      </c>
      <c r="X115" s="35" t="n">
        <f aca="false">($U$116-U115)/($U$116)</f>
        <v>0.0257096630821608</v>
      </c>
    </row>
    <row r="116" customFormat="false" ht="12" hidden="false" customHeight="false" outlineLevel="0" collapsed="false">
      <c r="A116" s="0" t="n">
        <v>0.5</v>
      </c>
      <c r="B116" s="0" t="n">
        <v>2</v>
      </c>
      <c r="C116" s="0" t="n">
        <v>2</v>
      </c>
      <c r="D116" s="0" t="n">
        <v>0.5</v>
      </c>
      <c r="E116" s="0" t="n">
        <v>-0.15</v>
      </c>
      <c r="F116" s="0" t="n">
        <v>0</v>
      </c>
      <c r="G116" s="0" t="n">
        <v>0</v>
      </c>
      <c r="H116" s="37" t="n">
        <v>0</v>
      </c>
      <c r="I116" s="37" t="n">
        <v>2.98134458067536</v>
      </c>
      <c r="J116" s="37" t="n">
        <v>0</v>
      </c>
      <c r="K116" s="37" t="n">
        <v>3.01109349759288</v>
      </c>
      <c r="L116" s="37" t="n">
        <v>0</v>
      </c>
      <c r="M116" s="37" t="n">
        <v>1.49456991775564</v>
      </c>
      <c r="N116" s="37" t="n">
        <v>0</v>
      </c>
      <c r="O116" s="37" t="n">
        <v>1.47880115997296</v>
      </c>
      <c r="P116" s="36" t="n">
        <v>0</v>
      </c>
      <c r="Q116" s="36" t="n">
        <v>14867</v>
      </c>
      <c r="R116" s="36" t="n">
        <v>0</v>
      </c>
      <c r="S116" s="36" t="n">
        <v>15133</v>
      </c>
      <c r="T116" s="10" t="s">
        <v>31</v>
      </c>
      <c r="U116" s="10" t="n">
        <f aca="false">(I116*Q116+K116*S116)/(Q116+S116)</f>
        <v>2.99635092599912</v>
      </c>
      <c r="V116" s="10" t="n">
        <f aca="false">(H116*P116+I116*Q116+J116*R116+K116*S116)/(P116+Q116+R116+S116)</f>
        <v>2.99635092599912</v>
      </c>
      <c r="W116" s="35" t="s">
        <v>31</v>
      </c>
      <c r="X116" s="35"/>
    </row>
    <row r="117" customFormat="false" ht="12" hidden="false" customHeight="false" outlineLevel="0" collapsed="false">
      <c r="A117" s="0" t="n">
        <v>1</v>
      </c>
      <c r="B117" s="0" t="n">
        <v>2</v>
      </c>
      <c r="C117" s="0" t="n">
        <v>2</v>
      </c>
      <c r="D117" s="0" t="n">
        <v>0.5</v>
      </c>
      <c r="E117" s="0" t="n">
        <v>-0.15</v>
      </c>
      <c r="F117" s="0" t="n">
        <v>0</v>
      </c>
      <c r="G117" s="0" t="n">
        <v>1</v>
      </c>
      <c r="H117" s="37" t="n">
        <v>18.718113044277</v>
      </c>
      <c r="I117" s="37" t="n">
        <v>0</v>
      </c>
      <c r="J117" s="37" t="n">
        <v>18.7428747247065</v>
      </c>
      <c r="K117" s="37" t="n">
        <v>0</v>
      </c>
      <c r="L117" s="37" t="n">
        <v>9.27779809823858</v>
      </c>
      <c r="M117" s="37" t="n">
        <v>0</v>
      </c>
      <c r="N117" s="37" t="n">
        <v>9.27932129860047</v>
      </c>
      <c r="O117" s="37" t="n">
        <v>0</v>
      </c>
      <c r="P117" s="36" t="n">
        <v>15011</v>
      </c>
      <c r="Q117" s="36" t="n">
        <v>0</v>
      </c>
      <c r="R117" s="36" t="n">
        <v>14989</v>
      </c>
      <c r="S117" s="36" t="n">
        <v>0</v>
      </c>
      <c r="T117" s="10" t="n">
        <f aca="false">(H117*P117+J117*R117)/(P117+R117)</f>
        <v>18.7304848052089</v>
      </c>
      <c r="U117" s="10" t="s">
        <v>31</v>
      </c>
      <c r="V117" s="10" t="n">
        <f aca="false">(H117*P117+I117*Q117+J117*R117+K117*S117)/(P117+Q117+R117+S117)</f>
        <v>18.7304848052089</v>
      </c>
      <c r="W117" s="35" t="n">
        <f aca="false">($U$123-T117)/($U$123)</f>
        <v>0.28929889050439</v>
      </c>
      <c r="X117" s="35" t="s">
        <v>31</v>
      </c>
    </row>
    <row r="118" customFormat="false" ht="12" hidden="false" customHeight="false" outlineLevel="0" collapsed="false">
      <c r="A118" s="0" t="n">
        <v>1</v>
      </c>
      <c r="B118" s="0" t="n">
        <v>2</v>
      </c>
      <c r="C118" s="0" t="n">
        <v>2</v>
      </c>
      <c r="D118" s="0" t="n">
        <v>0.5</v>
      </c>
      <c r="E118" s="0" t="n">
        <v>-0.15</v>
      </c>
      <c r="F118" s="0" t="n">
        <v>0</v>
      </c>
      <c r="G118" s="0" t="n">
        <v>0.83</v>
      </c>
      <c r="H118" s="37" t="n">
        <v>19.4299696984174</v>
      </c>
      <c r="I118" s="37" t="n">
        <v>20.3603787579151</v>
      </c>
      <c r="J118" s="37" t="n">
        <v>19.5025176883283</v>
      </c>
      <c r="K118" s="37" t="n">
        <v>20.2139890906417</v>
      </c>
      <c r="L118" s="37" t="n">
        <v>9.825734044306</v>
      </c>
      <c r="M118" s="37" t="n">
        <v>10.1894807553771</v>
      </c>
      <c r="N118" s="37" t="n">
        <v>9.8940248535199</v>
      </c>
      <c r="O118" s="37" t="n">
        <v>9.76570445935015</v>
      </c>
      <c r="P118" s="36" t="n">
        <v>12477</v>
      </c>
      <c r="Q118" s="36" t="n">
        <v>2546</v>
      </c>
      <c r="R118" s="36" t="n">
        <v>12432</v>
      </c>
      <c r="S118" s="36" t="n">
        <v>2545</v>
      </c>
      <c r="T118" s="10" t="n">
        <f aca="false">(H118*P118+J118*R118)/(P118+R118)</f>
        <v>19.4661781616465</v>
      </c>
      <c r="U118" s="10" t="n">
        <f aca="false">(I118*Q118+K118*S118)/(Q118+S118)</f>
        <v>20.2871983015783</v>
      </c>
      <c r="V118" s="10" t="n">
        <f aca="false">(H118*P118+I118*Q118+J118*R118+K118*S118)/(P118+Q118+R118+S118)</f>
        <v>19.6055052793929</v>
      </c>
      <c r="W118" s="35" t="n">
        <f aca="false">($U$123-T118)/($U$123)</f>
        <v>0.261384071955575</v>
      </c>
      <c r="X118" s="35" t="n">
        <f aca="false">($U$123-U118)/($U$123)</f>
        <v>0.230231652227203</v>
      </c>
    </row>
    <row r="119" customFormat="false" ht="12" hidden="false" customHeight="false" outlineLevel="0" collapsed="false">
      <c r="A119" s="0" t="n">
        <v>1</v>
      </c>
      <c r="B119" s="0" t="n">
        <v>2</v>
      </c>
      <c r="C119" s="0" t="n">
        <v>2</v>
      </c>
      <c r="D119" s="0" t="n">
        <v>0.5</v>
      </c>
      <c r="E119" s="0" t="n">
        <v>-0.15</v>
      </c>
      <c r="F119" s="0" t="n">
        <v>0</v>
      </c>
      <c r="G119" s="0" t="n">
        <v>0.67</v>
      </c>
      <c r="H119" s="37" t="n">
        <v>19.6130680601377</v>
      </c>
      <c r="I119" s="37" t="n">
        <v>20.1815968372816</v>
      </c>
      <c r="J119" s="37" t="n">
        <v>19.6039710485179</v>
      </c>
      <c r="K119" s="37" t="n">
        <v>20.1316870934711</v>
      </c>
      <c r="L119" s="37" t="n">
        <v>9.88450998192565</v>
      </c>
      <c r="M119" s="37" t="n">
        <v>9.98758210721816</v>
      </c>
      <c r="N119" s="37" t="n">
        <v>9.84353831431455</v>
      </c>
      <c r="O119" s="37" t="n">
        <v>9.85225275222924</v>
      </c>
      <c r="P119" s="36" t="n">
        <v>10178</v>
      </c>
      <c r="Q119" s="36" t="n">
        <v>4829</v>
      </c>
      <c r="R119" s="36" t="n">
        <v>10047</v>
      </c>
      <c r="S119" s="36" t="n">
        <v>4946</v>
      </c>
      <c r="T119" s="10" t="n">
        <f aca="false">(H119*P119+J119*R119)/(P119+R119)</f>
        <v>19.6085490156015</v>
      </c>
      <c r="U119" s="10" t="n">
        <f aca="false">(I119*Q119+K119*S119)/(Q119+S119)</f>
        <v>20.1563432727919</v>
      </c>
      <c r="V119" s="10" t="n">
        <f aca="false">(H119*P119+I119*Q119+J119*R119+K119*S119)/(P119+Q119+R119+S119)</f>
        <v>19.7870386444027</v>
      </c>
      <c r="W119" s="35" t="n">
        <f aca="false">($U$123-T119)/($U$123)</f>
        <v>0.255982016166952</v>
      </c>
      <c r="X119" s="35" t="n">
        <f aca="false">($U$123-U119)/($U$123)</f>
        <v>0.235196756713751</v>
      </c>
    </row>
    <row r="120" customFormat="false" ht="12" hidden="false" customHeight="false" outlineLevel="0" collapsed="false">
      <c r="A120" s="0" t="n">
        <v>1</v>
      </c>
      <c r="B120" s="0" t="n">
        <v>2</v>
      </c>
      <c r="C120" s="0" t="n">
        <v>2</v>
      </c>
      <c r="D120" s="0" t="n">
        <v>0.5</v>
      </c>
      <c r="E120" s="0" t="n">
        <v>-0.15</v>
      </c>
      <c r="F120" s="0" t="n">
        <v>0</v>
      </c>
      <c r="G120" s="0" t="n">
        <v>0.5</v>
      </c>
      <c r="H120" s="37" t="n">
        <v>14.9117891058668</v>
      </c>
      <c r="I120" s="37" t="n">
        <v>15.7807078618222</v>
      </c>
      <c r="J120" s="37" t="n">
        <v>15.0156474043973</v>
      </c>
      <c r="K120" s="37" t="n">
        <v>15.6666021413022</v>
      </c>
      <c r="L120" s="37" t="n">
        <v>8.14376222148341</v>
      </c>
      <c r="M120" s="37" t="n">
        <v>8.31697410889924</v>
      </c>
      <c r="N120" s="37" t="n">
        <v>8.22098543243095</v>
      </c>
      <c r="O120" s="37" t="n">
        <v>8.07403616262178</v>
      </c>
      <c r="P120" s="36" t="n">
        <v>7482</v>
      </c>
      <c r="Q120" s="36" t="n">
        <v>7533</v>
      </c>
      <c r="R120" s="36" t="n">
        <v>7553</v>
      </c>
      <c r="S120" s="36" t="n">
        <v>7432</v>
      </c>
      <c r="T120" s="10" t="n">
        <f aca="false">(H120*P120+J120*R120)/(P120+R120)</f>
        <v>14.9639634809117</v>
      </c>
      <c r="U120" s="10" t="n">
        <f aca="false">(I120*Q120+K120*S120)/(Q120+S120)</f>
        <v>15.7240400559482</v>
      </c>
      <c r="V120" s="10" t="n">
        <f aca="false">(H120*P120+I120*Q120+J120*R120+K120*S120)/(P120+Q120+R120+S120)</f>
        <v>15.3431150124257</v>
      </c>
      <c r="W120" s="35" t="n">
        <f aca="false">($U$123-T120)/($U$123)</f>
        <v>0.432214085276734</v>
      </c>
      <c r="X120" s="35" t="n">
        <f aca="false">($U$123-U120)/($U$123)</f>
        <v>0.403374080824217</v>
      </c>
    </row>
    <row r="121" customFormat="false" ht="12" hidden="false" customHeight="false" outlineLevel="0" collapsed="false">
      <c r="A121" s="0" t="n">
        <v>1</v>
      </c>
      <c r="B121" s="0" t="n">
        <v>2</v>
      </c>
      <c r="C121" s="0" t="n">
        <v>2</v>
      </c>
      <c r="D121" s="0" t="n">
        <v>0.5</v>
      </c>
      <c r="E121" s="0" t="n">
        <v>-0.15</v>
      </c>
      <c r="F121" s="0" t="n">
        <v>0</v>
      </c>
      <c r="G121" s="0" t="n">
        <v>0.33</v>
      </c>
      <c r="H121" s="37" t="n">
        <v>22.8858982703134</v>
      </c>
      <c r="I121" s="37" t="n">
        <v>24.6239676408323</v>
      </c>
      <c r="J121" s="37" t="n">
        <v>22.8028762053146</v>
      </c>
      <c r="K121" s="37" t="n">
        <v>24.6343761580407</v>
      </c>
      <c r="L121" s="37" t="n">
        <v>13.1580990977818</v>
      </c>
      <c r="M121" s="37" t="n">
        <v>13.2214965945335</v>
      </c>
      <c r="N121" s="37" t="n">
        <v>12.7913660594568</v>
      </c>
      <c r="O121" s="37" t="n">
        <v>13.4077431225871</v>
      </c>
      <c r="P121" s="36" t="n">
        <v>4921</v>
      </c>
      <c r="Q121" s="36" t="n">
        <v>10105</v>
      </c>
      <c r="R121" s="36" t="n">
        <v>4976</v>
      </c>
      <c r="S121" s="36" t="n">
        <v>9998</v>
      </c>
      <c r="T121" s="10" t="n">
        <f aca="false">(H121*P121+J121*R121)/(P121+R121)</f>
        <v>22.8441565510617</v>
      </c>
      <c r="U121" s="10" t="n">
        <f aca="false">(I121*Q121+K121*S121)/(Q121+S121)</f>
        <v>24.6291441993086</v>
      </c>
      <c r="V121" s="10" t="n">
        <f aca="false">(H121*P121+I121*Q121+J121*R121+K121*S121)/(P121+Q121+R121+S121)</f>
        <v>24.040276774152</v>
      </c>
      <c r="W121" s="35" t="n">
        <f aca="false">($U$123-T121)/($U$123)</f>
        <v>0.133211575932303</v>
      </c>
      <c r="X121" s="35" t="n">
        <f aca="false">($U$123-U121)/($U$123)</f>
        <v>0.0654828056821997</v>
      </c>
    </row>
    <row r="122" customFormat="false" ht="12" hidden="false" customHeight="false" outlineLevel="0" collapsed="false">
      <c r="A122" s="0" t="n">
        <v>1</v>
      </c>
      <c r="B122" s="0" t="n">
        <v>2</v>
      </c>
      <c r="C122" s="0" t="n">
        <v>2</v>
      </c>
      <c r="D122" s="0" t="n">
        <v>0.5</v>
      </c>
      <c r="E122" s="0" t="n">
        <v>-0.15</v>
      </c>
      <c r="F122" s="0" t="n">
        <v>0</v>
      </c>
      <c r="G122" s="0" t="n">
        <v>0.17</v>
      </c>
      <c r="H122" s="37" t="n">
        <v>15.8324700744114</v>
      </c>
      <c r="I122" s="37" t="n">
        <v>18.5304520325254</v>
      </c>
      <c r="J122" s="37" t="n">
        <v>16.1034764724809</v>
      </c>
      <c r="K122" s="37" t="n">
        <v>18.2176934857158</v>
      </c>
      <c r="L122" s="37" t="n">
        <v>9.34966173977911</v>
      </c>
      <c r="M122" s="37" t="n">
        <v>10.548829964491</v>
      </c>
      <c r="N122" s="37" t="n">
        <v>9.54118908695658</v>
      </c>
      <c r="O122" s="37" t="n">
        <v>10.2187779048729</v>
      </c>
      <c r="P122" s="36" t="n">
        <v>2599</v>
      </c>
      <c r="Q122" s="36" t="n">
        <v>12406</v>
      </c>
      <c r="R122" s="36" t="n">
        <v>2471</v>
      </c>
      <c r="S122" s="36" t="n">
        <v>12524</v>
      </c>
      <c r="T122" s="10" t="n">
        <f aca="false">(H122*P122+J122*R122)/(P122+R122)</f>
        <v>15.9645522853837</v>
      </c>
      <c r="U122" s="10" t="n">
        <f aca="false">(I122*Q122+K122*S122)/(Q122+S122)</f>
        <v>18.3733325764386</v>
      </c>
      <c r="V122" s="10" t="n">
        <f aca="false">(H122*P122+I122*Q122+J122*R122+K122*S122)/(P122+Q122+R122+S122)</f>
        <v>17.9662487072503</v>
      </c>
      <c r="W122" s="35" t="n">
        <f aca="false">($U$123-T122)/($U$123)</f>
        <v>0.394248192728702</v>
      </c>
      <c r="X122" s="35" t="n">
        <f aca="false">($U$123-U122)/($U$123)</f>
        <v>0.302850514388427</v>
      </c>
    </row>
    <row r="123" customFormat="false" ht="12" hidden="false" customHeight="false" outlineLevel="0" collapsed="false">
      <c r="A123" s="0" t="n">
        <v>1</v>
      </c>
      <c r="B123" s="0" t="n">
        <v>2</v>
      </c>
      <c r="C123" s="0" t="n">
        <v>2</v>
      </c>
      <c r="D123" s="0" t="n">
        <v>0.5</v>
      </c>
      <c r="E123" s="0" t="n">
        <v>-0.15</v>
      </c>
      <c r="F123" s="0" t="n">
        <v>0</v>
      </c>
      <c r="G123" s="0" t="n">
        <v>0</v>
      </c>
      <c r="H123" s="37" t="n">
        <v>0</v>
      </c>
      <c r="I123" s="37" t="n">
        <v>26.9930526237645</v>
      </c>
      <c r="J123" s="37" t="n">
        <v>0</v>
      </c>
      <c r="K123" s="37" t="n">
        <v>25.7119583922634</v>
      </c>
      <c r="L123" s="37" t="n">
        <v>0</v>
      </c>
      <c r="M123" s="37" t="n">
        <v>13.7528343209842</v>
      </c>
      <c r="N123" s="37" t="n">
        <v>0</v>
      </c>
      <c r="O123" s="37" t="n">
        <v>13.884459534411</v>
      </c>
      <c r="P123" s="36" t="n">
        <v>0</v>
      </c>
      <c r="Q123" s="36" t="n">
        <v>15057</v>
      </c>
      <c r="R123" s="36" t="n">
        <v>0</v>
      </c>
      <c r="S123" s="36" t="n">
        <v>14943</v>
      </c>
      <c r="T123" s="10" t="s">
        <v>31</v>
      </c>
      <c r="U123" s="10" t="n">
        <f aca="false">(I123*Q123+K123*S123)/(Q123+S123)</f>
        <v>26.3549395870538</v>
      </c>
      <c r="V123" s="10" t="n">
        <f aca="false">(H123*P123+I123*Q123+J123*R123+K123*S123)/(P123+Q123+R123+S123)</f>
        <v>26.3549395870538</v>
      </c>
      <c r="W123" s="35" t="s">
        <v>31</v>
      </c>
      <c r="X123" s="35" t="s">
        <v>31</v>
      </c>
    </row>
    <row r="124" customFormat="false" ht="12" hidden="false" customHeight="false" outlineLevel="0" collapsed="false">
      <c r="H124" s="10"/>
      <c r="I124" s="10"/>
      <c r="J124" s="10"/>
      <c r="K124" s="10"/>
      <c r="L124" s="10"/>
      <c r="M124" s="10"/>
      <c r="N124" s="10"/>
      <c r="O124" s="10"/>
    </row>
    <row r="129" customFormat="false" ht="12" hidden="false" customHeight="false" outlineLevel="0" collapsed="false">
      <c r="A129" s="0" t="s">
        <v>67</v>
      </c>
    </row>
    <row r="130" customFormat="false" ht="12" hidden="false" customHeight="false" outlineLevel="0" collapsed="false">
      <c r="B130" s="0" t="s">
        <v>9</v>
      </c>
    </row>
    <row r="131" customFormat="false" ht="12" hidden="false" customHeight="false" outlineLevel="0" collapsed="false">
      <c r="A131" s="0" t="s">
        <v>56</v>
      </c>
    </row>
    <row r="132" customFormat="false" ht="12" hidden="false" customHeight="false" outlineLevel="0" collapsed="false">
      <c r="A132" s="0" t="s">
        <v>63</v>
      </c>
      <c r="B132" s="0" t="n">
        <v>0</v>
      </c>
      <c r="C132" s="0" t="n">
        <v>0.17</v>
      </c>
      <c r="D132" s="0" t="n">
        <v>0.33</v>
      </c>
      <c r="E132" s="0" t="n">
        <v>0.5</v>
      </c>
      <c r="F132" s="0" t="n">
        <v>0.67</v>
      </c>
      <c r="G132" s="0" t="n">
        <v>0.83</v>
      </c>
      <c r="H132" s="0" t="n">
        <v>1</v>
      </c>
    </row>
    <row r="133" customFormat="false" ht="12" hidden="false" customHeight="false" outlineLevel="0" collapsed="false">
      <c r="A133" s="0" t="n">
        <v>0.5</v>
      </c>
      <c r="B133" s="0" t="e">
        <f aca="false">VLOOKUP($A133,$A$75:$X$123,21,TRUE())</f>
        <v>#N/A</v>
      </c>
    </row>
    <row r="134" customFormat="false" ht="12" hidden="false" customHeight="false" outlineLevel="0" collapsed="false">
      <c r="A134" s="0" t="n">
        <v>1</v>
      </c>
      <c r="D134" s="10" t="s">
        <v>31</v>
      </c>
    </row>
    <row r="135" customFormat="false" ht="12" hidden="false" customHeight="false" outlineLevel="0" collapsed="false">
      <c r="A135" s="0" t="n">
        <v>0.95</v>
      </c>
      <c r="D135" s="10" t="s">
        <v>31</v>
      </c>
    </row>
    <row r="136" customFormat="false" ht="12" hidden="false" customHeight="false" outlineLevel="0" collapsed="false">
      <c r="A136" s="0" t="n">
        <v>0.67</v>
      </c>
      <c r="D136" s="10" t="s">
        <v>31</v>
      </c>
    </row>
    <row r="137" customFormat="false" ht="12" hidden="false" customHeight="false" outlineLevel="0" collapsed="false">
      <c r="A137" s="0" t="n">
        <v>1.05</v>
      </c>
      <c r="D137" s="10" t="s">
        <v>31</v>
      </c>
    </row>
    <row r="138" customFormat="false" ht="12" hidden="false" customHeight="false" outlineLevel="0" collapsed="false">
      <c r="A138" s="0" t="n">
        <v>1</v>
      </c>
      <c r="D138" s="10" t="s">
        <v>31</v>
      </c>
    </row>
    <row r="139" customFormat="false" ht="12" hidden="false" customHeight="false" outlineLevel="0" collapsed="false">
      <c r="D139" s="10" t="s">
        <v>31</v>
      </c>
    </row>
    <row r="140" customFormat="false" ht="12" hidden="false" customHeight="false" outlineLevel="0" collapsed="false">
      <c r="D140" s="10"/>
    </row>
    <row r="141" customFormat="false" ht="12" hidden="false" customHeight="false" outlineLevel="0" collapsed="false">
      <c r="D141" s="10"/>
    </row>
    <row r="142" customFormat="false" ht="12" hidden="false" customHeight="false" outlineLevel="0" collapsed="false">
      <c r="D142" s="10"/>
    </row>
    <row r="143" customFormat="false" ht="12" hidden="false" customHeight="false" outlineLevel="0" collapsed="false">
      <c r="D143" s="10"/>
    </row>
    <row r="144" customFormat="false" ht="12" hidden="false" customHeight="false" outlineLevel="0" collapsed="false">
      <c r="D144" s="10"/>
    </row>
    <row r="145" customFormat="false" ht="12" hidden="false" customHeight="false" outlineLevel="0" collapsed="false">
      <c r="D145" s="10"/>
    </row>
    <row r="146" customFormat="false" ht="12" hidden="false" customHeight="false" outlineLevel="0" collapsed="false">
      <c r="D146" s="10"/>
    </row>
    <row r="147" customFormat="false" ht="12" hidden="false" customHeight="false" outlineLevel="0" collapsed="false">
      <c r="D147" s="10"/>
    </row>
    <row r="148" customFormat="false" ht="12" hidden="false" customHeight="false" outlineLevel="0" collapsed="false">
      <c r="D148" s="10"/>
    </row>
    <row r="149" customFormat="false" ht="12" hidden="false" customHeight="false" outlineLevel="0" collapsed="false">
      <c r="D149" s="10"/>
    </row>
    <row r="150" customFormat="false" ht="12" hidden="false" customHeight="false" outlineLevel="0" collapsed="false">
      <c r="D150" s="10"/>
    </row>
    <row r="151" customFormat="false" ht="12" hidden="false" customHeight="false" outlineLevel="0" collapsed="false">
      <c r="D151" s="10"/>
    </row>
    <row r="152" customFormat="false" ht="12" hidden="false" customHeight="false" outlineLevel="0" collapsed="false">
      <c r="D152" s="10"/>
    </row>
    <row r="153" customFormat="false" ht="12" hidden="false" customHeight="false" outlineLevel="0" collapsed="false">
      <c r="D153" s="10"/>
    </row>
    <row r="154" customFormat="false" ht="12" hidden="false" customHeight="false" outlineLevel="0" collapsed="false">
      <c r="D154" s="10"/>
    </row>
    <row r="155" customFormat="false" ht="12" hidden="false" customHeight="false" outlineLevel="0" collapsed="false">
      <c r="D155" s="10"/>
    </row>
    <row r="156" customFormat="false" ht="12" hidden="false" customHeight="false" outlineLevel="0" collapsed="false">
      <c r="D156" s="10"/>
    </row>
    <row r="157" customFormat="false" ht="12" hidden="false" customHeight="false" outlineLevel="0" collapsed="false">
      <c r="D157" s="10"/>
    </row>
    <row r="158" customFormat="false" ht="12" hidden="false" customHeight="false" outlineLevel="0" collapsed="false">
      <c r="D158" s="10"/>
    </row>
    <row r="159" customFormat="false" ht="12" hidden="false" customHeight="false" outlineLevel="0" collapsed="false">
      <c r="D159" s="10"/>
    </row>
    <row r="160" customFormat="false" ht="12" hidden="false" customHeight="false" outlineLevel="0" collapsed="false">
      <c r="D160" s="10"/>
    </row>
    <row r="161" customFormat="false" ht="12" hidden="false" customHeight="false" outlineLevel="0" collapsed="false">
      <c r="D161" s="10"/>
    </row>
    <row r="162" customFormat="false" ht="12" hidden="false" customHeight="false" outlineLevel="0" collapsed="false">
      <c r="D162" s="10"/>
    </row>
    <row r="163" customFormat="false" ht="12" hidden="false" customHeight="false" outlineLevel="0" collapsed="false">
      <c r="D163" s="10"/>
    </row>
    <row r="164" customFormat="false" ht="12" hidden="false" customHeight="false" outlineLevel="0" collapsed="false">
      <c r="D164" s="10"/>
    </row>
    <row r="165" customFormat="false" ht="12" hidden="false" customHeight="false" outlineLevel="0" collapsed="false">
      <c r="D165" s="10"/>
    </row>
    <row r="166" customFormat="false" ht="12" hidden="false" customHeight="false" outlineLevel="0" collapsed="false">
      <c r="D166" s="10"/>
    </row>
    <row r="167" customFormat="false" ht="12" hidden="false" customHeight="false" outlineLevel="0" collapsed="false">
      <c r="D167" s="10"/>
    </row>
    <row r="168" customFormat="false" ht="12" hidden="false" customHeight="false" outlineLevel="0" collapsed="false">
      <c r="D168" s="10"/>
    </row>
    <row r="169" customFormat="false" ht="12" hidden="false" customHeight="false" outlineLevel="0" collapsed="false">
      <c r="D169" s="10"/>
    </row>
    <row r="170" customFormat="false" ht="12" hidden="false" customHeight="false" outlineLevel="0" collapsed="false">
      <c r="D170" s="10"/>
    </row>
    <row r="171" customFormat="false" ht="12" hidden="false" customHeight="false" outlineLevel="0" collapsed="false">
      <c r="D171" s="10"/>
    </row>
    <row r="172" customFormat="false" ht="12" hidden="false" customHeight="false" outlineLevel="0" collapsed="false">
      <c r="D172" s="10"/>
    </row>
    <row r="173" customFormat="false" ht="12" hidden="false" customHeight="false" outlineLevel="0" collapsed="false">
      <c r="D173" s="10"/>
    </row>
    <row r="174" customFormat="false" ht="12" hidden="false" customHeight="false" outlineLevel="0" collapsed="false">
      <c r="D174" s="10"/>
    </row>
    <row r="175" customFormat="false" ht="12" hidden="false" customHeight="false" outlineLevel="0" collapsed="false">
      <c r="D175" s="10"/>
    </row>
    <row r="176" customFormat="false" ht="12" hidden="false" customHeight="false" outlineLevel="0" collapsed="false">
      <c r="D176" s="10"/>
    </row>
    <row r="177" customFormat="false" ht="12" hidden="false" customHeight="false" outlineLevel="0" collapsed="false">
      <c r="D177" s="10"/>
    </row>
    <row r="178" customFormat="false" ht="12" hidden="false" customHeight="false" outlineLevel="0" collapsed="false">
      <c r="D178" s="10"/>
    </row>
    <row r="179" customFormat="false" ht="12" hidden="false" customHeight="false" outlineLevel="0" collapsed="false">
      <c r="D179" s="10"/>
    </row>
    <row r="180" customFormat="false" ht="12" hidden="false" customHeight="false" outlineLevel="0" collapsed="false">
      <c r="D180" s="10"/>
    </row>
    <row r="181" customFormat="false" ht="12" hidden="false" customHeight="false" outlineLevel="0" collapsed="false">
      <c r="D181" s="10"/>
    </row>
    <row r="182" customFormat="false" ht="12" hidden="false" customHeight="false" outlineLevel="0" collapsed="false">
      <c r="D182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:I203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40" t="s">
        <v>60</v>
      </c>
      <c r="B1" s="40" t="s">
        <v>68</v>
      </c>
      <c r="C1" s="40" t="s">
        <v>69</v>
      </c>
      <c r="D1" s="0" t="s">
        <v>60</v>
      </c>
      <c r="E1" s="0" t="s">
        <v>70</v>
      </c>
      <c r="F1" s="0" t="s">
        <v>71</v>
      </c>
      <c r="G1" s="0" t="s">
        <v>60</v>
      </c>
      <c r="H1" s="0" t="s">
        <v>72</v>
      </c>
      <c r="I1" s="0" t="s">
        <v>73</v>
      </c>
    </row>
    <row r="2" customFormat="false" ht="12" hidden="false" customHeight="false" outlineLevel="0" collapsed="false">
      <c r="A2" s="41" t="n">
        <v>5</v>
      </c>
      <c r="B2" s="42" t="n">
        <v>6</v>
      </c>
      <c r="C2" s="42" t="n">
        <v>3</v>
      </c>
      <c r="D2" s="41" t="n">
        <v>5</v>
      </c>
      <c r="E2" s="0" t="n">
        <f aca="false">B2</f>
        <v>6</v>
      </c>
      <c r="F2" s="0" t="n">
        <f aca="false">C2</f>
        <v>3</v>
      </c>
      <c r="G2" s="0" t="n">
        <f aca="false">D2</f>
        <v>5</v>
      </c>
      <c r="H2" s="0" t="n">
        <f aca="false">E2-D2*0.95</f>
        <v>1.25</v>
      </c>
      <c r="I2" s="0" t="n">
        <f aca="false">F2-D2*0.95</f>
        <v>-1.75</v>
      </c>
    </row>
    <row r="3" customFormat="false" ht="12" hidden="false" customHeight="false" outlineLevel="0" collapsed="false">
      <c r="A3" s="41" t="n">
        <v>10</v>
      </c>
      <c r="B3" s="42" t="n">
        <v>8</v>
      </c>
      <c r="C3" s="42" t="n">
        <v>3</v>
      </c>
      <c r="D3" s="41" t="n">
        <v>10</v>
      </c>
      <c r="E3" s="0" t="n">
        <f aca="false">B3+E2</f>
        <v>14</v>
      </c>
      <c r="F3" s="0" t="n">
        <f aca="false">C3+F2</f>
        <v>6</v>
      </c>
      <c r="G3" s="0" t="n">
        <f aca="false">D3</f>
        <v>10</v>
      </c>
      <c r="H3" s="0" t="n">
        <f aca="false">E3-D3*0.95</f>
        <v>4.5</v>
      </c>
      <c r="I3" s="0" t="n">
        <f aca="false">F3-D3*0.95</f>
        <v>-3.5</v>
      </c>
    </row>
    <row r="4" customFormat="false" ht="12" hidden="false" customHeight="false" outlineLevel="0" collapsed="false">
      <c r="A4" s="41" t="n">
        <v>15</v>
      </c>
      <c r="B4" s="42" t="n">
        <v>7</v>
      </c>
      <c r="C4" s="42" t="n">
        <v>6</v>
      </c>
      <c r="D4" s="41" t="n">
        <v>15</v>
      </c>
      <c r="E4" s="0" t="n">
        <f aca="false">B4+E3</f>
        <v>21</v>
      </c>
      <c r="F4" s="0" t="n">
        <f aca="false">C4+F3</f>
        <v>12</v>
      </c>
      <c r="G4" s="0" t="n">
        <f aca="false">D4</f>
        <v>15</v>
      </c>
      <c r="H4" s="0" t="n">
        <f aca="false">E4-D4*0.95</f>
        <v>6.75</v>
      </c>
      <c r="I4" s="0" t="n">
        <f aca="false">F4-D4*0.95</f>
        <v>-2.25</v>
      </c>
    </row>
    <row r="5" customFormat="false" ht="12" hidden="false" customHeight="false" outlineLevel="0" collapsed="false">
      <c r="A5" s="41" t="n">
        <v>20</v>
      </c>
      <c r="B5" s="42" t="n">
        <v>4</v>
      </c>
      <c r="C5" s="42" t="n">
        <v>5</v>
      </c>
      <c r="D5" s="41" t="n">
        <v>20</v>
      </c>
      <c r="E5" s="0" t="n">
        <f aca="false">B5+E4</f>
        <v>25</v>
      </c>
      <c r="F5" s="0" t="n">
        <f aca="false">C5+F4</f>
        <v>17</v>
      </c>
      <c r="G5" s="0" t="n">
        <f aca="false">D5</f>
        <v>20</v>
      </c>
      <c r="H5" s="0" t="n">
        <f aca="false">E5-D5*0.95</f>
        <v>6</v>
      </c>
      <c r="I5" s="0" t="n">
        <f aca="false">F5-D5*0.95</f>
        <v>-2</v>
      </c>
    </row>
    <row r="6" customFormat="false" ht="12" hidden="false" customHeight="false" outlineLevel="0" collapsed="false">
      <c r="A6" s="41" t="n">
        <v>25</v>
      </c>
      <c r="B6" s="42" t="n">
        <v>7</v>
      </c>
      <c r="C6" s="42" t="n">
        <v>5</v>
      </c>
      <c r="D6" s="41" t="n">
        <v>25</v>
      </c>
      <c r="E6" s="0" t="n">
        <f aca="false">B6+E5</f>
        <v>32</v>
      </c>
      <c r="F6" s="0" t="n">
        <f aca="false">C6+F5</f>
        <v>22</v>
      </c>
      <c r="G6" s="0" t="n">
        <f aca="false">D6</f>
        <v>25</v>
      </c>
      <c r="H6" s="0" t="n">
        <f aca="false">E6-D6*0.95</f>
        <v>8.25</v>
      </c>
      <c r="I6" s="0" t="n">
        <f aca="false">F6-D6*0.95</f>
        <v>-1.75</v>
      </c>
    </row>
    <row r="7" customFormat="false" ht="12" hidden="false" customHeight="false" outlineLevel="0" collapsed="false">
      <c r="A7" s="41" t="n">
        <v>30</v>
      </c>
      <c r="B7" s="42" t="n">
        <v>10</v>
      </c>
      <c r="C7" s="42" t="n">
        <v>4</v>
      </c>
      <c r="D7" s="41" t="n">
        <v>30</v>
      </c>
      <c r="E7" s="0" t="n">
        <f aca="false">B7+E6</f>
        <v>42</v>
      </c>
      <c r="F7" s="0" t="n">
        <f aca="false">C7+F6</f>
        <v>26</v>
      </c>
      <c r="G7" s="0" t="n">
        <f aca="false">D7</f>
        <v>30</v>
      </c>
      <c r="H7" s="0" t="n">
        <f aca="false">E7-D7*0.95</f>
        <v>13.5</v>
      </c>
      <c r="I7" s="0" t="n">
        <f aca="false">F7-D7*0.95</f>
        <v>-2.5</v>
      </c>
    </row>
    <row r="8" customFormat="false" ht="12" hidden="false" customHeight="false" outlineLevel="0" collapsed="false">
      <c r="A8" s="41" t="n">
        <v>35</v>
      </c>
      <c r="B8" s="42" t="n">
        <v>6</v>
      </c>
      <c r="C8" s="42" t="n">
        <v>6</v>
      </c>
      <c r="D8" s="41" t="n">
        <v>35</v>
      </c>
      <c r="E8" s="0" t="n">
        <f aca="false">B8+E7</f>
        <v>48</v>
      </c>
      <c r="F8" s="0" t="n">
        <f aca="false">C8+F7</f>
        <v>32</v>
      </c>
      <c r="G8" s="0" t="n">
        <f aca="false">D8</f>
        <v>35</v>
      </c>
      <c r="H8" s="0" t="n">
        <f aca="false">E8-D8*0.95</f>
        <v>14.75</v>
      </c>
      <c r="I8" s="0" t="n">
        <f aca="false">F8-D8*0.95</f>
        <v>-1.25</v>
      </c>
    </row>
    <row r="9" customFormat="false" ht="12" hidden="false" customHeight="false" outlineLevel="0" collapsed="false">
      <c r="A9" s="41" t="n">
        <v>40</v>
      </c>
      <c r="B9" s="42" t="n">
        <v>6</v>
      </c>
      <c r="C9" s="42" t="n">
        <v>4</v>
      </c>
      <c r="D9" s="41" t="n">
        <v>40</v>
      </c>
      <c r="E9" s="0" t="n">
        <f aca="false">B9+E8</f>
        <v>54</v>
      </c>
      <c r="F9" s="0" t="n">
        <f aca="false">C9+F8</f>
        <v>36</v>
      </c>
      <c r="G9" s="0" t="n">
        <f aca="false">D9</f>
        <v>40</v>
      </c>
      <c r="H9" s="0" t="n">
        <f aca="false">E9-D9*0.95</f>
        <v>16</v>
      </c>
      <c r="I9" s="0" t="n">
        <f aca="false">F9-D9*0.95</f>
        <v>-2</v>
      </c>
    </row>
    <row r="10" customFormat="false" ht="12" hidden="false" customHeight="false" outlineLevel="0" collapsed="false">
      <c r="A10" s="41" t="n">
        <v>45</v>
      </c>
      <c r="B10" s="42" t="n">
        <v>4</v>
      </c>
      <c r="C10" s="42" t="n">
        <v>6</v>
      </c>
      <c r="D10" s="41" t="n">
        <v>45</v>
      </c>
      <c r="E10" s="0" t="n">
        <f aca="false">B10+E9</f>
        <v>58</v>
      </c>
      <c r="F10" s="0" t="n">
        <f aca="false">C10+F9</f>
        <v>42</v>
      </c>
      <c r="G10" s="0" t="n">
        <f aca="false">D10</f>
        <v>45</v>
      </c>
      <c r="H10" s="0" t="n">
        <f aca="false">E10-D10*0.95</f>
        <v>15.25</v>
      </c>
      <c r="I10" s="0" t="n">
        <f aca="false">F10-D10*0.95</f>
        <v>-0.75</v>
      </c>
    </row>
    <row r="11" customFormat="false" ht="12" hidden="false" customHeight="false" outlineLevel="0" collapsed="false">
      <c r="A11" s="41" t="n">
        <v>50</v>
      </c>
      <c r="B11" s="42" t="n">
        <v>9</v>
      </c>
      <c r="C11" s="42" t="n">
        <v>4</v>
      </c>
      <c r="D11" s="41" t="n">
        <v>50</v>
      </c>
      <c r="E11" s="0" t="n">
        <f aca="false">B11+E10</f>
        <v>67</v>
      </c>
      <c r="F11" s="0" t="n">
        <f aca="false">C11+F10</f>
        <v>46</v>
      </c>
      <c r="G11" s="0" t="n">
        <f aca="false">D11</f>
        <v>50</v>
      </c>
      <c r="H11" s="0" t="n">
        <f aca="false">E11-D11*0.95</f>
        <v>19.5</v>
      </c>
      <c r="I11" s="0" t="n">
        <f aca="false">F11-D11*0.95</f>
        <v>-1.5</v>
      </c>
    </row>
    <row r="12" customFormat="false" ht="12" hidden="false" customHeight="false" outlineLevel="0" collapsed="false">
      <c r="A12" s="41" t="n">
        <v>55</v>
      </c>
      <c r="B12" s="42" t="n">
        <v>3</v>
      </c>
      <c r="C12" s="42" t="n">
        <v>6</v>
      </c>
      <c r="D12" s="41" t="n">
        <v>55</v>
      </c>
      <c r="E12" s="0" t="n">
        <f aca="false">B12+E11</f>
        <v>70</v>
      </c>
      <c r="F12" s="0" t="n">
        <f aca="false">C12+F11</f>
        <v>52</v>
      </c>
      <c r="G12" s="0" t="n">
        <f aca="false">D12</f>
        <v>55</v>
      </c>
      <c r="H12" s="0" t="n">
        <f aca="false">E12-D12*0.95</f>
        <v>17.75</v>
      </c>
      <c r="I12" s="0" t="n">
        <f aca="false">F12-D12*0.95</f>
        <v>-0.25</v>
      </c>
    </row>
    <row r="13" customFormat="false" ht="12" hidden="false" customHeight="false" outlineLevel="0" collapsed="false">
      <c r="A13" s="41" t="n">
        <v>60</v>
      </c>
      <c r="B13" s="42" t="n">
        <v>5</v>
      </c>
      <c r="C13" s="42" t="n">
        <v>4</v>
      </c>
      <c r="D13" s="41" t="n">
        <v>60</v>
      </c>
      <c r="E13" s="0" t="n">
        <f aca="false">B13+E12</f>
        <v>75</v>
      </c>
      <c r="F13" s="0" t="n">
        <f aca="false">C13+F12</f>
        <v>56</v>
      </c>
      <c r="G13" s="0" t="n">
        <f aca="false">D13</f>
        <v>60</v>
      </c>
      <c r="H13" s="0" t="n">
        <f aca="false">E13-D13*0.95</f>
        <v>18</v>
      </c>
      <c r="I13" s="0" t="n">
        <f aca="false">F13-D13*0.95</f>
        <v>-1</v>
      </c>
    </row>
    <row r="14" customFormat="false" ht="12" hidden="false" customHeight="false" outlineLevel="0" collapsed="false">
      <c r="A14" s="41" t="n">
        <v>65</v>
      </c>
      <c r="B14" s="42" t="n">
        <v>4</v>
      </c>
      <c r="C14" s="42" t="n">
        <v>5</v>
      </c>
      <c r="D14" s="41" t="n">
        <v>65</v>
      </c>
      <c r="E14" s="0" t="n">
        <f aca="false">B14+E13</f>
        <v>79</v>
      </c>
      <c r="F14" s="0" t="n">
        <f aca="false">C14+F13</f>
        <v>61</v>
      </c>
      <c r="G14" s="0" t="n">
        <f aca="false">D14</f>
        <v>65</v>
      </c>
      <c r="H14" s="0" t="n">
        <f aca="false">E14-D14*0.95</f>
        <v>17.25</v>
      </c>
      <c r="I14" s="0" t="n">
        <f aca="false">F14-D14*0.95</f>
        <v>-0.75</v>
      </c>
    </row>
    <row r="15" customFormat="false" ht="12" hidden="false" customHeight="false" outlineLevel="0" collapsed="false">
      <c r="A15" s="41" t="n">
        <v>70</v>
      </c>
      <c r="B15" s="42" t="n">
        <v>3</v>
      </c>
      <c r="C15" s="42" t="n">
        <v>5</v>
      </c>
      <c r="D15" s="41" t="n">
        <v>70</v>
      </c>
      <c r="E15" s="0" t="n">
        <f aca="false">B15+E14</f>
        <v>82</v>
      </c>
      <c r="F15" s="0" t="n">
        <f aca="false">C15+F14</f>
        <v>66</v>
      </c>
      <c r="G15" s="0" t="n">
        <f aca="false">D15</f>
        <v>70</v>
      </c>
      <c r="H15" s="0" t="n">
        <f aca="false">E15-D15*0.95</f>
        <v>15.5</v>
      </c>
      <c r="I15" s="0" t="n">
        <f aca="false">F15-D15*0.95</f>
        <v>-0.5</v>
      </c>
    </row>
    <row r="16" customFormat="false" ht="12" hidden="false" customHeight="false" outlineLevel="0" collapsed="false">
      <c r="A16" s="41" t="n">
        <v>75</v>
      </c>
      <c r="B16" s="42" t="n">
        <v>4</v>
      </c>
      <c r="C16" s="42" t="n">
        <v>6</v>
      </c>
      <c r="D16" s="41" t="n">
        <v>75</v>
      </c>
      <c r="E16" s="0" t="n">
        <f aca="false">B16+E15</f>
        <v>86</v>
      </c>
      <c r="F16" s="0" t="n">
        <f aca="false">C16+F15</f>
        <v>72</v>
      </c>
      <c r="G16" s="0" t="n">
        <f aca="false">D16</f>
        <v>75</v>
      </c>
      <c r="H16" s="0" t="n">
        <f aca="false">E16-D16*0.95</f>
        <v>14.75</v>
      </c>
      <c r="I16" s="0" t="n">
        <f aca="false">F16-D16*0.95</f>
        <v>0.75</v>
      </c>
    </row>
    <row r="17" customFormat="false" ht="12" hidden="false" customHeight="false" outlineLevel="0" collapsed="false">
      <c r="A17" s="41" t="n">
        <v>80</v>
      </c>
      <c r="B17" s="42" t="n">
        <v>2</v>
      </c>
      <c r="C17" s="42" t="n">
        <v>4</v>
      </c>
      <c r="D17" s="41" t="n">
        <v>80</v>
      </c>
      <c r="E17" s="0" t="n">
        <f aca="false">B17+E16</f>
        <v>88</v>
      </c>
      <c r="F17" s="0" t="n">
        <f aca="false">C17+F16</f>
        <v>76</v>
      </c>
      <c r="G17" s="0" t="n">
        <f aca="false">D17</f>
        <v>80</v>
      </c>
      <c r="H17" s="0" t="n">
        <f aca="false">E17-D17*0.95</f>
        <v>12</v>
      </c>
      <c r="I17" s="0" t="n">
        <f aca="false">F17-D17*0.95</f>
        <v>0</v>
      </c>
    </row>
    <row r="18" customFormat="false" ht="12" hidden="false" customHeight="false" outlineLevel="0" collapsed="false">
      <c r="A18" s="41" t="n">
        <v>85</v>
      </c>
      <c r="B18" s="42" t="n">
        <v>7</v>
      </c>
      <c r="C18" s="42" t="n">
        <v>6</v>
      </c>
      <c r="D18" s="41" t="n">
        <v>85</v>
      </c>
      <c r="E18" s="0" t="n">
        <f aca="false">B18+E17</f>
        <v>95</v>
      </c>
      <c r="F18" s="0" t="n">
        <f aca="false">C18+F17</f>
        <v>82</v>
      </c>
      <c r="G18" s="0" t="n">
        <f aca="false">D18</f>
        <v>85</v>
      </c>
      <c r="H18" s="0" t="n">
        <f aca="false">E18-D18*0.95</f>
        <v>14.25</v>
      </c>
      <c r="I18" s="0" t="n">
        <f aca="false">F18-D18*0.95</f>
        <v>1.25</v>
      </c>
    </row>
    <row r="19" customFormat="false" ht="12" hidden="false" customHeight="false" outlineLevel="0" collapsed="false">
      <c r="A19" s="41" t="n">
        <v>90</v>
      </c>
      <c r="B19" s="42" t="n">
        <v>5</v>
      </c>
      <c r="C19" s="42" t="n">
        <v>4</v>
      </c>
      <c r="D19" s="41" t="n">
        <v>90</v>
      </c>
      <c r="E19" s="0" t="n">
        <f aca="false">B19+E18</f>
        <v>100</v>
      </c>
      <c r="F19" s="0" t="n">
        <f aca="false">C19+F18</f>
        <v>86</v>
      </c>
      <c r="G19" s="0" t="n">
        <f aca="false">D19</f>
        <v>90</v>
      </c>
      <c r="H19" s="0" t="n">
        <f aca="false">E19-D19*0.95</f>
        <v>14.5</v>
      </c>
      <c r="I19" s="0" t="n">
        <f aca="false">F19-D19*0.95</f>
        <v>0.5</v>
      </c>
    </row>
    <row r="20" customFormat="false" ht="12" hidden="false" customHeight="false" outlineLevel="0" collapsed="false">
      <c r="A20" s="41" t="n">
        <v>95</v>
      </c>
      <c r="B20" s="42" t="n">
        <v>4</v>
      </c>
      <c r="C20" s="42" t="n">
        <v>5</v>
      </c>
      <c r="D20" s="41" t="n">
        <v>95</v>
      </c>
      <c r="E20" s="0" t="n">
        <f aca="false">B20+E19</f>
        <v>104</v>
      </c>
      <c r="F20" s="0" t="n">
        <f aca="false">C20+F19</f>
        <v>91</v>
      </c>
      <c r="G20" s="0" t="n">
        <f aca="false">D20</f>
        <v>95</v>
      </c>
      <c r="H20" s="0" t="n">
        <f aca="false">E20-D20*0.95</f>
        <v>13.75</v>
      </c>
      <c r="I20" s="0" t="n">
        <f aca="false">F20-D20*0.95</f>
        <v>0.75</v>
      </c>
    </row>
    <row r="21" customFormat="false" ht="12" hidden="false" customHeight="false" outlineLevel="0" collapsed="false">
      <c r="A21" s="41" t="n">
        <v>100</v>
      </c>
      <c r="B21" s="42" t="n">
        <v>4</v>
      </c>
      <c r="C21" s="42" t="n">
        <v>5</v>
      </c>
      <c r="D21" s="41" t="n">
        <v>100</v>
      </c>
      <c r="E21" s="0" t="n">
        <f aca="false">B21+E20</f>
        <v>108</v>
      </c>
      <c r="F21" s="0" t="n">
        <f aca="false">C21+F20</f>
        <v>96</v>
      </c>
      <c r="G21" s="0" t="n">
        <f aca="false">D21</f>
        <v>100</v>
      </c>
      <c r="H21" s="0" t="n">
        <f aca="false">E21-D21*0.95</f>
        <v>13</v>
      </c>
      <c r="I21" s="0" t="n">
        <f aca="false">F21-D21*0.95</f>
        <v>1</v>
      </c>
    </row>
    <row r="22" customFormat="false" ht="12" hidden="false" customHeight="false" outlineLevel="0" collapsed="false">
      <c r="A22" s="41" t="n">
        <v>105</v>
      </c>
      <c r="B22" s="42" t="n">
        <v>7</v>
      </c>
      <c r="C22" s="42" t="n">
        <v>4</v>
      </c>
      <c r="D22" s="41" t="n">
        <v>105</v>
      </c>
      <c r="E22" s="0" t="n">
        <f aca="false">B22+E21</f>
        <v>115</v>
      </c>
      <c r="F22" s="0" t="n">
        <f aca="false">C22+F21</f>
        <v>100</v>
      </c>
      <c r="G22" s="0" t="n">
        <f aca="false">D22</f>
        <v>105</v>
      </c>
      <c r="H22" s="0" t="n">
        <f aca="false">E22-D22*0.95</f>
        <v>15.25</v>
      </c>
      <c r="I22" s="0" t="n">
        <f aca="false">F22-D22*0.95</f>
        <v>0.25</v>
      </c>
    </row>
    <row r="23" customFormat="false" ht="12" hidden="false" customHeight="false" outlineLevel="0" collapsed="false">
      <c r="A23" s="41" t="n">
        <v>110</v>
      </c>
      <c r="B23" s="42" t="n">
        <v>2</v>
      </c>
      <c r="C23" s="42" t="n">
        <v>6</v>
      </c>
      <c r="D23" s="41" t="n">
        <v>110</v>
      </c>
      <c r="E23" s="0" t="n">
        <f aca="false">B23+E22</f>
        <v>117</v>
      </c>
      <c r="F23" s="0" t="n">
        <f aca="false">C23+F22</f>
        <v>106</v>
      </c>
      <c r="G23" s="0" t="n">
        <f aca="false">D23</f>
        <v>110</v>
      </c>
      <c r="H23" s="0" t="n">
        <f aca="false">E23-D23*0.95</f>
        <v>12.5</v>
      </c>
      <c r="I23" s="0" t="n">
        <f aca="false">F23-D23*0.95</f>
        <v>1.5</v>
      </c>
    </row>
    <row r="24" customFormat="false" ht="12" hidden="false" customHeight="false" outlineLevel="0" collapsed="false">
      <c r="A24" s="41" t="n">
        <v>115</v>
      </c>
      <c r="B24" s="42" t="n">
        <v>6</v>
      </c>
      <c r="C24" s="42" t="n">
        <v>4</v>
      </c>
      <c r="D24" s="41" t="n">
        <v>115</v>
      </c>
      <c r="E24" s="0" t="n">
        <f aca="false">B24+E23</f>
        <v>123</v>
      </c>
      <c r="F24" s="0" t="n">
        <f aca="false">C24+F23</f>
        <v>110</v>
      </c>
      <c r="G24" s="0" t="n">
        <f aca="false">D24</f>
        <v>115</v>
      </c>
      <c r="H24" s="0" t="n">
        <f aca="false">E24-D24*0.95</f>
        <v>13.75</v>
      </c>
      <c r="I24" s="0" t="n">
        <f aca="false">F24-D24*0.95</f>
        <v>0.75</v>
      </c>
    </row>
    <row r="25" customFormat="false" ht="12" hidden="false" customHeight="false" outlineLevel="0" collapsed="false">
      <c r="A25" s="41" t="n">
        <v>120</v>
      </c>
      <c r="B25" s="42" t="n">
        <v>3</v>
      </c>
      <c r="C25" s="42" t="n">
        <v>6</v>
      </c>
      <c r="D25" s="41" t="n">
        <v>120</v>
      </c>
      <c r="E25" s="0" t="n">
        <f aca="false">B25+E24</f>
        <v>126</v>
      </c>
      <c r="F25" s="0" t="n">
        <f aca="false">C25+F24</f>
        <v>116</v>
      </c>
      <c r="G25" s="0" t="n">
        <f aca="false">D25</f>
        <v>120</v>
      </c>
      <c r="H25" s="0" t="n">
        <f aca="false">E25-D25*0.95</f>
        <v>12</v>
      </c>
      <c r="I25" s="0" t="n">
        <f aca="false">F25-D25*0.95</f>
        <v>2</v>
      </c>
    </row>
    <row r="26" customFormat="false" ht="12" hidden="false" customHeight="false" outlineLevel="0" collapsed="false">
      <c r="A26" s="41" t="n">
        <v>125</v>
      </c>
      <c r="B26" s="42" t="n">
        <v>3</v>
      </c>
      <c r="C26" s="42" t="n">
        <v>4</v>
      </c>
      <c r="D26" s="41" t="n">
        <v>125</v>
      </c>
      <c r="E26" s="0" t="n">
        <f aca="false">B26+E25</f>
        <v>129</v>
      </c>
      <c r="F26" s="0" t="n">
        <f aca="false">C26+F25</f>
        <v>120</v>
      </c>
      <c r="G26" s="0" t="n">
        <f aca="false">D26</f>
        <v>125</v>
      </c>
      <c r="H26" s="0" t="n">
        <f aca="false">E26-D26*0.95</f>
        <v>10.25</v>
      </c>
      <c r="I26" s="0" t="n">
        <f aca="false">F26-D26*0.95</f>
        <v>1.25</v>
      </c>
    </row>
    <row r="27" customFormat="false" ht="12" hidden="false" customHeight="false" outlineLevel="0" collapsed="false">
      <c r="A27" s="41" t="n">
        <v>130</v>
      </c>
      <c r="B27" s="42" t="n">
        <v>5</v>
      </c>
      <c r="C27" s="42" t="n">
        <v>5</v>
      </c>
      <c r="D27" s="41" t="n">
        <v>130</v>
      </c>
      <c r="E27" s="0" t="n">
        <f aca="false">B27+E26</f>
        <v>134</v>
      </c>
      <c r="F27" s="0" t="n">
        <f aca="false">C27+F26</f>
        <v>125</v>
      </c>
      <c r="G27" s="0" t="n">
        <f aca="false">D27</f>
        <v>130</v>
      </c>
      <c r="H27" s="0" t="n">
        <f aca="false">E27-D27*0.95</f>
        <v>10.5</v>
      </c>
      <c r="I27" s="0" t="n">
        <f aca="false">F27-D27*0.95</f>
        <v>1.5</v>
      </c>
    </row>
    <row r="28" customFormat="false" ht="12" hidden="false" customHeight="false" outlineLevel="0" collapsed="false">
      <c r="A28" s="41" t="n">
        <v>135</v>
      </c>
      <c r="B28" s="42" t="n">
        <v>3</v>
      </c>
      <c r="C28" s="42" t="n">
        <v>5</v>
      </c>
      <c r="D28" s="41" t="n">
        <v>135</v>
      </c>
      <c r="E28" s="0" t="n">
        <f aca="false">B28+E27</f>
        <v>137</v>
      </c>
      <c r="F28" s="0" t="n">
        <f aca="false">C28+F27</f>
        <v>130</v>
      </c>
      <c r="G28" s="0" t="n">
        <f aca="false">D28</f>
        <v>135</v>
      </c>
      <c r="H28" s="0" t="n">
        <f aca="false">E28-D28*0.95</f>
        <v>8.75</v>
      </c>
      <c r="I28" s="0" t="n">
        <f aca="false">F28-D28*0.95</f>
        <v>1.75</v>
      </c>
    </row>
    <row r="29" customFormat="false" ht="12" hidden="false" customHeight="false" outlineLevel="0" collapsed="false">
      <c r="A29" s="41" t="n">
        <v>140</v>
      </c>
      <c r="B29" s="42" t="n">
        <v>6</v>
      </c>
      <c r="C29" s="42" t="n">
        <v>6</v>
      </c>
      <c r="D29" s="41" t="n">
        <v>140</v>
      </c>
      <c r="E29" s="0" t="n">
        <f aca="false">B29+E28</f>
        <v>143</v>
      </c>
      <c r="F29" s="0" t="n">
        <f aca="false">C29+F28</f>
        <v>136</v>
      </c>
      <c r="G29" s="0" t="n">
        <f aca="false">D29</f>
        <v>140</v>
      </c>
      <c r="H29" s="0" t="n">
        <f aca="false">E29-D29*0.95</f>
        <v>10</v>
      </c>
      <c r="I29" s="0" t="n">
        <f aca="false">F29-D29*0.95</f>
        <v>3</v>
      </c>
    </row>
    <row r="30" customFormat="false" ht="12" hidden="false" customHeight="false" outlineLevel="0" collapsed="false">
      <c r="A30" s="41" t="n">
        <v>145</v>
      </c>
      <c r="B30" s="42" t="n">
        <v>3</v>
      </c>
      <c r="C30" s="42" t="n">
        <v>4</v>
      </c>
      <c r="D30" s="41" t="n">
        <v>145</v>
      </c>
      <c r="E30" s="0" t="n">
        <f aca="false">B30+E29</f>
        <v>146</v>
      </c>
      <c r="F30" s="0" t="n">
        <f aca="false">C30+F29</f>
        <v>140</v>
      </c>
      <c r="G30" s="0" t="n">
        <f aca="false">D30</f>
        <v>145</v>
      </c>
      <c r="H30" s="0" t="n">
        <f aca="false">E30-D30*0.95</f>
        <v>8.25</v>
      </c>
      <c r="I30" s="0" t="n">
        <f aca="false">F30-D30*0.95</f>
        <v>2.25</v>
      </c>
    </row>
    <row r="31" customFormat="false" ht="12" hidden="false" customHeight="false" outlineLevel="0" collapsed="false">
      <c r="A31" s="41" t="n">
        <v>150</v>
      </c>
      <c r="B31" s="42" t="n">
        <v>7</v>
      </c>
      <c r="C31" s="42" t="n">
        <v>6</v>
      </c>
      <c r="D31" s="41" t="n">
        <v>150</v>
      </c>
      <c r="E31" s="0" t="n">
        <f aca="false">B31+E30</f>
        <v>153</v>
      </c>
      <c r="F31" s="0" t="n">
        <f aca="false">C31+F30</f>
        <v>146</v>
      </c>
      <c r="G31" s="0" t="n">
        <f aca="false">D31</f>
        <v>150</v>
      </c>
      <c r="H31" s="0" t="n">
        <f aca="false">E31-D31*0.95</f>
        <v>10.5</v>
      </c>
      <c r="I31" s="0" t="n">
        <f aca="false">F31-D31*0.95</f>
        <v>3.5</v>
      </c>
    </row>
    <row r="32" customFormat="false" ht="12" hidden="false" customHeight="false" outlineLevel="0" collapsed="false">
      <c r="A32" s="41" t="n">
        <v>155</v>
      </c>
      <c r="B32" s="42" t="n">
        <v>8</v>
      </c>
      <c r="C32" s="42" t="n">
        <v>4</v>
      </c>
      <c r="D32" s="41" t="n">
        <v>155</v>
      </c>
      <c r="E32" s="0" t="n">
        <f aca="false">B32+E31</f>
        <v>161</v>
      </c>
      <c r="F32" s="0" t="n">
        <f aca="false">C32+F31</f>
        <v>150</v>
      </c>
      <c r="G32" s="0" t="n">
        <f aca="false">D32</f>
        <v>155</v>
      </c>
      <c r="H32" s="0" t="n">
        <f aca="false">E32-D32*0.95</f>
        <v>13.75</v>
      </c>
      <c r="I32" s="0" t="n">
        <f aca="false">F32-D32*0.95</f>
        <v>2.75</v>
      </c>
    </row>
    <row r="33" customFormat="false" ht="12" hidden="false" customHeight="false" outlineLevel="0" collapsed="false">
      <c r="A33" s="41" t="n">
        <v>160</v>
      </c>
      <c r="B33" s="42" t="n">
        <v>3</v>
      </c>
      <c r="C33" s="42" t="n">
        <v>6</v>
      </c>
      <c r="D33" s="41" t="n">
        <v>160</v>
      </c>
      <c r="E33" s="0" t="n">
        <f aca="false">B33+E32</f>
        <v>164</v>
      </c>
      <c r="F33" s="0" t="n">
        <f aca="false">C33+F32</f>
        <v>156</v>
      </c>
      <c r="G33" s="0" t="n">
        <f aca="false">D33</f>
        <v>160</v>
      </c>
      <c r="H33" s="0" t="n">
        <f aca="false">E33-D33*0.95</f>
        <v>12</v>
      </c>
      <c r="I33" s="0" t="n">
        <f aca="false">F33-D33*0.95</f>
        <v>4</v>
      </c>
    </row>
    <row r="34" customFormat="false" ht="12" hidden="false" customHeight="false" outlineLevel="0" collapsed="false">
      <c r="A34" s="41" t="n">
        <v>165</v>
      </c>
      <c r="B34" s="42" t="n">
        <v>0</v>
      </c>
      <c r="C34" s="42" t="n">
        <v>4</v>
      </c>
      <c r="D34" s="41" t="n">
        <v>165</v>
      </c>
      <c r="E34" s="0" t="n">
        <f aca="false">B34+E33</f>
        <v>164</v>
      </c>
      <c r="F34" s="0" t="n">
        <f aca="false">C34+F33</f>
        <v>160</v>
      </c>
      <c r="G34" s="0" t="n">
        <f aca="false">D34</f>
        <v>165</v>
      </c>
      <c r="H34" s="0" t="n">
        <f aca="false">E34-D34*0.95</f>
        <v>7.25</v>
      </c>
      <c r="I34" s="0" t="n">
        <f aca="false">F34-D34*0.95</f>
        <v>3.25</v>
      </c>
    </row>
    <row r="35" customFormat="false" ht="12" hidden="false" customHeight="false" outlineLevel="0" collapsed="false">
      <c r="A35" s="41" t="n">
        <v>170</v>
      </c>
      <c r="B35" s="42" t="n">
        <v>3</v>
      </c>
      <c r="C35" s="42" t="n">
        <v>6</v>
      </c>
      <c r="D35" s="41" t="n">
        <v>170</v>
      </c>
      <c r="E35" s="0" t="n">
        <f aca="false">B35+E34</f>
        <v>167</v>
      </c>
      <c r="F35" s="0" t="n">
        <f aca="false">C35+F34</f>
        <v>166</v>
      </c>
      <c r="G35" s="0" t="n">
        <f aca="false">D35</f>
        <v>170</v>
      </c>
      <c r="H35" s="0" t="n">
        <f aca="false">E35-D35*0.95</f>
        <v>5.5</v>
      </c>
      <c r="I35" s="0" t="n">
        <f aca="false">F35-D35*0.95</f>
        <v>4.5</v>
      </c>
    </row>
    <row r="36" customFormat="false" ht="12" hidden="false" customHeight="false" outlineLevel="0" collapsed="false">
      <c r="A36" s="41" t="n">
        <v>175</v>
      </c>
      <c r="B36" s="42" t="n">
        <v>1</v>
      </c>
      <c r="C36" s="42" t="n">
        <v>1</v>
      </c>
      <c r="D36" s="41" t="n">
        <v>175</v>
      </c>
      <c r="E36" s="0" t="n">
        <f aca="false">B36+E35</f>
        <v>168</v>
      </c>
      <c r="F36" s="0" t="n">
        <f aca="false">C36+F35</f>
        <v>167</v>
      </c>
      <c r="G36" s="0" t="n">
        <f aca="false">D36</f>
        <v>175</v>
      </c>
      <c r="H36" s="0" t="n">
        <f aca="false">E36-D36*0.95</f>
        <v>1.75</v>
      </c>
      <c r="I36" s="0" t="n">
        <f aca="false">F36-D36*0.95</f>
        <v>0.75</v>
      </c>
    </row>
    <row r="37" customFormat="false" ht="12" hidden="false" customHeight="false" outlineLevel="0" collapsed="false">
      <c r="A37" s="41" t="n">
        <v>180</v>
      </c>
      <c r="B37" s="42" t="n">
        <v>10</v>
      </c>
      <c r="C37" s="42" t="n">
        <v>4</v>
      </c>
      <c r="D37" s="41" t="n">
        <v>180</v>
      </c>
      <c r="E37" s="0" t="n">
        <f aca="false">B37+E36</f>
        <v>178</v>
      </c>
      <c r="F37" s="0" t="n">
        <f aca="false">C37+F36</f>
        <v>171</v>
      </c>
      <c r="G37" s="0" t="n">
        <f aca="false">D37</f>
        <v>180</v>
      </c>
      <c r="H37" s="0" t="n">
        <f aca="false">E37-D37*0.95</f>
        <v>7</v>
      </c>
      <c r="I37" s="0" t="n">
        <f aca="false">F37-D37*0.95</f>
        <v>0</v>
      </c>
    </row>
    <row r="38" customFormat="false" ht="12" hidden="false" customHeight="false" outlineLevel="0" collapsed="false">
      <c r="A38" s="41" t="n">
        <v>185</v>
      </c>
      <c r="B38" s="42" t="n">
        <v>1</v>
      </c>
      <c r="C38" s="42" t="n">
        <v>5</v>
      </c>
      <c r="D38" s="41" t="n">
        <v>185</v>
      </c>
      <c r="E38" s="0" t="n">
        <f aca="false">B38+E37</f>
        <v>179</v>
      </c>
      <c r="F38" s="0" t="n">
        <f aca="false">C38+F37</f>
        <v>176</v>
      </c>
      <c r="G38" s="0" t="n">
        <f aca="false">D38</f>
        <v>185</v>
      </c>
      <c r="H38" s="0" t="n">
        <f aca="false">E38-D38*0.95</f>
        <v>3.25</v>
      </c>
      <c r="I38" s="0" t="n">
        <f aca="false">F38-D38*0.95</f>
        <v>0.25</v>
      </c>
    </row>
    <row r="39" customFormat="false" ht="12" hidden="false" customHeight="false" outlineLevel="0" collapsed="false">
      <c r="A39" s="41" t="n">
        <v>190</v>
      </c>
      <c r="B39" s="42" t="n">
        <v>4</v>
      </c>
      <c r="C39" s="42" t="n">
        <v>4</v>
      </c>
      <c r="D39" s="41" t="n">
        <v>190</v>
      </c>
      <c r="E39" s="0" t="n">
        <f aca="false">B39+E38</f>
        <v>183</v>
      </c>
      <c r="F39" s="0" t="n">
        <f aca="false">C39+F38</f>
        <v>180</v>
      </c>
      <c r="G39" s="0" t="n">
        <f aca="false">D39</f>
        <v>190</v>
      </c>
      <c r="H39" s="0" t="n">
        <f aca="false">E39-D39*0.95</f>
        <v>2.5</v>
      </c>
      <c r="I39" s="0" t="n">
        <f aca="false">F39-D39*0.95</f>
        <v>-0.5</v>
      </c>
    </row>
    <row r="40" customFormat="false" ht="12" hidden="false" customHeight="false" outlineLevel="0" collapsed="false">
      <c r="A40" s="41" t="n">
        <v>195</v>
      </c>
      <c r="B40" s="42" t="n">
        <v>4</v>
      </c>
      <c r="C40" s="42" t="n">
        <v>4</v>
      </c>
      <c r="D40" s="41" t="n">
        <v>195</v>
      </c>
      <c r="E40" s="0" t="n">
        <f aca="false">B40+E39</f>
        <v>187</v>
      </c>
      <c r="F40" s="0" t="n">
        <f aca="false">C40+F39</f>
        <v>184</v>
      </c>
      <c r="G40" s="0" t="n">
        <f aca="false">D40</f>
        <v>195</v>
      </c>
      <c r="H40" s="0" t="n">
        <f aca="false">E40-D40*0.95</f>
        <v>1.75</v>
      </c>
      <c r="I40" s="0" t="n">
        <f aca="false">F40-D40*0.95</f>
        <v>-1.25</v>
      </c>
    </row>
    <row r="41" customFormat="false" ht="12" hidden="false" customHeight="false" outlineLevel="0" collapsed="false">
      <c r="A41" s="41" t="n">
        <v>200</v>
      </c>
      <c r="B41" s="42" t="n">
        <v>5</v>
      </c>
      <c r="C41" s="42" t="n">
        <v>5</v>
      </c>
      <c r="D41" s="41" t="n">
        <v>200</v>
      </c>
      <c r="E41" s="0" t="n">
        <f aca="false">B41+E40</f>
        <v>192</v>
      </c>
      <c r="F41" s="0" t="n">
        <f aca="false">C41+F40</f>
        <v>189</v>
      </c>
      <c r="G41" s="0" t="n">
        <f aca="false">D41</f>
        <v>200</v>
      </c>
      <c r="H41" s="0" t="n">
        <f aca="false">E41-D41*0.95</f>
        <v>2</v>
      </c>
      <c r="I41" s="0" t="n">
        <f aca="false">F41-D41*0.95</f>
        <v>-1</v>
      </c>
    </row>
    <row r="42" customFormat="false" ht="12" hidden="false" customHeight="false" outlineLevel="0" collapsed="false">
      <c r="A42" s="41" t="n">
        <v>205</v>
      </c>
      <c r="B42" s="42" t="n">
        <v>1</v>
      </c>
      <c r="C42" s="42" t="n">
        <v>4</v>
      </c>
      <c r="D42" s="41" t="n">
        <v>205</v>
      </c>
      <c r="E42" s="0" t="n">
        <f aca="false">B42+E41</f>
        <v>193</v>
      </c>
      <c r="F42" s="0" t="n">
        <f aca="false">C42+F41</f>
        <v>193</v>
      </c>
      <c r="G42" s="0" t="n">
        <f aca="false">D42</f>
        <v>205</v>
      </c>
      <c r="H42" s="0" t="n">
        <f aca="false">E42-D42*0.95</f>
        <v>-1.75</v>
      </c>
      <c r="I42" s="0" t="n">
        <f aca="false">F42-D42*0.95</f>
        <v>-1.75</v>
      </c>
    </row>
    <row r="43" customFormat="false" ht="12" hidden="false" customHeight="false" outlineLevel="0" collapsed="false">
      <c r="A43" s="41" t="n">
        <v>210</v>
      </c>
      <c r="B43" s="42" t="n">
        <v>3</v>
      </c>
      <c r="C43" s="42" t="n">
        <v>1</v>
      </c>
      <c r="D43" s="41" t="n">
        <v>210</v>
      </c>
      <c r="E43" s="0" t="n">
        <f aca="false">B43+E42</f>
        <v>196</v>
      </c>
      <c r="F43" s="0" t="n">
        <f aca="false">C43+F42</f>
        <v>194</v>
      </c>
      <c r="G43" s="0" t="n">
        <f aca="false">D43</f>
        <v>210</v>
      </c>
      <c r="H43" s="0" t="n">
        <f aca="false">E43-D43*0.95</f>
        <v>-3.5</v>
      </c>
      <c r="I43" s="0" t="n">
        <f aca="false">F43-D43*0.95</f>
        <v>-5.5</v>
      </c>
    </row>
    <row r="44" customFormat="false" ht="12" hidden="false" customHeight="false" outlineLevel="0" collapsed="false">
      <c r="A44" s="41" t="n">
        <v>215</v>
      </c>
      <c r="B44" s="42" t="n">
        <v>8</v>
      </c>
      <c r="C44" s="42" t="n">
        <v>5</v>
      </c>
      <c r="D44" s="41" t="n">
        <v>215</v>
      </c>
      <c r="E44" s="0" t="n">
        <f aca="false">B44+E43</f>
        <v>204</v>
      </c>
      <c r="F44" s="0" t="n">
        <f aca="false">C44+F43</f>
        <v>199</v>
      </c>
      <c r="G44" s="0" t="n">
        <f aca="false">D44</f>
        <v>215</v>
      </c>
      <c r="H44" s="0" t="n">
        <f aca="false">E44-D44*0.95</f>
        <v>-0.25</v>
      </c>
      <c r="I44" s="0" t="n">
        <f aca="false">F44-D44*0.95</f>
        <v>-5.25</v>
      </c>
    </row>
    <row r="45" customFormat="false" ht="12" hidden="false" customHeight="false" outlineLevel="0" collapsed="false">
      <c r="A45" s="41" t="n">
        <v>220</v>
      </c>
      <c r="B45" s="42" t="n">
        <v>9</v>
      </c>
      <c r="C45" s="42" t="n">
        <v>4</v>
      </c>
      <c r="D45" s="41" t="n">
        <v>220</v>
      </c>
      <c r="E45" s="0" t="n">
        <f aca="false">B45+E44</f>
        <v>213</v>
      </c>
      <c r="F45" s="0" t="n">
        <f aca="false">C45+F44</f>
        <v>203</v>
      </c>
      <c r="G45" s="0" t="n">
        <f aca="false">D45</f>
        <v>220</v>
      </c>
      <c r="H45" s="0" t="n">
        <f aca="false">E45-D45*0.95</f>
        <v>4</v>
      </c>
      <c r="I45" s="0" t="n">
        <f aca="false">F45-D45*0.95</f>
        <v>-6</v>
      </c>
    </row>
    <row r="46" customFormat="false" ht="12" hidden="false" customHeight="false" outlineLevel="0" collapsed="false">
      <c r="A46" s="41" t="n">
        <v>225</v>
      </c>
      <c r="B46" s="42" t="n">
        <v>6</v>
      </c>
      <c r="C46" s="42" t="n">
        <v>6</v>
      </c>
      <c r="D46" s="41" t="n">
        <v>225</v>
      </c>
      <c r="E46" s="0" t="n">
        <f aca="false">B46+E45</f>
        <v>219</v>
      </c>
      <c r="F46" s="0" t="n">
        <f aca="false">C46+F45</f>
        <v>209</v>
      </c>
      <c r="G46" s="0" t="n">
        <f aca="false">D46</f>
        <v>225</v>
      </c>
      <c r="H46" s="0" t="n">
        <f aca="false">E46-D46*0.95</f>
        <v>5.25</v>
      </c>
      <c r="I46" s="0" t="n">
        <f aca="false">F46-D46*0.95</f>
        <v>-4.75</v>
      </c>
    </row>
    <row r="47" customFormat="false" ht="12" hidden="false" customHeight="false" outlineLevel="0" collapsed="false">
      <c r="A47" s="41" t="n">
        <v>230</v>
      </c>
      <c r="B47" s="42" t="n">
        <v>1</v>
      </c>
      <c r="C47" s="42" t="n">
        <v>4</v>
      </c>
      <c r="D47" s="41" t="n">
        <v>230</v>
      </c>
      <c r="E47" s="0" t="n">
        <f aca="false">B47+E46</f>
        <v>220</v>
      </c>
      <c r="F47" s="0" t="n">
        <f aca="false">C47+F46</f>
        <v>213</v>
      </c>
      <c r="G47" s="0" t="n">
        <f aca="false">D47</f>
        <v>230</v>
      </c>
      <c r="H47" s="0" t="n">
        <f aca="false">E47-D47*0.95</f>
        <v>1.5</v>
      </c>
      <c r="I47" s="0" t="n">
        <f aca="false">F47-D47*0.95</f>
        <v>-5.5</v>
      </c>
    </row>
    <row r="48" customFormat="false" ht="12" hidden="false" customHeight="false" outlineLevel="0" collapsed="false">
      <c r="A48" s="41" t="n">
        <v>235</v>
      </c>
      <c r="B48" s="42" t="n">
        <v>6</v>
      </c>
      <c r="C48" s="42" t="n">
        <v>5</v>
      </c>
      <c r="D48" s="41" t="n">
        <v>235</v>
      </c>
      <c r="E48" s="0" t="n">
        <f aca="false">B48+E47</f>
        <v>226</v>
      </c>
      <c r="F48" s="0" t="n">
        <f aca="false">C48+F47</f>
        <v>218</v>
      </c>
      <c r="G48" s="0" t="n">
        <f aca="false">D48</f>
        <v>235</v>
      </c>
      <c r="H48" s="0" t="n">
        <f aca="false">E48-D48*0.95</f>
        <v>2.75</v>
      </c>
      <c r="I48" s="0" t="n">
        <f aca="false">F48-D48*0.95</f>
        <v>-5.25</v>
      </c>
    </row>
    <row r="49" customFormat="false" ht="12" hidden="false" customHeight="false" outlineLevel="0" collapsed="false">
      <c r="A49" s="41" t="n">
        <v>240</v>
      </c>
      <c r="B49" s="42" t="n">
        <v>9</v>
      </c>
      <c r="C49" s="42" t="n">
        <v>5</v>
      </c>
      <c r="D49" s="41" t="n">
        <v>240</v>
      </c>
      <c r="E49" s="0" t="n">
        <f aca="false">B49+E48</f>
        <v>235</v>
      </c>
      <c r="F49" s="0" t="n">
        <f aca="false">C49+F48</f>
        <v>223</v>
      </c>
      <c r="G49" s="0" t="n">
        <f aca="false">D49</f>
        <v>240</v>
      </c>
      <c r="H49" s="0" t="n">
        <f aca="false">E49-D49*0.95</f>
        <v>7</v>
      </c>
      <c r="I49" s="0" t="n">
        <f aca="false">F49-D49*0.95</f>
        <v>-5</v>
      </c>
    </row>
    <row r="50" customFormat="false" ht="12" hidden="false" customHeight="false" outlineLevel="0" collapsed="false">
      <c r="A50" s="41" t="n">
        <v>245</v>
      </c>
      <c r="B50" s="42" t="n">
        <v>2</v>
      </c>
      <c r="C50" s="42" t="n">
        <v>4</v>
      </c>
      <c r="D50" s="41" t="n">
        <v>245</v>
      </c>
      <c r="E50" s="0" t="n">
        <f aca="false">B50+E49</f>
        <v>237</v>
      </c>
      <c r="F50" s="0" t="n">
        <f aca="false">C50+F49</f>
        <v>227</v>
      </c>
      <c r="G50" s="0" t="n">
        <f aca="false">D50</f>
        <v>245</v>
      </c>
      <c r="H50" s="0" t="n">
        <f aca="false">E50-D50*0.95</f>
        <v>4.25</v>
      </c>
      <c r="I50" s="0" t="n">
        <f aca="false">F50-D50*0.95</f>
        <v>-5.75</v>
      </c>
    </row>
    <row r="51" customFormat="false" ht="12" hidden="false" customHeight="false" outlineLevel="0" collapsed="false">
      <c r="A51" s="41" t="n">
        <v>250</v>
      </c>
      <c r="B51" s="42" t="n">
        <v>5</v>
      </c>
      <c r="C51" s="42" t="n">
        <v>6</v>
      </c>
      <c r="D51" s="41" t="n">
        <v>250</v>
      </c>
      <c r="E51" s="0" t="n">
        <f aca="false">B51+E50</f>
        <v>242</v>
      </c>
      <c r="F51" s="0" t="n">
        <f aca="false">C51+F50</f>
        <v>233</v>
      </c>
      <c r="G51" s="0" t="n">
        <f aca="false">D51</f>
        <v>250</v>
      </c>
      <c r="H51" s="0" t="n">
        <f aca="false">E51-D51*0.95</f>
        <v>4.5</v>
      </c>
      <c r="I51" s="0" t="n">
        <f aca="false">F51-D51*0.95</f>
        <v>-4.5</v>
      </c>
    </row>
    <row r="52" customFormat="false" ht="12" hidden="false" customHeight="false" outlineLevel="0" collapsed="false">
      <c r="A52" s="41" t="n">
        <v>255</v>
      </c>
      <c r="B52" s="42" t="n">
        <v>2</v>
      </c>
      <c r="C52" s="42" t="n">
        <v>5</v>
      </c>
      <c r="D52" s="41" t="n">
        <v>255</v>
      </c>
      <c r="E52" s="0" t="n">
        <f aca="false">B52+E51</f>
        <v>244</v>
      </c>
      <c r="F52" s="0" t="n">
        <f aca="false">C52+F51</f>
        <v>238</v>
      </c>
      <c r="G52" s="0" t="n">
        <f aca="false">D52</f>
        <v>255</v>
      </c>
      <c r="H52" s="0" t="n">
        <f aca="false">E52-D52*0.95</f>
        <v>1.75</v>
      </c>
      <c r="I52" s="0" t="n">
        <f aca="false">F52-D52*0.95</f>
        <v>-4.25</v>
      </c>
    </row>
    <row r="53" customFormat="false" ht="12" hidden="false" customHeight="false" outlineLevel="0" collapsed="false">
      <c r="A53" s="41" t="n">
        <v>260</v>
      </c>
      <c r="B53" s="42" t="n">
        <v>5</v>
      </c>
      <c r="C53" s="42" t="n">
        <v>5</v>
      </c>
      <c r="D53" s="41" t="n">
        <v>260</v>
      </c>
      <c r="E53" s="0" t="n">
        <f aca="false">B53+E52</f>
        <v>249</v>
      </c>
      <c r="F53" s="0" t="n">
        <f aca="false">C53+F52</f>
        <v>243</v>
      </c>
      <c r="G53" s="0" t="n">
        <f aca="false">D53</f>
        <v>260</v>
      </c>
      <c r="H53" s="0" t="n">
        <f aca="false">E53-D53*0.95</f>
        <v>2</v>
      </c>
      <c r="I53" s="0" t="n">
        <f aca="false">F53-D53*0.95</f>
        <v>-4</v>
      </c>
    </row>
    <row r="54" customFormat="false" ht="12" hidden="false" customHeight="false" outlineLevel="0" collapsed="false">
      <c r="A54" s="41" t="n">
        <v>265</v>
      </c>
      <c r="B54" s="42" t="n">
        <v>7</v>
      </c>
      <c r="C54" s="42" t="n">
        <v>4</v>
      </c>
      <c r="D54" s="41" t="n">
        <v>265</v>
      </c>
      <c r="E54" s="0" t="n">
        <f aca="false">B54+E53</f>
        <v>256</v>
      </c>
      <c r="F54" s="0" t="n">
        <f aca="false">C54+F53</f>
        <v>247</v>
      </c>
      <c r="G54" s="0" t="n">
        <f aca="false">D54</f>
        <v>265</v>
      </c>
      <c r="H54" s="0" t="n">
        <f aca="false">E54-D54*0.95</f>
        <v>4.25</v>
      </c>
      <c r="I54" s="0" t="n">
        <f aca="false">F54-D54*0.95</f>
        <v>-4.75</v>
      </c>
    </row>
    <row r="55" customFormat="false" ht="12" hidden="false" customHeight="false" outlineLevel="0" collapsed="false">
      <c r="A55" s="41" t="n">
        <v>270</v>
      </c>
      <c r="B55" s="42" t="n">
        <v>5</v>
      </c>
      <c r="C55" s="42" t="n">
        <v>6</v>
      </c>
      <c r="D55" s="41" t="n">
        <v>270</v>
      </c>
      <c r="E55" s="0" t="n">
        <f aca="false">B55+E54</f>
        <v>261</v>
      </c>
      <c r="F55" s="0" t="n">
        <f aca="false">C55+F54</f>
        <v>253</v>
      </c>
      <c r="G55" s="0" t="n">
        <f aca="false">D55</f>
        <v>270</v>
      </c>
      <c r="H55" s="0" t="n">
        <f aca="false">E55-D55*0.95</f>
        <v>4.5</v>
      </c>
      <c r="I55" s="0" t="n">
        <f aca="false">F55-D55*0.95</f>
        <v>-3.5</v>
      </c>
    </row>
    <row r="56" customFormat="false" ht="12" hidden="false" customHeight="false" outlineLevel="0" collapsed="false">
      <c r="A56" s="41" t="n">
        <v>275</v>
      </c>
      <c r="B56" s="42" t="n">
        <v>7</v>
      </c>
      <c r="C56" s="42" t="n">
        <v>4</v>
      </c>
      <c r="D56" s="41" t="n">
        <v>275</v>
      </c>
      <c r="E56" s="0" t="n">
        <f aca="false">B56+E55</f>
        <v>268</v>
      </c>
      <c r="F56" s="0" t="n">
        <f aca="false">C56+F55</f>
        <v>257</v>
      </c>
      <c r="G56" s="0" t="n">
        <f aca="false">D56</f>
        <v>275</v>
      </c>
      <c r="H56" s="0" t="n">
        <f aca="false">E56-D56*0.95</f>
        <v>6.75</v>
      </c>
      <c r="I56" s="0" t="n">
        <f aca="false">F56-D56*0.95</f>
        <v>-4.25</v>
      </c>
    </row>
    <row r="57" customFormat="false" ht="12" hidden="false" customHeight="false" outlineLevel="0" collapsed="false">
      <c r="A57" s="41" t="n">
        <v>280</v>
      </c>
      <c r="B57" s="42" t="n">
        <v>4</v>
      </c>
      <c r="C57" s="42" t="n">
        <v>6</v>
      </c>
      <c r="D57" s="41" t="n">
        <v>280</v>
      </c>
      <c r="E57" s="0" t="n">
        <f aca="false">B57+E56</f>
        <v>272</v>
      </c>
      <c r="F57" s="0" t="n">
        <f aca="false">C57+F56</f>
        <v>263</v>
      </c>
      <c r="G57" s="0" t="n">
        <f aca="false">D57</f>
        <v>280</v>
      </c>
      <c r="H57" s="0" t="n">
        <f aca="false">E57-D57*0.95</f>
        <v>6</v>
      </c>
      <c r="I57" s="0" t="n">
        <f aca="false">F57-D57*0.95</f>
        <v>-3</v>
      </c>
    </row>
    <row r="58" customFormat="false" ht="12" hidden="false" customHeight="false" outlineLevel="0" collapsed="false">
      <c r="A58" s="41" t="n">
        <v>285</v>
      </c>
      <c r="B58" s="42" t="n">
        <v>4</v>
      </c>
      <c r="C58" s="42" t="n">
        <v>4</v>
      </c>
      <c r="D58" s="41" t="n">
        <v>285</v>
      </c>
      <c r="E58" s="0" t="n">
        <f aca="false">B58+E57</f>
        <v>276</v>
      </c>
      <c r="F58" s="0" t="n">
        <f aca="false">C58+F57</f>
        <v>267</v>
      </c>
      <c r="G58" s="0" t="n">
        <f aca="false">D58</f>
        <v>285</v>
      </c>
      <c r="H58" s="0" t="n">
        <f aca="false">E58-D58*0.95</f>
        <v>5.25</v>
      </c>
      <c r="I58" s="0" t="n">
        <f aca="false">F58-D58*0.95</f>
        <v>-3.75</v>
      </c>
    </row>
    <row r="59" customFormat="false" ht="12" hidden="false" customHeight="false" outlineLevel="0" collapsed="false">
      <c r="A59" s="41" t="n">
        <v>290</v>
      </c>
      <c r="B59" s="42" t="n">
        <v>3</v>
      </c>
      <c r="C59" s="42" t="n">
        <v>6</v>
      </c>
      <c r="D59" s="41" t="n">
        <v>290</v>
      </c>
      <c r="E59" s="0" t="n">
        <f aca="false">B59+E58</f>
        <v>279</v>
      </c>
      <c r="F59" s="0" t="n">
        <f aca="false">C59+F58</f>
        <v>273</v>
      </c>
      <c r="G59" s="0" t="n">
        <f aca="false">D59</f>
        <v>290</v>
      </c>
      <c r="H59" s="0" t="n">
        <f aca="false">E59-D59*0.95</f>
        <v>3.5</v>
      </c>
      <c r="I59" s="0" t="n">
        <f aca="false">F59-D59*0.95</f>
        <v>-2.5</v>
      </c>
    </row>
    <row r="60" customFormat="false" ht="12" hidden="false" customHeight="false" outlineLevel="0" collapsed="false">
      <c r="A60" s="41" t="n">
        <v>295</v>
      </c>
      <c r="B60" s="42" t="n">
        <v>4</v>
      </c>
      <c r="C60" s="42" t="n">
        <v>4</v>
      </c>
      <c r="D60" s="41" t="n">
        <v>295</v>
      </c>
      <c r="E60" s="0" t="n">
        <f aca="false">B60+E59</f>
        <v>283</v>
      </c>
      <c r="F60" s="0" t="n">
        <f aca="false">C60+F59</f>
        <v>277</v>
      </c>
      <c r="G60" s="0" t="n">
        <f aca="false">D60</f>
        <v>295</v>
      </c>
      <c r="H60" s="0" t="n">
        <f aca="false">E60-D60*0.95</f>
        <v>2.75</v>
      </c>
      <c r="I60" s="0" t="n">
        <f aca="false">F60-D60*0.95</f>
        <v>-3.25</v>
      </c>
    </row>
    <row r="61" customFormat="false" ht="12" hidden="false" customHeight="false" outlineLevel="0" collapsed="false">
      <c r="A61" s="41" t="n">
        <v>300</v>
      </c>
      <c r="B61" s="42" t="n">
        <v>0</v>
      </c>
      <c r="C61" s="42" t="n">
        <v>5</v>
      </c>
      <c r="D61" s="41" t="n">
        <v>300</v>
      </c>
      <c r="E61" s="0" t="n">
        <f aca="false">B61+E60</f>
        <v>283</v>
      </c>
      <c r="F61" s="0" t="n">
        <f aca="false">C61+F60</f>
        <v>282</v>
      </c>
      <c r="G61" s="0" t="n">
        <f aca="false">D61</f>
        <v>300</v>
      </c>
      <c r="H61" s="0" t="n">
        <f aca="false">E61-D61*0.95</f>
        <v>-2</v>
      </c>
      <c r="I61" s="0" t="n">
        <f aca="false">F61-D61*0.95</f>
        <v>-3</v>
      </c>
    </row>
    <row r="62" customFormat="false" ht="12" hidden="false" customHeight="false" outlineLevel="0" collapsed="false">
      <c r="A62" s="41" t="n">
        <v>305</v>
      </c>
      <c r="B62" s="42" t="n">
        <v>7</v>
      </c>
      <c r="C62" s="42" t="n">
        <v>3</v>
      </c>
      <c r="D62" s="41" t="n">
        <v>305</v>
      </c>
      <c r="E62" s="0" t="n">
        <f aca="false">B62+E61</f>
        <v>290</v>
      </c>
      <c r="F62" s="0" t="n">
        <f aca="false">C62+F61</f>
        <v>285</v>
      </c>
      <c r="G62" s="0" t="n">
        <f aca="false">D62</f>
        <v>305</v>
      </c>
      <c r="H62" s="0" t="n">
        <f aca="false">E62-D62*0.95</f>
        <v>0.25</v>
      </c>
      <c r="I62" s="0" t="n">
        <f aca="false">F62-D62*0.95</f>
        <v>-4.75</v>
      </c>
    </row>
    <row r="63" customFormat="false" ht="12" hidden="false" customHeight="false" outlineLevel="0" collapsed="false">
      <c r="A63" s="41" t="n">
        <v>310</v>
      </c>
      <c r="B63" s="42" t="n">
        <v>4</v>
      </c>
      <c r="C63" s="42" t="n">
        <v>6</v>
      </c>
      <c r="D63" s="41" t="n">
        <v>310</v>
      </c>
      <c r="E63" s="0" t="n">
        <f aca="false">B63+E62</f>
        <v>294</v>
      </c>
      <c r="F63" s="0" t="n">
        <f aca="false">C63+F62</f>
        <v>291</v>
      </c>
      <c r="G63" s="0" t="n">
        <f aca="false">D63</f>
        <v>310</v>
      </c>
      <c r="H63" s="0" t="n">
        <f aca="false">E63-D63*0.95</f>
        <v>-0.5</v>
      </c>
      <c r="I63" s="0" t="n">
        <f aca="false">F63-D63*0.95</f>
        <v>-3.5</v>
      </c>
    </row>
    <row r="64" customFormat="false" ht="12" hidden="false" customHeight="false" outlineLevel="0" collapsed="false">
      <c r="A64" s="41" t="n">
        <v>315</v>
      </c>
      <c r="B64" s="42" t="n">
        <v>6</v>
      </c>
      <c r="C64" s="42" t="n">
        <v>4</v>
      </c>
      <c r="D64" s="41" t="n">
        <v>315</v>
      </c>
      <c r="E64" s="0" t="n">
        <f aca="false">B64+E63</f>
        <v>300</v>
      </c>
      <c r="F64" s="0" t="n">
        <f aca="false">C64+F63</f>
        <v>295</v>
      </c>
      <c r="G64" s="0" t="n">
        <f aca="false">D64</f>
        <v>315</v>
      </c>
      <c r="H64" s="0" t="n">
        <f aca="false">E64-D64*0.95</f>
        <v>0.75</v>
      </c>
      <c r="I64" s="0" t="n">
        <f aca="false">F64-D64*0.95</f>
        <v>-4.25</v>
      </c>
    </row>
    <row r="65" customFormat="false" ht="12" hidden="false" customHeight="false" outlineLevel="0" collapsed="false">
      <c r="A65" s="41" t="n">
        <v>320</v>
      </c>
      <c r="B65" s="42" t="n">
        <v>3</v>
      </c>
      <c r="C65" s="42" t="n">
        <v>6</v>
      </c>
      <c r="D65" s="41" t="n">
        <v>320</v>
      </c>
      <c r="E65" s="0" t="n">
        <f aca="false">B65+E64</f>
        <v>303</v>
      </c>
      <c r="F65" s="0" t="n">
        <f aca="false">C65+F64</f>
        <v>301</v>
      </c>
      <c r="G65" s="0" t="n">
        <f aca="false">D65</f>
        <v>320</v>
      </c>
      <c r="H65" s="0" t="n">
        <f aca="false">E65-D65*0.95</f>
        <v>-1</v>
      </c>
      <c r="I65" s="0" t="n">
        <f aca="false">F65-D65*0.95</f>
        <v>-3</v>
      </c>
    </row>
    <row r="66" customFormat="false" ht="12" hidden="false" customHeight="false" outlineLevel="0" collapsed="false">
      <c r="A66" s="41" t="n">
        <v>325</v>
      </c>
      <c r="B66" s="42" t="n">
        <v>6</v>
      </c>
      <c r="C66" s="42" t="n">
        <v>4</v>
      </c>
      <c r="D66" s="41" t="n">
        <v>325</v>
      </c>
      <c r="E66" s="0" t="n">
        <f aca="false">B66+E65</f>
        <v>309</v>
      </c>
      <c r="F66" s="0" t="n">
        <f aca="false">C66+F65</f>
        <v>305</v>
      </c>
      <c r="G66" s="0" t="n">
        <f aca="false">D66</f>
        <v>325</v>
      </c>
      <c r="H66" s="0" t="n">
        <f aca="false">E66-D66*0.95</f>
        <v>0.25</v>
      </c>
      <c r="I66" s="0" t="n">
        <f aca="false">F66-D66*0.95</f>
        <v>-3.75</v>
      </c>
    </row>
    <row r="67" customFormat="false" ht="12" hidden="false" customHeight="false" outlineLevel="0" collapsed="false">
      <c r="A67" s="41" t="n">
        <v>330</v>
      </c>
      <c r="B67" s="42" t="n">
        <v>2</v>
      </c>
      <c r="C67" s="42" t="n">
        <v>4</v>
      </c>
      <c r="D67" s="41" t="n">
        <v>330</v>
      </c>
      <c r="E67" s="0" t="n">
        <f aca="false">B67+E66</f>
        <v>311</v>
      </c>
      <c r="F67" s="0" t="n">
        <f aca="false">C67+F66</f>
        <v>309</v>
      </c>
      <c r="G67" s="0" t="n">
        <f aca="false">D67</f>
        <v>330</v>
      </c>
      <c r="H67" s="0" t="n">
        <f aca="false">E67-D67*0.95</f>
        <v>-2.5</v>
      </c>
      <c r="I67" s="0" t="n">
        <f aca="false">F67-D67*0.95</f>
        <v>-4.5</v>
      </c>
    </row>
    <row r="68" customFormat="false" ht="12" hidden="false" customHeight="false" outlineLevel="0" collapsed="false">
      <c r="A68" s="41" t="n">
        <v>335</v>
      </c>
      <c r="B68" s="42" t="n">
        <v>4</v>
      </c>
      <c r="C68" s="42" t="n">
        <v>4</v>
      </c>
      <c r="D68" s="41" t="n">
        <v>335</v>
      </c>
      <c r="E68" s="0" t="n">
        <f aca="false">B68+E67</f>
        <v>315</v>
      </c>
      <c r="F68" s="0" t="n">
        <f aca="false">C68+F67</f>
        <v>313</v>
      </c>
      <c r="G68" s="0" t="n">
        <f aca="false">D68</f>
        <v>335</v>
      </c>
      <c r="H68" s="0" t="n">
        <f aca="false">E68-D68*0.95</f>
        <v>-3.25</v>
      </c>
      <c r="I68" s="0" t="n">
        <f aca="false">F68-D68*0.95</f>
        <v>-5.25</v>
      </c>
    </row>
    <row r="69" customFormat="false" ht="12" hidden="false" customHeight="false" outlineLevel="0" collapsed="false">
      <c r="A69" s="41" t="n">
        <v>340</v>
      </c>
      <c r="B69" s="42" t="n">
        <v>6</v>
      </c>
      <c r="C69" s="42" t="n">
        <v>4</v>
      </c>
      <c r="D69" s="41" t="n">
        <v>340</v>
      </c>
      <c r="E69" s="0" t="n">
        <f aca="false">B69+E68</f>
        <v>321</v>
      </c>
      <c r="F69" s="0" t="n">
        <f aca="false">C69+F68</f>
        <v>317</v>
      </c>
      <c r="G69" s="0" t="n">
        <f aca="false">D69</f>
        <v>340</v>
      </c>
      <c r="H69" s="0" t="n">
        <f aca="false">E69-D69*0.95</f>
        <v>-2</v>
      </c>
      <c r="I69" s="0" t="n">
        <f aca="false">F69-D69*0.95</f>
        <v>-6</v>
      </c>
    </row>
    <row r="70" customFormat="false" ht="12" hidden="false" customHeight="false" outlineLevel="0" collapsed="false">
      <c r="A70" s="41" t="n">
        <v>345</v>
      </c>
      <c r="B70" s="42" t="n">
        <v>1</v>
      </c>
      <c r="C70" s="42" t="n">
        <v>4</v>
      </c>
      <c r="D70" s="41" t="n">
        <v>345</v>
      </c>
      <c r="E70" s="0" t="n">
        <f aca="false">B70+E69</f>
        <v>322</v>
      </c>
      <c r="F70" s="0" t="n">
        <f aca="false">C70+F69</f>
        <v>321</v>
      </c>
      <c r="G70" s="0" t="n">
        <f aca="false">D70</f>
        <v>345</v>
      </c>
      <c r="H70" s="0" t="n">
        <f aca="false">E70-D70*0.95</f>
        <v>-5.75</v>
      </c>
      <c r="I70" s="0" t="n">
        <f aca="false">F70-D70*0.95</f>
        <v>-6.75</v>
      </c>
    </row>
    <row r="71" customFormat="false" ht="12" hidden="false" customHeight="false" outlineLevel="0" collapsed="false">
      <c r="A71" s="41" t="n">
        <v>350</v>
      </c>
      <c r="B71" s="42" t="n">
        <v>6</v>
      </c>
      <c r="C71" s="42" t="n">
        <v>4</v>
      </c>
      <c r="D71" s="41" t="n">
        <v>350</v>
      </c>
      <c r="E71" s="0" t="n">
        <f aca="false">B71+E70</f>
        <v>328</v>
      </c>
      <c r="F71" s="0" t="n">
        <f aca="false">C71+F70</f>
        <v>325</v>
      </c>
      <c r="G71" s="0" t="n">
        <f aca="false">D71</f>
        <v>350</v>
      </c>
      <c r="H71" s="0" t="n">
        <f aca="false">E71-D71*0.95</f>
        <v>-4.5</v>
      </c>
      <c r="I71" s="0" t="n">
        <f aca="false">F71-D71*0.95</f>
        <v>-7.5</v>
      </c>
    </row>
    <row r="72" customFormat="false" ht="12" hidden="false" customHeight="false" outlineLevel="0" collapsed="false">
      <c r="A72" s="41" t="n">
        <v>355</v>
      </c>
      <c r="B72" s="42" t="n">
        <v>7</v>
      </c>
      <c r="C72" s="42" t="n">
        <v>5</v>
      </c>
      <c r="D72" s="41" t="n">
        <v>355</v>
      </c>
      <c r="E72" s="0" t="n">
        <f aca="false">B72+E71</f>
        <v>335</v>
      </c>
      <c r="F72" s="0" t="n">
        <f aca="false">C72+F71</f>
        <v>330</v>
      </c>
      <c r="G72" s="0" t="n">
        <f aca="false">D72</f>
        <v>355</v>
      </c>
      <c r="H72" s="0" t="n">
        <f aca="false">E72-D72*0.95</f>
        <v>-2.25</v>
      </c>
      <c r="I72" s="0" t="n">
        <f aca="false">F72-D72*0.95</f>
        <v>-7.25</v>
      </c>
    </row>
    <row r="73" customFormat="false" ht="12" hidden="false" customHeight="false" outlineLevel="0" collapsed="false">
      <c r="A73" s="41" t="n">
        <v>360</v>
      </c>
      <c r="B73" s="42" t="n">
        <v>2</v>
      </c>
      <c r="C73" s="42" t="n">
        <v>4</v>
      </c>
      <c r="D73" s="41" t="n">
        <v>360</v>
      </c>
      <c r="E73" s="0" t="n">
        <f aca="false">B73+E72</f>
        <v>337</v>
      </c>
      <c r="F73" s="0" t="n">
        <f aca="false">C73+F72</f>
        <v>334</v>
      </c>
      <c r="G73" s="0" t="n">
        <f aca="false">D73</f>
        <v>360</v>
      </c>
      <c r="H73" s="0" t="n">
        <f aca="false">E73-D73*0.95</f>
        <v>-5</v>
      </c>
      <c r="I73" s="0" t="n">
        <f aca="false">F73-D73*0.95</f>
        <v>-8</v>
      </c>
    </row>
    <row r="74" customFormat="false" ht="12" hidden="false" customHeight="false" outlineLevel="0" collapsed="false">
      <c r="A74" s="41" t="n">
        <v>365</v>
      </c>
      <c r="B74" s="42" t="n">
        <v>3</v>
      </c>
      <c r="C74" s="42" t="n">
        <v>4</v>
      </c>
      <c r="D74" s="41" t="n">
        <v>365</v>
      </c>
      <c r="E74" s="0" t="n">
        <f aca="false">B74+E73</f>
        <v>340</v>
      </c>
      <c r="F74" s="0" t="n">
        <f aca="false">C74+F73</f>
        <v>338</v>
      </c>
      <c r="G74" s="0" t="n">
        <f aca="false">D74</f>
        <v>365</v>
      </c>
      <c r="H74" s="0" t="n">
        <f aca="false">E74-D74*0.95</f>
        <v>-6.75</v>
      </c>
      <c r="I74" s="0" t="n">
        <f aca="false">F74-D74*0.95</f>
        <v>-8.75</v>
      </c>
    </row>
    <row r="75" customFormat="false" ht="12" hidden="false" customHeight="false" outlineLevel="0" collapsed="false">
      <c r="A75" s="41" t="n">
        <v>370</v>
      </c>
      <c r="B75" s="42" t="n">
        <v>5</v>
      </c>
      <c r="C75" s="42" t="n">
        <v>4</v>
      </c>
      <c r="D75" s="41" t="n">
        <v>370</v>
      </c>
      <c r="E75" s="0" t="n">
        <f aca="false">B75+E74</f>
        <v>345</v>
      </c>
      <c r="F75" s="0" t="n">
        <f aca="false">C75+F74</f>
        <v>342</v>
      </c>
      <c r="G75" s="0" t="n">
        <f aca="false">D75</f>
        <v>370</v>
      </c>
      <c r="H75" s="0" t="n">
        <f aca="false">E75-D75*0.95</f>
        <v>-6.5</v>
      </c>
      <c r="I75" s="0" t="n">
        <f aca="false">F75-D75*0.95</f>
        <v>-9.5</v>
      </c>
    </row>
    <row r="76" customFormat="false" ht="12" hidden="false" customHeight="false" outlineLevel="0" collapsed="false">
      <c r="A76" s="41" t="n">
        <v>375</v>
      </c>
      <c r="B76" s="42" t="n">
        <v>2</v>
      </c>
      <c r="C76" s="42" t="n">
        <v>5</v>
      </c>
      <c r="D76" s="41" t="n">
        <v>375</v>
      </c>
      <c r="E76" s="0" t="n">
        <f aca="false">B76+E75</f>
        <v>347</v>
      </c>
      <c r="F76" s="0" t="n">
        <f aca="false">C76+F75</f>
        <v>347</v>
      </c>
      <c r="G76" s="0" t="n">
        <f aca="false">D76</f>
        <v>375</v>
      </c>
      <c r="H76" s="0" t="n">
        <f aca="false">E76-D76*0.95</f>
        <v>-9.25</v>
      </c>
      <c r="I76" s="0" t="n">
        <f aca="false">F76-D76*0.95</f>
        <v>-9.25</v>
      </c>
    </row>
    <row r="77" customFormat="false" ht="12" hidden="false" customHeight="false" outlineLevel="0" collapsed="false">
      <c r="A77" s="41" t="n">
        <v>380</v>
      </c>
      <c r="B77" s="42" t="n">
        <v>1</v>
      </c>
      <c r="C77" s="42" t="n">
        <v>1</v>
      </c>
      <c r="D77" s="41" t="n">
        <v>380</v>
      </c>
      <c r="E77" s="0" t="n">
        <f aca="false">B77+E76</f>
        <v>348</v>
      </c>
      <c r="F77" s="0" t="n">
        <f aca="false">C77+F76</f>
        <v>348</v>
      </c>
      <c r="G77" s="0" t="n">
        <f aca="false">D77</f>
        <v>380</v>
      </c>
      <c r="H77" s="0" t="n">
        <f aca="false">E77-D77*0.95</f>
        <v>-13</v>
      </c>
      <c r="I77" s="0" t="n">
        <f aca="false">F77-D77*0.95</f>
        <v>-13</v>
      </c>
    </row>
    <row r="78" customFormat="false" ht="12" hidden="false" customHeight="false" outlineLevel="0" collapsed="false">
      <c r="A78" s="41" t="n">
        <v>385</v>
      </c>
      <c r="B78" s="42" t="n">
        <v>3</v>
      </c>
      <c r="C78" s="42" t="n">
        <v>3</v>
      </c>
      <c r="D78" s="41" t="n">
        <v>385</v>
      </c>
      <c r="E78" s="0" t="n">
        <f aca="false">B78+E77</f>
        <v>351</v>
      </c>
      <c r="F78" s="0" t="n">
        <f aca="false">C78+F77</f>
        <v>351</v>
      </c>
      <c r="G78" s="0" t="n">
        <f aca="false">D78</f>
        <v>385</v>
      </c>
      <c r="H78" s="0" t="n">
        <f aca="false">E78-D78*0.95</f>
        <v>-14.75</v>
      </c>
      <c r="I78" s="0" t="n">
        <f aca="false">F78-D78*0.95</f>
        <v>-14.75</v>
      </c>
    </row>
    <row r="79" customFormat="false" ht="12" hidden="false" customHeight="false" outlineLevel="0" collapsed="false">
      <c r="A79" s="41" t="n">
        <v>390</v>
      </c>
      <c r="B79" s="42" t="n">
        <v>2</v>
      </c>
      <c r="C79" s="42" t="n">
        <v>2</v>
      </c>
      <c r="D79" s="41" t="n">
        <v>390</v>
      </c>
      <c r="E79" s="0" t="n">
        <f aca="false">B79+E78</f>
        <v>353</v>
      </c>
      <c r="F79" s="0" t="n">
        <f aca="false">C79+F78</f>
        <v>353</v>
      </c>
      <c r="G79" s="0" t="n">
        <f aca="false">D79</f>
        <v>390</v>
      </c>
      <c r="H79" s="0" t="n">
        <f aca="false">E79-D79*0.95</f>
        <v>-17.5</v>
      </c>
      <c r="I79" s="0" t="n">
        <f aca="false">F79-D79*0.95</f>
        <v>-17.5</v>
      </c>
    </row>
    <row r="80" customFormat="false" ht="12" hidden="false" customHeight="false" outlineLevel="0" collapsed="false">
      <c r="A80" s="41" t="n">
        <v>395</v>
      </c>
      <c r="B80" s="42" t="n">
        <v>9</v>
      </c>
      <c r="C80" s="42" t="n">
        <v>3</v>
      </c>
      <c r="D80" s="41" t="n">
        <v>395</v>
      </c>
      <c r="E80" s="0" t="n">
        <f aca="false">B80+E79</f>
        <v>362</v>
      </c>
      <c r="F80" s="0" t="n">
        <f aca="false">C80+F79</f>
        <v>356</v>
      </c>
      <c r="G80" s="0" t="n">
        <f aca="false">D80</f>
        <v>395</v>
      </c>
      <c r="H80" s="0" t="n">
        <f aca="false">E80-D80*0.95</f>
        <v>-13.25</v>
      </c>
      <c r="I80" s="0" t="n">
        <f aca="false">F80-D80*0.95</f>
        <v>-19.25</v>
      </c>
    </row>
    <row r="81" customFormat="false" ht="12" hidden="false" customHeight="false" outlineLevel="0" collapsed="false">
      <c r="A81" s="41" t="n">
        <v>400</v>
      </c>
      <c r="B81" s="42" t="n">
        <v>2</v>
      </c>
      <c r="C81" s="42" t="n">
        <v>5</v>
      </c>
      <c r="D81" s="41" t="n">
        <v>400</v>
      </c>
      <c r="E81" s="0" t="n">
        <f aca="false">B81+E80</f>
        <v>364</v>
      </c>
      <c r="F81" s="0" t="n">
        <f aca="false">C81+F80</f>
        <v>361</v>
      </c>
      <c r="G81" s="0" t="n">
        <f aca="false">D81</f>
        <v>400</v>
      </c>
      <c r="H81" s="0" t="n">
        <f aca="false">E81-D81*0.95</f>
        <v>-16</v>
      </c>
      <c r="I81" s="0" t="n">
        <f aca="false">F81-D81*0.95</f>
        <v>-19</v>
      </c>
    </row>
    <row r="82" customFormat="false" ht="12" hidden="false" customHeight="false" outlineLevel="0" collapsed="false">
      <c r="A82" s="41" t="n">
        <v>405</v>
      </c>
      <c r="B82" s="42" t="n">
        <v>6</v>
      </c>
      <c r="C82" s="42" t="n">
        <v>5</v>
      </c>
      <c r="D82" s="41" t="n">
        <v>405</v>
      </c>
      <c r="E82" s="0" t="n">
        <f aca="false">B82+E81</f>
        <v>370</v>
      </c>
      <c r="F82" s="0" t="n">
        <f aca="false">C82+F81</f>
        <v>366</v>
      </c>
      <c r="G82" s="0" t="n">
        <f aca="false">D82</f>
        <v>405</v>
      </c>
      <c r="H82" s="0" t="n">
        <f aca="false">E82-D82*0.95</f>
        <v>-14.75</v>
      </c>
      <c r="I82" s="0" t="n">
        <f aca="false">F82-D82*0.95</f>
        <v>-18.75</v>
      </c>
    </row>
    <row r="83" customFormat="false" ht="12" hidden="false" customHeight="false" outlineLevel="0" collapsed="false">
      <c r="A83" s="41" t="n">
        <v>410</v>
      </c>
      <c r="B83" s="42" t="n">
        <v>4</v>
      </c>
      <c r="C83" s="42" t="n">
        <v>5</v>
      </c>
      <c r="D83" s="41" t="n">
        <v>410</v>
      </c>
      <c r="E83" s="0" t="n">
        <f aca="false">B83+E82</f>
        <v>374</v>
      </c>
      <c r="F83" s="0" t="n">
        <f aca="false">C83+F82</f>
        <v>371</v>
      </c>
      <c r="G83" s="0" t="n">
        <f aca="false">D83</f>
        <v>410</v>
      </c>
      <c r="H83" s="0" t="n">
        <f aca="false">E83-D83*0.95</f>
        <v>-15.5</v>
      </c>
      <c r="I83" s="0" t="n">
        <f aca="false">F83-D83*0.95</f>
        <v>-18.5</v>
      </c>
    </row>
    <row r="84" customFormat="false" ht="12" hidden="false" customHeight="false" outlineLevel="0" collapsed="false">
      <c r="A84" s="41" t="n">
        <v>415</v>
      </c>
      <c r="B84" s="42" t="n">
        <v>6</v>
      </c>
      <c r="C84" s="42" t="n">
        <v>5</v>
      </c>
      <c r="D84" s="41" t="n">
        <v>415</v>
      </c>
      <c r="E84" s="0" t="n">
        <f aca="false">B84+E83</f>
        <v>380</v>
      </c>
      <c r="F84" s="0" t="n">
        <f aca="false">C84+F83</f>
        <v>376</v>
      </c>
      <c r="G84" s="0" t="n">
        <f aca="false">D84</f>
        <v>415</v>
      </c>
      <c r="H84" s="0" t="n">
        <f aca="false">E84-D84*0.95</f>
        <v>-14.25</v>
      </c>
      <c r="I84" s="0" t="n">
        <f aca="false">F84-D84*0.95</f>
        <v>-18.25</v>
      </c>
    </row>
    <row r="85" customFormat="false" ht="12" hidden="false" customHeight="false" outlineLevel="0" collapsed="false">
      <c r="A85" s="41" t="n">
        <v>420</v>
      </c>
      <c r="B85" s="42" t="n">
        <v>3</v>
      </c>
      <c r="C85" s="42" t="n">
        <v>5</v>
      </c>
      <c r="D85" s="41" t="n">
        <v>420</v>
      </c>
      <c r="E85" s="0" t="n">
        <f aca="false">B85+E84</f>
        <v>383</v>
      </c>
      <c r="F85" s="0" t="n">
        <f aca="false">C85+F84</f>
        <v>381</v>
      </c>
      <c r="G85" s="0" t="n">
        <f aca="false">D85</f>
        <v>420</v>
      </c>
      <c r="H85" s="0" t="n">
        <f aca="false">E85-D85*0.95</f>
        <v>-16</v>
      </c>
      <c r="I85" s="0" t="n">
        <f aca="false">F85-D85*0.95</f>
        <v>-18</v>
      </c>
    </row>
    <row r="86" customFormat="false" ht="12" hidden="false" customHeight="false" outlineLevel="0" collapsed="false">
      <c r="A86" s="41" t="n">
        <v>425</v>
      </c>
      <c r="B86" s="42" t="n">
        <v>5</v>
      </c>
      <c r="C86" s="42" t="n">
        <v>3</v>
      </c>
      <c r="D86" s="41" t="n">
        <v>425</v>
      </c>
      <c r="E86" s="0" t="n">
        <f aca="false">B86+E85</f>
        <v>388</v>
      </c>
      <c r="F86" s="0" t="n">
        <f aca="false">C86+F85</f>
        <v>384</v>
      </c>
      <c r="G86" s="0" t="n">
        <f aca="false">D86</f>
        <v>425</v>
      </c>
      <c r="H86" s="0" t="n">
        <f aca="false">E86-D86*0.95</f>
        <v>-15.75</v>
      </c>
      <c r="I86" s="0" t="n">
        <f aca="false">F86-D86*0.95</f>
        <v>-19.75</v>
      </c>
    </row>
    <row r="87" customFormat="false" ht="12" hidden="false" customHeight="false" outlineLevel="0" collapsed="false">
      <c r="A87" s="41" t="n">
        <v>430</v>
      </c>
      <c r="B87" s="42" t="n">
        <v>10</v>
      </c>
      <c r="C87" s="42" t="n">
        <v>5</v>
      </c>
      <c r="D87" s="41" t="n">
        <v>430</v>
      </c>
      <c r="E87" s="0" t="n">
        <f aca="false">B87+E86</f>
        <v>398</v>
      </c>
      <c r="F87" s="0" t="n">
        <f aca="false">C87+F86</f>
        <v>389</v>
      </c>
      <c r="G87" s="0" t="n">
        <f aca="false">D87</f>
        <v>430</v>
      </c>
      <c r="H87" s="0" t="n">
        <f aca="false">E87-D87*0.95</f>
        <v>-10.5</v>
      </c>
      <c r="I87" s="0" t="n">
        <f aca="false">F87-D87*0.95</f>
        <v>-19.5</v>
      </c>
    </row>
    <row r="88" customFormat="false" ht="12" hidden="false" customHeight="false" outlineLevel="0" collapsed="false">
      <c r="A88" s="41" t="n">
        <v>435</v>
      </c>
      <c r="B88" s="42" t="n">
        <v>4</v>
      </c>
      <c r="C88" s="42" t="n">
        <v>4</v>
      </c>
      <c r="D88" s="41" t="n">
        <v>435</v>
      </c>
      <c r="E88" s="0" t="n">
        <f aca="false">B88+E87</f>
        <v>402</v>
      </c>
      <c r="F88" s="0" t="n">
        <f aca="false">C88+F87</f>
        <v>393</v>
      </c>
      <c r="G88" s="0" t="n">
        <f aca="false">D88</f>
        <v>435</v>
      </c>
      <c r="H88" s="0" t="n">
        <f aca="false">E88-D88*0.95</f>
        <v>-11.25</v>
      </c>
      <c r="I88" s="0" t="n">
        <f aca="false">F88-D88*0.95</f>
        <v>-20.25</v>
      </c>
    </row>
    <row r="89" customFormat="false" ht="12" hidden="false" customHeight="false" outlineLevel="0" collapsed="false">
      <c r="A89" s="41" t="n">
        <v>440</v>
      </c>
      <c r="B89" s="42" t="n">
        <v>1</v>
      </c>
      <c r="C89" s="42" t="n">
        <v>6</v>
      </c>
      <c r="D89" s="41" t="n">
        <v>440</v>
      </c>
      <c r="E89" s="0" t="n">
        <f aca="false">B89+E88</f>
        <v>403</v>
      </c>
      <c r="F89" s="0" t="n">
        <f aca="false">C89+F88</f>
        <v>399</v>
      </c>
      <c r="G89" s="0" t="n">
        <f aca="false">D89</f>
        <v>440</v>
      </c>
      <c r="H89" s="0" t="n">
        <f aca="false">E89-D89*0.95</f>
        <v>-15</v>
      </c>
      <c r="I89" s="0" t="n">
        <f aca="false">F89-D89*0.95</f>
        <v>-19</v>
      </c>
    </row>
    <row r="90" customFormat="false" ht="12" hidden="false" customHeight="false" outlineLevel="0" collapsed="false">
      <c r="A90" s="41" t="n">
        <v>445</v>
      </c>
      <c r="B90" s="42" t="n">
        <v>7</v>
      </c>
      <c r="C90" s="42" t="n">
        <v>4</v>
      </c>
      <c r="D90" s="41" t="n">
        <v>445</v>
      </c>
      <c r="E90" s="0" t="n">
        <f aca="false">B90+E89</f>
        <v>410</v>
      </c>
      <c r="F90" s="0" t="n">
        <f aca="false">C90+F89</f>
        <v>403</v>
      </c>
      <c r="G90" s="0" t="n">
        <f aca="false">D90</f>
        <v>445</v>
      </c>
      <c r="H90" s="0" t="n">
        <f aca="false">E90-D90*0.95</f>
        <v>-12.75</v>
      </c>
      <c r="I90" s="0" t="n">
        <f aca="false">F90-D90*0.95</f>
        <v>-19.75</v>
      </c>
    </row>
    <row r="91" customFormat="false" ht="12" hidden="false" customHeight="false" outlineLevel="0" collapsed="false">
      <c r="A91" s="41" t="n">
        <v>450</v>
      </c>
      <c r="B91" s="42" t="n">
        <v>2</v>
      </c>
      <c r="C91" s="42" t="n">
        <v>5</v>
      </c>
      <c r="D91" s="41" t="n">
        <v>450</v>
      </c>
      <c r="E91" s="0" t="n">
        <f aca="false">B91+E90</f>
        <v>412</v>
      </c>
      <c r="F91" s="0" t="n">
        <f aca="false">C91+F90</f>
        <v>408</v>
      </c>
      <c r="G91" s="0" t="n">
        <f aca="false">D91</f>
        <v>450</v>
      </c>
      <c r="H91" s="0" t="n">
        <f aca="false">E91-D91*0.95</f>
        <v>-15.5</v>
      </c>
      <c r="I91" s="0" t="n">
        <f aca="false">F91-D91*0.95</f>
        <v>-19.5</v>
      </c>
    </row>
    <row r="92" customFormat="false" ht="12" hidden="false" customHeight="false" outlineLevel="0" collapsed="false">
      <c r="A92" s="41" t="n">
        <v>455</v>
      </c>
      <c r="B92" s="42" t="n">
        <v>4</v>
      </c>
      <c r="C92" s="42" t="n">
        <v>4</v>
      </c>
      <c r="D92" s="41" t="n">
        <v>455</v>
      </c>
      <c r="E92" s="0" t="n">
        <f aca="false">B92+E91</f>
        <v>416</v>
      </c>
      <c r="F92" s="0" t="n">
        <f aca="false">C92+F91</f>
        <v>412</v>
      </c>
      <c r="G92" s="0" t="n">
        <f aca="false">D92</f>
        <v>455</v>
      </c>
      <c r="H92" s="0" t="n">
        <f aca="false">E92-D92*0.95</f>
        <v>-16.25</v>
      </c>
      <c r="I92" s="0" t="n">
        <f aca="false">F92-D92*0.95</f>
        <v>-20.25</v>
      </c>
    </row>
    <row r="93" customFormat="false" ht="12" hidden="false" customHeight="false" outlineLevel="0" collapsed="false">
      <c r="A93" s="41" t="n">
        <v>460</v>
      </c>
      <c r="B93" s="42" t="n">
        <v>2</v>
      </c>
      <c r="C93" s="42" t="n">
        <v>4</v>
      </c>
      <c r="D93" s="41" t="n">
        <v>460</v>
      </c>
      <c r="E93" s="0" t="n">
        <f aca="false">B93+E92</f>
        <v>418</v>
      </c>
      <c r="F93" s="0" t="n">
        <f aca="false">C93+F92</f>
        <v>416</v>
      </c>
      <c r="G93" s="0" t="n">
        <f aca="false">D93</f>
        <v>460</v>
      </c>
      <c r="H93" s="0" t="n">
        <f aca="false">E93-D93*0.95</f>
        <v>-19</v>
      </c>
      <c r="I93" s="0" t="n">
        <f aca="false">F93-D93*0.95</f>
        <v>-21</v>
      </c>
    </row>
    <row r="94" customFormat="false" ht="12" hidden="false" customHeight="false" outlineLevel="0" collapsed="false">
      <c r="A94" s="41" t="n">
        <v>465</v>
      </c>
      <c r="B94" s="42" t="n">
        <v>2</v>
      </c>
      <c r="C94" s="42" t="n">
        <v>3</v>
      </c>
      <c r="D94" s="41" t="n">
        <v>465</v>
      </c>
      <c r="E94" s="0" t="n">
        <f aca="false">B94+E93</f>
        <v>420</v>
      </c>
      <c r="F94" s="0" t="n">
        <f aca="false">C94+F93</f>
        <v>419</v>
      </c>
      <c r="G94" s="0" t="n">
        <f aca="false">D94</f>
        <v>465</v>
      </c>
      <c r="H94" s="0" t="n">
        <f aca="false">E94-D94*0.95</f>
        <v>-21.75</v>
      </c>
      <c r="I94" s="0" t="n">
        <f aca="false">F94-D94*0.95</f>
        <v>-22.75</v>
      </c>
    </row>
    <row r="95" customFormat="false" ht="12" hidden="false" customHeight="false" outlineLevel="0" collapsed="false">
      <c r="A95" s="41" t="n">
        <v>470</v>
      </c>
      <c r="B95" s="42" t="n">
        <v>6</v>
      </c>
      <c r="C95" s="42" t="n">
        <v>4</v>
      </c>
      <c r="D95" s="41" t="n">
        <v>470</v>
      </c>
      <c r="E95" s="0" t="n">
        <f aca="false">B95+E94</f>
        <v>426</v>
      </c>
      <c r="F95" s="0" t="n">
        <f aca="false">C95+F94</f>
        <v>423</v>
      </c>
      <c r="G95" s="0" t="n">
        <f aca="false">D95</f>
        <v>470</v>
      </c>
      <c r="H95" s="0" t="n">
        <f aca="false">E95-D95*0.95</f>
        <v>-20.5</v>
      </c>
      <c r="I95" s="0" t="n">
        <f aca="false">F95-D95*0.95</f>
        <v>-23.5</v>
      </c>
    </row>
    <row r="96" customFormat="false" ht="12" hidden="false" customHeight="false" outlineLevel="0" collapsed="false">
      <c r="A96" s="41" t="n">
        <v>475</v>
      </c>
      <c r="B96" s="42" t="n">
        <v>4</v>
      </c>
      <c r="C96" s="42" t="n">
        <v>4</v>
      </c>
      <c r="D96" s="41" t="n">
        <v>475</v>
      </c>
      <c r="E96" s="0" t="n">
        <f aca="false">B96+E95</f>
        <v>430</v>
      </c>
      <c r="F96" s="0" t="n">
        <f aca="false">C96+F95</f>
        <v>427</v>
      </c>
      <c r="G96" s="0" t="n">
        <f aca="false">D96</f>
        <v>475</v>
      </c>
      <c r="H96" s="0" t="n">
        <f aca="false">E96-D96*0.95</f>
        <v>-21.25</v>
      </c>
      <c r="I96" s="0" t="n">
        <f aca="false">F96-D96*0.95</f>
        <v>-24.25</v>
      </c>
    </row>
    <row r="97" customFormat="false" ht="12" hidden="false" customHeight="false" outlineLevel="0" collapsed="false">
      <c r="A97" s="41" t="n">
        <v>480</v>
      </c>
      <c r="B97" s="42" t="n">
        <v>2</v>
      </c>
      <c r="C97" s="42" t="n">
        <v>3</v>
      </c>
      <c r="D97" s="41" t="n">
        <v>480</v>
      </c>
      <c r="E97" s="0" t="n">
        <f aca="false">B97+E96</f>
        <v>432</v>
      </c>
      <c r="F97" s="0" t="n">
        <f aca="false">C97+F96</f>
        <v>430</v>
      </c>
      <c r="G97" s="0" t="n">
        <f aca="false">D97</f>
        <v>480</v>
      </c>
      <c r="H97" s="0" t="n">
        <f aca="false">E97-D97*0.95</f>
        <v>-24</v>
      </c>
      <c r="I97" s="0" t="n">
        <f aca="false">F97-D97*0.95</f>
        <v>-26</v>
      </c>
    </row>
    <row r="98" customFormat="false" ht="12" hidden="false" customHeight="false" outlineLevel="0" collapsed="false">
      <c r="A98" s="41" t="n">
        <v>485</v>
      </c>
      <c r="B98" s="42" t="n">
        <v>7</v>
      </c>
      <c r="C98" s="42" t="n">
        <v>6</v>
      </c>
      <c r="D98" s="41" t="n">
        <v>485</v>
      </c>
      <c r="E98" s="0" t="n">
        <f aca="false">B98+E97</f>
        <v>439</v>
      </c>
      <c r="F98" s="0" t="n">
        <f aca="false">C98+F97</f>
        <v>436</v>
      </c>
      <c r="G98" s="0" t="n">
        <f aca="false">D98</f>
        <v>485</v>
      </c>
      <c r="H98" s="0" t="n">
        <f aca="false">E98-D98*0.95</f>
        <v>-21.75</v>
      </c>
      <c r="I98" s="0" t="n">
        <f aca="false">F98-D98*0.95</f>
        <v>-24.75</v>
      </c>
    </row>
    <row r="99" customFormat="false" ht="12" hidden="false" customHeight="false" outlineLevel="0" collapsed="false">
      <c r="A99" s="41" t="n">
        <v>490</v>
      </c>
      <c r="B99" s="42" t="n">
        <v>2</v>
      </c>
      <c r="C99" s="42" t="n">
        <v>4</v>
      </c>
      <c r="D99" s="41" t="n">
        <v>490</v>
      </c>
      <c r="E99" s="0" t="n">
        <f aca="false">B99+E98</f>
        <v>441</v>
      </c>
      <c r="F99" s="0" t="n">
        <f aca="false">C99+F98</f>
        <v>440</v>
      </c>
      <c r="G99" s="0" t="n">
        <f aca="false">D99</f>
        <v>490</v>
      </c>
      <c r="H99" s="0" t="n">
        <f aca="false">E99-D99*0.95</f>
        <v>-24.5</v>
      </c>
      <c r="I99" s="0" t="n">
        <f aca="false">F99-D99*0.95</f>
        <v>-25.5</v>
      </c>
    </row>
    <row r="100" customFormat="false" ht="12" hidden="false" customHeight="false" outlineLevel="0" collapsed="false">
      <c r="A100" s="41" t="n">
        <v>495</v>
      </c>
      <c r="B100" s="42" t="n">
        <v>1</v>
      </c>
      <c r="C100" s="42" t="n">
        <v>1</v>
      </c>
      <c r="D100" s="41" t="n">
        <v>495</v>
      </c>
      <c r="E100" s="0" t="n">
        <f aca="false">B100+E99</f>
        <v>442</v>
      </c>
      <c r="F100" s="0" t="n">
        <f aca="false">C100+F99</f>
        <v>441</v>
      </c>
      <c r="G100" s="0" t="n">
        <f aca="false">D100</f>
        <v>495</v>
      </c>
      <c r="H100" s="0" t="n">
        <f aca="false">E100-D100*0.95</f>
        <v>-28.25</v>
      </c>
      <c r="I100" s="0" t="n">
        <f aca="false">F100-D100*0.95</f>
        <v>-29.25</v>
      </c>
    </row>
    <row r="101" customFormat="false" ht="12" hidden="false" customHeight="false" outlineLevel="0" collapsed="false">
      <c r="A101" s="41" t="n">
        <v>500</v>
      </c>
      <c r="B101" s="42" t="n">
        <v>2</v>
      </c>
      <c r="C101" s="42" t="n">
        <v>2</v>
      </c>
      <c r="D101" s="41" t="n">
        <v>500</v>
      </c>
      <c r="E101" s="0" t="n">
        <f aca="false">B101+E100</f>
        <v>444</v>
      </c>
      <c r="F101" s="0" t="n">
        <f aca="false">C101+F100</f>
        <v>443</v>
      </c>
      <c r="G101" s="0" t="n">
        <f aca="false">D101</f>
        <v>500</v>
      </c>
      <c r="H101" s="0" t="n">
        <f aca="false">E101-D101*0.95</f>
        <v>-31</v>
      </c>
      <c r="I101" s="0" t="n">
        <f aca="false">F101-D101*0.95</f>
        <v>-32</v>
      </c>
    </row>
    <row r="102" customFormat="false" ht="12" hidden="false" customHeight="false" outlineLevel="0" collapsed="false">
      <c r="A102" s="41" t="n">
        <v>505</v>
      </c>
      <c r="B102" s="42" t="n">
        <v>1</v>
      </c>
      <c r="C102" s="42" t="n">
        <v>2</v>
      </c>
      <c r="D102" s="41" t="n">
        <v>505</v>
      </c>
      <c r="E102" s="0" t="n">
        <f aca="false">B102+E101</f>
        <v>445</v>
      </c>
      <c r="F102" s="0" t="n">
        <f aca="false">C102+F101</f>
        <v>445</v>
      </c>
      <c r="G102" s="0" t="n">
        <f aca="false">D102</f>
        <v>505</v>
      </c>
      <c r="H102" s="0" t="n">
        <f aca="false">E102-D102*0.95</f>
        <v>-34.75</v>
      </c>
      <c r="I102" s="0" t="n">
        <f aca="false">F102-D102*0.95</f>
        <v>-34.75</v>
      </c>
    </row>
    <row r="103" customFormat="false" ht="12" hidden="false" customHeight="false" outlineLevel="0" collapsed="false">
      <c r="A103" s="41" t="n">
        <v>510</v>
      </c>
      <c r="B103" s="42" t="n">
        <v>9</v>
      </c>
      <c r="C103" s="42" t="n">
        <v>2</v>
      </c>
      <c r="D103" s="41" t="n">
        <v>510</v>
      </c>
      <c r="E103" s="0" t="n">
        <f aca="false">B103+E102</f>
        <v>454</v>
      </c>
      <c r="F103" s="0" t="n">
        <f aca="false">C103+F102</f>
        <v>447</v>
      </c>
      <c r="G103" s="0" t="n">
        <f aca="false">D103</f>
        <v>510</v>
      </c>
      <c r="H103" s="0" t="n">
        <f aca="false">E103-D103*0.95</f>
        <v>-30.5</v>
      </c>
      <c r="I103" s="0" t="n">
        <f aca="false">F103-D103*0.95</f>
        <v>-37.5</v>
      </c>
    </row>
    <row r="104" customFormat="false" ht="12" hidden="false" customHeight="false" outlineLevel="0" collapsed="false">
      <c r="A104" s="41" t="n">
        <v>515</v>
      </c>
      <c r="B104" s="42" t="n">
        <v>4</v>
      </c>
      <c r="C104" s="42" t="n">
        <v>6</v>
      </c>
      <c r="D104" s="41" t="n">
        <v>515</v>
      </c>
      <c r="E104" s="0" t="n">
        <f aca="false">B104+E103</f>
        <v>458</v>
      </c>
      <c r="F104" s="0" t="n">
        <f aca="false">C104+F103</f>
        <v>453</v>
      </c>
      <c r="G104" s="0" t="n">
        <f aca="false">D104</f>
        <v>515</v>
      </c>
      <c r="H104" s="0" t="n">
        <f aca="false">E104-D104*0.95</f>
        <v>-31.25</v>
      </c>
      <c r="I104" s="0" t="n">
        <f aca="false">F104-D104*0.95</f>
        <v>-36.25</v>
      </c>
    </row>
    <row r="105" customFormat="false" ht="12" hidden="false" customHeight="false" outlineLevel="0" collapsed="false">
      <c r="A105" s="41" t="n">
        <v>520</v>
      </c>
      <c r="B105" s="42" t="n">
        <v>5</v>
      </c>
      <c r="C105" s="42" t="n">
        <v>5</v>
      </c>
      <c r="D105" s="41" t="n">
        <v>520</v>
      </c>
      <c r="E105" s="0" t="n">
        <f aca="false">B105+E104</f>
        <v>463</v>
      </c>
      <c r="F105" s="0" t="n">
        <f aca="false">C105+F104</f>
        <v>458</v>
      </c>
      <c r="G105" s="0" t="n">
        <f aca="false">D105</f>
        <v>520</v>
      </c>
      <c r="H105" s="0" t="n">
        <f aca="false">E105-D105*0.95</f>
        <v>-31</v>
      </c>
      <c r="I105" s="0" t="n">
        <f aca="false">F105-D105*0.95</f>
        <v>-36</v>
      </c>
    </row>
    <row r="106" customFormat="false" ht="12" hidden="false" customHeight="false" outlineLevel="0" collapsed="false">
      <c r="A106" s="41" t="n">
        <v>525</v>
      </c>
      <c r="B106" s="42" t="n">
        <v>4</v>
      </c>
      <c r="C106" s="42" t="n">
        <v>5</v>
      </c>
      <c r="D106" s="41" t="n">
        <v>525</v>
      </c>
      <c r="E106" s="0" t="n">
        <f aca="false">B106+E105</f>
        <v>467</v>
      </c>
      <c r="F106" s="0" t="n">
        <f aca="false">C106+F105</f>
        <v>463</v>
      </c>
      <c r="G106" s="0" t="n">
        <f aca="false">D106</f>
        <v>525</v>
      </c>
      <c r="H106" s="0" t="n">
        <f aca="false">E106-D106*0.95</f>
        <v>-31.75</v>
      </c>
      <c r="I106" s="0" t="n">
        <f aca="false">F106-D106*0.95</f>
        <v>-35.75</v>
      </c>
    </row>
    <row r="107" customFormat="false" ht="12" hidden="false" customHeight="false" outlineLevel="0" collapsed="false">
      <c r="A107" s="41" t="n">
        <v>530</v>
      </c>
      <c r="B107" s="42" t="n">
        <v>6</v>
      </c>
      <c r="C107" s="42" t="n">
        <v>5</v>
      </c>
      <c r="D107" s="41" t="n">
        <v>530</v>
      </c>
      <c r="E107" s="0" t="n">
        <f aca="false">B107+E106</f>
        <v>473</v>
      </c>
      <c r="F107" s="0" t="n">
        <f aca="false">C107+F106</f>
        <v>468</v>
      </c>
      <c r="G107" s="0" t="n">
        <f aca="false">D107</f>
        <v>530</v>
      </c>
      <c r="H107" s="0" t="n">
        <f aca="false">E107-D107*0.95</f>
        <v>-30.5</v>
      </c>
      <c r="I107" s="0" t="n">
        <f aca="false">F107-D107*0.95</f>
        <v>-35.5</v>
      </c>
    </row>
    <row r="108" customFormat="false" ht="12" hidden="false" customHeight="false" outlineLevel="0" collapsed="false">
      <c r="A108" s="41" t="n">
        <v>535</v>
      </c>
      <c r="B108" s="42" t="n">
        <v>7</v>
      </c>
      <c r="C108" s="42" t="n">
        <v>5</v>
      </c>
      <c r="D108" s="41" t="n">
        <v>535</v>
      </c>
      <c r="E108" s="0" t="n">
        <f aca="false">B108+E107</f>
        <v>480</v>
      </c>
      <c r="F108" s="0" t="n">
        <f aca="false">C108+F107</f>
        <v>473</v>
      </c>
      <c r="G108" s="0" t="n">
        <f aca="false">D108</f>
        <v>535</v>
      </c>
      <c r="H108" s="0" t="n">
        <f aca="false">E108-D108*0.95</f>
        <v>-28.25</v>
      </c>
      <c r="I108" s="0" t="n">
        <f aca="false">F108-D108*0.95</f>
        <v>-35.25</v>
      </c>
    </row>
    <row r="109" customFormat="false" ht="12" hidden="false" customHeight="false" outlineLevel="0" collapsed="false">
      <c r="A109" s="41" t="n">
        <v>540</v>
      </c>
      <c r="B109" s="42" t="n">
        <v>4</v>
      </c>
      <c r="C109" s="42" t="n">
        <v>5</v>
      </c>
      <c r="D109" s="41" t="n">
        <v>540</v>
      </c>
      <c r="E109" s="0" t="n">
        <f aca="false">B109+E108</f>
        <v>484</v>
      </c>
      <c r="F109" s="0" t="n">
        <f aca="false">C109+F108</f>
        <v>478</v>
      </c>
      <c r="G109" s="0" t="n">
        <f aca="false">D109</f>
        <v>540</v>
      </c>
      <c r="H109" s="0" t="n">
        <f aca="false">E109-D109*0.95</f>
        <v>-29</v>
      </c>
      <c r="I109" s="0" t="n">
        <f aca="false">F109-D109*0.95</f>
        <v>-35</v>
      </c>
    </row>
    <row r="110" customFormat="false" ht="12" hidden="false" customHeight="false" outlineLevel="0" collapsed="false">
      <c r="A110" s="41" t="n">
        <v>545</v>
      </c>
      <c r="B110" s="42" t="n">
        <v>4</v>
      </c>
      <c r="C110" s="42" t="n">
        <v>5</v>
      </c>
      <c r="D110" s="41" t="n">
        <v>545</v>
      </c>
      <c r="E110" s="0" t="n">
        <f aca="false">B110+E109</f>
        <v>488</v>
      </c>
      <c r="F110" s="0" t="n">
        <f aca="false">C110+F109</f>
        <v>483</v>
      </c>
      <c r="G110" s="0" t="n">
        <f aca="false">D110</f>
        <v>545</v>
      </c>
      <c r="H110" s="0" t="n">
        <f aca="false">E110-D110*0.95</f>
        <v>-29.75</v>
      </c>
      <c r="I110" s="0" t="n">
        <f aca="false">F110-D110*0.95</f>
        <v>-34.75</v>
      </c>
    </row>
    <row r="111" customFormat="false" ht="12" hidden="false" customHeight="false" outlineLevel="0" collapsed="false">
      <c r="A111" s="41" t="n">
        <v>550</v>
      </c>
      <c r="B111" s="42" t="n">
        <v>2</v>
      </c>
      <c r="C111" s="42" t="n">
        <v>4</v>
      </c>
      <c r="D111" s="41" t="n">
        <v>550</v>
      </c>
      <c r="E111" s="0" t="n">
        <f aca="false">B111+E110</f>
        <v>490</v>
      </c>
      <c r="F111" s="0" t="n">
        <f aca="false">C111+F110</f>
        <v>487</v>
      </c>
      <c r="G111" s="0" t="n">
        <f aca="false">D111</f>
        <v>550</v>
      </c>
      <c r="H111" s="0" t="n">
        <f aca="false">E111-D111*0.95</f>
        <v>-32.5</v>
      </c>
      <c r="I111" s="0" t="n">
        <f aca="false">F111-D111*0.95</f>
        <v>-35.5</v>
      </c>
    </row>
    <row r="112" customFormat="false" ht="12" hidden="false" customHeight="false" outlineLevel="0" collapsed="false">
      <c r="A112" s="41" t="n">
        <v>555</v>
      </c>
      <c r="B112" s="42" t="n">
        <v>3</v>
      </c>
      <c r="C112" s="42" t="n">
        <v>4</v>
      </c>
      <c r="D112" s="41" t="n">
        <v>555</v>
      </c>
      <c r="E112" s="0" t="n">
        <f aca="false">B112+E111</f>
        <v>493</v>
      </c>
      <c r="F112" s="0" t="n">
        <f aca="false">C112+F111</f>
        <v>491</v>
      </c>
      <c r="G112" s="0" t="n">
        <f aca="false">D112</f>
        <v>555</v>
      </c>
      <c r="H112" s="0" t="n">
        <f aca="false">E112-D112*0.95</f>
        <v>-34.25</v>
      </c>
      <c r="I112" s="0" t="n">
        <f aca="false">F112-D112*0.95</f>
        <v>-36.25</v>
      </c>
    </row>
    <row r="113" customFormat="false" ht="12" hidden="false" customHeight="false" outlineLevel="0" collapsed="false">
      <c r="A113" s="41" t="n">
        <v>560</v>
      </c>
      <c r="B113" s="42" t="n">
        <v>7</v>
      </c>
      <c r="C113" s="42" t="n">
        <v>4</v>
      </c>
      <c r="D113" s="41" t="n">
        <v>560</v>
      </c>
      <c r="E113" s="0" t="n">
        <f aca="false">B113+E112</f>
        <v>500</v>
      </c>
      <c r="F113" s="0" t="n">
        <f aca="false">C113+F112</f>
        <v>495</v>
      </c>
      <c r="G113" s="0" t="n">
        <f aca="false">D113</f>
        <v>560</v>
      </c>
      <c r="H113" s="0" t="n">
        <f aca="false">E113-D113*0.95</f>
        <v>-32</v>
      </c>
      <c r="I113" s="0" t="n">
        <f aca="false">F113-D113*0.95</f>
        <v>-37</v>
      </c>
    </row>
    <row r="114" customFormat="false" ht="12" hidden="false" customHeight="false" outlineLevel="0" collapsed="false">
      <c r="A114" s="41" t="n">
        <v>565</v>
      </c>
      <c r="B114" s="42" t="n">
        <v>5</v>
      </c>
      <c r="C114" s="42" t="n">
        <v>5</v>
      </c>
      <c r="D114" s="41" t="n">
        <v>565</v>
      </c>
      <c r="E114" s="0" t="n">
        <f aca="false">B114+E113</f>
        <v>505</v>
      </c>
      <c r="F114" s="0" t="n">
        <f aca="false">C114+F113</f>
        <v>500</v>
      </c>
      <c r="G114" s="0" t="n">
        <f aca="false">D114</f>
        <v>565</v>
      </c>
      <c r="H114" s="0" t="n">
        <f aca="false">E114-D114*0.95</f>
        <v>-31.75</v>
      </c>
      <c r="I114" s="0" t="n">
        <f aca="false">F114-D114*0.95</f>
        <v>-36.75</v>
      </c>
    </row>
    <row r="115" customFormat="false" ht="12" hidden="false" customHeight="false" outlineLevel="0" collapsed="false">
      <c r="A115" s="41" t="n">
        <v>570</v>
      </c>
      <c r="B115" s="42" t="n">
        <v>6</v>
      </c>
      <c r="C115" s="42" t="n">
        <v>5</v>
      </c>
      <c r="D115" s="41" t="n">
        <v>570</v>
      </c>
      <c r="E115" s="0" t="n">
        <f aca="false">B115+E114</f>
        <v>511</v>
      </c>
      <c r="F115" s="0" t="n">
        <f aca="false">C115+F114</f>
        <v>505</v>
      </c>
      <c r="G115" s="0" t="n">
        <f aca="false">D115</f>
        <v>570</v>
      </c>
      <c r="H115" s="0" t="n">
        <f aca="false">E115-D115*0.95</f>
        <v>-30.5</v>
      </c>
      <c r="I115" s="0" t="n">
        <f aca="false">F115-D115*0.95</f>
        <v>-36.5</v>
      </c>
    </row>
    <row r="116" customFormat="false" ht="12" hidden="false" customHeight="false" outlineLevel="0" collapsed="false">
      <c r="A116" s="41" t="n">
        <v>575</v>
      </c>
      <c r="B116" s="42" t="n">
        <v>3</v>
      </c>
      <c r="C116" s="42" t="n">
        <v>5</v>
      </c>
      <c r="D116" s="41" t="n">
        <v>575</v>
      </c>
      <c r="E116" s="0" t="n">
        <f aca="false">B116+E115</f>
        <v>514</v>
      </c>
      <c r="F116" s="0" t="n">
        <f aca="false">C116+F115</f>
        <v>510</v>
      </c>
      <c r="G116" s="0" t="n">
        <f aca="false">D116</f>
        <v>575</v>
      </c>
      <c r="H116" s="0" t="n">
        <f aca="false">E116-D116*0.95</f>
        <v>-32.25</v>
      </c>
      <c r="I116" s="0" t="n">
        <f aca="false">F116-D116*0.95</f>
        <v>-36.25</v>
      </c>
    </row>
    <row r="117" customFormat="false" ht="12" hidden="false" customHeight="false" outlineLevel="0" collapsed="false">
      <c r="A117" s="41" t="n">
        <v>580</v>
      </c>
      <c r="B117" s="42" t="n">
        <v>4</v>
      </c>
      <c r="C117" s="42" t="n">
        <v>5</v>
      </c>
      <c r="D117" s="41" t="n">
        <v>580</v>
      </c>
      <c r="E117" s="0" t="n">
        <f aca="false">B117+E116</f>
        <v>518</v>
      </c>
      <c r="F117" s="0" t="n">
        <f aca="false">C117+F116</f>
        <v>515</v>
      </c>
      <c r="G117" s="0" t="n">
        <f aca="false">D117</f>
        <v>580</v>
      </c>
      <c r="H117" s="0" t="n">
        <f aca="false">E117-D117*0.95</f>
        <v>-33</v>
      </c>
      <c r="I117" s="0" t="n">
        <f aca="false">F117-D117*0.95</f>
        <v>-36</v>
      </c>
    </row>
    <row r="118" customFormat="false" ht="12" hidden="false" customHeight="false" outlineLevel="0" collapsed="false">
      <c r="A118" s="41" t="n">
        <v>585</v>
      </c>
      <c r="B118" s="42" t="n">
        <v>5</v>
      </c>
      <c r="C118" s="42" t="n">
        <v>4</v>
      </c>
      <c r="D118" s="41" t="n">
        <v>585</v>
      </c>
      <c r="E118" s="0" t="n">
        <f aca="false">B118+E117</f>
        <v>523</v>
      </c>
      <c r="F118" s="0" t="n">
        <f aca="false">C118+F117</f>
        <v>519</v>
      </c>
      <c r="G118" s="0" t="n">
        <f aca="false">D118</f>
        <v>585</v>
      </c>
      <c r="H118" s="0" t="n">
        <f aca="false">E118-D118*0.95</f>
        <v>-32.75</v>
      </c>
      <c r="I118" s="0" t="n">
        <f aca="false">F118-D118*0.95</f>
        <v>-36.75</v>
      </c>
    </row>
    <row r="119" customFormat="false" ht="12" hidden="false" customHeight="false" outlineLevel="0" collapsed="false">
      <c r="A119" s="41" t="n">
        <v>590</v>
      </c>
      <c r="B119" s="42" t="n">
        <v>3</v>
      </c>
      <c r="C119" s="42" t="n">
        <v>4</v>
      </c>
      <c r="D119" s="41" t="n">
        <v>590</v>
      </c>
      <c r="E119" s="0" t="n">
        <f aca="false">B119+E118</f>
        <v>526</v>
      </c>
      <c r="F119" s="0" t="n">
        <f aca="false">C119+F118</f>
        <v>523</v>
      </c>
      <c r="G119" s="0" t="n">
        <f aca="false">D119</f>
        <v>590</v>
      </c>
      <c r="H119" s="0" t="n">
        <f aca="false">E119-D119*0.95</f>
        <v>-34.5</v>
      </c>
      <c r="I119" s="0" t="n">
        <f aca="false">F119-D119*0.95</f>
        <v>-37.5</v>
      </c>
    </row>
    <row r="120" customFormat="false" ht="12" hidden="false" customHeight="false" outlineLevel="0" collapsed="false">
      <c r="A120" s="41" t="n">
        <v>595</v>
      </c>
      <c r="B120" s="42" t="n">
        <v>7</v>
      </c>
      <c r="C120" s="42" t="n">
        <v>5</v>
      </c>
      <c r="D120" s="41" t="n">
        <v>595</v>
      </c>
      <c r="E120" s="0" t="n">
        <f aca="false">B120+E119</f>
        <v>533</v>
      </c>
      <c r="F120" s="0" t="n">
        <f aca="false">C120+F119</f>
        <v>528</v>
      </c>
      <c r="G120" s="0" t="n">
        <f aca="false">D120</f>
        <v>595</v>
      </c>
      <c r="H120" s="0" t="n">
        <f aca="false">E120-D120*0.95</f>
        <v>-32.25</v>
      </c>
      <c r="I120" s="0" t="n">
        <f aca="false">F120-D120*0.95</f>
        <v>-37.25</v>
      </c>
    </row>
    <row r="121" customFormat="false" ht="12" hidden="false" customHeight="false" outlineLevel="0" collapsed="false">
      <c r="A121" s="41" t="n">
        <v>600</v>
      </c>
      <c r="B121" s="42" t="n">
        <v>10</v>
      </c>
      <c r="C121" s="42" t="n">
        <v>5</v>
      </c>
      <c r="D121" s="41" t="n">
        <v>600</v>
      </c>
      <c r="E121" s="0" t="n">
        <f aca="false">B121+E120</f>
        <v>543</v>
      </c>
      <c r="F121" s="0" t="n">
        <f aca="false">C121+F120</f>
        <v>533</v>
      </c>
      <c r="G121" s="0" t="n">
        <f aca="false">D121</f>
        <v>600</v>
      </c>
      <c r="H121" s="0" t="n">
        <f aca="false">E121-D121*0.95</f>
        <v>-27</v>
      </c>
      <c r="I121" s="0" t="n">
        <f aca="false">F121-D121*0.95</f>
        <v>-37</v>
      </c>
    </row>
    <row r="122" customFormat="false" ht="12" hidden="false" customHeight="false" outlineLevel="0" collapsed="false">
      <c r="A122" s="41" t="n">
        <v>605</v>
      </c>
      <c r="B122" s="42" t="n">
        <v>6</v>
      </c>
      <c r="C122" s="42" t="n">
        <v>5</v>
      </c>
      <c r="D122" s="41" t="n">
        <v>605</v>
      </c>
      <c r="E122" s="0" t="n">
        <f aca="false">B122+E121</f>
        <v>549</v>
      </c>
      <c r="F122" s="0" t="n">
        <f aca="false">C122+F121</f>
        <v>538</v>
      </c>
      <c r="G122" s="0" t="n">
        <f aca="false">D122</f>
        <v>605</v>
      </c>
      <c r="H122" s="0" t="n">
        <f aca="false">E122-D122*0.95</f>
        <v>-25.75</v>
      </c>
      <c r="I122" s="0" t="n">
        <f aca="false">F122-D122*0.95</f>
        <v>-36.75</v>
      </c>
    </row>
    <row r="123" customFormat="false" ht="12" hidden="false" customHeight="false" outlineLevel="0" collapsed="false">
      <c r="A123" s="41" t="n">
        <v>610</v>
      </c>
      <c r="B123" s="42" t="n">
        <v>4</v>
      </c>
      <c r="C123" s="42" t="n">
        <v>5</v>
      </c>
      <c r="D123" s="41" t="n">
        <v>610</v>
      </c>
      <c r="E123" s="0" t="n">
        <f aca="false">B123+E122</f>
        <v>553</v>
      </c>
      <c r="F123" s="0" t="n">
        <f aca="false">C123+F122</f>
        <v>543</v>
      </c>
      <c r="G123" s="0" t="n">
        <f aca="false">D123</f>
        <v>610</v>
      </c>
      <c r="H123" s="0" t="n">
        <f aca="false">E123-D123*0.95</f>
        <v>-26.5</v>
      </c>
      <c r="I123" s="0" t="n">
        <f aca="false">F123-D123*0.95</f>
        <v>-36.5</v>
      </c>
    </row>
    <row r="124" customFormat="false" ht="12" hidden="false" customHeight="false" outlineLevel="0" collapsed="false">
      <c r="A124" s="41" t="n">
        <v>615</v>
      </c>
      <c r="B124" s="42" t="n">
        <v>4</v>
      </c>
      <c r="C124" s="42" t="n">
        <v>5</v>
      </c>
      <c r="D124" s="41" t="n">
        <v>615</v>
      </c>
      <c r="E124" s="0" t="n">
        <f aca="false">B124+E123</f>
        <v>557</v>
      </c>
      <c r="F124" s="0" t="n">
        <f aca="false">C124+F123</f>
        <v>548</v>
      </c>
      <c r="G124" s="0" t="n">
        <f aca="false">D124</f>
        <v>615</v>
      </c>
      <c r="H124" s="0" t="n">
        <f aca="false">E124-D124*0.95</f>
        <v>-27.25</v>
      </c>
      <c r="I124" s="0" t="n">
        <f aca="false">F124-D124*0.95</f>
        <v>-36.25</v>
      </c>
    </row>
    <row r="125" customFormat="false" ht="12" hidden="false" customHeight="false" outlineLevel="0" collapsed="false">
      <c r="A125" s="41" t="n">
        <v>620</v>
      </c>
      <c r="B125" s="42" t="n">
        <v>6</v>
      </c>
      <c r="C125" s="42" t="n">
        <v>4</v>
      </c>
      <c r="D125" s="41" t="n">
        <v>620</v>
      </c>
      <c r="E125" s="0" t="n">
        <f aca="false">B125+E124</f>
        <v>563</v>
      </c>
      <c r="F125" s="0" t="n">
        <f aca="false">C125+F124</f>
        <v>552</v>
      </c>
      <c r="G125" s="0" t="n">
        <f aca="false">D125</f>
        <v>620</v>
      </c>
      <c r="H125" s="0" t="n">
        <f aca="false">E125-D125*0.95</f>
        <v>-26</v>
      </c>
      <c r="I125" s="0" t="n">
        <f aca="false">F125-D125*0.95</f>
        <v>-37</v>
      </c>
    </row>
    <row r="126" customFormat="false" ht="12" hidden="false" customHeight="false" outlineLevel="0" collapsed="false">
      <c r="A126" s="41" t="n">
        <v>625</v>
      </c>
      <c r="B126" s="42" t="n">
        <v>6</v>
      </c>
      <c r="C126" s="42" t="n">
        <v>6</v>
      </c>
      <c r="D126" s="41" t="n">
        <v>625</v>
      </c>
      <c r="E126" s="0" t="n">
        <f aca="false">B126+E125</f>
        <v>569</v>
      </c>
      <c r="F126" s="0" t="n">
        <f aca="false">C126+F125</f>
        <v>558</v>
      </c>
      <c r="G126" s="0" t="n">
        <f aca="false">D126</f>
        <v>625</v>
      </c>
      <c r="H126" s="0" t="n">
        <f aca="false">E126-D126*0.95</f>
        <v>-24.75</v>
      </c>
      <c r="I126" s="0" t="n">
        <f aca="false">F126-D126*0.95</f>
        <v>-35.75</v>
      </c>
    </row>
    <row r="127" customFormat="false" ht="12" hidden="false" customHeight="false" outlineLevel="0" collapsed="false">
      <c r="A127" s="41" t="n">
        <v>630</v>
      </c>
      <c r="B127" s="42" t="n">
        <v>6</v>
      </c>
      <c r="C127" s="42" t="n">
        <v>5</v>
      </c>
      <c r="D127" s="41" t="n">
        <v>630</v>
      </c>
      <c r="E127" s="0" t="n">
        <f aca="false">B127+E126</f>
        <v>575</v>
      </c>
      <c r="F127" s="0" t="n">
        <f aca="false">C127+F126</f>
        <v>563</v>
      </c>
      <c r="G127" s="0" t="n">
        <f aca="false">D127</f>
        <v>630</v>
      </c>
      <c r="H127" s="0" t="n">
        <f aca="false">E127-D127*0.95</f>
        <v>-23.5</v>
      </c>
      <c r="I127" s="0" t="n">
        <f aca="false">F127-D127*0.95</f>
        <v>-35.5</v>
      </c>
    </row>
    <row r="128" customFormat="false" ht="12" hidden="false" customHeight="false" outlineLevel="0" collapsed="false">
      <c r="A128" s="41" t="n">
        <v>635</v>
      </c>
      <c r="B128" s="42" t="n">
        <v>6</v>
      </c>
      <c r="C128" s="42" t="n">
        <v>5</v>
      </c>
      <c r="D128" s="41" t="n">
        <v>635</v>
      </c>
      <c r="E128" s="0" t="n">
        <f aca="false">B128+E127</f>
        <v>581</v>
      </c>
      <c r="F128" s="0" t="n">
        <f aca="false">C128+F127</f>
        <v>568</v>
      </c>
      <c r="G128" s="0" t="n">
        <f aca="false">D128</f>
        <v>635</v>
      </c>
      <c r="H128" s="0" t="n">
        <f aca="false">E128-D128*0.95</f>
        <v>-22.25</v>
      </c>
      <c r="I128" s="0" t="n">
        <f aca="false">F128-D128*0.95</f>
        <v>-35.25</v>
      </c>
    </row>
    <row r="129" customFormat="false" ht="12" hidden="false" customHeight="false" outlineLevel="0" collapsed="false">
      <c r="A129" s="41" t="n">
        <v>640</v>
      </c>
      <c r="B129" s="42" t="n">
        <v>7</v>
      </c>
      <c r="C129" s="42" t="n">
        <v>5</v>
      </c>
      <c r="D129" s="41" t="n">
        <v>640</v>
      </c>
      <c r="E129" s="0" t="n">
        <f aca="false">B129+E128</f>
        <v>588</v>
      </c>
      <c r="F129" s="0" t="n">
        <f aca="false">C129+F128</f>
        <v>573</v>
      </c>
      <c r="G129" s="0" t="n">
        <f aca="false">D129</f>
        <v>640</v>
      </c>
      <c r="H129" s="0" t="n">
        <f aca="false">E129-D129*0.95</f>
        <v>-20</v>
      </c>
      <c r="I129" s="0" t="n">
        <f aca="false">F129-D129*0.95</f>
        <v>-35</v>
      </c>
    </row>
    <row r="130" customFormat="false" ht="12" hidden="false" customHeight="false" outlineLevel="0" collapsed="false">
      <c r="A130" s="41" t="n">
        <v>645</v>
      </c>
      <c r="B130" s="42" t="n">
        <v>2</v>
      </c>
      <c r="C130" s="42" t="n">
        <v>5</v>
      </c>
      <c r="D130" s="41" t="n">
        <v>645</v>
      </c>
      <c r="E130" s="0" t="n">
        <f aca="false">B130+E129</f>
        <v>590</v>
      </c>
      <c r="F130" s="0" t="n">
        <f aca="false">C130+F129</f>
        <v>578</v>
      </c>
      <c r="G130" s="0" t="n">
        <f aca="false">D130</f>
        <v>645</v>
      </c>
      <c r="H130" s="0" t="n">
        <f aca="false">E130-D130*0.95</f>
        <v>-22.75</v>
      </c>
      <c r="I130" s="0" t="n">
        <f aca="false">F130-D130*0.95</f>
        <v>-34.75</v>
      </c>
    </row>
    <row r="131" customFormat="false" ht="12" hidden="false" customHeight="false" outlineLevel="0" collapsed="false">
      <c r="A131" s="41" t="n">
        <v>650</v>
      </c>
      <c r="B131" s="42" t="n">
        <v>8</v>
      </c>
      <c r="C131" s="42" t="n">
        <v>5</v>
      </c>
      <c r="D131" s="41" t="n">
        <v>650</v>
      </c>
      <c r="E131" s="0" t="n">
        <f aca="false">B131+E130</f>
        <v>598</v>
      </c>
      <c r="F131" s="0" t="n">
        <f aca="false">C131+F130</f>
        <v>583</v>
      </c>
      <c r="G131" s="0" t="n">
        <f aca="false">D131</f>
        <v>650</v>
      </c>
      <c r="H131" s="0" t="n">
        <f aca="false">E131-D131*0.95</f>
        <v>-19.5</v>
      </c>
      <c r="I131" s="0" t="n">
        <f aca="false">F131-D131*0.95</f>
        <v>-34.5</v>
      </c>
    </row>
    <row r="132" customFormat="false" ht="12" hidden="false" customHeight="false" outlineLevel="0" collapsed="false">
      <c r="A132" s="41" t="n">
        <v>655</v>
      </c>
      <c r="B132" s="42" t="n">
        <v>7</v>
      </c>
      <c r="C132" s="42" t="n">
        <v>5</v>
      </c>
      <c r="D132" s="41" t="n">
        <v>655</v>
      </c>
      <c r="E132" s="0" t="n">
        <f aca="false">B132+E131</f>
        <v>605</v>
      </c>
      <c r="F132" s="0" t="n">
        <f aca="false">C132+F131</f>
        <v>588</v>
      </c>
      <c r="G132" s="0" t="n">
        <f aca="false">D132</f>
        <v>655</v>
      </c>
      <c r="H132" s="0" t="n">
        <f aca="false">E132-D132*0.95</f>
        <v>-17.25</v>
      </c>
      <c r="I132" s="0" t="n">
        <f aca="false">F132-D132*0.95</f>
        <v>-34.25</v>
      </c>
    </row>
    <row r="133" customFormat="false" ht="12" hidden="false" customHeight="false" outlineLevel="0" collapsed="false">
      <c r="A133" s="41" t="n">
        <v>660</v>
      </c>
      <c r="B133" s="42" t="n">
        <v>2</v>
      </c>
      <c r="C133" s="42" t="n">
        <v>5</v>
      </c>
      <c r="D133" s="41" t="n">
        <v>660</v>
      </c>
      <c r="E133" s="0" t="n">
        <f aca="false">B133+E132</f>
        <v>607</v>
      </c>
      <c r="F133" s="0" t="n">
        <f aca="false">C133+F132</f>
        <v>593</v>
      </c>
      <c r="G133" s="0" t="n">
        <f aca="false">D133</f>
        <v>660</v>
      </c>
      <c r="H133" s="0" t="n">
        <f aca="false">E133-D133*0.95</f>
        <v>-20</v>
      </c>
      <c r="I133" s="0" t="n">
        <f aca="false">F133-D133*0.95</f>
        <v>-34</v>
      </c>
    </row>
    <row r="134" customFormat="false" ht="12" hidden="false" customHeight="false" outlineLevel="0" collapsed="false">
      <c r="A134" s="41" t="n">
        <v>665</v>
      </c>
      <c r="B134" s="42" t="n">
        <v>6</v>
      </c>
      <c r="C134" s="42" t="n">
        <v>6</v>
      </c>
      <c r="D134" s="41" t="n">
        <v>665</v>
      </c>
      <c r="E134" s="0" t="n">
        <f aca="false">B134+E133</f>
        <v>613</v>
      </c>
      <c r="F134" s="0" t="n">
        <f aca="false">C134+F133</f>
        <v>599</v>
      </c>
      <c r="G134" s="0" t="n">
        <f aca="false">D134</f>
        <v>665</v>
      </c>
      <c r="H134" s="0" t="n">
        <f aca="false">E134-D134*0.95</f>
        <v>-18.75</v>
      </c>
      <c r="I134" s="0" t="n">
        <f aca="false">F134-D134*0.95</f>
        <v>-32.75</v>
      </c>
    </row>
    <row r="135" customFormat="false" ht="12" hidden="false" customHeight="false" outlineLevel="0" collapsed="false">
      <c r="A135" s="41" t="n">
        <v>670</v>
      </c>
      <c r="B135" s="42" t="n">
        <v>5</v>
      </c>
      <c r="C135" s="42" t="n">
        <v>4</v>
      </c>
      <c r="D135" s="41" t="n">
        <v>670</v>
      </c>
      <c r="E135" s="0" t="n">
        <f aca="false">B135+E134</f>
        <v>618</v>
      </c>
      <c r="F135" s="0" t="n">
        <f aca="false">C135+F134</f>
        <v>603</v>
      </c>
      <c r="G135" s="0" t="n">
        <f aca="false">D135</f>
        <v>670</v>
      </c>
      <c r="H135" s="0" t="n">
        <f aca="false">E135-D135*0.95</f>
        <v>-18.5</v>
      </c>
      <c r="I135" s="0" t="n">
        <f aca="false">F135-D135*0.95</f>
        <v>-33.5</v>
      </c>
    </row>
    <row r="136" customFormat="false" ht="12" hidden="false" customHeight="false" outlineLevel="0" collapsed="false">
      <c r="A136" s="41" t="n">
        <v>675</v>
      </c>
      <c r="B136" s="42" t="n">
        <v>4</v>
      </c>
      <c r="C136" s="42" t="n">
        <v>6</v>
      </c>
      <c r="D136" s="41" t="n">
        <v>675</v>
      </c>
      <c r="E136" s="0" t="n">
        <f aca="false">B136+E135</f>
        <v>622</v>
      </c>
      <c r="F136" s="0" t="n">
        <f aca="false">C136+F135</f>
        <v>609</v>
      </c>
      <c r="G136" s="0" t="n">
        <f aca="false">D136</f>
        <v>675</v>
      </c>
      <c r="H136" s="0" t="n">
        <f aca="false">E136-D136*0.95</f>
        <v>-19.25</v>
      </c>
      <c r="I136" s="0" t="n">
        <f aca="false">F136-D136*0.95</f>
        <v>-32.25</v>
      </c>
    </row>
    <row r="137" customFormat="false" ht="12" hidden="false" customHeight="false" outlineLevel="0" collapsed="false">
      <c r="A137" s="41" t="n">
        <v>680</v>
      </c>
      <c r="B137" s="42" t="n">
        <v>4</v>
      </c>
      <c r="C137" s="42" t="n">
        <v>4</v>
      </c>
      <c r="D137" s="41" t="n">
        <v>680</v>
      </c>
      <c r="E137" s="0" t="n">
        <f aca="false">B137+E136</f>
        <v>626</v>
      </c>
      <c r="F137" s="0" t="n">
        <f aca="false">C137+F136</f>
        <v>613</v>
      </c>
      <c r="G137" s="0" t="n">
        <f aca="false">D137</f>
        <v>680</v>
      </c>
      <c r="H137" s="0" t="n">
        <f aca="false">E137-D137*0.95</f>
        <v>-20</v>
      </c>
      <c r="I137" s="0" t="n">
        <f aca="false">F137-D137*0.95</f>
        <v>-33</v>
      </c>
    </row>
    <row r="138" customFormat="false" ht="12" hidden="false" customHeight="false" outlineLevel="0" collapsed="false">
      <c r="A138" s="41" t="n">
        <v>685</v>
      </c>
      <c r="B138" s="42" t="n">
        <v>5</v>
      </c>
      <c r="C138" s="42" t="n">
        <v>6</v>
      </c>
      <c r="D138" s="41" t="n">
        <v>685</v>
      </c>
      <c r="E138" s="0" t="n">
        <f aca="false">B138+E137</f>
        <v>631</v>
      </c>
      <c r="F138" s="0" t="n">
        <f aca="false">C138+F137</f>
        <v>619</v>
      </c>
      <c r="G138" s="0" t="n">
        <f aca="false">D138</f>
        <v>685</v>
      </c>
      <c r="H138" s="0" t="n">
        <f aca="false">E138-D138*0.95</f>
        <v>-19.75</v>
      </c>
      <c r="I138" s="0" t="n">
        <f aca="false">F138-D138*0.95</f>
        <v>-31.75</v>
      </c>
    </row>
    <row r="139" customFormat="false" ht="12" hidden="false" customHeight="false" outlineLevel="0" collapsed="false">
      <c r="A139" s="41" t="n">
        <v>690</v>
      </c>
      <c r="B139" s="42" t="n">
        <v>4</v>
      </c>
      <c r="C139" s="42" t="n">
        <v>4</v>
      </c>
      <c r="D139" s="41" t="n">
        <v>690</v>
      </c>
      <c r="E139" s="0" t="n">
        <f aca="false">B139+E138</f>
        <v>635</v>
      </c>
      <c r="F139" s="0" t="n">
        <f aca="false">C139+F138</f>
        <v>623</v>
      </c>
      <c r="G139" s="0" t="n">
        <f aca="false">D139</f>
        <v>690</v>
      </c>
      <c r="H139" s="0" t="n">
        <f aca="false">E139-D139*0.95</f>
        <v>-20.5</v>
      </c>
      <c r="I139" s="0" t="n">
        <f aca="false">F139-D139*0.95</f>
        <v>-32.5</v>
      </c>
    </row>
    <row r="140" customFormat="false" ht="12" hidden="false" customHeight="false" outlineLevel="0" collapsed="false">
      <c r="A140" s="41" t="n">
        <v>695</v>
      </c>
      <c r="B140" s="42" t="n">
        <v>3</v>
      </c>
      <c r="C140" s="42" t="n">
        <v>6</v>
      </c>
      <c r="D140" s="41" t="n">
        <v>695</v>
      </c>
      <c r="E140" s="0" t="n">
        <f aca="false">B140+E139</f>
        <v>638</v>
      </c>
      <c r="F140" s="0" t="n">
        <f aca="false">C140+F139</f>
        <v>629</v>
      </c>
      <c r="G140" s="0" t="n">
        <f aca="false">D140</f>
        <v>695</v>
      </c>
      <c r="H140" s="0" t="n">
        <f aca="false">E140-D140*0.95</f>
        <v>-22.25</v>
      </c>
      <c r="I140" s="0" t="n">
        <f aca="false">F140-D140*0.95</f>
        <v>-31.25</v>
      </c>
    </row>
    <row r="141" customFormat="false" ht="12" hidden="false" customHeight="false" outlineLevel="0" collapsed="false">
      <c r="A141" s="41" t="n">
        <v>700</v>
      </c>
      <c r="B141" s="42" t="n">
        <v>4</v>
      </c>
      <c r="C141" s="42" t="n">
        <v>4</v>
      </c>
      <c r="D141" s="41" t="n">
        <v>700</v>
      </c>
      <c r="E141" s="0" t="n">
        <f aca="false">B141+E140</f>
        <v>642</v>
      </c>
      <c r="F141" s="0" t="n">
        <f aca="false">C141+F140</f>
        <v>633</v>
      </c>
      <c r="G141" s="0" t="n">
        <f aca="false">D141</f>
        <v>700</v>
      </c>
      <c r="H141" s="0" t="n">
        <f aca="false">E141-D141*0.95</f>
        <v>-23</v>
      </c>
      <c r="I141" s="0" t="n">
        <f aca="false">F141-D141*0.95</f>
        <v>-32</v>
      </c>
    </row>
    <row r="142" customFormat="false" ht="12" hidden="false" customHeight="false" outlineLevel="0" collapsed="false">
      <c r="A142" s="41" t="n">
        <v>705</v>
      </c>
      <c r="B142" s="42" t="n">
        <v>3</v>
      </c>
      <c r="C142" s="42" t="n">
        <v>5</v>
      </c>
      <c r="D142" s="41" t="n">
        <v>705</v>
      </c>
      <c r="E142" s="0" t="n">
        <f aca="false">B142+E141</f>
        <v>645</v>
      </c>
      <c r="F142" s="0" t="n">
        <f aca="false">C142+F141</f>
        <v>638</v>
      </c>
      <c r="G142" s="0" t="n">
        <f aca="false">D142</f>
        <v>705</v>
      </c>
      <c r="H142" s="0" t="n">
        <f aca="false">E142-D142*0.95</f>
        <v>-24.75</v>
      </c>
      <c r="I142" s="0" t="n">
        <f aca="false">F142-D142*0.95</f>
        <v>-31.75</v>
      </c>
    </row>
    <row r="143" customFormat="false" ht="12" hidden="false" customHeight="false" outlineLevel="0" collapsed="false">
      <c r="A143" s="41" t="n">
        <v>710</v>
      </c>
      <c r="B143" s="42" t="n">
        <v>3</v>
      </c>
      <c r="C143" s="42" t="n">
        <v>5</v>
      </c>
      <c r="D143" s="41" t="n">
        <v>710</v>
      </c>
      <c r="E143" s="0" t="n">
        <f aca="false">B143+E142</f>
        <v>648</v>
      </c>
      <c r="F143" s="0" t="n">
        <f aca="false">C143+F142</f>
        <v>643</v>
      </c>
      <c r="G143" s="0" t="n">
        <f aca="false">D143</f>
        <v>710</v>
      </c>
      <c r="H143" s="0" t="n">
        <f aca="false">E143-D143*0.95</f>
        <v>-26.5</v>
      </c>
      <c r="I143" s="0" t="n">
        <f aca="false">F143-D143*0.95</f>
        <v>-31.5</v>
      </c>
    </row>
    <row r="144" customFormat="false" ht="12" hidden="false" customHeight="false" outlineLevel="0" collapsed="false">
      <c r="A144" s="41" t="n">
        <v>715</v>
      </c>
      <c r="B144" s="42" t="n">
        <v>4</v>
      </c>
      <c r="C144" s="42" t="n">
        <v>5</v>
      </c>
      <c r="D144" s="41" t="n">
        <v>715</v>
      </c>
      <c r="E144" s="0" t="n">
        <f aca="false">B144+E143</f>
        <v>652</v>
      </c>
      <c r="F144" s="0" t="n">
        <f aca="false">C144+F143</f>
        <v>648</v>
      </c>
      <c r="G144" s="0" t="n">
        <f aca="false">D144</f>
        <v>715</v>
      </c>
      <c r="H144" s="0" t="n">
        <f aca="false">E144-D144*0.95</f>
        <v>-27.25</v>
      </c>
      <c r="I144" s="0" t="n">
        <f aca="false">F144-D144*0.95</f>
        <v>-31.25</v>
      </c>
    </row>
    <row r="145" customFormat="false" ht="12" hidden="false" customHeight="false" outlineLevel="0" collapsed="false">
      <c r="A145" s="41" t="n">
        <v>720</v>
      </c>
      <c r="B145" s="42" t="n">
        <v>2</v>
      </c>
      <c r="C145" s="42" t="n">
        <v>4</v>
      </c>
      <c r="D145" s="41" t="n">
        <v>720</v>
      </c>
      <c r="E145" s="0" t="n">
        <f aca="false">B145+E144</f>
        <v>654</v>
      </c>
      <c r="F145" s="0" t="n">
        <f aca="false">C145+F144</f>
        <v>652</v>
      </c>
      <c r="G145" s="0" t="n">
        <f aca="false">D145</f>
        <v>720</v>
      </c>
      <c r="H145" s="0" t="n">
        <f aca="false">E145-D145*0.95</f>
        <v>-30</v>
      </c>
      <c r="I145" s="0" t="n">
        <f aca="false">F145-D145*0.95</f>
        <v>-32</v>
      </c>
    </row>
    <row r="146" customFormat="false" ht="12" hidden="false" customHeight="false" outlineLevel="0" collapsed="false">
      <c r="A146" s="41" t="n">
        <v>725</v>
      </c>
      <c r="B146" s="42" t="n">
        <v>5</v>
      </c>
      <c r="C146" s="42" t="n">
        <v>5</v>
      </c>
      <c r="D146" s="41" t="n">
        <v>725</v>
      </c>
      <c r="E146" s="0" t="n">
        <f aca="false">B146+E145</f>
        <v>659</v>
      </c>
      <c r="F146" s="0" t="n">
        <f aca="false">C146+F145</f>
        <v>657</v>
      </c>
      <c r="G146" s="0" t="n">
        <f aca="false">D146</f>
        <v>725</v>
      </c>
      <c r="H146" s="0" t="n">
        <f aca="false">E146-D146*0.95</f>
        <v>-29.75</v>
      </c>
      <c r="I146" s="0" t="n">
        <f aca="false">F146-D146*0.95</f>
        <v>-31.75</v>
      </c>
    </row>
    <row r="147" customFormat="false" ht="12" hidden="false" customHeight="false" outlineLevel="0" collapsed="false">
      <c r="A147" s="41" t="n">
        <v>730</v>
      </c>
      <c r="B147" s="42" t="n">
        <v>6</v>
      </c>
      <c r="C147" s="42" t="n">
        <v>5</v>
      </c>
      <c r="D147" s="41" t="n">
        <v>730</v>
      </c>
      <c r="E147" s="0" t="n">
        <f aca="false">B147+E146</f>
        <v>665</v>
      </c>
      <c r="F147" s="0" t="n">
        <f aca="false">C147+F146</f>
        <v>662</v>
      </c>
      <c r="G147" s="0" t="n">
        <f aca="false">D147</f>
        <v>730</v>
      </c>
      <c r="H147" s="0" t="n">
        <f aca="false">E147-D147*0.95</f>
        <v>-28.5</v>
      </c>
      <c r="I147" s="0" t="n">
        <f aca="false">F147-D147*0.95</f>
        <v>-31.5</v>
      </c>
    </row>
    <row r="148" customFormat="false" ht="12" hidden="false" customHeight="false" outlineLevel="0" collapsed="false">
      <c r="A148" s="41" t="n">
        <v>735</v>
      </c>
      <c r="B148" s="42" t="n">
        <v>6</v>
      </c>
      <c r="C148" s="42" t="n">
        <v>4</v>
      </c>
      <c r="D148" s="41" t="n">
        <v>735</v>
      </c>
      <c r="E148" s="0" t="n">
        <f aca="false">B148+E147</f>
        <v>671</v>
      </c>
      <c r="F148" s="0" t="n">
        <f aca="false">C148+F147</f>
        <v>666</v>
      </c>
      <c r="G148" s="0" t="n">
        <f aca="false">D148</f>
        <v>735</v>
      </c>
      <c r="H148" s="0" t="n">
        <f aca="false">E148-D148*0.95</f>
        <v>-27.25</v>
      </c>
      <c r="I148" s="0" t="n">
        <f aca="false">F148-D148*0.95</f>
        <v>-32.25</v>
      </c>
    </row>
    <row r="149" customFormat="false" ht="12" hidden="false" customHeight="false" outlineLevel="0" collapsed="false">
      <c r="A149" s="41" t="n">
        <v>740</v>
      </c>
      <c r="B149" s="42" t="n">
        <v>1</v>
      </c>
      <c r="C149" s="42" t="n">
        <v>5</v>
      </c>
      <c r="D149" s="41" t="n">
        <v>740</v>
      </c>
      <c r="E149" s="0" t="n">
        <f aca="false">B149+E148</f>
        <v>672</v>
      </c>
      <c r="F149" s="0" t="n">
        <f aca="false">C149+F148</f>
        <v>671</v>
      </c>
      <c r="G149" s="0" t="n">
        <f aca="false">D149</f>
        <v>740</v>
      </c>
      <c r="H149" s="0" t="n">
        <f aca="false">E149-D149*0.95</f>
        <v>-31</v>
      </c>
      <c r="I149" s="0" t="n">
        <f aca="false">F149-D149*0.95</f>
        <v>-32</v>
      </c>
    </row>
    <row r="150" customFormat="false" ht="12" hidden="false" customHeight="false" outlineLevel="0" collapsed="false">
      <c r="A150" s="41" t="n">
        <v>745</v>
      </c>
      <c r="B150" s="42" t="n">
        <v>7</v>
      </c>
      <c r="C150" s="42" t="n">
        <v>4</v>
      </c>
      <c r="D150" s="41" t="n">
        <v>745</v>
      </c>
      <c r="E150" s="0" t="n">
        <f aca="false">B150+E149</f>
        <v>679</v>
      </c>
      <c r="F150" s="0" t="n">
        <f aca="false">C150+F149</f>
        <v>675</v>
      </c>
      <c r="G150" s="0" t="n">
        <f aca="false">D150</f>
        <v>745</v>
      </c>
      <c r="H150" s="0" t="n">
        <f aca="false">E150-D150*0.95</f>
        <v>-28.75</v>
      </c>
      <c r="I150" s="0" t="n">
        <f aca="false">F150-D150*0.95</f>
        <v>-32.75</v>
      </c>
    </row>
    <row r="151" customFormat="false" ht="12" hidden="false" customHeight="false" outlineLevel="0" collapsed="false">
      <c r="A151" s="41" t="n">
        <v>750</v>
      </c>
      <c r="B151" s="42" t="n">
        <v>6</v>
      </c>
      <c r="C151" s="42" t="n">
        <v>5</v>
      </c>
      <c r="D151" s="41" t="n">
        <v>750</v>
      </c>
      <c r="E151" s="0" t="n">
        <f aca="false">B151+E150</f>
        <v>685</v>
      </c>
      <c r="F151" s="0" t="n">
        <f aca="false">C151+F150</f>
        <v>680</v>
      </c>
      <c r="G151" s="0" t="n">
        <f aca="false">D151</f>
        <v>750</v>
      </c>
      <c r="H151" s="0" t="n">
        <f aca="false">E151-D151*0.95</f>
        <v>-27.5</v>
      </c>
      <c r="I151" s="0" t="n">
        <f aca="false">F151-D151*0.95</f>
        <v>-32.5</v>
      </c>
    </row>
    <row r="152" customFormat="false" ht="12" hidden="false" customHeight="false" outlineLevel="0" collapsed="false">
      <c r="A152" s="41" t="n">
        <v>755</v>
      </c>
      <c r="B152" s="42" t="n">
        <v>5</v>
      </c>
      <c r="C152" s="42" t="n">
        <v>5</v>
      </c>
      <c r="D152" s="41" t="n">
        <v>755</v>
      </c>
      <c r="E152" s="0" t="n">
        <f aca="false">B152+E151</f>
        <v>690</v>
      </c>
      <c r="F152" s="0" t="n">
        <f aca="false">C152+F151</f>
        <v>685</v>
      </c>
      <c r="G152" s="0" t="n">
        <f aca="false">D152</f>
        <v>755</v>
      </c>
      <c r="H152" s="0" t="n">
        <f aca="false">E152-D152*0.95</f>
        <v>-27.25</v>
      </c>
      <c r="I152" s="0" t="n">
        <f aca="false">F152-D152*0.95</f>
        <v>-32.25</v>
      </c>
    </row>
    <row r="153" customFormat="false" ht="12" hidden="false" customHeight="false" outlineLevel="0" collapsed="false">
      <c r="A153" s="41" t="n">
        <v>760</v>
      </c>
      <c r="B153" s="42" t="n">
        <v>6</v>
      </c>
      <c r="C153" s="42" t="n">
        <v>6</v>
      </c>
      <c r="D153" s="41" t="n">
        <v>760</v>
      </c>
      <c r="E153" s="0" t="n">
        <f aca="false">B153+E152</f>
        <v>696</v>
      </c>
      <c r="F153" s="0" t="n">
        <f aca="false">C153+F152</f>
        <v>691</v>
      </c>
      <c r="G153" s="0" t="n">
        <f aca="false">D153</f>
        <v>760</v>
      </c>
      <c r="H153" s="0" t="n">
        <f aca="false">E153-D153*0.95</f>
        <v>-26</v>
      </c>
      <c r="I153" s="0" t="n">
        <f aca="false">F153-D153*0.95</f>
        <v>-31</v>
      </c>
    </row>
    <row r="154" customFormat="false" ht="12" hidden="false" customHeight="false" outlineLevel="0" collapsed="false">
      <c r="A154" s="41" t="n">
        <v>765</v>
      </c>
      <c r="B154" s="42" t="n">
        <v>4</v>
      </c>
      <c r="C154" s="42" t="n">
        <v>4</v>
      </c>
      <c r="D154" s="41" t="n">
        <v>765</v>
      </c>
      <c r="E154" s="0" t="n">
        <f aca="false">B154+E153</f>
        <v>700</v>
      </c>
      <c r="F154" s="0" t="n">
        <f aca="false">C154+F153</f>
        <v>695</v>
      </c>
      <c r="G154" s="0" t="n">
        <f aca="false">D154</f>
        <v>765</v>
      </c>
      <c r="H154" s="0" t="n">
        <f aca="false">E154-D154*0.95</f>
        <v>-26.75</v>
      </c>
      <c r="I154" s="0" t="n">
        <f aca="false">F154-D154*0.95</f>
        <v>-31.75</v>
      </c>
    </row>
    <row r="155" customFormat="false" ht="12" hidden="false" customHeight="false" outlineLevel="0" collapsed="false">
      <c r="A155" s="41" t="n">
        <v>770</v>
      </c>
      <c r="B155" s="42" t="n">
        <v>8</v>
      </c>
      <c r="C155" s="42" t="n">
        <v>6</v>
      </c>
      <c r="D155" s="41" t="n">
        <v>770</v>
      </c>
      <c r="E155" s="0" t="n">
        <f aca="false">B155+E154</f>
        <v>708</v>
      </c>
      <c r="F155" s="0" t="n">
        <f aca="false">C155+F154</f>
        <v>701</v>
      </c>
      <c r="G155" s="0" t="n">
        <f aca="false">D155</f>
        <v>770</v>
      </c>
      <c r="H155" s="0" t="n">
        <f aca="false">E155-D155*0.95</f>
        <v>-23.5</v>
      </c>
      <c r="I155" s="0" t="n">
        <f aca="false">F155-D155*0.95</f>
        <v>-30.5</v>
      </c>
    </row>
    <row r="156" customFormat="false" ht="12" hidden="false" customHeight="false" outlineLevel="0" collapsed="false">
      <c r="A156" s="41" t="n">
        <v>775</v>
      </c>
      <c r="B156" s="42" t="n">
        <v>5</v>
      </c>
      <c r="C156" s="42" t="n">
        <v>5</v>
      </c>
      <c r="D156" s="41" t="n">
        <v>775</v>
      </c>
      <c r="E156" s="0" t="n">
        <f aca="false">B156+E155</f>
        <v>713</v>
      </c>
      <c r="F156" s="0" t="n">
        <f aca="false">C156+F155</f>
        <v>706</v>
      </c>
      <c r="G156" s="0" t="n">
        <f aca="false">D156</f>
        <v>775</v>
      </c>
      <c r="H156" s="0" t="n">
        <f aca="false">E156-D156*0.95</f>
        <v>-23.25</v>
      </c>
      <c r="I156" s="0" t="n">
        <f aca="false">F156-D156*0.95</f>
        <v>-30.25</v>
      </c>
    </row>
    <row r="157" customFormat="false" ht="12" hidden="false" customHeight="false" outlineLevel="0" collapsed="false">
      <c r="A157" s="41" t="n">
        <v>780</v>
      </c>
      <c r="B157" s="42" t="n">
        <v>3</v>
      </c>
      <c r="C157" s="42" t="n">
        <v>5</v>
      </c>
      <c r="D157" s="41" t="n">
        <v>780</v>
      </c>
      <c r="E157" s="0" t="n">
        <f aca="false">B157+E156</f>
        <v>716</v>
      </c>
      <c r="F157" s="0" t="n">
        <f aca="false">C157+F156</f>
        <v>711</v>
      </c>
      <c r="G157" s="0" t="n">
        <f aca="false">D157</f>
        <v>780</v>
      </c>
      <c r="H157" s="0" t="n">
        <f aca="false">E157-D157*0.95</f>
        <v>-25</v>
      </c>
      <c r="I157" s="0" t="n">
        <f aca="false">F157-D157*0.95</f>
        <v>-30</v>
      </c>
    </row>
    <row r="158" customFormat="false" ht="12" hidden="false" customHeight="false" outlineLevel="0" collapsed="false">
      <c r="A158" s="41" t="n">
        <v>785</v>
      </c>
      <c r="B158" s="42" t="n">
        <v>3</v>
      </c>
      <c r="C158" s="42" t="n">
        <v>4</v>
      </c>
      <c r="D158" s="41" t="n">
        <v>785</v>
      </c>
      <c r="E158" s="0" t="n">
        <f aca="false">B158+E157</f>
        <v>719</v>
      </c>
      <c r="F158" s="0" t="n">
        <f aca="false">C158+F157</f>
        <v>715</v>
      </c>
      <c r="G158" s="0" t="n">
        <f aca="false">D158</f>
        <v>785</v>
      </c>
      <c r="H158" s="0" t="n">
        <f aca="false">E158-D158*0.95</f>
        <v>-26.75</v>
      </c>
      <c r="I158" s="0" t="n">
        <f aca="false">F158-D158*0.95</f>
        <v>-30.75</v>
      </c>
    </row>
    <row r="159" customFormat="false" ht="12" hidden="false" customHeight="false" outlineLevel="0" collapsed="false">
      <c r="A159" s="41" t="n">
        <v>790</v>
      </c>
      <c r="B159" s="42" t="n">
        <v>7</v>
      </c>
      <c r="C159" s="42" t="n">
        <v>5</v>
      </c>
      <c r="D159" s="41" t="n">
        <v>790</v>
      </c>
      <c r="E159" s="0" t="n">
        <f aca="false">B159+E158</f>
        <v>726</v>
      </c>
      <c r="F159" s="0" t="n">
        <f aca="false">C159+F158</f>
        <v>720</v>
      </c>
      <c r="G159" s="0" t="n">
        <f aca="false">D159</f>
        <v>790</v>
      </c>
      <c r="H159" s="0" t="n">
        <f aca="false">E159-D159*0.95</f>
        <v>-24.5</v>
      </c>
      <c r="I159" s="0" t="n">
        <f aca="false">F159-D159*0.95</f>
        <v>-30.5</v>
      </c>
    </row>
    <row r="160" customFormat="false" ht="12" hidden="false" customHeight="false" outlineLevel="0" collapsed="false">
      <c r="A160" s="41" t="n">
        <v>795</v>
      </c>
      <c r="B160" s="42" t="n">
        <v>8</v>
      </c>
      <c r="C160" s="42" t="n">
        <v>5</v>
      </c>
      <c r="D160" s="41" t="n">
        <v>795</v>
      </c>
      <c r="E160" s="0" t="n">
        <f aca="false">B160+E159</f>
        <v>734</v>
      </c>
      <c r="F160" s="0" t="n">
        <f aca="false">C160+F159</f>
        <v>725</v>
      </c>
      <c r="G160" s="0" t="n">
        <f aca="false">D160</f>
        <v>795</v>
      </c>
      <c r="H160" s="0" t="n">
        <f aca="false">E160-D160*0.95</f>
        <v>-21.25</v>
      </c>
      <c r="I160" s="0" t="n">
        <f aca="false">F160-D160*0.95</f>
        <v>-30.25</v>
      </c>
    </row>
    <row r="161" customFormat="false" ht="12" hidden="false" customHeight="false" outlineLevel="0" collapsed="false">
      <c r="A161" s="41" t="n">
        <v>800</v>
      </c>
      <c r="B161" s="42" t="n">
        <v>4</v>
      </c>
      <c r="C161" s="42" t="n">
        <v>4</v>
      </c>
      <c r="D161" s="41" t="n">
        <v>800</v>
      </c>
      <c r="E161" s="0" t="n">
        <f aca="false">B161+E160</f>
        <v>738</v>
      </c>
      <c r="F161" s="0" t="n">
        <f aca="false">C161+F160</f>
        <v>729</v>
      </c>
      <c r="G161" s="0" t="n">
        <f aca="false">D161</f>
        <v>800</v>
      </c>
      <c r="H161" s="0" t="n">
        <f aca="false">E161-D161*0.95</f>
        <v>-22</v>
      </c>
      <c r="I161" s="0" t="n">
        <f aca="false">F161-D161*0.95</f>
        <v>-31</v>
      </c>
    </row>
    <row r="162" customFormat="false" ht="12" hidden="false" customHeight="false" outlineLevel="0" collapsed="false">
      <c r="A162" s="41" t="n">
        <v>805</v>
      </c>
      <c r="B162" s="42" t="n">
        <v>8</v>
      </c>
      <c r="C162" s="42" t="n">
        <v>6</v>
      </c>
      <c r="D162" s="41" t="n">
        <v>805</v>
      </c>
      <c r="E162" s="0" t="n">
        <f aca="false">B162+E161</f>
        <v>746</v>
      </c>
      <c r="F162" s="0" t="n">
        <f aca="false">C162+F161</f>
        <v>735</v>
      </c>
      <c r="G162" s="0" t="n">
        <f aca="false">D162</f>
        <v>805</v>
      </c>
      <c r="H162" s="0" t="n">
        <f aca="false">E162-D162*0.95</f>
        <v>-18.75</v>
      </c>
      <c r="I162" s="0" t="n">
        <f aca="false">F162-D162*0.95</f>
        <v>-29.75</v>
      </c>
    </row>
    <row r="163" customFormat="false" ht="12" hidden="false" customHeight="false" outlineLevel="0" collapsed="false">
      <c r="A163" s="41" t="n">
        <v>810</v>
      </c>
      <c r="B163" s="42" t="n">
        <v>3</v>
      </c>
      <c r="C163" s="42" t="n">
        <v>4</v>
      </c>
      <c r="D163" s="41" t="n">
        <v>810</v>
      </c>
      <c r="E163" s="0" t="n">
        <f aca="false">B163+E162</f>
        <v>749</v>
      </c>
      <c r="F163" s="0" t="n">
        <f aca="false">C163+F162</f>
        <v>739</v>
      </c>
      <c r="G163" s="0" t="n">
        <f aca="false">D163</f>
        <v>810</v>
      </c>
      <c r="H163" s="0" t="n">
        <f aca="false">E163-D163*0.95</f>
        <v>-20.5</v>
      </c>
      <c r="I163" s="0" t="n">
        <f aca="false">F163-D163*0.95</f>
        <v>-30.5</v>
      </c>
    </row>
    <row r="164" customFormat="false" ht="12" hidden="false" customHeight="false" outlineLevel="0" collapsed="false">
      <c r="A164" s="41" t="n">
        <v>815</v>
      </c>
      <c r="B164" s="42" t="n">
        <v>6</v>
      </c>
      <c r="C164" s="42" t="n">
        <v>6</v>
      </c>
      <c r="D164" s="41" t="n">
        <v>815</v>
      </c>
      <c r="E164" s="0" t="n">
        <f aca="false">B164+E163</f>
        <v>755</v>
      </c>
      <c r="F164" s="0" t="n">
        <f aca="false">C164+F163</f>
        <v>745</v>
      </c>
      <c r="G164" s="0" t="n">
        <f aca="false">D164</f>
        <v>815</v>
      </c>
      <c r="H164" s="0" t="n">
        <f aca="false">E164-D164*0.95</f>
        <v>-19.25</v>
      </c>
      <c r="I164" s="0" t="n">
        <f aca="false">F164-D164*0.95</f>
        <v>-29.25</v>
      </c>
    </row>
    <row r="165" customFormat="false" ht="12" hidden="false" customHeight="false" outlineLevel="0" collapsed="false">
      <c r="A165" s="41" t="n">
        <v>820</v>
      </c>
      <c r="B165" s="42" t="n">
        <v>9</v>
      </c>
      <c r="C165" s="42" t="n">
        <v>4</v>
      </c>
      <c r="D165" s="41" t="n">
        <v>820</v>
      </c>
      <c r="E165" s="0" t="n">
        <f aca="false">B165+E164</f>
        <v>764</v>
      </c>
      <c r="F165" s="0" t="n">
        <f aca="false">C165+F164</f>
        <v>749</v>
      </c>
      <c r="G165" s="0" t="n">
        <f aca="false">D165</f>
        <v>820</v>
      </c>
      <c r="H165" s="0" t="n">
        <f aca="false">E165-D165*0.95</f>
        <v>-15</v>
      </c>
      <c r="I165" s="0" t="n">
        <f aca="false">F165-D165*0.95</f>
        <v>-30</v>
      </c>
    </row>
    <row r="166" customFormat="false" ht="12" hidden="false" customHeight="false" outlineLevel="0" collapsed="false">
      <c r="A166" s="41" t="n">
        <v>825</v>
      </c>
      <c r="B166" s="42" t="n">
        <v>7</v>
      </c>
      <c r="C166" s="42" t="n">
        <v>6</v>
      </c>
      <c r="D166" s="41" t="n">
        <v>825</v>
      </c>
      <c r="E166" s="0" t="n">
        <f aca="false">B166+E165</f>
        <v>771</v>
      </c>
      <c r="F166" s="0" t="n">
        <f aca="false">C166+F165</f>
        <v>755</v>
      </c>
      <c r="G166" s="0" t="n">
        <f aca="false">D166</f>
        <v>825</v>
      </c>
      <c r="H166" s="0" t="n">
        <f aca="false">E166-D166*0.95</f>
        <v>-12.75</v>
      </c>
      <c r="I166" s="0" t="n">
        <f aca="false">F166-D166*0.95</f>
        <v>-28.75</v>
      </c>
    </row>
    <row r="167" customFormat="false" ht="12" hidden="false" customHeight="false" outlineLevel="0" collapsed="false">
      <c r="A167" s="41" t="n">
        <v>830</v>
      </c>
      <c r="B167" s="42" t="n">
        <v>8</v>
      </c>
      <c r="C167" s="42" t="n">
        <v>4</v>
      </c>
      <c r="D167" s="41" t="n">
        <v>830</v>
      </c>
      <c r="E167" s="0" t="n">
        <f aca="false">B167+E166</f>
        <v>779</v>
      </c>
      <c r="F167" s="0" t="n">
        <f aca="false">C167+F166</f>
        <v>759</v>
      </c>
      <c r="G167" s="0" t="n">
        <f aca="false">D167</f>
        <v>830</v>
      </c>
      <c r="H167" s="0" t="n">
        <f aca="false">E167-D167*0.95</f>
        <v>-9.5</v>
      </c>
      <c r="I167" s="0" t="n">
        <f aca="false">F167-D167*0.95</f>
        <v>-29.5</v>
      </c>
    </row>
    <row r="168" customFormat="false" ht="12" hidden="false" customHeight="false" outlineLevel="0" collapsed="false">
      <c r="A168" s="41" t="n">
        <v>835</v>
      </c>
      <c r="B168" s="42" t="n">
        <v>2</v>
      </c>
      <c r="C168" s="42" t="n">
        <v>5</v>
      </c>
      <c r="D168" s="41" t="n">
        <v>835</v>
      </c>
      <c r="E168" s="0" t="n">
        <f aca="false">B168+E167</f>
        <v>781</v>
      </c>
      <c r="F168" s="0" t="n">
        <f aca="false">C168+F167</f>
        <v>764</v>
      </c>
      <c r="G168" s="0" t="n">
        <f aca="false">D168</f>
        <v>835</v>
      </c>
      <c r="H168" s="0" t="n">
        <f aca="false">E168-D168*0.95</f>
        <v>-12.25</v>
      </c>
      <c r="I168" s="0" t="n">
        <f aca="false">F168-D168*0.95</f>
        <v>-29.25</v>
      </c>
    </row>
    <row r="169" customFormat="false" ht="12" hidden="false" customHeight="false" outlineLevel="0" collapsed="false">
      <c r="A169" s="41" t="n">
        <v>840</v>
      </c>
      <c r="B169" s="42" t="n">
        <v>6</v>
      </c>
      <c r="C169" s="42" t="n">
        <v>5</v>
      </c>
      <c r="D169" s="41" t="n">
        <v>840</v>
      </c>
      <c r="E169" s="0" t="n">
        <f aca="false">B169+E168</f>
        <v>787</v>
      </c>
      <c r="F169" s="0" t="n">
        <f aca="false">C169+F168</f>
        <v>769</v>
      </c>
      <c r="G169" s="0" t="n">
        <f aca="false">D169</f>
        <v>840</v>
      </c>
      <c r="H169" s="0" t="n">
        <f aca="false">E169-D169*0.95</f>
        <v>-11</v>
      </c>
      <c r="I169" s="0" t="n">
        <f aca="false">F169-D169*0.95</f>
        <v>-29</v>
      </c>
    </row>
    <row r="170" customFormat="false" ht="12" hidden="false" customHeight="false" outlineLevel="0" collapsed="false">
      <c r="A170" s="41" t="n">
        <v>845</v>
      </c>
      <c r="B170" s="42" t="n">
        <v>4</v>
      </c>
      <c r="C170" s="42" t="n">
        <v>5</v>
      </c>
      <c r="D170" s="41" t="n">
        <v>845</v>
      </c>
      <c r="E170" s="0" t="n">
        <f aca="false">B170+E169</f>
        <v>791</v>
      </c>
      <c r="F170" s="0" t="n">
        <f aca="false">C170+F169</f>
        <v>774</v>
      </c>
      <c r="G170" s="0" t="n">
        <f aca="false">D170</f>
        <v>845</v>
      </c>
      <c r="H170" s="0" t="n">
        <f aca="false">E170-D170*0.95</f>
        <v>-11.75</v>
      </c>
      <c r="I170" s="0" t="n">
        <f aca="false">F170-D170*0.95</f>
        <v>-28.75</v>
      </c>
    </row>
    <row r="171" customFormat="false" ht="12" hidden="false" customHeight="false" outlineLevel="0" collapsed="false">
      <c r="A171" s="41" t="n">
        <v>850</v>
      </c>
      <c r="B171" s="42" t="n">
        <v>1</v>
      </c>
      <c r="C171" s="42" t="n">
        <v>5</v>
      </c>
      <c r="D171" s="41" t="n">
        <v>850</v>
      </c>
      <c r="E171" s="0" t="n">
        <f aca="false">B171+E170</f>
        <v>792</v>
      </c>
      <c r="F171" s="0" t="n">
        <f aca="false">C171+F170</f>
        <v>779</v>
      </c>
      <c r="G171" s="0" t="n">
        <f aca="false">D171</f>
        <v>850</v>
      </c>
      <c r="H171" s="0" t="n">
        <f aca="false">E171-D171*0.95</f>
        <v>-15.5</v>
      </c>
      <c r="I171" s="0" t="n">
        <f aca="false">F171-D171*0.95</f>
        <v>-28.5</v>
      </c>
    </row>
    <row r="172" customFormat="false" ht="12" hidden="false" customHeight="false" outlineLevel="0" collapsed="false">
      <c r="A172" s="41" t="n">
        <v>855</v>
      </c>
      <c r="B172" s="42" t="n">
        <v>6</v>
      </c>
      <c r="C172" s="42" t="n">
        <v>5</v>
      </c>
      <c r="D172" s="41" t="n">
        <v>855</v>
      </c>
      <c r="E172" s="0" t="n">
        <f aca="false">B172+E171</f>
        <v>798</v>
      </c>
      <c r="F172" s="0" t="n">
        <f aca="false">C172+F171</f>
        <v>784</v>
      </c>
      <c r="G172" s="0" t="n">
        <f aca="false">D172</f>
        <v>855</v>
      </c>
      <c r="H172" s="0" t="n">
        <f aca="false">E172-D172*0.95</f>
        <v>-14.25</v>
      </c>
      <c r="I172" s="0" t="n">
        <f aca="false">F172-D172*0.95</f>
        <v>-28.25</v>
      </c>
    </row>
    <row r="173" customFormat="false" ht="12" hidden="false" customHeight="false" outlineLevel="0" collapsed="false">
      <c r="A173" s="41" t="n">
        <v>860</v>
      </c>
      <c r="B173" s="42" t="n">
        <v>4</v>
      </c>
      <c r="C173" s="42" t="n">
        <v>5</v>
      </c>
      <c r="D173" s="41" t="n">
        <v>860</v>
      </c>
      <c r="E173" s="0" t="n">
        <f aca="false">B173+E172</f>
        <v>802</v>
      </c>
      <c r="F173" s="0" t="n">
        <f aca="false">C173+F172</f>
        <v>789</v>
      </c>
      <c r="G173" s="0" t="n">
        <f aca="false">D173</f>
        <v>860</v>
      </c>
      <c r="H173" s="0" t="n">
        <f aca="false">E173-D173*0.95</f>
        <v>-15</v>
      </c>
      <c r="I173" s="0" t="n">
        <f aca="false">F173-D173*0.95</f>
        <v>-28</v>
      </c>
    </row>
    <row r="174" customFormat="false" ht="12" hidden="false" customHeight="false" outlineLevel="0" collapsed="false">
      <c r="A174" s="41" t="n">
        <v>865</v>
      </c>
      <c r="B174" s="42" t="n">
        <v>5</v>
      </c>
      <c r="C174" s="42" t="n">
        <v>6</v>
      </c>
      <c r="D174" s="41" t="n">
        <v>865</v>
      </c>
      <c r="E174" s="0" t="n">
        <f aca="false">B174+E173</f>
        <v>807</v>
      </c>
      <c r="F174" s="0" t="n">
        <f aca="false">C174+F173</f>
        <v>795</v>
      </c>
      <c r="G174" s="0" t="n">
        <f aca="false">D174</f>
        <v>865</v>
      </c>
      <c r="H174" s="0" t="n">
        <f aca="false">E174-D174*0.95</f>
        <v>-14.75</v>
      </c>
      <c r="I174" s="0" t="n">
        <f aca="false">F174-D174*0.95</f>
        <v>-26.75</v>
      </c>
    </row>
    <row r="175" customFormat="false" ht="12" hidden="false" customHeight="false" outlineLevel="0" collapsed="false">
      <c r="A175" s="41" t="n">
        <v>870</v>
      </c>
      <c r="B175" s="42" t="n">
        <v>6</v>
      </c>
      <c r="C175" s="42" t="n">
        <v>4</v>
      </c>
      <c r="D175" s="41" t="n">
        <v>870</v>
      </c>
      <c r="E175" s="0" t="n">
        <f aca="false">B175+E174</f>
        <v>813</v>
      </c>
      <c r="F175" s="0" t="n">
        <f aca="false">C175+F174</f>
        <v>799</v>
      </c>
      <c r="G175" s="0" t="n">
        <f aca="false">D175</f>
        <v>870</v>
      </c>
      <c r="H175" s="0" t="n">
        <f aca="false">E175-D175*0.95</f>
        <v>-13.5</v>
      </c>
      <c r="I175" s="0" t="n">
        <f aca="false">F175-D175*0.95</f>
        <v>-27.5</v>
      </c>
    </row>
    <row r="176" customFormat="false" ht="12" hidden="false" customHeight="false" outlineLevel="0" collapsed="false">
      <c r="A176" s="41" t="n">
        <v>875</v>
      </c>
      <c r="B176" s="42" t="n">
        <v>3</v>
      </c>
      <c r="C176" s="42" t="n">
        <v>6</v>
      </c>
      <c r="D176" s="41" t="n">
        <v>875</v>
      </c>
      <c r="E176" s="0" t="n">
        <f aca="false">B176+E175</f>
        <v>816</v>
      </c>
      <c r="F176" s="0" t="n">
        <f aca="false">C176+F175</f>
        <v>805</v>
      </c>
      <c r="G176" s="0" t="n">
        <f aca="false">D176</f>
        <v>875</v>
      </c>
      <c r="H176" s="0" t="n">
        <f aca="false">E176-D176*0.95</f>
        <v>-15.25</v>
      </c>
      <c r="I176" s="0" t="n">
        <f aca="false">F176-D176*0.95</f>
        <v>-26.25</v>
      </c>
    </row>
    <row r="177" customFormat="false" ht="12" hidden="false" customHeight="false" outlineLevel="0" collapsed="false">
      <c r="A177" s="41" t="n">
        <v>880</v>
      </c>
      <c r="B177" s="42" t="n">
        <v>3</v>
      </c>
      <c r="C177" s="42" t="n">
        <v>4</v>
      </c>
      <c r="D177" s="41" t="n">
        <v>880</v>
      </c>
      <c r="E177" s="0" t="n">
        <f aca="false">B177+E176</f>
        <v>819</v>
      </c>
      <c r="F177" s="0" t="n">
        <f aca="false">C177+F176</f>
        <v>809</v>
      </c>
      <c r="G177" s="0" t="n">
        <f aca="false">D177</f>
        <v>880</v>
      </c>
      <c r="H177" s="0" t="n">
        <f aca="false">E177-D177*0.95</f>
        <v>-17</v>
      </c>
      <c r="I177" s="0" t="n">
        <f aca="false">F177-D177*0.95</f>
        <v>-27</v>
      </c>
    </row>
    <row r="178" customFormat="false" ht="12" hidden="false" customHeight="false" outlineLevel="0" collapsed="false">
      <c r="A178" s="41" t="n">
        <v>885</v>
      </c>
      <c r="B178" s="42" t="n">
        <v>4</v>
      </c>
      <c r="C178" s="42" t="n">
        <v>6</v>
      </c>
      <c r="D178" s="41" t="n">
        <v>885</v>
      </c>
      <c r="E178" s="0" t="n">
        <f aca="false">B178+E177</f>
        <v>823</v>
      </c>
      <c r="F178" s="0" t="n">
        <f aca="false">C178+F177</f>
        <v>815</v>
      </c>
      <c r="G178" s="0" t="n">
        <f aca="false">D178</f>
        <v>885</v>
      </c>
      <c r="H178" s="0" t="n">
        <f aca="false">E178-D178*0.95</f>
        <v>-17.75</v>
      </c>
      <c r="I178" s="0" t="n">
        <f aca="false">F178-D178*0.95</f>
        <v>-25.75</v>
      </c>
    </row>
    <row r="179" customFormat="false" ht="12" hidden="false" customHeight="false" outlineLevel="0" collapsed="false">
      <c r="A179" s="41" t="n">
        <v>890</v>
      </c>
      <c r="B179" s="42" t="n">
        <v>7</v>
      </c>
      <c r="C179" s="42" t="n">
        <v>4</v>
      </c>
      <c r="D179" s="41" t="n">
        <v>890</v>
      </c>
      <c r="E179" s="0" t="n">
        <f aca="false">B179+E178</f>
        <v>830</v>
      </c>
      <c r="F179" s="0" t="n">
        <f aca="false">C179+F178</f>
        <v>819</v>
      </c>
      <c r="G179" s="0" t="n">
        <f aca="false">D179</f>
        <v>890</v>
      </c>
      <c r="H179" s="0" t="n">
        <f aca="false">E179-D179*0.95</f>
        <v>-15.5</v>
      </c>
      <c r="I179" s="0" t="n">
        <f aca="false">F179-D179*0.95</f>
        <v>-26.5</v>
      </c>
    </row>
    <row r="180" customFormat="false" ht="12" hidden="false" customHeight="false" outlineLevel="0" collapsed="false">
      <c r="A180" s="41" t="n">
        <v>895</v>
      </c>
      <c r="B180" s="42" t="n">
        <v>3</v>
      </c>
      <c r="C180" s="42" t="n">
        <v>6</v>
      </c>
      <c r="D180" s="41" t="n">
        <v>895</v>
      </c>
      <c r="E180" s="0" t="n">
        <f aca="false">B180+E179</f>
        <v>833</v>
      </c>
      <c r="F180" s="0" t="n">
        <f aca="false">C180+F179</f>
        <v>825</v>
      </c>
      <c r="G180" s="0" t="n">
        <f aca="false">D180</f>
        <v>895</v>
      </c>
      <c r="H180" s="0" t="n">
        <f aca="false">E180-D180*0.95</f>
        <v>-17.25</v>
      </c>
      <c r="I180" s="0" t="n">
        <f aca="false">F180-D180*0.95</f>
        <v>-25.25</v>
      </c>
    </row>
    <row r="181" customFormat="false" ht="12" hidden="false" customHeight="false" outlineLevel="0" collapsed="false">
      <c r="A181" s="41" t="n">
        <v>900</v>
      </c>
      <c r="B181" s="42" t="n">
        <v>4</v>
      </c>
      <c r="C181" s="42" t="n">
        <v>4</v>
      </c>
      <c r="D181" s="41" t="n">
        <v>900</v>
      </c>
      <c r="E181" s="0" t="n">
        <f aca="false">B181+E180</f>
        <v>837</v>
      </c>
      <c r="F181" s="0" t="n">
        <f aca="false">C181+F180</f>
        <v>829</v>
      </c>
      <c r="G181" s="0" t="n">
        <f aca="false">D181</f>
        <v>900</v>
      </c>
      <c r="H181" s="0" t="n">
        <f aca="false">E181-D181*0.95</f>
        <v>-18</v>
      </c>
      <c r="I181" s="0" t="n">
        <f aca="false">F181-D181*0.95</f>
        <v>-26</v>
      </c>
    </row>
    <row r="182" customFormat="false" ht="12" hidden="false" customHeight="false" outlineLevel="0" collapsed="false">
      <c r="A182" s="41" t="n">
        <v>905</v>
      </c>
      <c r="B182" s="42" t="n">
        <v>8</v>
      </c>
      <c r="C182" s="42" t="n">
        <v>6</v>
      </c>
      <c r="D182" s="41" t="n">
        <v>905</v>
      </c>
      <c r="E182" s="0" t="n">
        <f aca="false">B182+E181</f>
        <v>845</v>
      </c>
      <c r="F182" s="0" t="n">
        <f aca="false">C182+F181</f>
        <v>835</v>
      </c>
      <c r="G182" s="0" t="n">
        <f aca="false">D182</f>
        <v>905</v>
      </c>
      <c r="H182" s="0" t="n">
        <f aca="false">E182-D182*0.95</f>
        <v>-14.75</v>
      </c>
      <c r="I182" s="0" t="n">
        <f aca="false">F182-D182*0.95</f>
        <v>-24.75</v>
      </c>
    </row>
    <row r="183" customFormat="false" ht="12" hidden="false" customHeight="false" outlineLevel="0" collapsed="false">
      <c r="A183" s="41" t="n">
        <v>910</v>
      </c>
      <c r="B183" s="42" t="n">
        <v>4</v>
      </c>
      <c r="C183" s="42" t="n">
        <v>5</v>
      </c>
      <c r="D183" s="41" t="n">
        <v>910</v>
      </c>
      <c r="E183" s="0" t="n">
        <f aca="false">B183+E182</f>
        <v>849</v>
      </c>
      <c r="F183" s="0" t="n">
        <f aca="false">C183+F182</f>
        <v>840</v>
      </c>
      <c r="G183" s="0" t="n">
        <f aca="false">D183</f>
        <v>910</v>
      </c>
      <c r="H183" s="0" t="n">
        <f aca="false">E183-D183*0.95</f>
        <v>-15.5</v>
      </c>
      <c r="I183" s="0" t="n">
        <f aca="false">F183-D183*0.95</f>
        <v>-24.5</v>
      </c>
    </row>
    <row r="184" customFormat="false" ht="12" hidden="false" customHeight="false" outlineLevel="0" collapsed="false">
      <c r="A184" s="41" t="n">
        <v>915</v>
      </c>
      <c r="B184" s="42" t="n">
        <v>6</v>
      </c>
      <c r="C184" s="42" t="n">
        <v>4</v>
      </c>
      <c r="D184" s="41" t="n">
        <v>915</v>
      </c>
      <c r="E184" s="0" t="n">
        <f aca="false">B184+E183</f>
        <v>855</v>
      </c>
      <c r="F184" s="0" t="n">
        <f aca="false">C184+F183</f>
        <v>844</v>
      </c>
      <c r="G184" s="0" t="n">
        <f aca="false">D184</f>
        <v>915</v>
      </c>
      <c r="H184" s="0" t="n">
        <f aca="false">E184-D184*0.95</f>
        <v>-14.25</v>
      </c>
      <c r="I184" s="0" t="n">
        <f aca="false">F184-D184*0.95</f>
        <v>-25.25</v>
      </c>
    </row>
    <row r="185" customFormat="false" ht="12" hidden="false" customHeight="false" outlineLevel="0" collapsed="false">
      <c r="A185" s="41" t="n">
        <v>920</v>
      </c>
      <c r="B185" s="42" t="n">
        <v>4</v>
      </c>
      <c r="C185" s="42" t="n">
        <v>5</v>
      </c>
      <c r="D185" s="41" t="n">
        <v>920</v>
      </c>
      <c r="E185" s="0" t="n">
        <f aca="false">B185+E184</f>
        <v>859</v>
      </c>
      <c r="F185" s="0" t="n">
        <f aca="false">C185+F184</f>
        <v>849</v>
      </c>
      <c r="G185" s="0" t="n">
        <f aca="false">D185</f>
        <v>920</v>
      </c>
      <c r="H185" s="0" t="n">
        <f aca="false">E185-D185*0.95</f>
        <v>-15</v>
      </c>
      <c r="I185" s="0" t="n">
        <f aca="false">F185-D185*0.95</f>
        <v>-25</v>
      </c>
    </row>
    <row r="186" customFormat="false" ht="12" hidden="false" customHeight="false" outlineLevel="0" collapsed="false">
      <c r="A186" s="41" t="n">
        <v>925</v>
      </c>
      <c r="B186" s="42" t="n">
        <v>3</v>
      </c>
      <c r="C186" s="42" t="n">
        <v>5</v>
      </c>
      <c r="D186" s="41" t="n">
        <v>925</v>
      </c>
      <c r="E186" s="0" t="n">
        <f aca="false">B186+E185</f>
        <v>862</v>
      </c>
      <c r="F186" s="0" t="n">
        <f aca="false">C186+F185</f>
        <v>854</v>
      </c>
      <c r="G186" s="0" t="n">
        <f aca="false">D186</f>
        <v>925</v>
      </c>
      <c r="H186" s="0" t="n">
        <f aca="false">E186-D186*0.95</f>
        <v>-16.75</v>
      </c>
      <c r="I186" s="0" t="n">
        <f aca="false">F186-D186*0.95</f>
        <v>-24.75</v>
      </c>
    </row>
    <row r="187" customFormat="false" ht="12" hidden="false" customHeight="false" outlineLevel="0" collapsed="false">
      <c r="A187" s="41" t="n">
        <v>930</v>
      </c>
      <c r="B187" s="42" t="n">
        <v>4</v>
      </c>
      <c r="C187" s="42" t="n">
        <v>5</v>
      </c>
      <c r="D187" s="41" t="n">
        <v>930</v>
      </c>
      <c r="E187" s="0" t="n">
        <f aca="false">B187+E186</f>
        <v>866</v>
      </c>
      <c r="F187" s="0" t="n">
        <f aca="false">C187+F186</f>
        <v>859</v>
      </c>
      <c r="G187" s="0" t="n">
        <f aca="false">D187</f>
        <v>930</v>
      </c>
      <c r="H187" s="0" t="n">
        <f aca="false">E187-D187*0.95</f>
        <v>-17.5</v>
      </c>
      <c r="I187" s="0" t="n">
        <f aca="false">F187-D187*0.95</f>
        <v>-24.5</v>
      </c>
    </row>
    <row r="188" customFormat="false" ht="12" hidden="false" customHeight="false" outlineLevel="0" collapsed="false">
      <c r="A188" s="41" t="n">
        <v>935</v>
      </c>
      <c r="B188" s="42" t="n">
        <v>3</v>
      </c>
      <c r="C188" s="42" t="n">
        <v>4</v>
      </c>
      <c r="D188" s="41" t="n">
        <v>935</v>
      </c>
      <c r="E188" s="0" t="n">
        <f aca="false">B188+E187</f>
        <v>869</v>
      </c>
      <c r="F188" s="0" t="n">
        <f aca="false">C188+F187</f>
        <v>863</v>
      </c>
      <c r="G188" s="0" t="n">
        <f aca="false">D188</f>
        <v>935</v>
      </c>
      <c r="H188" s="0" t="n">
        <f aca="false">E188-D188*0.95</f>
        <v>-19.25</v>
      </c>
      <c r="I188" s="0" t="n">
        <f aca="false">F188-D188*0.95</f>
        <v>-25.25</v>
      </c>
    </row>
    <row r="189" customFormat="false" ht="12" hidden="false" customHeight="false" outlineLevel="0" collapsed="false">
      <c r="A189" s="41" t="n">
        <v>940</v>
      </c>
      <c r="B189" s="42" t="n">
        <v>4</v>
      </c>
      <c r="C189" s="42" t="n">
        <v>6</v>
      </c>
      <c r="D189" s="41" t="n">
        <v>940</v>
      </c>
      <c r="E189" s="0" t="n">
        <f aca="false">B189+E188</f>
        <v>873</v>
      </c>
      <c r="F189" s="0" t="n">
        <f aca="false">C189+F188</f>
        <v>869</v>
      </c>
      <c r="G189" s="0" t="n">
        <f aca="false">D189</f>
        <v>940</v>
      </c>
      <c r="H189" s="0" t="n">
        <f aca="false">E189-D189*0.95</f>
        <v>-20</v>
      </c>
      <c r="I189" s="0" t="n">
        <f aca="false">F189-D189*0.95</f>
        <v>-24</v>
      </c>
    </row>
    <row r="190" customFormat="false" ht="12" hidden="false" customHeight="false" outlineLevel="0" collapsed="false">
      <c r="A190" s="41" t="n">
        <v>945</v>
      </c>
      <c r="B190" s="42" t="n">
        <v>14</v>
      </c>
      <c r="C190" s="42" t="n">
        <v>4</v>
      </c>
      <c r="D190" s="41" t="n">
        <v>945</v>
      </c>
      <c r="E190" s="0" t="n">
        <f aca="false">B190+E189</f>
        <v>887</v>
      </c>
      <c r="F190" s="0" t="n">
        <f aca="false">C190+F189</f>
        <v>873</v>
      </c>
      <c r="G190" s="0" t="n">
        <f aca="false">D190</f>
        <v>945</v>
      </c>
      <c r="H190" s="0" t="n">
        <f aca="false">E190-D190*0.95</f>
        <v>-10.75</v>
      </c>
      <c r="I190" s="0" t="n">
        <f aca="false">F190-D190*0.95</f>
        <v>-24.75</v>
      </c>
    </row>
    <row r="191" customFormat="false" ht="12" hidden="false" customHeight="false" outlineLevel="0" collapsed="false">
      <c r="A191" s="41" t="n">
        <v>950</v>
      </c>
      <c r="B191" s="42" t="n">
        <v>2</v>
      </c>
      <c r="C191" s="42" t="n">
        <v>6</v>
      </c>
      <c r="D191" s="41" t="n">
        <v>950</v>
      </c>
      <c r="E191" s="0" t="n">
        <f aca="false">B191+E190</f>
        <v>889</v>
      </c>
      <c r="F191" s="0" t="n">
        <f aca="false">C191+F190</f>
        <v>879</v>
      </c>
      <c r="G191" s="0" t="n">
        <f aca="false">D191</f>
        <v>950</v>
      </c>
      <c r="H191" s="0" t="n">
        <f aca="false">E191-D191*0.95</f>
        <v>-13.5</v>
      </c>
      <c r="I191" s="0" t="n">
        <f aca="false">F191-D191*0.95</f>
        <v>-23.5</v>
      </c>
    </row>
    <row r="192" customFormat="false" ht="12" hidden="false" customHeight="false" outlineLevel="0" collapsed="false">
      <c r="A192" s="41" t="n">
        <v>955</v>
      </c>
      <c r="B192" s="42" t="n">
        <v>8</v>
      </c>
      <c r="C192" s="42" t="n">
        <v>4</v>
      </c>
      <c r="D192" s="41" t="n">
        <v>955</v>
      </c>
      <c r="E192" s="0" t="n">
        <f aca="false">B192+E191</f>
        <v>897</v>
      </c>
      <c r="F192" s="0" t="n">
        <f aca="false">C192+F191</f>
        <v>883</v>
      </c>
      <c r="G192" s="0" t="n">
        <f aca="false">D192</f>
        <v>955</v>
      </c>
      <c r="H192" s="0" t="n">
        <f aca="false">E192-D192*0.95</f>
        <v>-10.25</v>
      </c>
      <c r="I192" s="0" t="n">
        <f aca="false">F192-D192*0.95</f>
        <v>-24.25</v>
      </c>
    </row>
    <row r="193" customFormat="false" ht="12" hidden="false" customHeight="false" outlineLevel="0" collapsed="false">
      <c r="A193" s="41" t="n">
        <v>960</v>
      </c>
      <c r="B193" s="42" t="n">
        <v>3</v>
      </c>
      <c r="C193" s="42" t="n">
        <v>6</v>
      </c>
      <c r="D193" s="41" t="n">
        <v>960</v>
      </c>
      <c r="E193" s="0" t="n">
        <f aca="false">B193+E192</f>
        <v>900</v>
      </c>
      <c r="F193" s="0" t="n">
        <f aca="false">C193+F192</f>
        <v>889</v>
      </c>
      <c r="G193" s="0" t="n">
        <f aca="false">D193</f>
        <v>960</v>
      </c>
      <c r="H193" s="0" t="n">
        <f aca="false">E193-D193*0.95</f>
        <v>-12</v>
      </c>
      <c r="I193" s="0" t="n">
        <f aca="false">F193-D193*0.95</f>
        <v>-23</v>
      </c>
    </row>
    <row r="194" customFormat="false" ht="12" hidden="false" customHeight="false" outlineLevel="0" collapsed="false">
      <c r="A194" s="41" t="n">
        <v>965</v>
      </c>
      <c r="B194" s="42" t="n">
        <v>7</v>
      </c>
      <c r="C194" s="42" t="n">
        <v>4</v>
      </c>
      <c r="D194" s="41" t="n">
        <v>965</v>
      </c>
      <c r="E194" s="0" t="n">
        <f aca="false">B194+E193</f>
        <v>907</v>
      </c>
      <c r="F194" s="0" t="n">
        <f aca="false">C194+F193</f>
        <v>893</v>
      </c>
      <c r="G194" s="0" t="n">
        <f aca="false">D194</f>
        <v>965</v>
      </c>
      <c r="H194" s="0" t="n">
        <f aca="false">E194-D194*0.95</f>
        <v>-9.75</v>
      </c>
      <c r="I194" s="0" t="n">
        <f aca="false">F194-D194*0.95</f>
        <v>-23.75</v>
      </c>
    </row>
    <row r="195" customFormat="false" ht="12" hidden="false" customHeight="false" outlineLevel="0" collapsed="false">
      <c r="A195" s="41" t="n">
        <v>970</v>
      </c>
      <c r="B195" s="42" t="n">
        <v>2</v>
      </c>
      <c r="C195" s="42" t="n">
        <v>6</v>
      </c>
      <c r="D195" s="41" t="n">
        <v>970</v>
      </c>
      <c r="E195" s="0" t="n">
        <f aca="false">B195+E194</f>
        <v>909</v>
      </c>
      <c r="F195" s="0" t="n">
        <f aca="false">C195+F194</f>
        <v>899</v>
      </c>
      <c r="G195" s="0" t="n">
        <f aca="false">D195</f>
        <v>970</v>
      </c>
      <c r="H195" s="0" t="n">
        <f aca="false">E195-D195*0.95</f>
        <v>-12.5</v>
      </c>
      <c r="I195" s="0" t="n">
        <f aca="false">F195-D195*0.95</f>
        <v>-22.5</v>
      </c>
    </row>
    <row r="196" customFormat="false" ht="12" hidden="false" customHeight="false" outlineLevel="0" collapsed="false">
      <c r="A196" s="41" t="n">
        <v>975</v>
      </c>
      <c r="B196" s="42" t="n">
        <v>3</v>
      </c>
      <c r="C196" s="42" t="n">
        <v>4</v>
      </c>
      <c r="D196" s="41" t="n">
        <v>975</v>
      </c>
      <c r="E196" s="0" t="n">
        <f aca="false">B196+E195</f>
        <v>912</v>
      </c>
      <c r="F196" s="0" t="n">
        <f aca="false">C196+F195</f>
        <v>903</v>
      </c>
      <c r="G196" s="0" t="n">
        <f aca="false">D196</f>
        <v>975</v>
      </c>
      <c r="H196" s="0" t="n">
        <f aca="false">E196-D196*0.95</f>
        <v>-14.25</v>
      </c>
      <c r="I196" s="0" t="n">
        <f aca="false">F196-D196*0.95</f>
        <v>-23.25</v>
      </c>
    </row>
    <row r="197" customFormat="false" ht="12" hidden="false" customHeight="false" outlineLevel="0" collapsed="false">
      <c r="A197" s="41" t="n">
        <v>980</v>
      </c>
      <c r="B197" s="42" t="n">
        <v>11</v>
      </c>
      <c r="C197" s="42" t="n">
        <v>6</v>
      </c>
      <c r="D197" s="41" t="n">
        <v>980</v>
      </c>
      <c r="E197" s="0" t="n">
        <f aca="false">B197+E196</f>
        <v>923</v>
      </c>
      <c r="F197" s="0" t="n">
        <f aca="false">C197+F196</f>
        <v>909</v>
      </c>
      <c r="G197" s="0" t="n">
        <f aca="false">D197</f>
        <v>980</v>
      </c>
      <c r="H197" s="0" t="n">
        <f aca="false">E197-D197*0.95</f>
        <v>-8</v>
      </c>
      <c r="I197" s="0" t="n">
        <f aca="false">F197-D197*0.95</f>
        <v>-22</v>
      </c>
    </row>
    <row r="198" customFormat="false" ht="12" hidden="false" customHeight="false" outlineLevel="0" collapsed="false">
      <c r="A198" s="41" t="n">
        <v>985</v>
      </c>
      <c r="B198" s="42" t="n">
        <v>8</v>
      </c>
      <c r="C198" s="42" t="n">
        <v>4</v>
      </c>
      <c r="D198" s="41" t="n">
        <v>985</v>
      </c>
      <c r="E198" s="0" t="n">
        <f aca="false">B198+E197</f>
        <v>931</v>
      </c>
      <c r="F198" s="0" t="n">
        <f aca="false">C198+F197</f>
        <v>913</v>
      </c>
      <c r="G198" s="0" t="n">
        <f aca="false">D198</f>
        <v>985</v>
      </c>
      <c r="H198" s="0" t="n">
        <f aca="false">E198-D198*0.95</f>
        <v>-4.75</v>
      </c>
      <c r="I198" s="0" t="n">
        <f aca="false">F198-D198*0.95</f>
        <v>-22.75</v>
      </c>
    </row>
    <row r="199" customFormat="false" ht="12" hidden="false" customHeight="false" outlineLevel="0" collapsed="false">
      <c r="A199" s="41" t="n">
        <v>990</v>
      </c>
      <c r="B199" s="42" t="n">
        <v>7</v>
      </c>
      <c r="C199" s="42" t="n">
        <v>5</v>
      </c>
      <c r="D199" s="41" t="n">
        <v>990</v>
      </c>
      <c r="E199" s="0" t="n">
        <f aca="false">B199+E198</f>
        <v>938</v>
      </c>
      <c r="F199" s="0" t="n">
        <f aca="false">C199+F198</f>
        <v>918</v>
      </c>
      <c r="G199" s="0" t="n">
        <f aca="false">D199</f>
        <v>990</v>
      </c>
      <c r="H199" s="0" t="n">
        <f aca="false">E199-D199*0.95</f>
        <v>-2.5</v>
      </c>
      <c r="I199" s="0" t="n">
        <f aca="false">F199-D199*0.95</f>
        <v>-22.5</v>
      </c>
    </row>
    <row r="200" customFormat="false" ht="12" hidden="false" customHeight="false" outlineLevel="0" collapsed="false">
      <c r="A200" s="41" t="n">
        <v>995</v>
      </c>
      <c r="B200" s="42" t="n">
        <v>5</v>
      </c>
      <c r="C200" s="42" t="n">
        <v>5</v>
      </c>
      <c r="D200" s="41" t="n">
        <v>995</v>
      </c>
      <c r="E200" s="0" t="n">
        <f aca="false">B200+E199</f>
        <v>943</v>
      </c>
      <c r="F200" s="0" t="n">
        <f aca="false">C200+F199</f>
        <v>923</v>
      </c>
      <c r="G200" s="0" t="n">
        <f aca="false">D200</f>
        <v>995</v>
      </c>
      <c r="H200" s="0" t="n">
        <f aca="false">E200-D200*0.95</f>
        <v>-2.25</v>
      </c>
      <c r="I200" s="0" t="n">
        <f aca="false">F200-D200*0.95</f>
        <v>-22.25</v>
      </c>
    </row>
    <row r="201" customFormat="false" ht="12" hidden="false" customHeight="false" outlineLevel="0" collapsed="false">
      <c r="A201" s="41" t="n">
        <v>1000</v>
      </c>
      <c r="B201" s="42" t="n">
        <v>0</v>
      </c>
      <c r="C201" s="42" t="n">
        <v>5</v>
      </c>
      <c r="D201" s="41" t="n">
        <v>1000</v>
      </c>
      <c r="E201" s="0" t="n">
        <f aca="false">B201+E200</f>
        <v>943</v>
      </c>
      <c r="F201" s="0" t="n">
        <f aca="false">C201+F200</f>
        <v>928</v>
      </c>
      <c r="G201" s="0" t="n">
        <f aca="false">D201</f>
        <v>1000</v>
      </c>
      <c r="H201" s="0" t="n">
        <f aca="false">E201-D201*0.95</f>
        <v>-7</v>
      </c>
      <c r="I201" s="0" t="n">
        <f aca="false">F201-D201*0.95</f>
        <v>-22</v>
      </c>
    </row>
    <row r="202" customFormat="false" ht="12" hidden="false" customHeight="false" outlineLevel="0" collapsed="false">
      <c r="A202" s="41" t="n">
        <v>1005</v>
      </c>
      <c r="B202" s="42" t="n">
        <v>5</v>
      </c>
      <c r="C202" s="42" t="n">
        <v>6</v>
      </c>
      <c r="D202" s="41" t="n">
        <v>1005</v>
      </c>
      <c r="E202" s="0" t="n">
        <f aca="false">B202+E201</f>
        <v>948</v>
      </c>
      <c r="F202" s="0" t="n">
        <f aca="false">C202+F201</f>
        <v>934</v>
      </c>
      <c r="G202" s="0" t="n">
        <f aca="false">D202</f>
        <v>1005</v>
      </c>
      <c r="H202" s="0" t="n">
        <f aca="false">E202-D202*0.95</f>
        <v>-6.75</v>
      </c>
      <c r="I202" s="0" t="n">
        <f aca="false">F202-D202*0.95</f>
        <v>-20.75</v>
      </c>
    </row>
    <row r="203" customFormat="false" ht="12" hidden="false" customHeight="false" outlineLevel="0" collapsed="false">
      <c r="A203" s="41" t="n">
        <v>1010</v>
      </c>
      <c r="B203" s="42" t="n">
        <v>6</v>
      </c>
      <c r="C203" s="42" t="n">
        <v>5</v>
      </c>
      <c r="D203" s="41" t="n">
        <v>1010</v>
      </c>
      <c r="E203" s="0" t="n">
        <f aca="false">B203+E202</f>
        <v>954</v>
      </c>
      <c r="F203" s="0" t="n">
        <f aca="false">C203+F202</f>
        <v>939</v>
      </c>
      <c r="G203" s="0" t="n">
        <f aca="false">D203</f>
        <v>1010</v>
      </c>
      <c r="H203" s="0" t="n">
        <f aca="false">E203-D203*0.95</f>
        <v>-5.5</v>
      </c>
      <c r="I203" s="0" t="n">
        <f aca="false">F203-D203*0.95</f>
        <v>-20.5</v>
      </c>
    </row>
    <row r="204" customFormat="false" ht="12.75" hidden="false" customHeight="false" outlineLevel="0" collapsed="false">
      <c r="A204" s="43" t="s">
        <v>74</v>
      </c>
      <c r="B204" s="43" t="n">
        <v>46</v>
      </c>
      <c r="C204" s="43" t="n">
        <v>61</v>
      </c>
      <c r="D204" s="43" t="s">
        <v>74</v>
      </c>
      <c r="E204" s="0" t="n">
        <f aca="false">B204+E203</f>
        <v>1000</v>
      </c>
      <c r="F204" s="0" t="n">
        <f aca="false">C204+F203</f>
        <v>1000</v>
      </c>
    </row>
    <row r="241" customFormat="false" ht="12" hidden="false" customHeight="false" outlineLevel="0" collapsed="false">
      <c r="H241" s="0" t="n">
        <f aca="false">E241-D241</f>
        <v>0</v>
      </c>
      <c r="I241" s="0" t="n">
        <f aca="false">F241-D241</f>
        <v>0</v>
      </c>
    </row>
    <row r="242" customFormat="false" ht="12" hidden="false" customHeight="false" outlineLevel="0" collapsed="false">
      <c r="H242" s="0" t="n">
        <f aca="false">E242-D242</f>
        <v>0</v>
      </c>
      <c r="I242" s="0" t="n">
        <f aca="false">F242-D242</f>
        <v>0</v>
      </c>
    </row>
    <row r="243" customFormat="false" ht="12" hidden="false" customHeight="false" outlineLevel="0" collapsed="false">
      <c r="H243" s="0" t="n">
        <f aca="false">E243-D243</f>
        <v>0</v>
      </c>
      <c r="I243" s="0" t="n">
        <f aca="false">F243-D243</f>
        <v>0</v>
      </c>
    </row>
    <row r="244" customFormat="false" ht="12" hidden="false" customHeight="false" outlineLevel="0" collapsed="false">
      <c r="H244" s="0" t="n">
        <f aca="false">E244-D244</f>
        <v>0</v>
      </c>
      <c r="I244" s="0" t="n">
        <f aca="false">F244-D244</f>
        <v>0</v>
      </c>
    </row>
    <row r="245" customFormat="false" ht="12" hidden="false" customHeight="false" outlineLevel="0" collapsed="false">
      <c r="H245" s="0" t="n">
        <f aca="false">E245-D245</f>
        <v>0</v>
      </c>
      <c r="I245" s="0" t="n">
        <f aca="false">F245-D245</f>
        <v>0</v>
      </c>
    </row>
    <row r="246" customFormat="false" ht="12" hidden="false" customHeight="false" outlineLevel="0" collapsed="false">
      <c r="H246" s="0" t="n">
        <f aca="false">E246-D246</f>
        <v>0</v>
      </c>
      <c r="I246" s="0" t="n">
        <f aca="false">F246-D246</f>
        <v>0</v>
      </c>
    </row>
    <row r="247" customFormat="false" ht="12" hidden="false" customHeight="false" outlineLevel="0" collapsed="false">
      <c r="H247" s="0" t="n">
        <f aca="false">E247-D247</f>
        <v>0</v>
      </c>
      <c r="I247" s="0" t="n">
        <f aca="false">F247-D247</f>
        <v>0</v>
      </c>
    </row>
    <row r="248" customFormat="false" ht="12" hidden="false" customHeight="false" outlineLevel="0" collapsed="false">
      <c r="H248" s="0" t="n">
        <f aca="false">E248-D248</f>
        <v>0</v>
      </c>
      <c r="I248" s="0" t="n">
        <f aca="false">F248-D248</f>
        <v>0</v>
      </c>
    </row>
    <row r="249" customFormat="false" ht="12" hidden="false" customHeight="false" outlineLevel="0" collapsed="false">
      <c r="H249" s="0" t="n">
        <f aca="false">E249-D249</f>
        <v>0</v>
      </c>
      <c r="I249" s="0" t="n">
        <f aca="false">F249-D249</f>
        <v>0</v>
      </c>
    </row>
    <row r="250" customFormat="false" ht="12" hidden="false" customHeight="false" outlineLevel="0" collapsed="false">
      <c r="H250" s="0" t="n">
        <f aca="false">E250-D250</f>
        <v>0</v>
      </c>
      <c r="I250" s="0" t="n">
        <f aca="false">F250-D250</f>
        <v>0</v>
      </c>
    </row>
    <row r="251" customFormat="false" ht="12" hidden="false" customHeight="false" outlineLevel="0" collapsed="false">
      <c r="H251" s="0" t="n">
        <f aca="false">E251-D251</f>
        <v>0</v>
      </c>
      <c r="I251" s="0" t="n">
        <f aca="false">F251-D251</f>
        <v>0</v>
      </c>
    </row>
    <row r="252" customFormat="false" ht="12" hidden="false" customHeight="false" outlineLevel="0" collapsed="false">
      <c r="H252" s="0" t="n">
        <f aca="false">E252-D252</f>
        <v>0</v>
      </c>
      <c r="I252" s="0" t="n">
        <f aca="false">F252-D252</f>
        <v>0</v>
      </c>
    </row>
    <row r="253" customFormat="false" ht="12" hidden="false" customHeight="false" outlineLevel="0" collapsed="false">
      <c r="H253" s="0" t="n">
        <f aca="false">E253-D253</f>
        <v>0</v>
      </c>
      <c r="I253" s="0" t="n">
        <f aca="false">F253-D253</f>
        <v>0</v>
      </c>
    </row>
    <row r="254" customFormat="false" ht="12" hidden="false" customHeight="false" outlineLevel="0" collapsed="false">
      <c r="H254" s="0" t="n">
        <f aca="false">E254-D254</f>
        <v>0</v>
      </c>
      <c r="I254" s="0" t="n">
        <f aca="false">F254-D254</f>
        <v>0</v>
      </c>
    </row>
    <row r="255" customFormat="false" ht="12" hidden="false" customHeight="false" outlineLevel="0" collapsed="false">
      <c r="H255" s="0" t="n">
        <f aca="false">E255-D255</f>
        <v>0</v>
      </c>
      <c r="I255" s="0" t="n">
        <f aca="false">F255-D255</f>
        <v>0</v>
      </c>
    </row>
    <row r="256" customFormat="false" ht="12" hidden="false" customHeight="false" outlineLevel="0" collapsed="false">
      <c r="H256" s="0" t="n">
        <f aca="false">E256-D256</f>
        <v>0</v>
      </c>
      <c r="I256" s="0" t="n">
        <f aca="false">F256-D256</f>
        <v>0</v>
      </c>
    </row>
    <row r="257" customFormat="false" ht="12" hidden="false" customHeight="false" outlineLevel="0" collapsed="false">
      <c r="H257" s="0" t="n">
        <f aca="false">E257-D257</f>
        <v>0</v>
      </c>
      <c r="I257" s="0" t="n">
        <f aca="false">F257-D257</f>
        <v>0</v>
      </c>
    </row>
    <row r="258" customFormat="false" ht="12" hidden="false" customHeight="false" outlineLevel="0" collapsed="false">
      <c r="H258" s="0" t="n">
        <f aca="false">E258-D258</f>
        <v>0</v>
      </c>
      <c r="I258" s="0" t="n">
        <f aca="false">F258-D258</f>
        <v>0</v>
      </c>
    </row>
    <row r="259" customFormat="false" ht="12" hidden="false" customHeight="false" outlineLevel="0" collapsed="false">
      <c r="H259" s="0" t="n">
        <f aca="false">E259-D259</f>
        <v>0</v>
      </c>
      <c r="I259" s="0" t="n">
        <f aca="false">F259-D259</f>
        <v>0</v>
      </c>
    </row>
    <row r="260" customFormat="false" ht="12" hidden="false" customHeight="false" outlineLevel="0" collapsed="false">
      <c r="H260" s="0" t="n">
        <f aca="false">E260-D260</f>
        <v>0</v>
      </c>
      <c r="I260" s="0" t="n">
        <f aca="false">F260-D260</f>
        <v>0</v>
      </c>
    </row>
    <row r="261" customFormat="false" ht="12" hidden="false" customHeight="false" outlineLevel="0" collapsed="false">
      <c r="H261" s="0" t="n">
        <f aca="false">E261-D261</f>
        <v>0</v>
      </c>
      <c r="I261" s="0" t="n">
        <f aca="false">F261-D261</f>
        <v>0</v>
      </c>
    </row>
    <row r="262" customFormat="false" ht="12" hidden="false" customHeight="false" outlineLevel="0" collapsed="false">
      <c r="H262" s="0" t="n">
        <f aca="false">E262-D262</f>
        <v>0</v>
      </c>
      <c r="I262" s="0" t="n">
        <f aca="false">F262-D262</f>
        <v>0</v>
      </c>
    </row>
    <row r="263" customFormat="false" ht="12" hidden="false" customHeight="false" outlineLevel="0" collapsed="false">
      <c r="H263" s="0" t="n">
        <f aca="false">E263-D263</f>
        <v>0</v>
      </c>
      <c r="I263" s="0" t="n">
        <f aca="false">F263-D263</f>
        <v>0</v>
      </c>
    </row>
    <row r="264" customFormat="false" ht="12" hidden="false" customHeight="false" outlineLevel="0" collapsed="false">
      <c r="H264" s="0" t="n">
        <f aca="false">E264-D264</f>
        <v>0</v>
      </c>
      <c r="I264" s="0" t="n">
        <f aca="false">F264-D264</f>
        <v>0</v>
      </c>
    </row>
    <row r="265" customFormat="false" ht="12" hidden="false" customHeight="false" outlineLevel="0" collapsed="false">
      <c r="H265" s="0" t="n">
        <f aca="false">E265-D265</f>
        <v>0</v>
      </c>
      <c r="I265" s="0" t="n">
        <f aca="false">F265-D265</f>
        <v>0</v>
      </c>
    </row>
    <row r="266" customFormat="false" ht="12" hidden="false" customHeight="false" outlineLevel="0" collapsed="false">
      <c r="H266" s="0" t="n">
        <f aca="false">E266-D266</f>
        <v>0</v>
      </c>
      <c r="I266" s="0" t="n">
        <f aca="false">F266-D266</f>
        <v>0</v>
      </c>
    </row>
    <row r="267" customFormat="false" ht="12" hidden="false" customHeight="false" outlineLevel="0" collapsed="false">
      <c r="H267" s="0" t="n">
        <f aca="false">E267-D267</f>
        <v>0</v>
      </c>
      <c r="I267" s="0" t="n">
        <f aca="false">F267-D267</f>
        <v>0</v>
      </c>
    </row>
    <row r="268" customFormat="false" ht="12" hidden="false" customHeight="false" outlineLevel="0" collapsed="false">
      <c r="H268" s="0" t="n">
        <f aca="false">E268-D268</f>
        <v>0</v>
      </c>
      <c r="I268" s="0" t="n">
        <f aca="false">F268-D268</f>
        <v>0</v>
      </c>
    </row>
    <row r="269" customFormat="false" ht="12" hidden="false" customHeight="false" outlineLevel="0" collapsed="false">
      <c r="H269" s="0" t="n">
        <f aca="false">E269-D269</f>
        <v>0</v>
      </c>
      <c r="I269" s="0" t="n">
        <f aca="false">F269-D269</f>
        <v>0</v>
      </c>
    </row>
    <row r="270" customFormat="false" ht="12" hidden="false" customHeight="false" outlineLevel="0" collapsed="false">
      <c r="H270" s="0" t="n">
        <f aca="false">E270-D270</f>
        <v>0</v>
      </c>
      <c r="I270" s="0" t="n">
        <f aca="false">F270-D270</f>
        <v>0</v>
      </c>
    </row>
    <row r="271" customFormat="false" ht="12" hidden="false" customHeight="false" outlineLevel="0" collapsed="false">
      <c r="H271" s="0" t="n">
        <f aca="false">E271-D271</f>
        <v>0</v>
      </c>
      <c r="I271" s="0" t="n">
        <f aca="false">F271-D271</f>
        <v>0</v>
      </c>
    </row>
    <row r="272" customFormat="false" ht="12" hidden="false" customHeight="false" outlineLevel="0" collapsed="false">
      <c r="H272" s="0" t="n">
        <f aca="false">E272-D272</f>
        <v>0</v>
      </c>
      <c r="I272" s="0" t="n">
        <f aca="false">F272-D272</f>
        <v>0</v>
      </c>
    </row>
    <row r="273" customFormat="false" ht="12" hidden="false" customHeight="false" outlineLevel="0" collapsed="false">
      <c r="H273" s="0" t="n">
        <f aca="false">E273-D273</f>
        <v>0</v>
      </c>
      <c r="I273" s="0" t="n">
        <f aca="false">F273-D273</f>
        <v>0</v>
      </c>
    </row>
    <row r="274" customFormat="false" ht="12" hidden="false" customHeight="false" outlineLevel="0" collapsed="false">
      <c r="H274" s="0" t="n">
        <f aca="false">E274-D274</f>
        <v>0</v>
      </c>
      <c r="I274" s="0" t="n">
        <f aca="false">F274-D274</f>
        <v>0</v>
      </c>
    </row>
    <row r="275" customFormat="false" ht="12" hidden="false" customHeight="false" outlineLevel="0" collapsed="false">
      <c r="H275" s="0" t="n">
        <f aca="false">E275-D275</f>
        <v>0</v>
      </c>
      <c r="I275" s="0" t="n">
        <f aca="false">F275-D275</f>
        <v>0</v>
      </c>
    </row>
    <row r="276" customFormat="false" ht="12" hidden="false" customHeight="false" outlineLevel="0" collapsed="false">
      <c r="H276" s="0" t="n">
        <f aca="false">E276-D276</f>
        <v>0</v>
      </c>
      <c r="I276" s="0" t="n">
        <f aca="false">F276-D276</f>
        <v>0</v>
      </c>
    </row>
    <row r="277" customFormat="false" ht="12" hidden="false" customHeight="false" outlineLevel="0" collapsed="false">
      <c r="H277" s="0" t="n">
        <f aca="false">E277-D277</f>
        <v>0</v>
      </c>
      <c r="I277" s="0" t="n">
        <f aca="false">F277-D277</f>
        <v>0</v>
      </c>
    </row>
    <row r="278" customFormat="false" ht="12" hidden="false" customHeight="false" outlineLevel="0" collapsed="false">
      <c r="H278" s="0" t="n">
        <f aca="false">E278-D278</f>
        <v>0</v>
      </c>
      <c r="I278" s="0" t="n">
        <f aca="false">F278-D278</f>
        <v>0</v>
      </c>
    </row>
    <row r="279" customFormat="false" ht="12" hidden="false" customHeight="false" outlineLevel="0" collapsed="false">
      <c r="H279" s="0" t="n">
        <f aca="false">E279-D279</f>
        <v>0</v>
      </c>
      <c r="I279" s="0" t="n">
        <f aca="false">F279-D279</f>
        <v>0</v>
      </c>
    </row>
    <row r="280" customFormat="false" ht="12" hidden="false" customHeight="false" outlineLevel="0" collapsed="false">
      <c r="H280" s="0" t="n">
        <f aca="false">E280-D280</f>
        <v>0</v>
      </c>
      <c r="I280" s="0" t="n">
        <f aca="false">F280-D280</f>
        <v>0</v>
      </c>
    </row>
    <row r="281" customFormat="false" ht="12" hidden="false" customHeight="false" outlineLevel="0" collapsed="false">
      <c r="H281" s="0" t="n">
        <f aca="false">E281-D281</f>
        <v>0</v>
      </c>
      <c r="I281" s="0" t="n">
        <f aca="false">F281-D281</f>
        <v>0</v>
      </c>
    </row>
    <row r="282" customFormat="false" ht="12" hidden="false" customHeight="false" outlineLevel="0" collapsed="false">
      <c r="H282" s="0" t="n">
        <f aca="false">E282-D282</f>
        <v>0</v>
      </c>
      <c r="I282" s="0" t="n">
        <f aca="false">F282-D282</f>
        <v>0</v>
      </c>
    </row>
    <row r="283" customFormat="false" ht="12" hidden="false" customHeight="false" outlineLevel="0" collapsed="false">
      <c r="H283" s="0" t="n">
        <f aca="false">E283-D283</f>
        <v>0</v>
      </c>
      <c r="I283" s="0" t="n">
        <f aca="false">F283-D283</f>
        <v>0</v>
      </c>
    </row>
    <row r="284" customFormat="false" ht="12" hidden="false" customHeight="false" outlineLevel="0" collapsed="false">
      <c r="H284" s="0" t="n">
        <f aca="false">E284-D284</f>
        <v>0</v>
      </c>
      <c r="I284" s="0" t="n">
        <f aca="false">F284-D284</f>
        <v>0</v>
      </c>
    </row>
    <row r="285" customFormat="false" ht="12" hidden="false" customHeight="false" outlineLevel="0" collapsed="false">
      <c r="H285" s="0" t="n">
        <f aca="false">E285-D285</f>
        <v>0</v>
      </c>
      <c r="I285" s="0" t="n">
        <f aca="false">F285-D285</f>
        <v>0</v>
      </c>
    </row>
    <row r="286" customFormat="false" ht="12" hidden="false" customHeight="false" outlineLevel="0" collapsed="false">
      <c r="H286" s="0" t="n">
        <f aca="false">E286-D286</f>
        <v>0</v>
      </c>
      <c r="I286" s="0" t="n">
        <f aca="false">F286-D286</f>
        <v>0</v>
      </c>
    </row>
    <row r="287" customFormat="false" ht="12" hidden="false" customHeight="false" outlineLevel="0" collapsed="false">
      <c r="H287" s="0" t="n">
        <f aca="false">E287-D287</f>
        <v>0</v>
      </c>
      <c r="I287" s="0" t="n">
        <f aca="false">F287-D287</f>
        <v>0</v>
      </c>
    </row>
    <row r="288" customFormat="false" ht="12" hidden="false" customHeight="false" outlineLevel="0" collapsed="false">
      <c r="H288" s="0" t="n">
        <f aca="false">E288-D288</f>
        <v>0</v>
      </c>
      <c r="I288" s="0" t="n">
        <f aca="false">F288-D288</f>
        <v>0</v>
      </c>
    </row>
    <row r="289" customFormat="false" ht="12" hidden="false" customHeight="false" outlineLevel="0" collapsed="false">
      <c r="H289" s="0" t="n">
        <f aca="false">E289-D289</f>
        <v>0</v>
      </c>
      <c r="I289" s="0" t="n">
        <f aca="false">F289-D289</f>
        <v>0</v>
      </c>
    </row>
    <row r="290" customFormat="false" ht="12" hidden="false" customHeight="false" outlineLevel="0" collapsed="false">
      <c r="H290" s="0" t="n">
        <f aca="false">E290-D290</f>
        <v>0</v>
      </c>
      <c r="I290" s="0" t="n">
        <f aca="false">F290-D290</f>
        <v>0</v>
      </c>
    </row>
    <row r="291" customFormat="false" ht="12" hidden="false" customHeight="false" outlineLevel="0" collapsed="false">
      <c r="H291" s="0" t="n">
        <f aca="false">E291-D291</f>
        <v>0</v>
      </c>
      <c r="I291" s="0" t="n">
        <f aca="false">F291-D291</f>
        <v>0</v>
      </c>
    </row>
    <row r="292" customFormat="false" ht="12" hidden="false" customHeight="false" outlineLevel="0" collapsed="false">
      <c r="H292" s="0" t="n">
        <f aca="false">E292-D292</f>
        <v>0</v>
      </c>
      <c r="I292" s="0" t="n">
        <f aca="false">F292-D292</f>
        <v>0</v>
      </c>
    </row>
    <row r="293" customFormat="false" ht="12" hidden="false" customHeight="false" outlineLevel="0" collapsed="false">
      <c r="H293" s="0" t="n">
        <f aca="false">E293-D293</f>
        <v>0</v>
      </c>
      <c r="I293" s="0" t="n">
        <f aca="false">F293-D293</f>
        <v>0</v>
      </c>
    </row>
    <row r="294" customFormat="false" ht="12" hidden="false" customHeight="false" outlineLevel="0" collapsed="false">
      <c r="H294" s="0" t="n">
        <f aca="false">E294-D294</f>
        <v>0</v>
      </c>
      <c r="I294" s="0" t="n">
        <f aca="false">F294-D294</f>
        <v>0</v>
      </c>
    </row>
    <row r="295" customFormat="false" ht="12" hidden="false" customHeight="false" outlineLevel="0" collapsed="false">
      <c r="H295" s="0" t="n">
        <f aca="false">E295-D295</f>
        <v>0</v>
      </c>
      <c r="I295" s="0" t="n">
        <f aca="false">F295-D295</f>
        <v>0</v>
      </c>
    </row>
    <row r="296" customFormat="false" ht="12" hidden="false" customHeight="false" outlineLevel="0" collapsed="false">
      <c r="H296" s="0" t="n">
        <f aca="false">E296-D296</f>
        <v>0</v>
      </c>
      <c r="I296" s="0" t="n">
        <f aca="false">F296-D296</f>
        <v>0</v>
      </c>
    </row>
    <row r="297" customFormat="false" ht="12" hidden="false" customHeight="false" outlineLevel="0" collapsed="false">
      <c r="H297" s="0" t="n">
        <f aca="false">E297-D297</f>
        <v>0</v>
      </c>
      <c r="I297" s="0" t="n">
        <f aca="false">F297-D297</f>
        <v>0</v>
      </c>
    </row>
    <row r="298" customFormat="false" ht="12" hidden="false" customHeight="false" outlineLevel="0" collapsed="false">
      <c r="H298" s="0" t="n">
        <f aca="false">E298-D298</f>
        <v>0</v>
      </c>
      <c r="I298" s="0" t="n">
        <f aca="false">F298-D298</f>
        <v>0</v>
      </c>
    </row>
    <row r="299" customFormat="false" ht="12" hidden="false" customHeight="false" outlineLevel="0" collapsed="false">
      <c r="H299" s="0" t="n">
        <f aca="false">E299-D299</f>
        <v>0</v>
      </c>
      <c r="I299" s="0" t="n">
        <f aca="false">F299-D299</f>
        <v>0</v>
      </c>
    </row>
    <row r="300" customFormat="false" ht="12" hidden="false" customHeight="false" outlineLevel="0" collapsed="false">
      <c r="H300" s="0" t="n">
        <f aca="false">E300-D300</f>
        <v>0</v>
      </c>
      <c r="I300" s="0" t="n">
        <f aca="false">F300-D300</f>
        <v>0</v>
      </c>
    </row>
    <row r="301" customFormat="false" ht="12" hidden="false" customHeight="false" outlineLevel="0" collapsed="false">
      <c r="H301" s="0" t="n">
        <f aca="false">E301-D301</f>
        <v>0</v>
      </c>
      <c r="I301" s="0" t="n">
        <f aca="false">F301-D301</f>
        <v>0</v>
      </c>
    </row>
    <row r="302" customFormat="false" ht="12" hidden="false" customHeight="false" outlineLevel="0" collapsed="false">
      <c r="H302" s="0" t="n">
        <f aca="false">E302-D302</f>
        <v>0</v>
      </c>
      <c r="I302" s="0" t="n">
        <f aca="false">F302-D302</f>
        <v>0</v>
      </c>
    </row>
    <row r="303" customFormat="false" ht="12" hidden="false" customHeight="false" outlineLevel="0" collapsed="false">
      <c r="H303" s="0" t="n">
        <f aca="false">E303-D303</f>
        <v>0</v>
      </c>
      <c r="I303" s="0" t="n">
        <f aca="false">F303-D303</f>
        <v>0</v>
      </c>
    </row>
    <row r="304" customFormat="false" ht="12" hidden="false" customHeight="false" outlineLevel="0" collapsed="false">
      <c r="H304" s="0" t="n">
        <f aca="false">E304-D304</f>
        <v>0</v>
      </c>
      <c r="I304" s="0" t="n">
        <f aca="false">F304-D304</f>
        <v>0</v>
      </c>
    </row>
    <row r="305" customFormat="false" ht="12" hidden="false" customHeight="false" outlineLevel="0" collapsed="false">
      <c r="H305" s="0" t="n">
        <f aca="false">E305-D305</f>
        <v>0</v>
      </c>
      <c r="I305" s="0" t="n">
        <f aca="false">F305-D305</f>
        <v>0</v>
      </c>
    </row>
    <row r="306" customFormat="false" ht="12" hidden="false" customHeight="false" outlineLevel="0" collapsed="false">
      <c r="H306" s="0" t="n">
        <f aca="false">E306-D306</f>
        <v>0</v>
      </c>
      <c r="I306" s="0" t="n">
        <f aca="false">F306-D306</f>
        <v>0</v>
      </c>
    </row>
    <row r="307" customFormat="false" ht="12" hidden="false" customHeight="false" outlineLevel="0" collapsed="false">
      <c r="H307" s="0" t="n">
        <f aca="false">E307-D307</f>
        <v>0</v>
      </c>
      <c r="I307" s="0" t="n">
        <f aca="false">F307-D307</f>
        <v>0</v>
      </c>
    </row>
    <row r="308" customFormat="false" ht="12" hidden="false" customHeight="false" outlineLevel="0" collapsed="false">
      <c r="H308" s="0" t="n">
        <f aca="false">E308-D308</f>
        <v>0</v>
      </c>
      <c r="I308" s="0" t="n">
        <f aca="false">F308-D308</f>
        <v>0</v>
      </c>
    </row>
    <row r="309" customFormat="false" ht="12" hidden="false" customHeight="false" outlineLevel="0" collapsed="false">
      <c r="H309" s="0" t="n">
        <f aca="false">E309-D309</f>
        <v>0</v>
      </c>
      <c r="I309" s="0" t="n">
        <f aca="false">F309-D309</f>
        <v>0</v>
      </c>
    </row>
    <row r="310" customFormat="false" ht="12" hidden="false" customHeight="false" outlineLevel="0" collapsed="false">
      <c r="H310" s="0" t="n">
        <f aca="false">E310-D310</f>
        <v>0</v>
      </c>
      <c r="I310" s="0" t="n">
        <f aca="false">F310-D310</f>
        <v>0</v>
      </c>
    </row>
    <row r="311" customFormat="false" ht="12" hidden="false" customHeight="false" outlineLevel="0" collapsed="false">
      <c r="H311" s="0" t="n">
        <f aca="false">E311-D311</f>
        <v>0</v>
      </c>
      <c r="I311" s="0" t="n">
        <f aca="false">F311-D311</f>
        <v>0</v>
      </c>
    </row>
    <row r="312" customFormat="false" ht="12" hidden="false" customHeight="false" outlineLevel="0" collapsed="false">
      <c r="H312" s="0" t="n">
        <f aca="false">E312-D312</f>
        <v>0</v>
      </c>
      <c r="I312" s="0" t="n">
        <f aca="false">F312-D312</f>
        <v>0</v>
      </c>
    </row>
    <row r="313" customFormat="false" ht="12" hidden="false" customHeight="false" outlineLevel="0" collapsed="false">
      <c r="H313" s="0" t="n">
        <f aca="false">E313-D313</f>
        <v>0</v>
      </c>
      <c r="I313" s="0" t="n">
        <f aca="false">F313-D313</f>
        <v>0</v>
      </c>
    </row>
    <row r="314" customFormat="false" ht="12" hidden="false" customHeight="false" outlineLevel="0" collapsed="false">
      <c r="H314" s="0" t="n">
        <f aca="false">E314-D314</f>
        <v>0</v>
      </c>
      <c r="I314" s="0" t="n">
        <f aca="false">F314-D314</f>
        <v>0</v>
      </c>
    </row>
    <row r="315" customFormat="false" ht="12" hidden="false" customHeight="false" outlineLevel="0" collapsed="false">
      <c r="H315" s="0" t="n">
        <f aca="false">E315-D315</f>
        <v>0</v>
      </c>
      <c r="I315" s="0" t="n">
        <f aca="false">F315-D315</f>
        <v>0</v>
      </c>
    </row>
    <row r="316" customFormat="false" ht="12" hidden="false" customHeight="false" outlineLevel="0" collapsed="false">
      <c r="H316" s="0" t="n">
        <f aca="false">E316-D316</f>
        <v>0</v>
      </c>
      <c r="I316" s="0" t="n">
        <f aca="false">F316-D316</f>
        <v>0</v>
      </c>
    </row>
    <row r="317" customFormat="false" ht="12" hidden="false" customHeight="false" outlineLevel="0" collapsed="false">
      <c r="H317" s="0" t="n">
        <f aca="false">E317-D317</f>
        <v>0</v>
      </c>
      <c r="I317" s="0" t="n">
        <f aca="false">F317-D317</f>
        <v>0</v>
      </c>
    </row>
    <row r="318" customFormat="false" ht="12" hidden="false" customHeight="false" outlineLevel="0" collapsed="false">
      <c r="H318" s="0" t="n">
        <f aca="false">E318-D318</f>
        <v>0</v>
      </c>
      <c r="I318" s="0" t="n">
        <f aca="false">F318-D318</f>
        <v>0</v>
      </c>
    </row>
    <row r="319" customFormat="false" ht="12" hidden="false" customHeight="false" outlineLevel="0" collapsed="false">
      <c r="H319" s="0" t="n">
        <f aca="false">E319-D319</f>
        <v>0</v>
      </c>
      <c r="I319" s="0" t="n">
        <f aca="false">F319-D319</f>
        <v>0</v>
      </c>
    </row>
    <row r="320" customFormat="false" ht="12" hidden="false" customHeight="false" outlineLevel="0" collapsed="false">
      <c r="H320" s="0" t="n">
        <f aca="false">E320-D320</f>
        <v>0</v>
      </c>
      <c r="I320" s="0" t="n">
        <f aca="false">F320-D320</f>
        <v>0</v>
      </c>
    </row>
    <row r="321" customFormat="false" ht="12" hidden="false" customHeight="false" outlineLevel="0" collapsed="false">
      <c r="H321" s="0" t="n">
        <f aca="false">E321-D321</f>
        <v>0</v>
      </c>
      <c r="I321" s="0" t="n">
        <f aca="false">F321-D321</f>
        <v>0</v>
      </c>
    </row>
    <row r="322" customFormat="false" ht="12" hidden="false" customHeight="false" outlineLevel="0" collapsed="false">
      <c r="H322" s="0" t="n">
        <f aca="false">E322-D322</f>
        <v>0</v>
      </c>
      <c r="I322" s="0" t="n">
        <f aca="false">F322-D322</f>
        <v>0</v>
      </c>
    </row>
    <row r="323" customFormat="false" ht="12" hidden="false" customHeight="false" outlineLevel="0" collapsed="false">
      <c r="H323" s="0" t="n">
        <f aca="false">E323-D323</f>
        <v>0</v>
      </c>
      <c r="I323" s="0" t="n">
        <f aca="false">F323-D323</f>
        <v>0</v>
      </c>
    </row>
    <row r="324" customFormat="false" ht="12" hidden="false" customHeight="false" outlineLevel="0" collapsed="false">
      <c r="H324" s="0" t="n">
        <f aca="false">E324-D324</f>
        <v>0</v>
      </c>
      <c r="I324" s="0" t="n">
        <f aca="false">F324-D324</f>
        <v>0</v>
      </c>
    </row>
    <row r="325" customFormat="false" ht="12" hidden="false" customHeight="false" outlineLevel="0" collapsed="false">
      <c r="H325" s="0" t="n">
        <f aca="false">E325-D325</f>
        <v>0</v>
      </c>
      <c r="I325" s="0" t="n">
        <f aca="false">F325-D325</f>
        <v>0</v>
      </c>
    </row>
    <row r="326" customFormat="false" ht="12" hidden="false" customHeight="false" outlineLevel="0" collapsed="false">
      <c r="H326" s="0" t="n">
        <f aca="false">E326-D326</f>
        <v>0</v>
      </c>
      <c r="I326" s="0" t="n">
        <f aca="false">F326-D326</f>
        <v>0</v>
      </c>
    </row>
    <row r="327" customFormat="false" ht="12" hidden="false" customHeight="false" outlineLevel="0" collapsed="false">
      <c r="H327" s="0" t="n">
        <f aca="false">E327-D327</f>
        <v>0</v>
      </c>
      <c r="I327" s="0" t="n">
        <f aca="false">F327-D327</f>
        <v>0</v>
      </c>
    </row>
    <row r="328" customFormat="false" ht="12" hidden="false" customHeight="false" outlineLevel="0" collapsed="false">
      <c r="H328" s="0" t="n">
        <f aca="false">E328-D328</f>
        <v>0</v>
      </c>
      <c r="I328" s="0" t="n">
        <f aca="false">F328-D328</f>
        <v>0</v>
      </c>
    </row>
    <row r="329" customFormat="false" ht="12" hidden="false" customHeight="false" outlineLevel="0" collapsed="false">
      <c r="H329" s="0" t="n">
        <f aca="false">E329-D329</f>
        <v>0</v>
      </c>
      <c r="I329" s="0" t="n">
        <f aca="false">F329-D329</f>
        <v>0</v>
      </c>
    </row>
    <row r="330" customFormat="false" ht="12" hidden="false" customHeight="false" outlineLevel="0" collapsed="false">
      <c r="H330" s="0" t="n">
        <f aca="false">E330-D330</f>
        <v>0</v>
      </c>
      <c r="I330" s="0" t="n">
        <f aca="false">F330-D330</f>
        <v>0</v>
      </c>
    </row>
    <row r="331" customFormat="false" ht="12" hidden="false" customHeight="false" outlineLevel="0" collapsed="false">
      <c r="H331" s="0" t="n">
        <f aca="false">E331-D331</f>
        <v>0</v>
      </c>
      <c r="I331" s="0" t="n">
        <f aca="false">F331-D331</f>
        <v>0</v>
      </c>
    </row>
    <row r="332" customFormat="false" ht="12" hidden="false" customHeight="false" outlineLevel="0" collapsed="false">
      <c r="H332" s="0" t="n">
        <f aca="false">E332-D332</f>
        <v>0</v>
      </c>
      <c r="I332" s="0" t="n">
        <f aca="false">F332-D332</f>
        <v>0</v>
      </c>
    </row>
    <row r="333" customFormat="false" ht="12" hidden="false" customHeight="false" outlineLevel="0" collapsed="false">
      <c r="H333" s="0" t="n">
        <f aca="false">E333-D333</f>
        <v>0</v>
      </c>
      <c r="I333" s="0" t="n">
        <f aca="false">F333-D333</f>
        <v>0</v>
      </c>
    </row>
    <row r="334" customFormat="false" ht="12" hidden="false" customHeight="false" outlineLevel="0" collapsed="false">
      <c r="H334" s="0" t="n">
        <f aca="false">E334-D334</f>
        <v>0</v>
      </c>
      <c r="I334" s="0" t="n">
        <f aca="false">F334-D334</f>
        <v>0</v>
      </c>
    </row>
    <row r="335" customFormat="false" ht="12" hidden="false" customHeight="false" outlineLevel="0" collapsed="false">
      <c r="H335" s="0" t="n">
        <f aca="false">E335-D335</f>
        <v>0</v>
      </c>
      <c r="I335" s="0" t="n">
        <f aca="false">F335-D335</f>
        <v>0</v>
      </c>
    </row>
    <row r="336" customFormat="false" ht="12" hidden="false" customHeight="false" outlineLevel="0" collapsed="false">
      <c r="H336" s="0" t="n">
        <f aca="false">E336-D336</f>
        <v>0</v>
      </c>
      <c r="I336" s="0" t="n">
        <f aca="false">F336-D336</f>
        <v>0</v>
      </c>
    </row>
    <row r="337" customFormat="false" ht="12" hidden="false" customHeight="false" outlineLevel="0" collapsed="false">
      <c r="H337" s="0" t="n">
        <f aca="false">E337-D337</f>
        <v>0</v>
      </c>
      <c r="I337" s="0" t="n">
        <f aca="false">F337-D337</f>
        <v>0</v>
      </c>
    </row>
    <row r="338" customFormat="false" ht="12" hidden="false" customHeight="false" outlineLevel="0" collapsed="false">
      <c r="H338" s="0" t="n">
        <f aca="false">E338-D338</f>
        <v>0</v>
      </c>
      <c r="I338" s="0" t="n">
        <f aca="false">F338-D338</f>
        <v>0</v>
      </c>
    </row>
    <row r="339" customFormat="false" ht="12" hidden="false" customHeight="false" outlineLevel="0" collapsed="false">
      <c r="H339" s="0" t="n">
        <f aca="false">E339-D339</f>
        <v>0</v>
      </c>
      <c r="I339" s="0" t="n">
        <f aca="false">F339-D339</f>
        <v>0</v>
      </c>
    </row>
    <row r="340" customFormat="false" ht="12" hidden="false" customHeight="false" outlineLevel="0" collapsed="false">
      <c r="H340" s="0" t="n">
        <f aca="false">E340-D340</f>
        <v>0</v>
      </c>
      <c r="I340" s="0" t="n">
        <f aca="false">F340-D340</f>
        <v>0</v>
      </c>
    </row>
    <row r="341" customFormat="false" ht="12" hidden="false" customHeight="false" outlineLevel="0" collapsed="false">
      <c r="H341" s="0" t="n">
        <f aca="false">E341-D341</f>
        <v>0</v>
      </c>
      <c r="I341" s="0" t="n">
        <f aca="false">F341-D341</f>
        <v>0</v>
      </c>
    </row>
    <row r="342" customFormat="false" ht="12" hidden="false" customHeight="false" outlineLevel="0" collapsed="false">
      <c r="H342" s="0" t="n">
        <f aca="false">E342-D342</f>
        <v>0</v>
      </c>
      <c r="I342" s="0" t="n">
        <f aca="false">F342-D342</f>
        <v>0</v>
      </c>
    </row>
    <row r="343" customFormat="false" ht="12" hidden="false" customHeight="false" outlineLevel="0" collapsed="false">
      <c r="H343" s="0" t="n">
        <f aca="false">E343-D343</f>
        <v>0</v>
      </c>
      <c r="I343" s="0" t="n">
        <f aca="false">F343-D343</f>
        <v>0</v>
      </c>
    </row>
    <row r="344" customFormat="false" ht="12" hidden="false" customHeight="false" outlineLevel="0" collapsed="false">
      <c r="H344" s="0" t="n">
        <f aca="false">E344-D344</f>
        <v>0</v>
      </c>
      <c r="I344" s="0" t="n">
        <f aca="false">F344-D344</f>
        <v>0</v>
      </c>
    </row>
    <row r="345" customFormat="false" ht="12" hidden="false" customHeight="false" outlineLevel="0" collapsed="false">
      <c r="H345" s="0" t="n">
        <f aca="false">E345-D345</f>
        <v>0</v>
      </c>
      <c r="I345" s="0" t="n">
        <f aca="false">F345-D345</f>
        <v>0</v>
      </c>
    </row>
    <row r="346" customFormat="false" ht="12" hidden="false" customHeight="false" outlineLevel="0" collapsed="false">
      <c r="H346" s="0" t="n">
        <f aca="false">E346-D346</f>
        <v>0</v>
      </c>
      <c r="I346" s="0" t="n">
        <f aca="false">F346-D346</f>
        <v>0</v>
      </c>
    </row>
    <row r="347" customFormat="false" ht="12" hidden="false" customHeight="false" outlineLevel="0" collapsed="false">
      <c r="H347" s="0" t="n">
        <f aca="false">E347-D347</f>
        <v>0</v>
      </c>
      <c r="I347" s="0" t="n">
        <f aca="false">F347-D347</f>
        <v>0</v>
      </c>
    </row>
    <row r="348" customFormat="false" ht="12" hidden="false" customHeight="false" outlineLevel="0" collapsed="false">
      <c r="H348" s="0" t="n">
        <f aca="false">E348-D348</f>
        <v>0</v>
      </c>
      <c r="I348" s="0" t="n">
        <f aca="false">F348-D348</f>
        <v>0</v>
      </c>
    </row>
    <row r="349" customFormat="false" ht="12" hidden="false" customHeight="false" outlineLevel="0" collapsed="false">
      <c r="H349" s="0" t="n">
        <f aca="false">E349-D349</f>
        <v>0</v>
      </c>
      <c r="I349" s="0" t="n">
        <f aca="false">F349-D349</f>
        <v>0</v>
      </c>
    </row>
    <row r="350" customFormat="false" ht="12" hidden="false" customHeight="false" outlineLevel="0" collapsed="false">
      <c r="H350" s="0" t="n">
        <f aca="false">E350-D350</f>
        <v>0</v>
      </c>
      <c r="I350" s="0" t="n">
        <f aca="false">F350-D350</f>
        <v>0</v>
      </c>
    </row>
    <row r="351" customFormat="false" ht="12" hidden="false" customHeight="false" outlineLevel="0" collapsed="false">
      <c r="H351" s="0" t="n">
        <f aca="false">E351-D351</f>
        <v>0</v>
      </c>
      <c r="I351" s="0" t="n">
        <f aca="false">F351-D351</f>
        <v>0</v>
      </c>
    </row>
    <row r="352" customFormat="false" ht="12" hidden="false" customHeight="false" outlineLevel="0" collapsed="false">
      <c r="H352" s="0" t="n">
        <f aca="false">E352-D352</f>
        <v>0</v>
      </c>
      <c r="I352" s="0" t="n">
        <f aca="false">F352-D352</f>
        <v>0</v>
      </c>
    </row>
    <row r="353" customFormat="false" ht="12" hidden="false" customHeight="false" outlineLevel="0" collapsed="false">
      <c r="H353" s="0" t="n">
        <f aca="false">E353-D353</f>
        <v>0</v>
      </c>
      <c r="I353" s="0" t="n">
        <f aca="false">F353-D353</f>
        <v>0</v>
      </c>
    </row>
    <row r="354" customFormat="false" ht="12" hidden="false" customHeight="false" outlineLevel="0" collapsed="false">
      <c r="H354" s="0" t="n">
        <f aca="false">E354-D354</f>
        <v>0</v>
      </c>
      <c r="I354" s="0" t="n">
        <f aca="false">F354-D354</f>
        <v>0</v>
      </c>
    </row>
    <row r="355" customFormat="false" ht="12" hidden="false" customHeight="false" outlineLevel="0" collapsed="false">
      <c r="H355" s="0" t="n">
        <f aca="false">E355-D355</f>
        <v>0</v>
      </c>
      <c r="I355" s="0" t="n">
        <f aca="false">F355-D355</f>
        <v>0</v>
      </c>
    </row>
    <row r="356" customFormat="false" ht="12" hidden="false" customHeight="false" outlineLevel="0" collapsed="false">
      <c r="H356" s="0" t="n">
        <f aca="false">E356-D356</f>
        <v>0</v>
      </c>
      <c r="I356" s="0" t="n">
        <f aca="false">F356-D356</f>
        <v>0</v>
      </c>
    </row>
    <row r="357" customFormat="false" ht="12" hidden="false" customHeight="false" outlineLevel="0" collapsed="false">
      <c r="H357" s="0" t="n">
        <f aca="false">E357-D357</f>
        <v>0</v>
      </c>
      <c r="I357" s="0" t="n">
        <f aca="false">F357-D357</f>
        <v>0</v>
      </c>
    </row>
    <row r="358" customFormat="false" ht="12" hidden="false" customHeight="false" outlineLevel="0" collapsed="false">
      <c r="H358" s="0" t="n">
        <f aca="false">E358-D358</f>
        <v>0</v>
      </c>
      <c r="I358" s="0" t="n">
        <f aca="false">F358-D358</f>
        <v>0</v>
      </c>
    </row>
    <row r="359" customFormat="false" ht="12" hidden="false" customHeight="false" outlineLevel="0" collapsed="false">
      <c r="H359" s="0" t="n">
        <f aca="false">E359-D359</f>
        <v>0</v>
      </c>
      <c r="I359" s="0" t="n">
        <f aca="false">F359-D359</f>
        <v>0</v>
      </c>
    </row>
    <row r="360" customFormat="false" ht="12" hidden="false" customHeight="false" outlineLevel="0" collapsed="false">
      <c r="H360" s="0" t="n">
        <f aca="false">E360-D360</f>
        <v>0</v>
      </c>
      <c r="I360" s="0" t="n">
        <f aca="false">F360-D360</f>
        <v>0</v>
      </c>
    </row>
    <row r="361" customFormat="false" ht="12" hidden="false" customHeight="false" outlineLevel="0" collapsed="false">
      <c r="H361" s="0" t="n">
        <f aca="false">E361-D361</f>
        <v>0</v>
      </c>
      <c r="I361" s="0" t="n">
        <f aca="false">F361-D361</f>
        <v>0</v>
      </c>
    </row>
    <row r="362" customFormat="false" ht="12" hidden="false" customHeight="false" outlineLevel="0" collapsed="false">
      <c r="H362" s="0" t="n">
        <f aca="false">E362-D362</f>
        <v>0</v>
      </c>
      <c r="I362" s="0" t="n">
        <f aca="false">F362-D362</f>
        <v>0</v>
      </c>
    </row>
    <row r="363" customFormat="false" ht="12" hidden="false" customHeight="false" outlineLevel="0" collapsed="false">
      <c r="H363" s="0" t="n">
        <f aca="false">E363-D363</f>
        <v>0</v>
      </c>
      <c r="I363" s="0" t="n">
        <f aca="false">F363-D363</f>
        <v>0</v>
      </c>
    </row>
    <row r="364" customFormat="false" ht="12" hidden="false" customHeight="false" outlineLevel="0" collapsed="false">
      <c r="H364" s="0" t="n">
        <f aca="false">E364-D364</f>
        <v>0</v>
      </c>
      <c r="I364" s="0" t="n">
        <f aca="false">F364-D364</f>
        <v>0</v>
      </c>
    </row>
    <row r="365" customFormat="false" ht="12" hidden="false" customHeight="false" outlineLevel="0" collapsed="false">
      <c r="H365" s="0" t="n">
        <f aca="false">E365-D365</f>
        <v>0</v>
      </c>
      <c r="I365" s="0" t="n">
        <f aca="false">F365-D365</f>
        <v>0</v>
      </c>
    </row>
    <row r="366" customFormat="false" ht="12" hidden="false" customHeight="false" outlineLevel="0" collapsed="false">
      <c r="H366" s="0" t="n">
        <f aca="false">E366-D366</f>
        <v>0</v>
      </c>
      <c r="I366" s="0" t="n">
        <f aca="false">F366-D366</f>
        <v>0</v>
      </c>
    </row>
    <row r="367" customFormat="false" ht="12" hidden="false" customHeight="false" outlineLevel="0" collapsed="false">
      <c r="H367" s="0" t="n">
        <f aca="false">E367-D367</f>
        <v>0</v>
      </c>
      <c r="I367" s="0" t="n">
        <f aca="false">F367-D367</f>
        <v>0</v>
      </c>
    </row>
    <row r="368" customFormat="false" ht="12" hidden="false" customHeight="false" outlineLevel="0" collapsed="false">
      <c r="H368" s="0" t="n">
        <f aca="false">E368-D368</f>
        <v>0</v>
      </c>
      <c r="I368" s="0" t="n">
        <f aca="false">F368-D368</f>
        <v>0</v>
      </c>
    </row>
    <row r="369" customFormat="false" ht="12" hidden="false" customHeight="false" outlineLevel="0" collapsed="false">
      <c r="H369" s="0" t="n">
        <f aca="false">E369-D369</f>
        <v>0</v>
      </c>
      <c r="I369" s="0" t="n">
        <f aca="false">F369-D369</f>
        <v>0</v>
      </c>
    </row>
    <row r="370" customFormat="false" ht="12" hidden="false" customHeight="false" outlineLevel="0" collapsed="false">
      <c r="H370" s="0" t="n">
        <f aca="false">E370-D370</f>
        <v>0</v>
      </c>
      <c r="I370" s="0" t="n">
        <f aca="false">F370-D370</f>
        <v>0</v>
      </c>
    </row>
    <row r="371" customFormat="false" ht="12" hidden="false" customHeight="false" outlineLevel="0" collapsed="false">
      <c r="H371" s="0" t="n">
        <f aca="false">E371-D371</f>
        <v>0</v>
      </c>
      <c r="I371" s="0" t="n">
        <f aca="false">F371-D371</f>
        <v>0</v>
      </c>
    </row>
    <row r="372" customFormat="false" ht="12" hidden="false" customHeight="false" outlineLevel="0" collapsed="false">
      <c r="H372" s="0" t="n">
        <f aca="false">E372-D372</f>
        <v>0</v>
      </c>
      <c r="I372" s="0" t="n">
        <f aca="false">F372-D372</f>
        <v>0</v>
      </c>
    </row>
    <row r="373" customFormat="false" ht="12" hidden="false" customHeight="false" outlineLevel="0" collapsed="false">
      <c r="H373" s="0" t="n">
        <f aca="false">E373-D373</f>
        <v>0</v>
      </c>
      <c r="I373" s="0" t="n">
        <f aca="false">F373-D373</f>
        <v>0</v>
      </c>
    </row>
    <row r="374" customFormat="false" ht="12" hidden="false" customHeight="false" outlineLevel="0" collapsed="false">
      <c r="H374" s="0" t="n">
        <f aca="false">E374-D374</f>
        <v>0</v>
      </c>
      <c r="I374" s="0" t="n">
        <f aca="false">F374-D374</f>
        <v>0</v>
      </c>
    </row>
    <row r="375" customFormat="false" ht="12" hidden="false" customHeight="false" outlineLevel="0" collapsed="false">
      <c r="H375" s="0" t="n">
        <f aca="false">E375-D375</f>
        <v>0</v>
      </c>
      <c r="I375" s="0" t="n">
        <f aca="false">F375-D375</f>
        <v>0</v>
      </c>
    </row>
    <row r="376" customFormat="false" ht="12" hidden="false" customHeight="false" outlineLevel="0" collapsed="false">
      <c r="H376" s="0" t="n">
        <f aca="false">E376-D376</f>
        <v>0</v>
      </c>
      <c r="I376" s="0" t="n">
        <f aca="false">F376-D376</f>
        <v>0</v>
      </c>
    </row>
    <row r="377" customFormat="false" ht="12" hidden="false" customHeight="false" outlineLevel="0" collapsed="false">
      <c r="H377" s="0" t="n">
        <f aca="false">E377-D377</f>
        <v>0</v>
      </c>
      <c r="I377" s="0" t="n">
        <f aca="false">F377-D377</f>
        <v>0</v>
      </c>
    </row>
    <row r="378" customFormat="false" ht="12" hidden="false" customHeight="false" outlineLevel="0" collapsed="false">
      <c r="H378" s="0" t="n">
        <f aca="false">E378-D378</f>
        <v>0</v>
      </c>
      <c r="I378" s="0" t="n">
        <f aca="false">F378-D378</f>
        <v>0</v>
      </c>
    </row>
    <row r="379" customFormat="false" ht="12" hidden="false" customHeight="false" outlineLevel="0" collapsed="false">
      <c r="H379" s="0" t="n">
        <f aca="false">E379-D379</f>
        <v>0</v>
      </c>
      <c r="I379" s="0" t="n">
        <f aca="false">F379-D379</f>
        <v>0</v>
      </c>
    </row>
    <row r="380" customFormat="false" ht="12" hidden="false" customHeight="false" outlineLevel="0" collapsed="false">
      <c r="H380" s="0" t="n">
        <f aca="false">E380-D380</f>
        <v>0</v>
      </c>
      <c r="I380" s="0" t="n">
        <f aca="false">F380-D380</f>
        <v>0</v>
      </c>
    </row>
    <row r="381" customFormat="false" ht="12" hidden="false" customHeight="false" outlineLevel="0" collapsed="false">
      <c r="H381" s="0" t="n">
        <f aca="false">E381-D381</f>
        <v>0</v>
      </c>
      <c r="I381" s="0" t="n">
        <f aca="false">F381-D381</f>
        <v>0</v>
      </c>
    </row>
    <row r="382" customFormat="false" ht="12" hidden="false" customHeight="false" outlineLevel="0" collapsed="false">
      <c r="H382" s="0" t="n">
        <f aca="false">E382-D382</f>
        <v>0</v>
      </c>
      <c r="I382" s="0" t="n">
        <f aca="false">F382-D382</f>
        <v>0</v>
      </c>
    </row>
    <row r="383" customFormat="false" ht="12" hidden="false" customHeight="false" outlineLevel="0" collapsed="false">
      <c r="H383" s="0" t="n">
        <f aca="false">E383-D383</f>
        <v>0</v>
      </c>
      <c r="I383" s="0" t="n">
        <f aca="false">F383-D383</f>
        <v>0</v>
      </c>
    </row>
    <row r="384" customFormat="false" ht="12" hidden="false" customHeight="false" outlineLevel="0" collapsed="false">
      <c r="H384" s="0" t="n">
        <f aca="false">E384-D384</f>
        <v>0</v>
      </c>
      <c r="I384" s="0" t="n">
        <f aca="false">F384-D384</f>
        <v>0</v>
      </c>
    </row>
    <row r="385" customFormat="false" ht="12" hidden="false" customHeight="false" outlineLevel="0" collapsed="false">
      <c r="H385" s="0" t="n">
        <f aca="false">E385-D385</f>
        <v>0</v>
      </c>
      <c r="I385" s="0" t="n">
        <f aca="false">F385-D385</f>
        <v>0</v>
      </c>
    </row>
    <row r="386" customFormat="false" ht="12" hidden="false" customHeight="false" outlineLevel="0" collapsed="false">
      <c r="H386" s="0" t="n">
        <f aca="false">E386-D386</f>
        <v>0</v>
      </c>
      <c r="I386" s="0" t="n">
        <f aca="false">F386-D386</f>
        <v>0</v>
      </c>
    </row>
    <row r="387" customFormat="false" ht="12" hidden="false" customHeight="false" outlineLevel="0" collapsed="false">
      <c r="H387" s="0" t="n">
        <f aca="false">E387-D387</f>
        <v>0</v>
      </c>
      <c r="I387" s="0" t="n">
        <f aca="false">F387-D387</f>
        <v>0</v>
      </c>
    </row>
    <row r="388" customFormat="false" ht="12" hidden="false" customHeight="false" outlineLevel="0" collapsed="false">
      <c r="H388" s="0" t="n">
        <f aca="false">E388-D388</f>
        <v>0</v>
      </c>
      <c r="I388" s="0" t="n">
        <f aca="false">F388-D388</f>
        <v>0</v>
      </c>
    </row>
    <row r="389" customFormat="false" ht="12" hidden="false" customHeight="false" outlineLevel="0" collapsed="false">
      <c r="H389" s="0" t="n">
        <f aca="false">E389-D389</f>
        <v>0</v>
      </c>
      <c r="I389" s="0" t="n">
        <f aca="false">F389-D389</f>
        <v>0</v>
      </c>
    </row>
    <row r="390" customFormat="false" ht="12" hidden="false" customHeight="false" outlineLevel="0" collapsed="false">
      <c r="H390" s="0" t="n">
        <f aca="false">E390-D390</f>
        <v>0</v>
      </c>
      <c r="I390" s="0" t="n">
        <f aca="false">F390-D390</f>
        <v>0</v>
      </c>
    </row>
    <row r="391" customFormat="false" ht="12" hidden="false" customHeight="false" outlineLevel="0" collapsed="false">
      <c r="H391" s="0" t="n">
        <f aca="false">E391-D391</f>
        <v>0</v>
      </c>
      <c r="I391" s="0" t="n">
        <f aca="false">F391-D391</f>
        <v>0</v>
      </c>
    </row>
    <row r="392" customFormat="false" ht="12" hidden="false" customHeight="false" outlineLevel="0" collapsed="false">
      <c r="H392" s="0" t="n">
        <f aca="false">E392-D392</f>
        <v>0</v>
      </c>
      <c r="I392" s="0" t="n">
        <f aca="false">F392-D392</f>
        <v>0</v>
      </c>
    </row>
    <row r="393" customFormat="false" ht="12" hidden="false" customHeight="false" outlineLevel="0" collapsed="false">
      <c r="H393" s="0" t="n">
        <f aca="false">E393-D393</f>
        <v>0</v>
      </c>
      <c r="I393" s="0" t="n">
        <f aca="false">F393-D393</f>
        <v>0</v>
      </c>
    </row>
    <row r="394" customFormat="false" ht="12" hidden="false" customHeight="false" outlineLevel="0" collapsed="false">
      <c r="H394" s="0" t="n">
        <f aca="false">E394-D394</f>
        <v>0</v>
      </c>
      <c r="I394" s="0" t="n">
        <f aca="false">F394-D394</f>
        <v>0</v>
      </c>
    </row>
    <row r="395" customFormat="false" ht="12" hidden="false" customHeight="false" outlineLevel="0" collapsed="false">
      <c r="H395" s="0" t="n">
        <f aca="false">E395-D395</f>
        <v>0</v>
      </c>
      <c r="I395" s="0" t="n">
        <f aca="false">F395-D395</f>
        <v>0</v>
      </c>
    </row>
    <row r="396" customFormat="false" ht="12" hidden="false" customHeight="false" outlineLevel="0" collapsed="false">
      <c r="H396" s="0" t="n">
        <f aca="false">E396-D396</f>
        <v>0</v>
      </c>
      <c r="I396" s="0" t="n">
        <f aca="false">F396-D396</f>
        <v>0</v>
      </c>
    </row>
    <row r="397" customFormat="false" ht="12" hidden="false" customHeight="false" outlineLevel="0" collapsed="false">
      <c r="H397" s="0" t="n">
        <f aca="false">E397-D397</f>
        <v>0</v>
      </c>
      <c r="I397" s="0" t="n">
        <f aca="false">F397-D397</f>
        <v>0</v>
      </c>
    </row>
    <row r="398" customFormat="false" ht="12" hidden="false" customHeight="false" outlineLevel="0" collapsed="false">
      <c r="H398" s="0" t="n">
        <f aca="false">E398-D398</f>
        <v>0</v>
      </c>
      <c r="I398" s="0" t="n">
        <f aca="false">F398-D398</f>
        <v>0</v>
      </c>
    </row>
    <row r="399" customFormat="false" ht="12" hidden="false" customHeight="false" outlineLevel="0" collapsed="false">
      <c r="H399" s="0" t="n">
        <f aca="false">E399-D399</f>
        <v>0</v>
      </c>
      <c r="I399" s="0" t="n">
        <f aca="false">F399-D399</f>
        <v>0</v>
      </c>
    </row>
    <row r="400" customFormat="false" ht="12" hidden="false" customHeight="false" outlineLevel="0" collapsed="false">
      <c r="H400" s="0" t="n">
        <f aca="false">E400-D400</f>
        <v>0</v>
      </c>
      <c r="I400" s="0" t="n">
        <f aca="false">F400-D400</f>
        <v>0</v>
      </c>
    </row>
    <row r="401" customFormat="false" ht="12" hidden="false" customHeight="false" outlineLevel="0" collapsed="false">
      <c r="H401" s="0" t="n">
        <f aca="false">E401-D401</f>
        <v>0</v>
      </c>
      <c r="I401" s="0" t="n">
        <f aca="false">F401-D401</f>
        <v>0</v>
      </c>
    </row>
    <row r="402" customFormat="false" ht="12" hidden="false" customHeight="false" outlineLevel="0" collapsed="false">
      <c r="H402" s="0" t="n">
        <f aca="false">E402-D402</f>
        <v>0</v>
      </c>
      <c r="I402" s="0" t="n">
        <f aca="false">F402-D402</f>
        <v>0</v>
      </c>
    </row>
    <row r="403" customFormat="false" ht="12" hidden="false" customHeight="false" outlineLevel="0" collapsed="false">
      <c r="H403" s="0" t="n">
        <f aca="false">E403-D403</f>
        <v>0</v>
      </c>
      <c r="I403" s="0" t="n">
        <f aca="false">F403-D403</f>
        <v>0</v>
      </c>
    </row>
    <row r="404" customFormat="false" ht="12" hidden="false" customHeight="false" outlineLevel="0" collapsed="false">
      <c r="H404" s="0" t="n">
        <f aca="false">E404-D404</f>
        <v>0</v>
      </c>
      <c r="I404" s="0" t="n">
        <f aca="false">F404-D404</f>
        <v>0</v>
      </c>
    </row>
    <row r="405" customFormat="false" ht="12" hidden="false" customHeight="false" outlineLevel="0" collapsed="false">
      <c r="H405" s="0" t="n">
        <f aca="false">E405-D405</f>
        <v>0</v>
      </c>
      <c r="I405" s="0" t="n">
        <f aca="false">F405-D405</f>
        <v>0</v>
      </c>
    </row>
    <row r="406" customFormat="false" ht="12" hidden="false" customHeight="false" outlineLevel="0" collapsed="false">
      <c r="H406" s="0" t="n">
        <f aca="false">E406-D406</f>
        <v>0</v>
      </c>
      <c r="I406" s="0" t="n">
        <f aca="false">F406-D406</f>
        <v>0</v>
      </c>
    </row>
    <row r="407" customFormat="false" ht="12" hidden="false" customHeight="false" outlineLevel="0" collapsed="false">
      <c r="H407" s="0" t="n">
        <f aca="false">E407-D407</f>
        <v>0</v>
      </c>
      <c r="I407" s="0" t="n">
        <f aca="false">F407-D407</f>
        <v>0</v>
      </c>
    </row>
    <row r="408" customFormat="false" ht="12" hidden="false" customHeight="false" outlineLevel="0" collapsed="false">
      <c r="H408" s="0" t="n">
        <f aca="false">E408-D408</f>
        <v>0</v>
      </c>
      <c r="I408" s="0" t="n">
        <f aca="false">F408-D408</f>
        <v>0</v>
      </c>
    </row>
    <row r="409" customFormat="false" ht="12" hidden="false" customHeight="false" outlineLevel="0" collapsed="false">
      <c r="H409" s="0" t="n">
        <f aca="false">E409-D409</f>
        <v>0</v>
      </c>
      <c r="I409" s="0" t="n">
        <f aca="false">F409-D409</f>
        <v>0</v>
      </c>
    </row>
    <row r="410" customFormat="false" ht="12" hidden="false" customHeight="false" outlineLevel="0" collapsed="false">
      <c r="H410" s="0" t="n">
        <f aca="false">E410-D410</f>
        <v>0</v>
      </c>
      <c r="I410" s="0" t="n">
        <f aca="false">F410-D410</f>
        <v>0</v>
      </c>
    </row>
    <row r="411" customFormat="false" ht="12" hidden="false" customHeight="false" outlineLevel="0" collapsed="false">
      <c r="H411" s="0" t="n">
        <f aca="false">E411-D411</f>
        <v>0</v>
      </c>
      <c r="I411" s="0" t="n">
        <f aca="false">F411-D411</f>
        <v>0</v>
      </c>
    </row>
    <row r="412" customFormat="false" ht="12" hidden="false" customHeight="false" outlineLevel="0" collapsed="false">
      <c r="H412" s="0" t="n">
        <f aca="false">E412-D412</f>
        <v>0</v>
      </c>
      <c r="I412" s="0" t="n">
        <f aca="false">F412-D412</f>
        <v>0</v>
      </c>
    </row>
    <row r="413" customFormat="false" ht="12" hidden="false" customHeight="false" outlineLevel="0" collapsed="false">
      <c r="H413" s="0" t="n">
        <f aca="false">E413-D413</f>
        <v>0</v>
      </c>
      <c r="I413" s="0" t="n">
        <f aca="false">F413-D413</f>
        <v>0</v>
      </c>
    </row>
    <row r="414" customFormat="false" ht="12" hidden="false" customHeight="false" outlineLevel="0" collapsed="false">
      <c r="H414" s="0" t="n">
        <f aca="false">E414-D414</f>
        <v>0</v>
      </c>
      <c r="I414" s="0" t="n">
        <f aca="false">F414-D414</f>
        <v>0</v>
      </c>
    </row>
    <row r="415" customFormat="false" ht="12" hidden="false" customHeight="false" outlineLevel="0" collapsed="false">
      <c r="H415" s="0" t="n">
        <f aca="false">E415-D415</f>
        <v>0</v>
      </c>
      <c r="I415" s="0" t="n">
        <f aca="false">F415-D415</f>
        <v>0</v>
      </c>
    </row>
    <row r="416" customFormat="false" ht="12" hidden="false" customHeight="false" outlineLevel="0" collapsed="false">
      <c r="H416" s="0" t="n">
        <f aca="false">E416-D416</f>
        <v>0</v>
      </c>
      <c r="I416" s="0" t="n">
        <f aca="false">F416-D416</f>
        <v>0</v>
      </c>
    </row>
    <row r="417" customFormat="false" ht="12" hidden="false" customHeight="false" outlineLevel="0" collapsed="false">
      <c r="H417" s="0" t="n">
        <f aca="false">E417-D417</f>
        <v>0</v>
      </c>
      <c r="I417" s="0" t="n">
        <f aca="false">F417-D417</f>
        <v>0</v>
      </c>
    </row>
    <row r="418" customFormat="false" ht="12" hidden="false" customHeight="false" outlineLevel="0" collapsed="false">
      <c r="H418" s="0" t="n">
        <f aca="false">E418-D418</f>
        <v>0</v>
      </c>
      <c r="I418" s="0" t="n">
        <f aca="false">F418-D418</f>
        <v>0</v>
      </c>
    </row>
    <row r="419" customFormat="false" ht="12" hidden="false" customHeight="false" outlineLevel="0" collapsed="false">
      <c r="H419" s="0" t="n">
        <f aca="false">E419-D419</f>
        <v>0</v>
      </c>
      <c r="I419" s="0" t="n">
        <f aca="false">F419-D419</f>
        <v>0</v>
      </c>
    </row>
    <row r="420" customFormat="false" ht="12" hidden="false" customHeight="false" outlineLevel="0" collapsed="false">
      <c r="H420" s="0" t="n">
        <f aca="false">E420-D420</f>
        <v>0</v>
      </c>
      <c r="I420" s="0" t="n">
        <f aca="false">F420-D420</f>
        <v>0</v>
      </c>
    </row>
    <row r="421" customFormat="false" ht="12" hidden="false" customHeight="false" outlineLevel="0" collapsed="false">
      <c r="H421" s="0" t="n">
        <f aca="false">E421-D421</f>
        <v>0</v>
      </c>
      <c r="I421" s="0" t="n">
        <f aca="false">F421-D421</f>
        <v>0</v>
      </c>
    </row>
    <row r="422" customFormat="false" ht="12" hidden="false" customHeight="false" outlineLevel="0" collapsed="false">
      <c r="H422" s="0" t="n">
        <f aca="false">E422-D422</f>
        <v>0</v>
      </c>
      <c r="I422" s="0" t="n">
        <f aca="false">F422-D422</f>
        <v>0</v>
      </c>
    </row>
    <row r="423" customFormat="false" ht="12" hidden="false" customHeight="false" outlineLevel="0" collapsed="false">
      <c r="H423" s="0" t="n">
        <f aca="false">E423-D423</f>
        <v>0</v>
      </c>
      <c r="I423" s="0" t="n">
        <f aca="false">F423-D423</f>
        <v>0</v>
      </c>
    </row>
    <row r="424" customFormat="false" ht="12" hidden="false" customHeight="false" outlineLevel="0" collapsed="false">
      <c r="H424" s="0" t="n">
        <f aca="false">E424-D424</f>
        <v>0</v>
      </c>
      <c r="I424" s="0" t="n">
        <f aca="false">F424-D424</f>
        <v>0</v>
      </c>
    </row>
    <row r="425" customFormat="false" ht="12" hidden="false" customHeight="false" outlineLevel="0" collapsed="false">
      <c r="H425" s="0" t="n">
        <f aca="false">E425-D425</f>
        <v>0</v>
      </c>
      <c r="I425" s="0" t="n">
        <f aca="false">F425-D425</f>
        <v>0</v>
      </c>
    </row>
    <row r="426" customFormat="false" ht="12" hidden="false" customHeight="false" outlineLevel="0" collapsed="false">
      <c r="H426" s="0" t="n">
        <f aca="false">E426-D426</f>
        <v>0</v>
      </c>
      <c r="I426" s="0" t="n">
        <f aca="false">F426-D426</f>
        <v>0</v>
      </c>
    </row>
    <row r="427" customFormat="false" ht="12" hidden="false" customHeight="false" outlineLevel="0" collapsed="false">
      <c r="H427" s="0" t="n">
        <f aca="false">E427-D427</f>
        <v>0</v>
      </c>
      <c r="I427" s="0" t="n">
        <f aca="false">F427-D427</f>
        <v>0</v>
      </c>
    </row>
    <row r="428" customFormat="false" ht="12" hidden="false" customHeight="false" outlineLevel="0" collapsed="false">
      <c r="H428" s="0" t="n">
        <f aca="false">E428-D428</f>
        <v>0</v>
      </c>
      <c r="I428" s="0" t="n">
        <f aca="false">F428-D428</f>
        <v>0</v>
      </c>
    </row>
    <row r="429" customFormat="false" ht="12" hidden="false" customHeight="false" outlineLevel="0" collapsed="false">
      <c r="H429" s="0" t="n">
        <f aca="false">E429-D429</f>
        <v>0</v>
      </c>
      <c r="I429" s="0" t="n">
        <f aca="false">F429-D429</f>
        <v>0</v>
      </c>
    </row>
    <row r="430" customFormat="false" ht="12" hidden="false" customHeight="false" outlineLevel="0" collapsed="false">
      <c r="H430" s="0" t="n">
        <f aca="false">E430-D430</f>
        <v>0</v>
      </c>
      <c r="I430" s="0" t="n">
        <f aca="false">F430-D430</f>
        <v>0</v>
      </c>
    </row>
    <row r="431" customFormat="false" ht="12" hidden="false" customHeight="false" outlineLevel="0" collapsed="false">
      <c r="H431" s="0" t="n">
        <f aca="false">E431-D431</f>
        <v>0</v>
      </c>
      <c r="I431" s="0" t="n">
        <f aca="false">F431-D431</f>
        <v>0</v>
      </c>
    </row>
    <row r="432" customFormat="false" ht="12" hidden="false" customHeight="false" outlineLevel="0" collapsed="false">
      <c r="H432" s="0" t="n">
        <f aca="false">E432-D432</f>
        <v>0</v>
      </c>
      <c r="I432" s="0" t="n">
        <f aca="false">F432-D432</f>
        <v>0</v>
      </c>
    </row>
    <row r="433" customFormat="false" ht="12" hidden="false" customHeight="false" outlineLevel="0" collapsed="false">
      <c r="H433" s="0" t="n">
        <f aca="false">E433-D433</f>
        <v>0</v>
      </c>
      <c r="I433" s="0" t="n">
        <f aca="false">F433-D433</f>
        <v>0</v>
      </c>
    </row>
    <row r="434" customFormat="false" ht="12" hidden="false" customHeight="false" outlineLevel="0" collapsed="false">
      <c r="H434" s="0" t="n">
        <f aca="false">E434-D434</f>
        <v>0</v>
      </c>
      <c r="I434" s="0" t="n">
        <f aca="false">F434-D434</f>
        <v>0</v>
      </c>
    </row>
    <row r="435" customFormat="false" ht="12" hidden="false" customHeight="false" outlineLevel="0" collapsed="false">
      <c r="H435" s="0" t="n">
        <f aca="false">E435-D435</f>
        <v>0</v>
      </c>
      <c r="I435" s="0" t="n">
        <f aca="false">F435-D435</f>
        <v>0</v>
      </c>
    </row>
    <row r="436" customFormat="false" ht="12" hidden="false" customHeight="false" outlineLevel="0" collapsed="false">
      <c r="H436" s="0" t="n">
        <f aca="false">E436-D436</f>
        <v>0</v>
      </c>
      <c r="I436" s="0" t="n">
        <f aca="false">F436-D436</f>
        <v>0</v>
      </c>
    </row>
    <row r="437" customFormat="false" ht="12" hidden="false" customHeight="false" outlineLevel="0" collapsed="false">
      <c r="H437" s="0" t="n">
        <f aca="false">E437-D437</f>
        <v>0</v>
      </c>
      <c r="I437" s="0" t="n">
        <f aca="false">F437-D437</f>
        <v>0</v>
      </c>
    </row>
    <row r="438" customFormat="false" ht="12" hidden="false" customHeight="false" outlineLevel="0" collapsed="false">
      <c r="H438" s="0" t="n">
        <f aca="false">E438-D438</f>
        <v>0</v>
      </c>
      <c r="I438" s="0" t="n">
        <f aca="false">F438-D438</f>
        <v>0</v>
      </c>
    </row>
    <row r="439" customFormat="false" ht="12" hidden="false" customHeight="false" outlineLevel="0" collapsed="false">
      <c r="H439" s="0" t="n">
        <f aca="false">E439-D439</f>
        <v>0</v>
      </c>
      <c r="I439" s="0" t="n">
        <f aca="false">F439-D439</f>
        <v>0</v>
      </c>
    </row>
    <row r="440" customFormat="false" ht="12" hidden="false" customHeight="false" outlineLevel="0" collapsed="false">
      <c r="H440" s="0" t="n">
        <f aca="false">E440-D440</f>
        <v>0</v>
      </c>
      <c r="I440" s="0" t="n">
        <f aca="false">F440-D440</f>
        <v>0</v>
      </c>
    </row>
    <row r="441" customFormat="false" ht="12" hidden="false" customHeight="false" outlineLevel="0" collapsed="false">
      <c r="H441" s="0" t="n">
        <f aca="false">E441-D441</f>
        <v>0</v>
      </c>
      <c r="I441" s="0" t="n">
        <f aca="false">F441-D441</f>
        <v>0</v>
      </c>
    </row>
    <row r="442" customFormat="false" ht="12" hidden="false" customHeight="false" outlineLevel="0" collapsed="false">
      <c r="H442" s="0" t="n">
        <f aca="false">E442-D442</f>
        <v>0</v>
      </c>
      <c r="I442" s="0" t="n">
        <f aca="false">F442-D442</f>
        <v>0</v>
      </c>
    </row>
    <row r="443" customFormat="false" ht="12" hidden="false" customHeight="false" outlineLevel="0" collapsed="false">
      <c r="H443" s="0" t="n">
        <f aca="false">E443-D443</f>
        <v>0</v>
      </c>
      <c r="I443" s="0" t="n">
        <f aca="false">F443-D443</f>
        <v>0</v>
      </c>
    </row>
    <row r="444" customFormat="false" ht="12" hidden="false" customHeight="false" outlineLevel="0" collapsed="false">
      <c r="H444" s="0" t="n">
        <f aca="false">E444-D444</f>
        <v>0</v>
      </c>
      <c r="I444" s="0" t="n">
        <f aca="false">F444-D444</f>
        <v>0</v>
      </c>
    </row>
    <row r="445" customFormat="false" ht="12" hidden="false" customHeight="false" outlineLevel="0" collapsed="false">
      <c r="H445" s="0" t="n">
        <f aca="false">E445-D445</f>
        <v>0</v>
      </c>
      <c r="I445" s="0" t="n">
        <f aca="false">F445-D445</f>
        <v>0</v>
      </c>
    </row>
    <row r="446" customFormat="false" ht="12" hidden="false" customHeight="false" outlineLevel="0" collapsed="false">
      <c r="H446" s="0" t="n">
        <f aca="false">E446-D446</f>
        <v>0</v>
      </c>
      <c r="I446" s="0" t="n">
        <f aca="false">F446-D446</f>
        <v>0</v>
      </c>
    </row>
    <row r="447" customFormat="false" ht="12" hidden="false" customHeight="false" outlineLevel="0" collapsed="false">
      <c r="H447" s="0" t="n">
        <f aca="false">E447-D447</f>
        <v>0</v>
      </c>
      <c r="I447" s="0" t="n">
        <f aca="false">F447-D447</f>
        <v>0</v>
      </c>
    </row>
    <row r="448" customFormat="false" ht="12" hidden="false" customHeight="false" outlineLevel="0" collapsed="false">
      <c r="H448" s="0" t="n">
        <f aca="false">E448-D448</f>
        <v>0</v>
      </c>
      <c r="I448" s="0" t="n">
        <f aca="false">F448-D448</f>
        <v>0</v>
      </c>
    </row>
    <row r="449" customFormat="false" ht="12" hidden="false" customHeight="false" outlineLevel="0" collapsed="false">
      <c r="H449" s="0" t="n">
        <f aca="false">E449-D449</f>
        <v>0</v>
      </c>
      <c r="I449" s="0" t="n">
        <f aca="false">F449-D449</f>
        <v>0</v>
      </c>
    </row>
    <row r="450" customFormat="false" ht="12" hidden="false" customHeight="false" outlineLevel="0" collapsed="false">
      <c r="H450" s="0" t="n">
        <f aca="false">E450-D450</f>
        <v>0</v>
      </c>
      <c r="I450" s="0" t="n">
        <f aca="false">F450-D450</f>
        <v>0</v>
      </c>
    </row>
    <row r="451" customFormat="false" ht="12" hidden="false" customHeight="false" outlineLevel="0" collapsed="false">
      <c r="H451" s="0" t="n">
        <f aca="false">E451-D451</f>
        <v>0</v>
      </c>
      <c r="I451" s="0" t="n">
        <f aca="false">F451-D451</f>
        <v>0</v>
      </c>
    </row>
    <row r="452" customFormat="false" ht="12" hidden="false" customHeight="false" outlineLevel="0" collapsed="false">
      <c r="H452" s="0" t="n">
        <f aca="false">E452-D452</f>
        <v>0</v>
      </c>
      <c r="I452" s="0" t="n">
        <f aca="false">F452-D452</f>
        <v>0</v>
      </c>
    </row>
    <row r="453" customFormat="false" ht="12" hidden="false" customHeight="false" outlineLevel="0" collapsed="false">
      <c r="H453" s="0" t="n">
        <f aca="false">E453-D453</f>
        <v>0</v>
      </c>
      <c r="I453" s="0" t="n">
        <f aca="false">F453-D453</f>
        <v>0</v>
      </c>
    </row>
    <row r="454" customFormat="false" ht="12" hidden="false" customHeight="false" outlineLevel="0" collapsed="false">
      <c r="H454" s="0" t="n">
        <f aca="false">E454-D454</f>
        <v>0</v>
      </c>
      <c r="I454" s="0" t="n">
        <f aca="false">F454-D454</f>
        <v>0</v>
      </c>
    </row>
    <row r="455" customFormat="false" ht="12" hidden="false" customHeight="false" outlineLevel="0" collapsed="false">
      <c r="H455" s="0" t="n">
        <f aca="false">E455-D455</f>
        <v>0</v>
      </c>
      <c r="I455" s="0" t="n">
        <f aca="false">F455-D455</f>
        <v>0</v>
      </c>
    </row>
    <row r="456" customFormat="false" ht="12" hidden="false" customHeight="false" outlineLevel="0" collapsed="false">
      <c r="H456" s="0" t="n">
        <f aca="false">E456-D456</f>
        <v>0</v>
      </c>
      <c r="I456" s="0" t="n">
        <f aca="false">F456-D456</f>
        <v>0</v>
      </c>
    </row>
    <row r="457" customFormat="false" ht="12" hidden="false" customHeight="false" outlineLevel="0" collapsed="false">
      <c r="H457" s="0" t="n">
        <f aca="false">E457-D457</f>
        <v>0</v>
      </c>
      <c r="I457" s="0" t="n">
        <f aca="false">F457-D457</f>
        <v>0</v>
      </c>
    </row>
    <row r="458" customFormat="false" ht="12" hidden="false" customHeight="false" outlineLevel="0" collapsed="false">
      <c r="H458" s="0" t="n">
        <f aca="false">E458-D458</f>
        <v>0</v>
      </c>
      <c r="I458" s="0" t="n">
        <f aca="false">F458-D458</f>
        <v>0</v>
      </c>
    </row>
    <row r="459" customFormat="false" ht="12" hidden="false" customHeight="false" outlineLevel="0" collapsed="false">
      <c r="H459" s="0" t="n">
        <f aca="false">E459-D459</f>
        <v>0</v>
      </c>
      <c r="I459" s="0" t="n">
        <f aca="false">F459-D459</f>
        <v>0</v>
      </c>
    </row>
    <row r="460" customFormat="false" ht="12" hidden="false" customHeight="false" outlineLevel="0" collapsed="false">
      <c r="H460" s="0" t="n">
        <f aca="false">E460-D460</f>
        <v>0</v>
      </c>
      <c r="I460" s="0" t="n">
        <f aca="false">F460-D460</f>
        <v>0</v>
      </c>
    </row>
    <row r="461" customFormat="false" ht="12" hidden="false" customHeight="false" outlineLevel="0" collapsed="false">
      <c r="H461" s="0" t="n">
        <f aca="false">E461-D461</f>
        <v>0</v>
      </c>
      <c r="I461" s="0" t="n">
        <f aca="false">F461-D461</f>
        <v>0</v>
      </c>
    </row>
    <row r="462" customFormat="false" ht="12" hidden="false" customHeight="false" outlineLevel="0" collapsed="false">
      <c r="H462" s="0" t="n">
        <f aca="false">E462-D462</f>
        <v>0</v>
      </c>
      <c r="I462" s="0" t="n">
        <f aca="false">F462-D462</f>
        <v>0</v>
      </c>
    </row>
    <row r="463" customFormat="false" ht="12" hidden="false" customHeight="false" outlineLevel="0" collapsed="false">
      <c r="H463" s="0" t="n">
        <f aca="false">E463-D463</f>
        <v>0</v>
      </c>
      <c r="I463" s="0" t="n">
        <f aca="false">F463-D463</f>
        <v>0</v>
      </c>
    </row>
    <row r="464" customFormat="false" ht="12" hidden="false" customHeight="false" outlineLevel="0" collapsed="false">
      <c r="H464" s="0" t="n">
        <f aca="false">E464-D464</f>
        <v>0</v>
      </c>
      <c r="I464" s="0" t="n">
        <f aca="false">F464-D464</f>
        <v>0</v>
      </c>
    </row>
    <row r="465" customFormat="false" ht="12" hidden="false" customHeight="false" outlineLevel="0" collapsed="false">
      <c r="H465" s="0" t="n">
        <f aca="false">E465-D465</f>
        <v>0</v>
      </c>
      <c r="I465" s="0" t="n">
        <f aca="false">F465-D465</f>
        <v>0</v>
      </c>
    </row>
    <row r="466" customFormat="false" ht="12" hidden="false" customHeight="false" outlineLevel="0" collapsed="false">
      <c r="H466" s="0" t="n">
        <f aca="false">E466-D466</f>
        <v>0</v>
      </c>
      <c r="I466" s="0" t="n">
        <f aca="false">F466-D466</f>
        <v>0</v>
      </c>
    </row>
    <row r="467" customFormat="false" ht="12" hidden="false" customHeight="false" outlineLevel="0" collapsed="false">
      <c r="H467" s="0" t="n">
        <f aca="false">E467-D467</f>
        <v>0</v>
      </c>
      <c r="I467" s="0" t="n">
        <f aca="false">F467-D467</f>
        <v>0</v>
      </c>
    </row>
    <row r="468" customFormat="false" ht="12" hidden="false" customHeight="false" outlineLevel="0" collapsed="false">
      <c r="H468" s="0" t="n">
        <f aca="false">E468-D468</f>
        <v>0</v>
      </c>
      <c r="I468" s="0" t="n">
        <f aca="false">F468-D468</f>
        <v>0</v>
      </c>
    </row>
    <row r="469" customFormat="false" ht="12" hidden="false" customHeight="false" outlineLevel="0" collapsed="false">
      <c r="H469" s="0" t="n">
        <f aca="false">E469-D469</f>
        <v>0</v>
      </c>
      <c r="I469" s="0" t="n">
        <f aca="false">F469-D469</f>
        <v>0</v>
      </c>
    </row>
    <row r="470" customFormat="false" ht="12" hidden="false" customHeight="false" outlineLevel="0" collapsed="false">
      <c r="H470" s="0" t="n">
        <f aca="false">E470-D470</f>
        <v>0</v>
      </c>
      <c r="I470" s="0" t="n">
        <f aca="false">F470-D470</f>
        <v>0</v>
      </c>
    </row>
    <row r="471" customFormat="false" ht="12" hidden="false" customHeight="false" outlineLevel="0" collapsed="false">
      <c r="H471" s="0" t="n">
        <f aca="false">E471-D471</f>
        <v>0</v>
      </c>
      <c r="I471" s="0" t="n">
        <f aca="false">F471-D471</f>
        <v>0</v>
      </c>
    </row>
    <row r="472" customFormat="false" ht="12" hidden="false" customHeight="false" outlineLevel="0" collapsed="false">
      <c r="H472" s="0" t="n">
        <f aca="false">E472-D472</f>
        <v>0</v>
      </c>
      <c r="I472" s="0" t="n">
        <f aca="false">F472-D472</f>
        <v>0</v>
      </c>
    </row>
    <row r="473" customFormat="false" ht="12" hidden="false" customHeight="false" outlineLevel="0" collapsed="false">
      <c r="H473" s="0" t="n">
        <f aca="false">E473-D473</f>
        <v>0</v>
      </c>
      <c r="I473" s="0" t="n">
        <f aca="false">F473-D473</f>
        <v>0</v>
      </c>
    </row>
    <row r="474" customFormat="false" ht="12" hidden="false" customHeight="false" outlineLevel="0" collapsed="false">
      <c r="H474" s="0" t="n">
        <f aca="false">E474-D474</f>
        <v>0</v>
      </c>
      <c r="I474" s="0" t="n">
        <f aca="false">F474-D474</f>
        <v>0</v>
      </c>
    </row>
    <row r="475" customFormat="false" ht="12" hidden="false" customHeight="false" outlineLevel="0" collapsed="false">
      <c r="H475" s="0" t="n">
        <f aca="false">E475-D475</f>
        <v>0</v>
      </c>
      <c r="I475" s="0" t="n">
        <f aca="false">F475-D475</f>
        <v>0</v>
      </c>
    </row>
    <row r="476" customFormat="false" ht="12" hidden="false" customHeight="false" outlineLevel="0" collapsed="false">
      <c r="H476" s="0" t="n">
        <f aca="false">E476-D476</f>
        <v>0</v>
      </c>
      <c r="I476" s="0" t="n">
        <f aca="false">F476-D476</f>
        <v>0</v>
      </c>
    </row>
    <row r="477" customFormat="false" ht="12" hidden="false" customHeight="false" outlineLevel="0" collapsed="false">
      <c r="H477" s="0" t="n">
        <f aca="false">E477-D477</f>
        <v>0</v>
      </c>
      <c r="I477" s="0" t="n">
        <f aca="false">F477-D477</f>
        <v>0</v>
      </c>
    </row>
    <row r="478" customFormat="false" ht="12" hidden="false" customHeight="false" outlineLevel="0" collapsed="false">
      <c r="H478" s="0" t="n">
        <f aca="false">E478-D478</f>
        <v>0</v>
      </c>
      <c r="I478" s="0" t="n">
        <f aca="false">F478-D478</f>
        <v>0</v>
      </c>
    </row>
    <row r="479" customFormat="false" ht="12" hidden="false" customHeight="false" outlineLevel="0" collapsed="false">
      <c r="H479" s="0" t="n">
        <f aca="false">E479-D479</f>
        <v>0</v>
      </c>
      <c r="I479" s="0" t="n">
        <f aca="false">F479-D479</f>
        <v>0</v>
      </c>
    </row>
    <row r="480" customFormat="false" ht="12" hidden="false" customHeight="false" outlineLevel="0" collapsed="false">
      <c r="H480" s="0" t="n">
        <f aca="false">E480-D480</f>
        <v>0</v>
      </c>
      <c r="I480" s="0" t="n">
        <f aca="false">F480-D480</f>
        <v>0</v>
      </c>
    </row>
    <row r="481" customFormat="false" ht="12" hidden="false" customHeight="false" outlineLevel="0" collapsed="false">
      <c r="H481" s="0" t="n">
        <f aca="false">E481-D481</f>
        <v>0</v>
      </c>
      <c r="I481" s="0" t="n">
        <f aca="false">F481-D481</f>
        <v>0</v>
      </c>
    </row>
    <row r="482" customFormat="false" ht="12" hidden="false" customHeight="false" outlineLevel="0" collapsed="false">
      <c r="H482" s="0" t="n">
        <f aca="false">E482-D482</f>
        <v>0</v>
      </c>
      <c r="I482" s="0" t="n">
        <f aca="false">F482-D482</f>
        <v>0</v>
      </c>
    </row>
    <row r="483" customFormat="false" ht="12" hidden="false" customHeight="false" outlineLevel="0" collapsed="false">
      <c r="H483" s="0" t="n">
        <f aca="false">E483-D483</f>
        <v>0</v>
      </c>
      <c r="I483" s="0" t="n">
        <f aca="false">F483-D483</f>
        <v>0</v>
      </c>
    </row>
    <row r="484" customFormat="false" ht="12" hidden="false" customHeight="false" outlineLevel="0" collapsed="false">
      <c r="H484" s="0" t="n">
        <f aca="false">E484-D484</f>
        <v>0</v>
      </c>
      <c r="I484" s="0" t="n">
        <f aca="false">F484-D484</f>
        <v>0</v>
      </c>
    </row>
    <row r="485" customFormat="false" ht="12" hidden="false" customHeight="false" outlineLevel="0" collapsed="false">
      <c r="H485" s="0" t="n">
        <f aca="false">E485-D485</f>
        <v>0</v>
      </c>
      <c r="I485" s="0" t="n">
        <f aca="false">F485-D485</f>
        <v>0</v>
      </c>
    </row>
    <row r="486" customFormat="false" ht="12" hidden="false" customHeight="false" outlineLevel="0" collapsed="false">
      <c r="H486" s="0" t="n">
        <f aca="false">E486-D486</f>
        <v>0</v>
      </c>
      <c r="I486" s="0" t="n">
        <f aca="false">F486-D486</f>
        <v>0</v>
      </c>
    </row>
    <row r="487" customFormat="false" ht="12" hidden="false" customHeight="false" outlineLevel="0" collapsed="false">
      <c r="H487" s="0" t="n">
        <f aca="false">E487-D487</f>
        <v>0</v>
      </c>
      <c r="I487" s="0" t="n">
        <f aca="false">F487-D487</f>
        <v>0</v>
      </c>
    </row>
    <row r="488" customFormat="false" ht="12" hidden="false" customHeight="false" outlineLevel="0" collapsed="false">
      <c r="H488" s="0" t="n">
        <f aca="false">E488-D488</f>
        <v>0</v>
      </c>
      <c r="I488" s="0" t="n">
        <f aca="false">F488-D488</f>
        <v>0</v>
      </c>
    </row>
    <row r="489" customFormat="false" ht="12" hidden="false" customHeight="false" outlineLevel="0" collapsed="false">
      <c r="H489" s="0" t="n">
        <f aca="false">E489-D489</f>
        <v>0</v>
      </c>
      <c r="I489" s="0" t="n">
        <f aca="false">F489-D489</f>
        <v>0</v>
      </c>
    </row>
    <row r="490" customFormat="false" ht="12" hidden="false" customHeight="false" outlineLevel="0" collapsed="false">
      <c r="H490" s="0" t="n">
        <f aca="false">E490-D490</f>
        <v>0</v>
      </c>
      <c r="I490" s="0" t="n">
        <f aca="false">F490-D490</f>
        <v>0</v>
      </c>
    </row>
    <row r="491" customFormat="false" ht="12" hidden="false" customHeight="false" outlineLevel="0" collapsed="false">
      <c r="H491" s="0" t="n">
        <f aca="false">E491-D491</f>
        <v>0</v>
      </c>
      <c r="I491" s="0" t="n">
        <f aca="false">F491-D491</f>
        <v>0</v>
      </c>
    </row>
    <row r="492" customFormat="false" ht="12" hidden="false" customHeight="false" outlineLevel="0" collapsed="false">
      <c r="H492" s="0" t="n">
        <f aca="false">E492-D492</f>
        <v>0</v>
      </c>
      <c r="I492" s="0" t="n">
        <f aca="false">F492-D492</f>
        <v>0</v>
      </c>
    </row>
    <row r="493" customFormat="false" ht="12" hidden="false" customHeight="false" outlineLevel="0" collapsed="false">
      <c r="H493" s="0" t="n">
        <f aca="false">E493-D493</f>
        <v>0</v>
      </c>
      <c r="I493" s="0" t="n">
        <f aca="false">F493-D493</f>
        <v>0</v>
      </c>
    </row>
    <row r="494" customFormat="false" ht="12" hidden="false" customHeight="false" outlineLevel="0" collapsed="false">
      <c r="H494" s="0" t="n">
        <f aca="false">E494-D494</f>
        <v>0</v>
      </c>
      <c r="I494" s="0" t="n">
        <f aca="false">F494-D494</f>
        <v>0</v>
      </c>
    </row>
    <row r="495" customFormat="false" ht="12" hidden="false" customHeight="false" outlineLevel="0" collapsed="false">
      <c r="H495" s="0" t="n">
        <f aca="false">E495-D495</f>
        <v>0</v>
      </c>
      <c r="I495" s="0" t="n">
        <f aca="false">F495-D495</f>
        <v>0</v>
      </c>
    </row>
    <row r="496" customFormat="false" ht="12" hidden="false" customHeight="false" outlineLevel="0" collapsed="false">
      <c r="H496" s="0" t="n">
        <f aca="false">E496-D496</f>
        <v>0</v>
      </c>
      <c r="I496" s="0" t="n">
        <f aca="false">F496-D496</f>
        <v>0</v>
      </c>
    </row>
    <row r="497" customFormat="false" ht="12" hidden="false" customHeight="false" outlineLevel="0" collapsed="false">
      <c r="H497" s="0" t="n">
        <f aca="false">E497-D497</f>
        <v>0</v>
      </c>
      <c r="I497" s="0" t="n">
        <f aca="false">F497-D497</f>
        <v>0</v>
      </c>
    </row>
    <row r="498" customFormat="false" ht="12" hidden="false" customHeight="false" outlineLevel="0" collapsed="false">
      <c r="H498" s="0" t="n">
        <f aca="false">E498-D498</f>
        <v>0</v>
      </c>
      <c r="I498" s="0" t="n">
        <f aca="false">F498-D498</f>
        <v>0</v>
      </c>
    </row>
    <row r="499" customFormat="false" ht="12" hidden="false" customHeight="false" outlineLevel="0" collapsed="false">
      <c r="H499" s="0" t="n">
        <f aca="false">E499-D499</f>
        <v>0</v>
      </c>
      <c r="I499" s="0" t="n">
        <f aca="false">F499-D499</f>
        <v>0</v>
      </c>
    </row>
    <row r="500" customFormat="false" ht="12" hidden="false" customHeight="false" outlineLevel="0" collapsed="false">
      <c r="H500" s="0" t="n">
        <f aca="false">E500-D500</f>
        <v>0</v>
      </c>
      <c r="I500" s="0" t="n">
        <f aca="false">F500-D500</f>
        <v>0</v>
      </c>
    </row>
    <row r="501" customFormat="false" ht="12" hidden="false" customHeight="false" outlineLevel="0" collapsed="false">
      <c r="H501" s="0" t="n">
        <f aca="false">E501-D501</f>
        <v>0</v>
      </c>
      <c r="I501" s="0" t="n">
        <f aca="false">F501-D501</f>
        <v>0</v>
      </c>
    </row>
    <row r="502" customFormat="false" ht="12" hidden="false" customHeight="false" outlineLevel="0" collapsed="false">
      <c r="H502" s="0" t="n">
        <f aca="false">E502-D502</f>
        <v>0</v>
      </c>
      <c r="I502" s="0" t="n">
        <f aca="false">F502-D502</f>
        <v>0</v>
      </c>
    </row>
    <row r="503" customFormat="false" ht="12" hidden="false" customHeight="false" outlineLevel="0" collapsed="false">
      <c r="H503" s="0" t="n">
        <f aca="false">E503-D503</f>
        <v>0</v>
      </c>
      <c r="I503" s="0" t="n">
        <f aca="false">F503-D503</f>
        <v>0</v>
      </c>
    </row>
    <row r="504" customFormat="false" ht="12" hidden="false" customHeight="false" outlineLevel="0" collapsed="false">
      <c r="H504" s="0" t="n">
        <f aca="false">E504-D504</f>
        <v>0</v>
      </c>
      <c r="I504" s="0" t="n">
        <f aca="false">F504-D504</f>
        <v>0</v>
      </c>
    </row>
    <row r="505" customFormat="false" ht="12" hidden="false" customHeight="false" outlineLevel="0" collapsed="false">
      <c r="H505" s="0" t="n">
        <f aca="false">E505-D505</f>
        <v>0</v>
      </c>
      <c r="I505" s="0" t="n">
        <f aca="false">F505-D505</f>
        <v>0</v>
      </c>
    </row>
    <row r="506" customFormat="false" ht="12" hidden="false" customHeight="false" outlineLevel="0" collapsed="false">
      <c r="H506" s="0" t="n">
        <f aca="false">E506-D506</f>
        <v>0</v>
      </c>
      <c r="I506" s="0" t="n">
        <f aca="false">F506-D506</f>
        <v>0</v>
      </c>
    </row>
    <row r="507" customFormat="false" ht="12" hidden="false" customHeight="false" outlineLevel="0" collapsed="false">
      <c r="H507" s="0" t="n">
        <f aca="false">E507-D507</f>
        <v>0</v>
      </c>
      <c r="I507" s="0" t="n">
        <f aca="false">F507-D507</f>
        <v>0</v>
      </c>
    </row>
    <row r="508" customFormat="false" ht="12" hidden="false" customHeight="false" outlineLevel="0" collapsed="false">
      <c r="H508" s="0" t="n">
        <f aca="false">E508-D508</f>
        <v>0</v>
      </c>
      <c r="I508" s="0" t="n">
        <f aca="false">F508-D508</f>
        <v>0</v>
      </c>
    </row>
    <row r="509" customFormat="false" ht="12" hidden="false" customHeight="false" outlineLevel="0" collapsed="false">
      <c r="H509" s="0" t="n">
        <f aca="false">E509-D509</f>
        <v>0</v>
      </c>
      <c r="I509" s="0" t="n">
        <f aca="false">F509-D509</f>
        <v>0</v>
      </c>
    </row>
    <row r="510" customFormat="false" ht="12" hidden="false" customHeight="false" outlineLevel="0" collapsed="false">
      <c r="H510" s="0" t="n">
        <f aca="false">E510-D510</f>
        <v>0</v>
      </c>
      <c r="I510" s="0" t="n">
        <f aca="false">F510-D510</f>
        <v>0</v>
      </c>
    </row>
    <row r="511" customFormat="false" ht="12" hidden="false" customHeight="false" outlineLevel="0" collapsed="false">
      <c r="H511" s="0" t="n">
        <f aca="false">E511-D511</f>
        <v>0</v>
      </c>
      <c r="I511" s="0" t="n">
        <f aca="false">F511-D511</f>
        <v>0</v>
      </c>
    </row>
    <row r="512" customFormat="false" ht="12" hidden="false" customHeight="false" outlineLevel="0" collapsed="false">
      <c r="H512" s="0" t="n">
        <f aca="false">E512-D512</f>
        <v>0</v>
      </c>
      <c r="I512" s="0" t="n">
        <f aca="false">F512-D512</f>
        <v>0</v>
      </c>
    </row>
    <row r="513" customFormat="false" ht="12" hidden="false" customHeight="false" outlineLevel="0" collapsed="false">
      <c r="H513" s="0" t="n">
        <f aca="false">E513-D513</f>
        <v>0</v>
      </c>
      <c r="I513" s="0" t="n">
        <f aca="false">F513-D513</f>
        <v>0</v>
      </c>
    </row>
    <row r="514" customFormat="false" ht="12" hidden="false" customHeight="false" outlineLevel="0" collapsed="false">
      <c r="H514" s="0" t="n">
        <f aca="false">E514-D514</f>
        <v>0</v>
      </c>
      <c r="I514" s="0" t="n">
        <f aca="false">F514-D514</f>
        <v>0</v>
      </c>
    </row>
    <row r="515" customFormat="false" ht="12" hidden="false" customHeight="false" outlineLevel="0" collapsed="false">
      <c r="H515" s="0" t="n">
        <f aca="false">E515-D515</f>
        <v>0</v>
      </c>
      <c r="I515" s="0" t="n">
        <f aca="false">F515-D515</f>
        <v>0</v>
      </c>
    </row>
    <row r="516" customFormat="false" ht="12" hidden="false" customHeight="false" outlineLevel="0" collapsed="false">
      <c r="H516" s="0" t="n">
        <f aca="false">E516-D516</f>
        <v>0</v>
      </c>
      <c r="I516" s="0" t="n">
        <f aca="false">F516-D516</f>
        <v>0</v>
      </c>
    </row>
    <row r="517" customFormat="false" ht="12" hidden="false" customHeight="false" outlineLevel="0" collapsed="false">
      <c r="H517" s="0" t="n">
        <f aca="false">E517-D517</f>
        <v>0</v>
      </c>
      <c r="I517" s="0" t="n">
        <f aca="false">F517-D517</f>
        <v>0</v>
      </c>
    </row>
    <row r="518" customFormat="false" ht="12" hidden="false" customHeight="false" outlineLevel="0" collapsed="false">
      <c r="H518" s="0" t="n">
        <f aca="false">E518-D518</f>
        <v>0</v>
      </c>
      <c r="I518" s="0" t="n">
        <f aca="false">F518-D518</f>
        <v>0</v>
      </c>
    </row>
    <row r="519" customFormat="false" ht="12" hidden="false" customHeight="false" outlineLevel="0" collapsed="false">
      <c r="H519" s="0" t="n">
        <f aca="false">E519-D519</f>
        <v>0</v>
      </c>
      <c r="I519" s="0" t="n">
        <f aca="false">F519-D519</f>
        <v>0</v>
      </c>
    </row>
    <row r="520" customFormat="false" ht="12" hidden="false" customHeight="false" outlineLevel="0" collapsed="false">
      <c r="H520" s="0" t="n">
        <f aca="false">E520-D520</f>
        <v>0</v>
      </c>
      <c r="I520" s="0" t="n">
        <f aca="false">F520-D520</f>
        <v>0</v>
      </c>
    </row>
    <row r="521" customFormat="false" ht="12" hidden="false" customHeight="false" outlineLevel="0" collapsed="false">
      <c r="H521" s="0" t="n">
        <f aca="false">E521-D521</f>
        <v>0</v>
      </c>
      <c r="I521" s="0" t="n">
        <f aca="false">F521-D521</f>
        <v>0</v>
      </c>
    </row>
    <row r="522" customFormat="false" ht="12" hidden="false" customHeight="false" outlineLevel="0" collapsed="false">
      <c r="H522" s="0" t="n">
        <f aca="false">E522-D522</f>
        <v>0</v>
      </c>
      <c r="I522" s="0" t="n">
        <f aca="false">F522-D522</f>
        <v>0</v>
      </c>
    </row>
    <row r="523" customFormat="false" ht="12" hidden="false" customHeight="false" outlineLevel="0" collapsed="false">
      <c r="H523" s="0" t="n">
        <f aca="false">E523-D523</f>
        <v>0</v>
      </c>
      <c r="I523" s="0" t="n">
        <f aca="false">F523-D523</f>
        <v>0</v>
      </c>
    </row>
    <row r="524" customFormat="false" ht="12" hidden="false" customHeight="false" outlineLevel="0" collapsed="false">
      <c r="H524" s="0" t="n">
        <f aca="false">E524-D524</f>
        <v>0</v>
      </c>
      <c r="I524" s="0" t="n">
        <f aca="false">F524-D524</f>
        <v>0</v>
      </c>
    </row>
    <row r="525" customFormat="false" ht="12" hidden="false" customHeight="false" outlineLevel="0" collapsed="false">
      <c r="H525" s="0" t="n">
        <f aca="false">E525-D525</f>
        <v>0</v>
      </c>
      <c r="I525" s="0" t="n">
        <f aca="false">F525-D525</f>
        <v>0</v>
      </c>
    </row>
    <row r="526" customFormat="false" ht="12" hidden="false" customHeight="false" outlineLevel="0" collapsed="false">
      <c r="H526" s="0" t="n">
        <f aca="false">E526-D526</f>
        <v>0</v>
      </c>
      <c r="I526" s="0" t="n">
        <f aca="false">F526-D526</f>
        <v>0</v>
      </c>
    </row>
    <row r="527" customFormat="false" ht="12" hidden="false" customHeight="false" outlineLevel="0" collapsed="false">
      <c r="H527" s="0" t="n">
        <f aca="false">E527-D527</f>
        <v>0</v>
      </c>
      <c r="I527" s="0" t="n">
        <f aca="false">F527-D527</f>
        <v>0</v>
      </c>
    </row>
    <row r="528" customFormat="false" ht="12" hidden="false" customHeight="false" outlineLevel="0" collapsed="false">
      <c r="H528" s="0" t="n">
        <f aca="false">E528-D528</f>
        <v>0</v>
      </c>
      <c r="I528" s="0" t="n">
        <f aca="false">F528-D528</f>
        <v>0</v>
      </c>
    </row>
    <row r="529" customFormat="false" ht="12" hidden="false" customHeight="false" outlineLevel="0" collapsed="false">
      <c r="H529" s="0" t="n">
        <f aca="false">E529-D529</f>
        <v>0</v>
      </c>
      <c r="I529" s="0" t="n">
        <f aca="false">F529-D529</f>
        <v>0</v>
      </c>
    </row>
    <row r="530" customFormat="false" ht="12" hidden="false" customHeight="false" outlineLevel="0" collapsed="false">
      <c r="H530" s="0" t="n">
        <f aca="false">E530-D530</f>
        <v>0</v>
      </c>
      <c r="I530" s="0" t="n">
        <f aca="false">F530-D530</f>
        <v>0</v>
      </c>
    </row>
    <row r="531" customFormat="false" ht="12" hidden="false" customHeight="false" outlineLevel="0" collapsed="false">
      <c r="H531" s="0" t="n">
        <f aca="false">E531-D531</f>
        <v>0</v>
      </c>
      <c r="I531" s="0" t="n">
        <f aca="false">F531-D531</f>
        <v>0</v>
      </c>
    </row>
    <row r="532" customFormat="false" ht="12" hidden="false" customHeight="false" outlineLevel="0" collapsed="false">
      <c r="H532" s="0" t="n">
        <f aca="false">E532-D532</f>
        <v>0</v>
      </c>
      <c r="I532" s="0" t="n">
        <f aca="false">F532-D532</f>
        <v>0</v>
      </c>
    </row>
    <row r="533" customFormat="false" ht="12" hidden="false" customHeight="false" outlineLevel="0" collapsed="false">
      <c r="H533" s="0" t="n">
        <f aca="false">E533-D533</f>
        <v>0</v>
      </c>
      <c r="I533" s="0" t="n">
        <f aca="false">F533-D533</f>
        <v>0</v>
      </c>
    </row>
    <row r="534" customFormat="false" ht="12" hidden="false" customHeight="false" outlineLevel="0" collapsed="false">
      <c r="H534" s="0" t="n">
        <f aca="false">E534-D534</f>
        <v>0</v>
      </c>
      <c r="I534" s="0" t="n">
        <f aca="false">F534-D534</f>
        <v>0</v>
      </c>
    </row>
    <row r="535" customFormat="false" ht="12" hidden="false" customHeight="false" outlineLevel="0" collapsed="false">
      <c r="H535" s="0" t="n">
        <f aca="false">E535-D535</f>
        <v>0</v>
      </c>
      <c r="I535" s="0" t="n">
        <f aca="false">F535-D535</f>
        <v>0</v>
      </c>
    </row>
    <row r="536" customFormat="false" ht="12" hidden="false" customHeight="false" outlineLevel="0" collapsed="false">
      <c r="H536" s="0" t="n">
        <f aca="false">E536-D536</f>
        <v>0</v>
      </c>
      <c r="I536" s="0" t="n">
        <f aca="false">F536-D536</f>
        <v>0</v>
      </c>
    </row>
    <row r="537" customFormat="false" ht="12" hidden="false" customHeight="false" outlineLevel="0" collapsed="false">
      <c r="H537" s="0" t="n">
        <f aca="false">E537-D537</f>
        <v>0</v>
      </c>
      <c r="I537" s="0" t="n">
        <f aca="false">F537-D537</f>
        <v>0</v>
      </c>
    </row>
    <row r="538" customFormat="false" ht="12" hidden="false" customHeight="false" outlineLevel="0" collapsed="false">
      <c r="H538" s="0" t="n">
        <f aca="false">E538-D538</f>
        <v>0</v>
      </c>
      <c r="I538" s="0" t="n">
        <f aca="false">F538-D538</f>
        <v>0</v>
      </c>
    </row>
    <row r="539" customFormat="false" ht="12" hidden="false" customHeight="false" outlineLevel="0" collapsed="false">
      <c r="H539" s="0" t="n">
        <f aca="false">E539-D539</f>
        <v>0</v>
      </c>
      <c r="I539" s="0" t="n">
        <f aca="false">F539-D539</f>
        <v>0</v>
      </c>
    </row>
    <row r="540" customFormat="false" ht="12" hidden="false" customHeight="false" outlineLevel="0" collapsed="false">
      <c r="H540" s="0" t="n">
        <f aca="false">E540-D540</f>
        <v>0</v>
      </c>
      <c r="I540" s="0" t="n">
        <f aca="false">F540-D540</f>
        <v>0</v>
      </c>
    </row>
    <row r="541" customFormat="false" ht="12" hidden="false" customHeight="false" outlineLevel="0" collapsed="false">
      <c r="H541" s="0" t="n">
        <f aca="false">E541-D541</f>
        <v>0</v>
      </c>
      <c r="I541" s="0" t="n">
        <f aca="false">F541-D541</f>
        <v>0</v>
      </c>
    </row>
    <row r="542" customFormat="false" ht="12" hidden="false" customHeight="false" outlineLevel="0" collapsed="false">
      <c r="H542" s="0" t="n">
        <f aca="false">E542-D542</f>
        <v>0</v>
      </c>
      <c r="I542" s="0" t="n">
        <f aca="false">F542-D542</f>
        <v>0</v>
      </c>
    </row>
    <row r="543" customFormat="false" ht="12" hidden="false" customHeight="false" outlineLevel="0" collapsed="false">
      <c r="H543" s="0" t="n">
        <f aca="false">E543-D543</f>
        <v>0</v>
      </c>
      <c r="I543" s="0" t="n">
        <f aca="false">F543-D543</f>
        <v>0</v>
      </c>
    </row>
    <row r="544" customFormat="false" ht="12" hidden="false" customHeight="false" outlineLevel="0" collapsed="false">
      <c r="H544" s="0" t="n">
        <f aca="false">E544-D544</f>
        <v>0</v>
      </c>
      <c r="I544" s="0" t="n">
        <f aca="false">F544-D544</f>
        <v>0</v>
      </c>
    </row>
    <row r="545" customFormat="false" ht="12" hidden="false" customHeight="false" outlineLevel="0" collapsed="false">
      <c r="H545" s="0" t="n">
        <f aca="false">E545-D545</f>
        <v>0</v>
      </c>
      <c r="I545" s="0" t="n">
        <f aca="false">F545-D545</f>
        <v>0</v>
      </c>
    </row>
    <row r="546" customFormat="false" ht="12" hidden="false" customHeight="false" outlineLevel="0" collapsed="false">
      <c r="H546" s="0" t="n">
        <f aca="false">E546-D546</f>
        <v>0</v>
      </c>
      <c r="I546" s="0" t="n">
        <f aca="false">F546-D546</f>
        <v>0</v>
      </c>
    </row>
    <row r="547" customFormat="false" ht="12" hidden="false" customHeight="false" outlineLevel="0" collapsed="false">
      <c r="H547" s="0" t="n">
        <f aca="false">E547-D547</f>
        <v>0</v>
      </c>
      <c r="I547" s="0" t="n">
        <f aca="false">F547-D547</f>
        <v>0</v>
      </c>
    </row>
    <row r="548" customFormat="false" ht="12" hidden="false" customHeight="false" outlineLevel="0" collapsed="false">
      <c r="H548" s="0" t="n">
        <f aca="false">E548-D548</f>
        <v>0</v>
      </c>
      <c r="I548" s="0" t="n">
        <f aca="false">F548-D548</f>
        <v>0</v>
      </c>
    </row>
    <row r="549" customFormat="false" ht="12" hidden="false" customHeight="false" outlineLevel="0" collapsed="false">
      <c r="H549" s="0" t="n">
        <f aca="false">E549-D549</f>
        <v>0</v>
      </c>
      <c r="I549" s="0" t="n">
        <f aca="false">F549-D549</f>
        <v>0</v>
      </c>
    </row>
    <row r="550" customFormat="false" ht="12" hidden="false" customHeight="false" outlineLevel="0" collapsed="false">
      <c r="H550" s="0" t="n">
        <f aca="false">E550-D550</f>
        <v>0</v>
      </c>
      <c r="I550" s="0" t="n">
        <f aca="false">F550-D550</f>
        <v>0</v>
      </c>
    </row>
    <row r="551" customFormat="false" ht="12" hidden="false" customHeight="false" outlineLevel="0" collapsed="false">
      <c r="H551" s="0" t="n">
        <f aca="false">E551-D551</f>
        <v>0</v>
      </c>
      <c r="I551" s="0" t="n">
        <f aca="false">F551-D551</f>
        <v>0</v>
      </c>
    </row>
    <row r="552" customFormat="false" ht="12" hidden="false" customHeight="false" outlineLevel="0" collapsed="false">
      <c r="H552" s="0" t="n">
        <f aca="false">E552-D552</f>
        <v>0</v>
      </c>
      <c r="I552" s="0" t="n">
        <f aca="false">F552-D552</f>
        <v>0</v>
      </c>
    </row>
    <row r="553" customFormat="false" ht="12" hidden="false" customHeight="false" outlineLevel="0" collapsed="false">
      <c r="H553" s="0" t="n">
        <f aca="false">E553-D553</f>
        <v>0</v>
      </c>
      <c r="I553" s="0" t="n">
        <f aca="false">F553-D553</f>
        <v>0</v>
      </c>
    </row>
    <row r="554" customFormat="false" ht="12" hidden="false" customHeight="false" outlineLevel="0" collapsed="false">
      <c r="H554" s="0" t="n">
        <f aca="false">E554-D554</f>
        <v>0</v>
      </c>
      <c r="I554" s="0" t="n">
        <f aca="false">F554-D554</f>
        <v>0</v>
      </c>
    </row>
    <row r="555" customFormat="false" ht="12" hidden="false" customHeight="false" outlineLevel="0" collapsed="false">
      <c r="H555" s="0" t="n">
        <f aca="false">E555-D555</f>
        <v>0</v>
      </c>
      <c r="I555" s="0" t="n">
        <f aca="false">F555-D555</f>
        <v>0</v>
      </c>
    </row>
    <row r="556" customFormat="false" ht="12" hidden="false" customHeight="false" outlineLevel="0" collapsed="false">
      <c r="H556" s="0" t="n">
        <f aca="false">E556-D556</f>
        <v>0</v>
      </c>
      <c r="I556" s="0" t="n">
        <f aca="false">F556-D556</f>
        <v>0</v>
      </c>
    </row>
    <row r="557" customFormat="false" ht="12" hidden="false" customHeight="false" outlineLevel="0" collapsed="false">
      <c r="H557" s="0" t="n">
        <f aca="false">E557-D557</f>
        <v>0</v>
      </c>
      <c r="I557" s="0" t="n">
        <f aca="false">F557-D557</f>
        <v>0</v>
      </c>
    </row>
    <row r="558" customFormat="false" ht="12" hidden="false" customHeight="false" outlineLevel="0" collapsed="false">
      <c r="H558" s="0" t="n">
        <f aca="false">E558-D558</f>
        <v>0</v>
      </c>
      <c r="I558" s="0" t="n">
        <f aca="false">F558-D558</f>
        <v>0</v>
      </c>
    </row>
    <row r="559" customFormat="false" ht="12" hidden="false" customHeight="false" outlineLevel="0" collapsed="false">
      <c r="H559" s="0" t="n">
        <f aca="false">E559-D559</f>
        <v>0</v>
      </c>
      <c r="I559" s="0" t="n">
        <f aca="false">F559-D559</f>
        <v>0</v>
      </c>
    </row>
    <row r="560" customFormat="false" ht="12" hidden="false" customHeight="false" outlineLevel="0" collapsed="false">
      <c r="H560" s="0" t="n">
        <f aca="false">E560-D560</f>
        <v>0</v>
      </c>
      <c r="I560" s="0" t="n">
        <f aca="false">F560-D560</f>
        <v>0</v>
      </c>
    </row>
    <row r="561" customFormat="false" ht="12" hidden="false" customHeight="false" outlineLevel="0" collapsed="false">
      <c r="H561" s="0" t="n">
        <f aca="false">E561-D561</f>
        <v>0</v>
      </c>
      <c r="I561" s="0" t="n">
        <f aca="false">F561-D561</f>
        <v>0</v>
      </c>
    </row>
    <row r="562" customFormat="false" ht="12" hidden="false" customHeight="false" outlineLevel="0" collapsed="false">
      <c r="H562" s="0" t="n">
        <f aca="false">E562-D562</f>
        <v>0</v>
      </c>
      <c r="I562" s="0" t="n">
        <f aca="false">F562-D562</f>
        <v>0</v>
      </c>
    </row>
    <row r="563" customFormat="false" ht="12" hidden="false" customHeight="false" outlineLevel="0" collapsed="false">
      <c r="H563" s="0" t="n">
        <f aca="false">E563-D563</f>
        <v>0</v>
      </c>
      <c r="I563" s="0" t="n">
        <f aca="false">F563-D563</f>
        <v>0</v>
      </c>
    </row>
    <row r="564" customFormat="false" ht="12" hidden="false" customHeight="false" outlineLevel="0" collapsed="false">
      <c r="H564" s="0" t="n">
        <f aca="false">E564-D564</f>
        <v>0</v>
      </c>
      <c r="I564" s="0" t="n">
        <f aca="false">F564-D564</f>
        <v>0</v>
      </c>
    </row>
    <row r="565" customFormat="false" ht="12" hidden="false" customHeight="false" outlineLevel="0" collapsed="false">
      <c r="H565" s="0" t="n">
        <f aca="false">E565-D565</f>
        <v>0</v>
      </c>
      <c r="I565" s="0" t="n">
        <f aca="false">F565-D565</f>
        <v>0</v>
      </c>
    </row>
    <row r="566" customFormat="false" ht="12" hidden="false" customHeight="false" outlineLevel="0" collapsed="false">
      <c r="H566" s="0" t="n">
        <f aca="false">E566-D566</f>
        <v>0</v>
      </c>
      <c r="I566" s="0" t="n">
        <f aca="false">F566-D566</f>
        <v>0</v>
      </c>
    </row>
    <row r="567" customFormat="false" ht="12" hidden="false" customHeight="false" outlineLevel="0" collapsed="false">
      <c r="H567" s="0" t="n">
        <f aca="false">E567-D567</f>
        <v>0</v>
      </c>
      <c r="I567" s="0" t="n">
        <f aca="false">F567-D567</f>
        <v>0</v>
      </c>
    </row>
    <row r="568" customFormat="false" ht="12" hidden="false" customHeight="false" outlineLevel="0" collapsed="false">
      <c r="H568" s="0" t="n">
        <f aca="false">E568-D568</f>
        <v>0</v>
      </c>
      <c r="I568" s="0" t="n">
        <f aca="false">F568-D568</f>
        <v>0</v>
      </c>
    </row>
    <row r="569" customFormat="false" ht="12" hidden="false" customHeight="false" outlineLevel="0" collapsed="false">
      <c r="H569" s="0" t="n">
        <f aca="false">E569-D569</f>
        <v>0</v>
      </c>
      <c r="I569" s="0" t="n">
        <f aca="false">F569-D569</f>
        <v>0</v>
      </c>
    </row>
    <row r="570" customFormat="false" ht="12" hidden="false" customHeight="false" outlineLevel="0" collapsed="false">
      <c r="H570" s="0" t="n">
        <f aca="false">E570-D570</f>
        <v>0</v>
      </c>
      <c r="I570" s="0" t="n">
        <f aca="false">F570-D570</f>
        <v>0</v>
      </c>
    </row>
    <row r="571" customFormat="false" ht="12" hidden="false" customHeight="false" outlineLevel="0" collapsed="false">
      <c r="H571" s="0" t="n">
        <f aca="false">E571-D571</f>
        <v>0</v>
      </c>
      <c r="I571" s="0" t="n">
        <f aca="false">F571-D571</f>
        <v>0</v>
      </c>
    </row>
    <row r="572" customFormat="false" ht="12" hidden="false" customHeight="false" outlineLevel="0" collapsed="false">
      <c r="H572" s="0" t="n">
        <f aca="false">E572-D572</f>
        <v>0</v>
      </c>
      <c r="I572" s="0" t="n">
        <f aca="false">F572-D572</f>
        <v>0</v>
      </c>
    </row>
    <row r="573" customFormat="false" ht="12" hidden="false" customHeight="false" outlineLevel="0" collapsed="false">
      <c r="H573" s="0" t="n">
        <f aca="false">E573-D573</f>
        <v>0</v>
      </c>
      <c r="I573" s="0" t="n">
        <f aca="false">F573-D573</f>
        <v>0</v>
      </c>
    </row>
    <row r="574" customFormat="false" ht="12" hidden="false" customHeight="false" outlineLevel="0" collapsed="false">
      <c r="H574" s="0" t="n">
        <f aca="false">E574-D574</f>
        <v>0</v>
      </c>
      <c r="I574" s="0" t="n">
        <f aca="false">F574-D574</f>
        <v>0</v>
      </c>
    </row>
    <row r="575" customFormat="false" ht="12" hidden="false" customHeight="false" outlineLevel="0" collapsed="false">
      <c r="H575" s="0" t="n">
        <f aca="false">E575-D575</f>
        <v>0</v>
      </c>
      <c r="I575" s="0" t="n">
        <f aca="false">F575-D575</f>
        <v>0</v>
      </c>
    </row>
    <row r="576" customFormat="false" ht="12" hidden="false" customHeight="false" outlineLevel="0" collapsed="false">
      <c r="H576" s="0" t="n">
        <f aca="false">E576-D576</f>
        <v>0</v>
      </c>
      <c r="I576" s="0" t="n">
        <f aca="false">F576-D576</f>
        <v>0</v>
      </c>
    </row>
    <row r="577" customFormat="false" ht="12" hidden="false" customHeight="false" outlineLevel="0" collapsed="false">
      <c r="H577" s="0" t="n">
        <f aca="false">E577-D577</f>
        <v>0</v>
      </c>
      <c r="I577" s="0" t="n">
        <f aca="false">F577-D577</f>
        <v>0</v>
      </c>
    </row>
    <row r="578" customFormat="false" ht="12" hidden="false" customHeight="false" outlineLevel="0" collapsed="false">
      <c r="H578" s="0" t="n">
        <f aca="false">E578-D578</f>
        <v>0</v>
      </c>
      <c r="I578" s="0" t="n">
        <f aca="false">F578-D578</f>
        <v>0</v>
      </c>
    </row>
    <row r="579" customFormat="false" ht="12" hidden="false" customHeight="false" outlineLevel="0" collapsed="false">
      <c r="H579" s="0" t="n">
        <f aca="false">E579-D579</f>
        <v>0</v>
      </c>
      <c r="I579" s="0" t="n">
        <f aca="false">F579-D579</f>
        <v>0</v>
      </c>
    </row>
    <row r="580" customFormat="false" ht="12" hidden="false" customHeight="false" outlineLevel="0" collapsed="false">
      <c r="H580" s="0" t="n">
        <f aca="false">E580-D580</f>
        <v>0</v>
      </c>
      <c r="I580" s="0" t="n">
        <f aca="false">F580-D580</f>
        <v>0</v>
      </c>
    </row>
    <row r="581" customFormat="false" ht="12" hidden="false" customHeight="false" outlineLevel="0" collapsed="false">
      <c r="H581" s="0" t="n">
        <f aca="false">E581-D581</f>
        <v>0</v>
      </c>
      <c r="I581" s="0" t="n">
        <f aca="false">F581-D581</f>
        <v>0</v>
      </c>
    </row>
    <row r="582" customFormat="false" ht="12" hidden="false" customHeight="false" outlineLevel="0" collapsed="false">
      <c r="H582" s="0" t="n">
        <f aca="false">E582-D582</f>
        <v>0</v>
      </c>
      <c r="I582" s="0" t="n">
        <f aca="false">F582-D582</f>
        <v>0</v>
      </c>
    </row>
    <row r="583" customFormat="false" ht="12" hidden="false" customHeight="false" outlineLevel="0" collapsed="false">
      <c r="H583" s="0" t="n">
        <f aca="false">E583-D583</f>
        <v>0</v>
      </c>
      <c r="I583" s="0" t="n">
        <f aca="false">F583-D583</f>
        <v>0</v>
      </c>
    </row>
    <row r="584" customFormat="false" ht="12" hidden="false" customHeight="false" outlineLevel="0" collapsed="false">
      <c r="H584" s="0" t="n">
        <f aca="false">E584-D584</f>
        <v>0</v>
      </c>
      <c r="I584" s="0" t="n">
        <f aca="false">F584-D584</f>
        <v>0</v>
      </c>
    </row>
    <row r="585" customFormat="false" ht="12" hidden="false" customHeight="false" outlineLevel="0" collapsed="false">
      <c r="H585" s="0" t="n">
        <f aca="false">E585-D585</f>
        <v>0</v>
      </c>
      <c r="I585" s="0" t="n">
        <f aca="false">F585-D585</f>
        <v>0</v>
      </c>
    </row>
    <row r="586" customFormat="false" ht="12" hidden="false" customHeight="false" outlineLevel="0" collapsed="false">
      <c r="H586" s="0" t="n">
        <f aca="false">E586-D586</f>
        <v>0</v>
      </c>
      <c r="I586" s="0" t="n">
        <f aca="false">F586-D586</f>
        <v>0</v>
      </c>
    </row>
    <row r="587" customFormat="false" ht="12" hidden="false" customHeight="false" outlineLevel="0" collapsed="false">
      <c r="H587" s="0" t="n">
        <f aca="false">E587-D587</f>
        <v>0</v>
      </c>
      <c r="I587" s="0" t="n">
        <f aca="false">F587-D587</f>
        <v>0</v>
      </c>
    </row>
    <row r="588" customFormat="false" ht="12" hidden="false" customHeight="false" outlineLevel="0" collapsed="false">
      <c r="H588" s="0" t="n">
        <f aca="false">E588-D588</f>
        <v>0</v>
      </c>
      <c r="I588" s="0" t="n">
        <f aca="false">F588-D588</f>
        <v>0</v>
      </c>
    </row>
    <row r="589" customFormat="false" ht="12" hidden="false" customHeight="false" outlineLevel="0" collapsed="false">
      <c r="H589" s="0" t="n">
        <f aca="false">E589-D589</f>
        <v>0</v>
      </c>
      <c r="I589" s="0" t="n">
        <f aca="false">F589-D589</f>
        <v>0</v>
      </c>
    </row>
    <row r="590" customFormat="false" ht="12" hidden="false" customHeight="false" outlineLevel="0" collapsed="false">
      <c r="H590" s="0" t="n">
        <f aca="false">E590-D590</f>
        <v>0</v>
      </c>
      <c r="I590" s="0" t="n">
        <f aca="false">F590-D590</f>
        <v>0</v>
      </c>
    </row>
    <row r="591" customFormat="false" ht="12" hidden="false" customHeight="false" outlineLevel="0" collapsed="false">
      <c r="H591" s="0" t="n">
        <f aca="false">E591-D591</f>
        <v>0</v>
      </c>
      <c r="I591" s="0" t="n">
        <f aca="false">F591-D591</f>
        <v>0</v>
      </c>
    </row>
    <row r="592" customFormat="false" ht="12" hidden="false" customHeight="false" outlineLevel="0" collapsed="false">
      <c r="H592" s="0" t="n">
        <f aca="false">E592-D592</f>
        <v>0</v>
      </c>
      <c r="I592" s="0" t="n">
        <f aca="false">F592-D592</f>
        <v>0</v>
      </c>
    </row>
    <row r="593" customFormat="false" ht="12" hidden="false" customHeight="false" outlineLevel="0" collapsed="false">
      <c r="H593" s="0" t="n">
        <f aca="false">E593-D593</f>
        <v>0</v>
      </c>
      <c r="I593" s="0" t="n">
        <f aca="false">F593-D593</f>
        <v>0</v>
      </c>
    </row>
    <row r="594" customFormat="false" ht="12" hidden="false" customHeight="false" outlineLevel="0" collapsed="false">
      <c r="H594" s="0" t="n">
        <f aca="false">E594-D594</f>
        <v>0</v>
      </c>
      <c r="I594" s="0" t="n">
        <f aca="false">F594-D594</f>
        <v>0</v>
      </c>
    </row>
    <row r="595" customFormat="false" ht="12" hidden="false" customHeight="false" outlineLevel="0" collapsed="false">
      <c r="H595" s="0" t="n">
        <f aca="false">E595-D595</f>
        <v>0</v>
      </c>
      <c r="I595" s="0" t="n">
        <f aca="false">F595-D595</f>
        <v>0</v>
      </c>
    </row>
    <row r="596" customFormat="false" ht="12" hidden="false" customHeight="false" outlineLevel="0" collapsed="false">
      <c r="H596" s="0" t="n">
        <f aca="false">E596-D596</f>
        <v>0</v>
      </c>
      <c r="I596" s="0" t="n">
        <f aca="false">F596-D596</f>
        <v>0</v>
      </c>
    </row>
    <row r="597" customFormat="false" ht="12" hidden="false" customHeight="false" outlineLevel="0" collapsed="false">
      <c r="H597" s="0" t="n">
        <f aca="false">E597-D597</f>
        <v>0</v>
      </c>
      <c r="I597" s="0" t="n">
        <f aca="false">F597-D597</f>
        <v>0</v>
      </c>
    </row>
    <row r="598" customFormat="false" ht="12" hidden="false" customHeight="false" outlineLevel="0" collapsed="false">
      <c r="H598" s="0" t="n">
        <f aca="false">E598-D598</f>
        <v>0</v>
      </c>
      <c r="I598" s="0" t="n">
        <f aca="false">F598-D598</f>
        <v>0</v>
      </c>
    </row>
    <row r="599" customFormat="false" ht="12" hidden="false" customHeight="false" outlineLevel="0" collapsed="false">
      <c r="H599" s="0" t="n">
        <f aca="false">E599-D599</f>
        <v>0</v>
      </c>
      <c r="I599" s="0" t="n">
        <f aca="false">F599-D599</f>
        <v>0</v>
      </c>
    </row>
    <row r="600" customFormat="false" ht="12" hidden="false" customHeight="false" outlineLevel="0" collapsed="false">
      <c r="H600" s="0" t="n">
        <f aca="false">E600-D600</f>
        <v>0</v>
      </c>
      <c r="I600" s="0" t="n">
        <f aca="false">F600-D600</f>
        <v>0</v>
      </c>
    </row>
    <row r="601" customFormat="false" ht="12" hidden="false" customHeight="false" outlineLevel="0" collapsed="false">
      <c r="H601" s="0" t="n">
        <f aca="false">E601-D601</f>
        <v>0</v>
      </c>
      <c r="I601" s="0" t="n">
        <f aca="false">F601-D601</f>
        <v>0</v>
      </c>
    </row>
    <row r="602" customFormat="false" ht="12" hidden="false" customHeight="false" outlineLevel="0" collapsed="false">
      <c r="H602" s="0" t="n">
        <f aca="false">E602-D602</f>
        <v>0</v>
      </c>
      <c r="I602" s="0" t="n">
        <f aca="false">F602-D602</f>
        <v>0</v>
      </c>
    </row>
    <row r="603" customFormat="false" ht="12" hidden="false" customHeight="false" outlineLevel="0" collapsed="false">
      <c r="H603" s="0" t="n">
        <f aca="false">E603-D603</f>
        <v>0</v>
      </c>
      <c r="I603" s="0" t="n">
        <f aca="false">F603-D603</f>
        <v>0</v>
      </c>
    </row>
    <row r="604" customFormat="false" ht="12" hidden="false" customHeight="false" outlineLevel="0" collapsed="false">
      <c r="H604" s="0" t="n">
        <f aca="false">E604-D604</f>
        <v>0</v>
      </c>
      <c r="I604" s="0" t="n">
        <f aca="false">F604-D604</f>
        <v>0</v>
      </c>
    </row>
    <row r="605" customFormat="false" ht="12" hidden="false" customHeight="false" outlineLevel="0" collapsed="false">
      <c r="H605" s="0" t="n">
        <f aca="false">E605-D605</f>
        <v>0</v>
      </c>
      <c r="I605" s="0" t="n">
        <f aca="false">F605-D605</f>
        <v>0</v>
      </c>
    </row>
    <row r="606" customFormat="false" ht="12" hidden="false" customHeight="false" outlineLevel="0" collapsed="false">
      <c r="H606" s="0" t="n">
        <f aca="false">E606-D606</f>
        <v>0</v>
      </c>
      <c r="I606" s="0" t="n">
        <f aca="false">F606-D606</f>
        <v>0</v>
      </c>
    </row>
    <row r="607" customFormat="false" ht="12" hidden="false" customHeight="false" outlineLevel="0" collapsed="false">
      <c r="H607" s="0" t="n">
        <f aca="false">E607-D607</f>
        <v>0</v>
      </c>
      <c r="I607" s="0" t="n">
        <f aca="false">F607-D607</f>
        <v>0</v>
      </c>
    </row>
    <row r="608" customFormat="false" ht="12" hidden="false" customHeight="false" outlineLevel="0" collapsed="false">
      <c r="H608" s="0" t="n">
        <f aca="false">E608-D608</f>
        <v>0</v>
      </c>
      <c r="I608" s="0" t="n">
        <f aca="false">F608-D608</f>
        <v>0</v>
      </c>
    </row>
    <row r="609" customFormat="false" ht="12" hidden="false" customHeight="false" outlineLevel="0" collapsed="false">
      <c r="H609" s="0" t="n">
        <f aca="false">E609-D609</f>
        <v>0</v>
      </c>
      <c r="I609" s="0" t="n">
        <f aca="false">F609-D609</f>
        <v>0</v>
      </c>
    </row>
    <row r="610" customFormat="false" ht="12" hidden="false" customHeight="false" outlineLevel="0" collapsed="false">
      <c r="H610" s="0" t="n">
        <f aca="false">E610-D610</f>
        <v>0</v>
      </c>
      <c r="I610" s="0" t="n">
        <f aca="false">F610-D610</f>
        <v>0</v>
      </c>
    </row>
    <row r="611" customFormat="false" ht="12" hidden="false" customHeight="false" outlineLevel="0" collapsed="false">
      <c r="H611" s="0" t="n">
        <f aca="false">E611-D611</f>
        <v>0</v>
      </c>
      <c r="I611" s="0" t="n">
        <f aca="false">F611-D611</f>
        <v>0</v>
      </c>
    </row>
    <row r="612" customFormat="false" ht="12" hidden="false" customHeight="false" outlineLevel="0" collapsed="false">
      <c r="H612" s="0" t="n">
        <f aca="false">E612-D612</f>
        <v>0</v>
      </c>
      <c r="I612" s="0" t="n">
        <f aca="false">F612-D612</f>
        <v>0</v>
      </c>
    </row>
    <row r="613" customFormat="false" ht="12" hidden="false" customHeight="false" outlineLevel="0" collapsed="false">
      <c r="H613" s="0" t="n">
        <f aca="false">E613-D613</f>
        <v>0</v>
      </c>
      <c r="I613" s="0" t="n">
        <f aca="false">F613-D613</f>
        <v>0</v>
      </c>
    </row>
    <row r="614" customFormat="false" ht="12" hidden="false" customHeight="false" outlineLevel="0" collapsed="false">
      <c r="H614" s="0" t="n">
        <f aca="false">E614-D614</f>
        <v>0</v>
      </c>
      <c r="I614" s="0" t="n">
        <f aca="false">F614-D614</f>
        <v>0</v>
      </c>
    </row>
    <row r="615" customFormat="false" ht="12" hidden="false" customHeight="false" outlineLevel="0" collapsed="false">
      <c r="H615" s="0" t="n">
        <f aca="false">E615-D615</f>
        <v>0</v>
      </c>
      <c r="I615" s="0" t="n">
        <f aca="false">F615-D615</f>
        <v>0</v>
      </c>
    </row>
    <row r="616" customFormat="false" ht="12" hidden="false" customHeight="false" outlineLevel="0" collapsed="false">
      <c r="H616" s="0" t="n">
        <f aca="false">E616-D616</f>
        <v>0</v>
      </c>
      <c r="I616" s="0" t="n">
        <f aca="false">F616-D616</f>
        <v>0</v>
      </c>
    </row>
    <row r="617" customFormat="false" ht="12" hidden="false" customHeight="false" outlineLevel="0" collapsed="false">
      <c r="H617" s="0" t="n">
        <f aca="false">E617-D617</f>
        <v>0</v>
      </c>
      <c r="I617" s="0" t="n">
        <f aca="false">F617-D617</f>
        <v>0</v>
      </c>
    </row>
    <row r="618" customFormat="false" ht="12" hidden="false" customHeight="false" outlineLevel="0" collapsed="false">
      <c r="H618" s="0" t="n">
        <f aca="false">E618-D618</f>
        <v>0</v>
      </c>
      <c r="I618" s="0" t="n">
        <f aca="false">F618-D618</f>
        <v>0</v>
      </c>
    </row>
    <row r="619" customFormat="false" ht="12" hidden="false" customHeight="false" outlineLevel="0" collapsed="false">
      <c r="H619" s="0" t="n">
        <f aca="false">E619-D619</f>
        <v>0</v>
      </c>
      <c r="I619" s="0" t="n">
        <f aca="false">F619-D619</f>
        <v>0</v>
      </c>
    </row>
    <row r="620" customFormat="false" ht="12" hidden="false" customHeight="false" outlineLevel="0" collapsed="false">
      <c r="H620" s="0" t="n">
        <f aca="false">E620-D620</f>
        <v>0</v>
      </c>
      <c r="I620" s="0" t="n">
        <f aca="false">F620-D620</f>
        <v>0</v>
      </c>
    </row>
    <row r="621" customFormat="false" ht="12" hidden="false" customHeight="false" outlineLevel="0" collapsed="false">
      <c r="H621" s="0" t="n">
        <f aca="false">E621-D621</f>
        <v>0</v>
      </c>
      <c r="I621" s="0" t="n">
        <f aca="false">F621-D621</f>
        <v>0</v>
      </c>
    </row>
    <row r="622" customFormat="false" ht="12" hidden="false" customHeight="false" outlineLevel="0" collapsed="false">
      <c r="H622" s="0" t="n">
        <f aca="false">E622-D622</f>
        <v>0</v>
      </c>
      <c r="I622" s="0" t="n">
        <f aca="false">F622-D622</f>
        <v>0</v>
      </c>
    </row>
    <row r="623" customFormat="false" ht="12" hidden="false" customHeight="false" outlineLevel="0" collapsed="false">
      <c r="H623" s="0" t="n">
        <f aca="false">E623-D623</f>
        <v>0</v>
      </c>
      <c r="I623" s="0" t="n">
        <f aca="false">F623-D623</f>
        <v>0</v>
      </c>
    </row>
    <row r="624" customFormat="false" ht="12" hidden="false" customHeight="false" outlineLevel="0" collapsed="false">
      <c r="H624" s="0" t="n">
        <f aca="false">E624-D624</f>
        <v>0</v>
      </c>
      <c r="I624" s="0" t="n">
        <f aca="false">F624-D624</f>
        <v>0</v>
      </c>
    </row>
    <row r="625" customFormat="false" ht="12" hidden="false" customHeight="false" outlineLevel="0" collapsed="false">
      <c r="H625" s="0" t="n">
        <f aca="false">E625-D625</f>
        <v>0</v>
      </c>
      <c r="I625" s="0" t="n">
        <f aca="false">F625-D625</f>
        <v>0</v>
      </c>
    </row>
    <row r="626" customFormat="false" ht="12" hidden="false" customHeight="false" outlineLevel="0" collapsed="false">
      <c r="H626" s="0" t="n">
        <f aca="false">E626-D626</f>
        <v>0</v>
      </c>
      <c r="I626" s="0" t="n">
        <f aca="false">F626-D626</f>
        <v>0</v>
      </c>
    </row>
    <row r="627" customFormat="false" ht="12" hidden="false" customHeight="false" outlineLevel="0" collapsed="false">
      <c r="H627" s="0" t="n">
        <f aca="false">E627-D627</f>
        <v>0</v>
      </c>
      <c r="I627" s="0" t="n">
        <f aca="false">F627-D627</f>
        <v>0</v>
      </c>
    </row>
    <row r="628" customFormat="false" ht="12" hidden="false" customHeight="false" outlineLevel="0" collapsed="false">
      <c r="H628" s="0" t="n">
        <f aca="false">E628-D628</f>
        <v>0</v>
      </c>
      <c r="I628" s="0" t="n">
        <f aca="false">F628-D628</f>
        <v>0</v>
      </c>
    </row>
    <row r="629" customFormat="false" ht="12" hidden="false" customHeight="false" outlineLevel="0" collapsed="false">
      <c r="H629" s="0" t="n">
        <f aca="false">E629-D629</f>
        <v>0</v>
      </c>
      <c r="I629" s="0" t="n">
        <f aca="false">F629-D629</f>
        <v>0</v>
      </c>
    </row>
    <row r="630" customFormat="false" ht="12" hidden="false" customHeight="false" outlineLevel="0" collapsed="false">
      <c r="H630" s="0" t="n">
        <f aca="false">E630-D630</f>
        <v>0</v>
      </c>
      <c r="I630" s="0" t="n">
        <f aca="false">F630-D630</f>
        <v>0</v>
      </c>
    </row>
    <row r="631" customFormat="false" ht="12" hidden="false" customHeight="false" outlineLevel="0" collapsed="false">
      <c r="H631" s="0" t="n">
        <f aca="false">E631-D631</f>
        <v>0</v>
      </c>
      <c r="I631" s="0" t="n">
        <f aca="false">F631-D631</f>
        <v>0</v>
      </c>
    </row>
    <row r="632" customFormat="false" ht="12" hidden="false" customHeight="false" outlineLevel="0" collapsed="false">
      <c r="H632" s="0" t="n">
        <f aca="false">E632-D632</f>
        <v>0</v>
      </c>
      <c r="I632" s="0" t="n">
        <f aca="false">F632-D632</f>
        <v>0</v>
      </c>
    </row>
    <row r="633" customFormat="false" ht="12" hidden="false" customHeight="false" outlineLevel="0" collapsed="false">
      <c r="H633" s="0" t="n">
        <f aca="false">E633-D633</f>
        <v>0</v>
      </c>
      <c r="I633" s="0" t="n">
        <f aca="false">F633-D633</f>
        <v>0</v>
      </c>
    </row>
    <row r="634" customFormat="false" ht="12" hidden="false" customHeight="false" outlineLevel="0" collapsed="false">
      <c r="H634" s="0" t="n">
        <f aca="false">E634-D634</f>
        <v>0</v>
      </c>
      <c r="I634" s="0" t="n">
        <f aca="false">F634-D634</f>
        <v>0</v>
      </c>
    </row>
    <row r="635" customFormat="false" ht="12" hidden="false" customHeight="false" outlineLevel="0" collapsed="false">
      <c r="H635" s="0" t="n">
        <f aca="false">E635-D635</f>
        <v>0</v>
      </c>
      <c r="I635" s="0" t="n">
        <f aca="false">F635-D635</f>
        <v>0</v>
      </c>
    </row>
    <row r="636" customFormat="false" ht="12" hidden="false" customHeight="false" outlineLevel="0" collapsed="false">
      <c r="H636" s="0" t="n">
        <f aca="false">E636-D636</f>
        <v>0</v>
      </c>
      <c r="I636" s="0" t="n">
        <f aca="false">F636-D636</f>
        <v>0</v>
      </c>
    </row>
    <row r="637" customFormat="false" ht="12" hidden="false" customHeight="false" outlineLevel="0" collapsed="false">
      <c r="H637" s="0" t="n">
        <f aca="false">E637-D637</f>
        <v>0</v>
      </c>
      <c r="I637" s="0" t="n">
        <f aca="false">F637-D637</f>
        <v>0</v>
      </c>
    </row>
    <row r="638" customFormat="false" ht="12" hidden="false" customHeight="false" outlineLevel="0" collapsed="false">
      <c r="H638" s="0" t="n">
        <f aca="false">E638-D638</f>
        <v>0</v>
      </c>
      <c r="I638" s="0" t="n">
        <f aca="false">F638-D638</f>
        <v>0</v>
      </c>
    </row>
    <row r="639" customFormat="false" ht="12" hidden="false" customHeight="false" outlineLevel="0" collapsed="false">
      <c r="H639" s="0" t="n">
        <f aca="false">E639-D639</f>
        <v>0</v>
      </c>
      <c r="I639" s="0" t="n">
        <f aca="false">F639-D639</f>
        <v>0</v>
      </c>
    </row>
    <row r="640" customFormat="false" ht="12" hidden="false" customHeight="false" outlineLevel="0" collapsed="false">
      <c r="H640" s="0" t="n">
        <f aca="false">E640-D640</f>
        <v>0</v>
      </c>
      <c r="I640" s="0" t="n">
        <f aca="false">F640-D640</f>
        <v>0</v>
      </c>
    </row>
    <row r="641" customFormat="false" ht="12" hidden="false" customHeight="false" outlineLevel="0" collapsed="false">
      <c r="H641" s="0" t="n">
        <f aca="false">E641-D641</f>
        <v>0</v>
      </c>
      <c r="I641" s="0" t="n">
        <f aca="false">F641-D641</f>
        <v>0</v>
      </c>
    </row>
    <row r="642" customFormat="false" ht="12" hidden="false" customHeight="false" outlineLevel="0" collapsed="false">
      <c r="H642" s="0" t="n">
        <f aca="false">E642-D642</f>
        <v>0</v>
      </c>
      <c r="I642" s="0" t="n">
        <f aca="false">F642-D642</f>
        <v>0</v>
      </c>
    </row>
    <row r="643" customFormat="false" ht="12" hidden="false" customHeight="false" outlineLevel="0" collapsed="false">
      <c r="H643" s="0" t="n">
        <f aca="false">E643-D643</f>
        <v>0</v>
      </c>
      <c r="I643" s="0" t="n">
        <f aca="false">F643-D643</f>
        <v>0</v>
      </c>
    </row>
    <row r="644" customFormat="false" ht="12" hidden="false" customHeight="false" outlineLevel="0" collapsed="false">
      <c r="H644" s="0" t="n">
        <f aca="false">E644-D644</f>
        <v>0</v>
      </c>
      <c r="I644" s="0" t="n">
        <f aca="false">F644-D644</f>
        <v>0</v>
      </c>
    </row>
    <row r="645" customFormat="false" ht="12" hidden="false" customHeight="false" outlineLevel="0" collapsed="false">
      <c r="H645" s="0" t="n">
        <f aca="false">E645-D645</f>
        <v>0</v>
      </c>
      <c r="I645" s="0" t="n">
        <f aca="false">F645-D645</f>
        <v>0</v>
      </c>
    </row>
    <row r="646" customFormat="false" ht="12" hidden="false" customHeight="false" outlineLevel="0" collapsed="false">
      <c r="H646" s="0" t="n">
        <f aca="false">E646-D646</f>
        <v>0</v>
      </c>
      <c r="I646" s="0" t="n">
        <f aca="false">F646-D646</f>
        <v>0</v>
      </c>
    </row>
    <row r="647" customFormat="false" ht="12" hidden="false" customHeight="false" outlineLevel="0" collapsed="false">
      <c r="H647" s="0" t="n">
        <f aca="false">E647-D647</f>
        <v>0</v>
      </c>
      <c r="I647" s="0" t="n">
        <f aca="false">F647-D647</f>
        <v>0</v>
      </c>
    </row>
    <row r="648" customFormat="false" ht="12" hidden="false" customHeight="false" outlineLevel="0" collapsed="false">
      <c r="H648" s="0" t="n">
        <f aca="false">E648-D648</f>
        <v>0</v>
      </c>
      <c r="I648" s="0" t="n">
        <f aca="false">F648-D648</f>
        <v>0</v>
      </c>
    </row>
    <row r="649" customFormat="false" ht="12" hidden="false" customHeight="false" outlineLevel="0" collapsed="false">
      <c r="H649" s="0" t="n">
        <f aca="false">E649-D649</f>
        <v>0</v>
      </c>
      <c r="I649" s="0" t="n">
        <f aca="false">F649-D649</f>
        <v>0</v>
      </c>
    </row>
    <row r="650" customFormat="false" ht="12" hidden="false" customHeight="false" outlineLevel="0" collapsed="false">
      <c r="H650" s="0" t="n">
        <f aca="false">E650-D650</f>
        <v>0</v>
      </c>
      <c r="I650" s="0" t="n">
        <f aca="false">F650-D650</f>
        <v>0</v>
      </c>
    </row>
    <row r="651" customFormat="false" ht="12" hidden="false" customHeight="false" outlineLevel="0" collapsed="false">
      <c r="H651" s="0" t="n">
        <f aca="false">E651-D651</f>
        <v>0</v>
      </c>
      <c r="I651" s="0" t="n">
        <f aca="false">F651-D651</f>
        <v>0</v>
      </c>
    </row>
    <row r="652" customFormat="false" ht="12" hidden="false" customHeight="false" outlineLevel="0" collapsed="false">
      <c r="H652" s="0" t="n">
        <f aca="false">E652-D652</f>
        <v>0</v>
      </c>
      <c r="I652" s="0" t="n">
        <f aca="false">F652-D652</f>
        <v>0</v>
      </c>
    </row>
    <row r="653" customFormat="false" ht="12" hidden="false" customHeight="false" outlineLevel="0" collapsed="false">
      <c r="H653" s="0" t="n">
        <f aca="false">E653-D653</f>
        <v>0</v>
      </c>
      <c r="I653" s="0" t="n">
        <f aca="false">F653-D653</f>
        <v>0</v>
      </c>
    </row>
    <row r="654" customFormat="false" ht="12" hidden="false" customHeight="false" outlineLevel="0" collapsed="false">
      <c r="H654" s="0" t="n">
        <f aca="false">E654-D654</f>
        <v>0</v>
      </c>
      <c r="I654" s="0" t="n">
        <f aca="false">F654-D654</f>
        <v>0</v>
      </c>
    </row>
    <row r="655" customFormat="false" ht="12" hidden="false" customHeight="false" outlineLevel="0" collapsed="false">
      <c r="H655" s="0" t="n">
        <f aca="false">E655-D655</f>
        <v>0</v>
      </c>
      <c r="I655" s="0" t="n">
        <f aca="false">F655-D655</f>
        <v>0</v>
      </c>
    </row>
    <row r="656" customFormat="false" ht="12" hidden="false" customHeight="false" outlineLevel="0" collapsed="false">
      <c r="H656" s="0" t="n">
        <f aca="false">E656-D656</f>
        <v>0</v>
      </c>
      <c r="I656" s="0" t="n">
        <f aca="false">F656-D656</f>
        <v>0</v>
      </c>
    </row>
    <row r="657" customFormat="false" ht="12" hidden="false" customHeight="false" outlineLevel="0" collapsed="false">
      <c r="H657" s="0" t="n">
        <f aca="false">E657-D657</f>
        <v>0</v>
      </c>
      <c r="I657" s="0" t="n">
        <f aca="false">F657-D657</f>
        <v>0</v>
      </c>
    </row>
    <row r="658" customFormat="false" ht="12" hidden="false" customHeight="false" outlineLevel="0" collapsed="false">
      <c r="H658" s="0" t="n">
        <f aca="false">E658-D658</f>
        <v>0</v>
      </c>
      <c r="I658" s="0" t="n">
        <f aca="false">F658-D658</f>
        <v>0</v>
      </c>
    </row>
    <row r="659" customFormat="false" ht="12" hidden="false" customHeight="false" outlineLevel="0" collapsed="false">
      <c r="H659" s="0" t="n">
        <f aca="false">E659-D659</f>
        <v>0</v>
      </c>
      <c r="I659" s="0" t="n">
        <f aca="false">F659-D659</f>
        <v>0</v>
      </c>
    </row>
    <row r="660" customFormat="false" ht="12" hidden="false" customHeight="false" outlineLevel="0" collapsed="false">
      <c r="H660" s="0" t="n">
        <f aca="false">E660-D660</f>
        <v>0</v>
      </c>
      <c r="I660" s="0" t="n">
        <f aca="false">F660-D660</f>
        <v>0</v>
      </c>
    </row>
    <row r="661" customFormat="false" ht="12" hidden="false" customHeight="false" outlineLevel="0" collapsed="false">
      <c r="H661" s="0" t="n">
        <f aca="false">E661-D661</f>
        <v>0</v>
      </c>
      <c r="I661" s="0" t="n">
        <f aca="false">F661-D661</f>
        <v>0</v>
      </c>
    </row>
    <row r="662" customFormat="false" ht="12" hidden="false" customHeight="false" outlineLevel="0" collapsed="false">
      <c r="H662" s="0" t="n">
        <f aca="false">E662-D662</f>
        <v>0</v>
      </c>
      <c r="I662" s="0" t="n">
        <f aca="false">F662-D662</f>
        <v>0</v>
      </c>
    </row>
    <row r="663" customFormat="false" ht="12" hidden="false" customHeight="false" outlineLevel="0" collapsed="false">
      <c r="H663" s="0" t="n">
        <f aca="false">E663-D663</f>
        <v>0</v>
      </c>
      <c r="I663" s="0" t="n">
        <f aca="false">F663-D663</f>
        <v>0</v>
      </c>
    </row>
    <row r="664" customFormat="false" ht="12" hidden="false" customHeight="false" outlineLevel="0" collapsed="false">
      <c r="H664" s="0" t="n">
        <f aca="false">E664-D664</f>
        <v>0</v>
      </c>
      <c r="I664" s="0" t="n">
        <f aca="false">F664-D664</f>
        <v>0</v>
      </c>
    </row>
    <row r="665" customFormat="false" ht="12" hidden="false" customHeight="false" outlineLevel="0" collapsed="false">
      <c r="H665" s="0" t="n">
        <f aca="false">E665-D665</f>
        <v>0</v>
      </c>
      <c r="I665" s="0" t="n">
        <f aca="false">F665-D665</f>
        <v>0</v>
      </c>
    </row>
    <row r="666" customFormat="false" ht="12" hidden="false" customHeight="false" outlineLevel="0" collapsed="false">
      <c r="H666" s="0" t="n">
        <f aca="false">E666-D666</f>
        <v>0</v>
      </c>
      <c r="I666" s="0" t="n">
        <f aca="false">F666-D666</f>
        <v>0</v>
      </c>
    </row>
    <row r="667" customFormat="false" ht="12" hidden="false" customHeight="false" outlineLevel="0" collapsed="false">
      <c r="H667" s="0" t="n">
        <f aca="false">E667-D667</f>
        <v>0</v>
      </c>
      <c r="I667" s="0" t="n">
        <f aca="false">F667-D667</f>
        <v>0</v>
      </c>
    </row>
    <row r="668" customFormat="false" ht="12" hidden="false" customHeight="false" outlineLevel="0" collapsed="false">
      <c r="H668" s="0" t="n">
        <f aca="false">E668-D668</f>
        <v>0</v>
      </c>
      <c r="I668" s="0" t="n">
        <f aca="false">F668-D668</f>
        <v>0</v>
      </c>
    </row>
    <row r="669" customFormat="false" ht="12" hidden="false" customHeight="false" outlineLevel="0" collapsed="false">
      <c r="H669" s="0" t="n">
        <f aca="false">E669-D669</f>
        <v>0</v>
      </c>
      <c r="I669" s="0" t="n">
        <f aca="false">F669-D669</f>
        <v>0</v>
      </c>
    </row>
    <row r="670" customFormat="false" ht="12" hidden="false" customHeight="false" outlineLevel="0" collapsed="false">
      <c r="H670" s="0" t="n">
        <f aca="false">E670-D670</f>
        <v>0</v>
      </c>
      <c r="I670" s="0" t="n">
        <f aca="false">F670-D670</f>
        <v>0</v>
      </c>
    </row>
    <row r="671" customFormat="false" ht="12" hidden="false" customHeight="false" outlineLevel="0" collapsed="false">
      <c r="H671" s="0" t="n">
        <f aca="false">E671-D671</f>
        <v>0</v>
      </c>
      <c r="I671" s="0" t="n">
        <f aca="false">F671-D671</f>
        <v>0</v>
      </c>
    </row>
    <row r="672" customFormat="false" ht="12" hidden="false" customHeight="false" outlineLevel="0" collapsed="false">
      <c r="H672" s="0" t="n">
        <f aca="false">E672-D672</f>
        <v>0</v>
      </c>
      <c r="I672" s="0" t="n">
        <f aca="false">F672-D672</f>
        <v>0</v>
      </c>
    </row>
    <row r="673" customFormat="false" ht="12" hidden="false" customHeight="false" outlineLevel="0" collapsed="false">
      <c r="H673" s="0" t="n">
        <f aca="false">E673-D673</f>
        <v>0</v>
      </c>
      <c r="I673" s="0" t="n">
        <f aca="false">F673-D673</f>
        <v>0</v>
      </c>
    </row>
    <row r="674" customFormat="false" ht="12" hidden="false" customHeight="false" outlineLevel="0" collapsed="false">
      <c r="H674" s="0" t="n">
        <f aca="false">E674-D674</f>
        <v>0</v>
      </c>
      <c r="I674" s="0" t="n">
        <f aca="false">F674-D674</f>
        <v>0</v>
      </c>
    </row>
    <row r="675" customFormat="false" ht="12" hidden="false" customHeight="false" outlineLevel="0" collapsed="false">
      <c r="H675" s="0" t="n">
        <f aca="false">E675-D675</f>
        <v>0</v>
      </c>
      <c r="I675" s="0" t="n">
        <f aca="false">F675-D675</f>
        <v>0</v>
      </c>
    </row>
    <row r="676" customFormat="false" ht="12" hidden="false" customHeight="false" outlineLevel="0" collapsed="false">
      <c r="H676" s="0" t="n">
        <f aca="false">E676-D676</f>
        <v>0</v>
      </c>
      <c r="I676" s="0" t="n">
        <f aca="false">F676-D676</f>
        <v>0</v>
      </c>
    </row>
    <row r="677" customFormat="false" ht="12" hidden="false" customHeight="false" outlineLevel="0" collapsed="false">
      <c r="H677" s="0" t="n">
        <f aca="false">E677-D677</f>
        <v>0</v>
      </c>
      <c r="I677" s="0" t="n">
        <f aca="false">F677-D677</f>
        <v>0</v>
      </c>
    </row>
    <row r="678" customFormat="false" ht="12" hidden="false" customHeight="false" outlineLevel="0" collapsed="false">
      <c r="H678" s="0" t="n">
        <f aca="false">E678-D678</f>
        <v>0</v>
      </c>
      <c r="I678" s="0" t="n">
        <f aca="false">F678-D678</f>
        <v>0</v>
      </c>
    </row>
    <row r="679" customFormat="false" ht="12" hidden="false" customHeight="false" outlineLevel="0" collapsed="false">
      <c r="H679" s="0" t="n">
        <f aca="false">E679-D679</f>
        <v>0</v>
      </c>
      <c r="I679" s="0" t="n">
        <f aca="false">F679-D679</f>
        <v>0</v>
      </c>
    </row>
    <row r="680" customFormat="false" ht="12" hidden="false" customHeight="false" outlineLevel="0" collapsed="false">
      <c r="H680" s="0" t="n">
        <f aca="false">E680-D680</f>
        <v>0</v>
      </c>
      <c r="I680" s="0" t="n">
        <f aca="false">F680-D680</f>
        <v>0</v>
      </c>
    </row>
    <row r="681" customFormat="false" ht="12" hidden="false" customHeight="false" outlineLevel="0" collapsed="false">
      <c r="H681" s="0" t="n">
        <f aca="false">E681-D681</f>
        <v>0</v>
      </c>
      <c r="I681" s="0" t="n">
        <f aca="false">F681-D681</f>
        <v>0</v>
      </c>
    </row>
    <row r="682" customFormat="false" ht="12" hidden="false" customHeight="false" outlineLevel="0" collapsed="false">
      <c r="H682" s="0" t="n">
        <f aca="false">E682-D682</f>
        <v>0</v>
      </c>
      <c r="I682" s="0" t="n">
        <f aca="false">F682-D682</f>
        <v>0</v>
      </c>
    </row>
    <row r="683" customFormat="false" ht="12" hidden="false" customHeight="false" outlineLevel="0" collapsed="false">
      <c r="H683" s="0" t="n">
        <f aca="false">E683-D683</f>
        <v>0</v>
      </c>
      <c r="I683" s="0" t="n">
        <f aca="false">F683-D683</f>
        <v>0</v>
      </c>
    </row>
    <row r="684" customFormat="false" ht="12" hidden="false" customHeight="false" outlineLevel="0" collapsed="false">
      <c r="H684" s="0" t="n">
        <f aca="false">E684-D684</f>
        <v>0</v>
      </c>
      <c r="I684" s="0" t="n">
        <f aca="false">F684-D684</f>
        <v>0</v>
      </c>
    </row>
    <row r="685" customFormat="false" ht="12" hidden="false" customHeight="false" outlineLevel="0" collapsed="false">
      <c r="H685" s="0" t="n">
        <f aca="false">E685-D685</f>
        <v>0</v>
      </c>
      <c r="I685" s="0" t="n">
        <f aca="false">F685-D685</f>
        <v>0</v>
      </c>
    </row>
    <row r="686" customFormat="false" ht="12" hidden="false" customHeight="false" outlineLevel="0" collapsed="false">
      <c r="H686" s="0" t="n">
        <f aca="false">E686-D686</f>
        <v>0</v>
      </c>
      <c r="I686" s="0" t="n">
        <f aca="false">F686-D686</f>
        <v>0</v>
      </c>
    </row>
    <row r="687" customFormat="false" ht="12" hidden="false" customHeight="false" outlineLevel="0" collapsed="false">
      <c r="H687" s="0" t="n">
        <f aca="false">E687-D687</f>
        <v>0</v>
      </c>
      <c r="I687" s="0" t="n">
        <f aca="false">F687-D687</f>
        <v>0</v>
      </c>
    </row>
    <row r="688" customFormat="false" ht="12" hidden="false" customHeight="false" outlineLevel="0" collapsed="false">
      <c r="H688" s="0" t="n">
        <f aca="false">E688-D688</f>
        <v>0</v>
      </c>
      <c r="I688" s="0" t="n">
        <f aca="false">F688-D688</f>
        <v>0</v>
      </c>
    </row>
    <row r="689" customFormat="false" ht="12" hidden="false" customHeight="false" outlineLevel="0" collapsed="false">
      <c r="H689" s="0" t="n">
        <f aca="false">E689-D689</f>
        <v>0</v>
      </c>
      <c r="I689" s="0" t="n">
        <f aca="false">F689-D689</f>
        <v>0</v>
      </c>
    </row>
    <row r="690" customFormat="false" ht="12" hidden="false" customHeight="false" outlineLevel="0" collapsed="false">
      <c r="H690" s="0" t="n">
        <f aca="false">E690-D690</f>
        <v>0</v>
      </c>
      <c r="I690" s="0" t="n">
        <f aca="false">F690-D690</f>
        <v>0</v>
      </c>
    </row>
    <row r="691" customFormat="false" ht="12" hidden="false" customHeight="false" outlineLevel="0" collapsed="false">
      <c r="H691" s="0" t="n">
        <f aca="false">E691-D691</f>
        <v>0</v>
      </c>
      <c r="I691" s="0" t="n">
        <f aca="false">F691-D691</f>
        <v>0</v>
      </c>
    </row>
    <row r="692" customFormat="false" ht="12" hidden="false" customHeight="false" outlineLevel="0" collapsed="false">
      <c r="H692" s="0" t="n">
        <f aca="false">E692-D692</f>
        <v>0</v>
      </c>
      <c r="I692" s="0" t="n">
        <f aca="false">F692-D692</f>
        <v>0</v>
      </c>
    </row>
    <row r="693" customFormat="false" ht="12" hidden="false" customHeight="false" outlineLevel="0" collapsed="false">
      <c r="H693" s="0" t="n">
        <f aca="false">E693-D693</f>
        <v>0</v>
      </c>
      <c r="I693" s="0" t="n">
        <f aca="false">F693-D693</f>
        <v>0</v>
      </c>
    </row>
    <row r="694" customFormat="false" ht="12" hidden="false" customHeight="false" outlineLevel="0" collapsed="false">
      <c r="H694" s="0" t="n">
        <f aca="false">E694-D694</f>
        <v>0</v>
      </c>
      <c r="I694" s="0" t="n">
        <f aca="false">F694-D694</f>
        <v>0</v>
      </c>
    </row>
    <row r="695" customFormat="false" ht="12" hidden="false" customHeight="false" outlineLevel="0" collapsed="false">
      <c r="H695" s="0" t="n">
        <f aca="false">E695-D695</f>
        <v>0</v>
      </c>
      <c r="I695" s="0" t="n">
        <f aca="false">F695-D695</f>
        <v>0</v>
      </c>
    </row>
    <row r="696" customFormat="false" ht="12" hidden="false" customHeight="false" outlineLevel="0" collapsed="false">
      <c r="H696" s="0" t="n">
        <f aca="false">E696-D696</f>
        <v>0</v>
      </c>
      <c r="I696" s="0" t="n">
        <f aca="false">F696-D696</f>
        <v>0</v>
      </c>
    </row>
    <row r="697" customFormat="false" ht="12" hidden="false" customHeight="false" outlineLevel="0" collapsed="false">
      <c r="H697" s="0" t="n">
        <f aca="false">E697-D697</f>
        <v>0</v>
      </c>
      <c r="I697" s="0" t="n">
        <f aca="false">F697-D697</f>
        <v>0</v>
      </c>
    </row>
    <row r="698" customFormat="false" ht="12" hidden="false" customHeight="false" outlineLevel="0" collapsed="false">
      <c r="H698" s="0" t="n">
        <f aca="false">E698-D698</f>
        <v>0</v>
      </c>
      <c r="I698" s="0" t="n">
        <f aca="false">F698-D698</f>
        <v>0</v>
      </c>
    </row>
    <row r="699" customFormat="false" ht="12" hidden="false" customHeight="false" outlineLevel="0" collapsed="false">
      <c r="H699" s="0" t="n">
        <f aca="false">E699-D699</f>
        <v>0</v>
      </c>
      <c r="I699" s="0" t="n">
        <f aca="false">F699-D699</f>
        <v>0</v>
      </c>
    </row>
    <row r="700" customFormat="false" ht="12" hidden="false" customHeight="false" outlineLevel="0" collapsed="false">
      <c r="H700" s="0" t="n">
        <f aca="false">E700-D700</f>
        <v>0</v>
      </c>
      <c r="I700" s="0" t="n">
        <f aca="false">F700-D700</f>
        <v>0</v>
      </c>
    </row>
    <row r="701" customFormat="false" ht="12" hidden="false" customHeight="false" outlineLevel="0" collapsed="false">
      <c r="H701" s="0" t="n">
        <f aca="false">E701-D701</f>
        <v>0</v>
      </c>
      <c r="I701" s="0" t="n">
        <f aca="false">F701-D701</f>
        <v>0</v>
      </c>
    </row>
    <row r="702" customFormat="false" ht="12" hidden="false" customHeight="false" outlineLevel="0" collapsed="false">
      <c r="H702" s="0" t="n">
        <f aca="false">E702-D702</f>
        <v>0</v>
      </c>
      <c r="I702" s="0" t="n">
        <f aca="false">F702-D702</f>
        <v>0</v>
      </c>
    </row>
    <row r="703" customFormat="false" ht="12" hidden="false" customHeight="false" outlineLevel="0" collapsed="false">
      <c r="H703" s="0" t="n">
        <f aca="false">E703-D703</f>
        <v>0</v>
      </c>
      <c r="I703" s="0" t="n">
        <f aca="false">F703-D703</f>
        <v>0</v>
      </c>
    </row>
    <row r="704" customFormat="false" ht="12" hidden="false" customHeight="false" outlineLevel="0" collapsed="false">
      <c r="H704" s="0" t="n">
        <f aca="false">E704-D704</f>
        <v>0</v>
      </c>
      <c r="I704" s="0" t="n">
        <f aca="false">F704-D704</f>
        <v>0</v>
      </c>
    </row>
    <row r="705" customFormat="false" ht="12" hidden="false" customHeight="false" outlineLevel="0" collapsed="false">
      <c r="H705" s="0" t="n">
        <f aca="false">E705-D705</f>
        <v>0</v>
      </c>
      <c r="I705" s="0" t="n">
        <f aca="false">F705-D705</f>
        <v>0</v>
      </c>
    </row>
    <row r="706" customFormat="false" ht="12" hidden="false" customHeight="false" outlineLevel="0" collapsed="false">
      <c r="H706" s="0" t="n">
        <f aca="false">E706-D706</f>
        <v>0</v>
      </c>
      <c r="I706" s="0" t="n">
        <f aca="false">F706-D706</f>
        <v>0</v>
      </c>
    </row>
    <row r="707" customFormat="false" ht="12" hidden="false" customHeight="false" outlineLevel="0" collapsed="false">
      <c r="H707" s="0" t="n">
        <f aca="false">E707-D707</f>
        <v>0</v>
      </c>
      <c r="I707" s="0" t="n">
        <f aca="false">F707-D707</f>
        <v>0</v>
      </c>
    </row>
    <row r="708" customFormat="false" ht="12" hidden="false" customHeight="false" outlineLevel="0" collapsed="false">
      <c r="H708" s="0" t="n">
        <f aca="false">E708-D708</f>
        <v>0</v>
      </c>
      <c r="I708" s="0" t="n">
        <f aca="false">F708-D708</f>
        <v>0</v>
      </c>
    </row>
    <row r="709" customFormat="false" ht="12" hidden="false" customHeight="false" outlineLevel="0" collapsed="false">
      <c r="H709" s="0" t="n">
        <f aca="false">E709-D709</f>
        <v>0</v>
      </c>
      <c r="I709" s="0" t="n">
        <f aca="false">F709-D709</f>
        <v>0</v>
      </c>
    </row>
    <row r="710" customFormat="false" ht="12" hidden="false" customHeight="false" outlineLevel="0" collapsed="false">
      <c r="H710" s="0" t="n">
        <f aca="false">E710-D710</f>
        <v>0</v>
      </c>
      <c r="I710" s="0" t="n">
        <f aca="false">F710-D710</f>
        <v>0</v>
      </c>
    </row>
    <row r="711" customFormat="false" ht="12" hidden="false" customHeight="false" outlineLevel="0" collapsed="false">
      <c r="H711" s="0" t="n">
        <f aca="false">E711-D711</f>
        <v>0</v>
      </c>
      <c r="I711" s="0" t="n">
        <f aca="false">F711-D711</f>
        <v>0</v>
      </c>
    </row>
    <row r="712" customFormat="false" ht="12" hidden="false" customHeight="false" outlineLevel="0" collapsed="false">
      <c r="H712" s="0" t="n">
        <f aca="false">E712-D712</f>
        <v>0</v>
      </c>
      <c r="I712" s="0" t="n">
        <f aca="false">F712-D712</f>
        <v>0</v>
      </c>
    </row>
    <row r="713" customFormat="false" ht="12" hidden="false" customHeight="false" outlineLevel="0" collapsed="false">
      <c r="H713" s="0" t="n">
        <f aca="false">E713-D713</f>
        <v>0</v>
      </c>
      <c r="I713" s="0" t="n">
        <f aca="false">F713-D713</f>
        <v>0</v>
      </c>
    </row>
    <row r="714" customFormat="false" ht="12" hidden="false" customHeight="false" outlineLevel="0" collapsed="false">
      <c r="H714" s="0" t="n">
        <f aca="false">E714-D714</f>
        <v>0</v>
      </c>
      <c r="I714" s="0" t="n">
        <f aca="false">F714-D714</f>
        <v>0</v>
      </c>
    </row>
    <row r="715" customFormat="false" ht="12" hidden="false" customHeight="false" outlineLevel="0" collapsed="false">
      <c r="H715" s="0" t="n">
        <f aca="false">E715-D715</f>
        <v>0</v>
      </c>
      <c r="I715" s="0" t="n">
        <f aca="false">F715-D715</f>
        <v>0</v>
      </c>
    </row>
    <row r="716" customFormat="false" ht="12" hidden="false" customHeight="false" outlineLevel="0" collapsed="false">
      <c r="H716" s="0" t="n">
        <f aca="false">E716-D716</f>
        <v>0</v>
      </c>
      <c r="I716" s="0" t="n">
        <f aca="false">F716-D716</f>
        <v>0</v>
      </c>
    </row>
    <row r="717" customFormat="false" ht="12" hidden="false" customHeight="false" outlineLevel="0" collapsed="false">
      <c r="H717" s="0" t="n">
        <f aca="false">E717-D717</f>
        <v>0</v>
      </c>
      <c r="I717" s="0" t="n">
        <f aca="false">F717-D717</f>
        <v>0</v>
      </c>
    </row>
    <row r="718" customFormat="false" ht="12" hidden="false" customHeight="false" outlineLevel="0" collapsed="false">
      <c r="H718" s="0" t="n">
        <f aca="false">E718-D718</f>
        <v>0</v>
      </c>
      <c r="I718" s="0" t="n">
        <f aca="false">F718-D718</f>
        <v>0</v>
      </c>
    </row>
    <row r="719" customFormat="false" ht="12" hidden="false" customHeight="false" outlineLevel="0" collapsed="false">
      <c r="H719" s="0" t="n">
        <f aca="false">E719-D719</f>
        <v>0</v>
      </c>
      <c r="I719" s="0" t="n">
        <f aca="false">F719-D719</f>
        <v>0</v>
      </c>
    </row>
    <row r="720" customFormat="false" ht="12" hidden="false" customHeight="false" outlineLevel="0" collapsed="false">
      <c r="H720" s="0" t="n">
        <f aca="false">E720-D720</f>
        <v>0</v>
      </c>
      <c r="I720" s="0" t="n">
        <f aca="false">F720-D720</f>
        <v>0</v>
      </c>
    </row>
    <row r="721" customFormat="false" ht="12" hidden="false" customHeight="false" outlineLevel="0" collapsed="false">
      <c r="H721" s="0" t="n">
        <f aca="false">E721-D721</f>
        <v>0</v>
      </c>
      <c r="I721" s="0" t="n">
        <f aca="false">F721-D721</f>
        <v>0</v>
      </c>
    </row>
    <row r="722" customFormat="false" ht="12" hidden="false" customHeight="false" outlineLevel="0" collapsed="false">
      <c r="H722" s="0" t="n">
        <f aca="false">E722-D722</f>
        <v>0</v>
      </c>
      <c r="I722" s="0" t="n">
        <f aca="false">F722-D722</f>
        <v>0</v>
      </c>
    </row>
    <row r="723" customFormat="false" ht="12" hidden="false" customHeight="false" outlineLevel="0" collapsed="false">
      <c r="H723" s="0" t="n">
        <f aca="false">E723-D723</f>
        <v>0</v>
      </c>
      <c r="I723" s="0" t="n">
        <f aca="false">F723-D723</f>
        <v>0</v>
      </c>
    </row>
    <row r="724" customFormat="false" ht="12" hidden="false" customHeight="false" outlineLevel="0" collapsed="false">
      <c r="H724" s="0" t="n">
        <f aca="false">E724-D724</f>
        <v>0</v>
      </c>
      <c r="I724" s="0" t="n">
        <f aca="false">F724-D724</f>
        <v>0</v>
      </c>
    </row>
    <row r="725" customFormat="false" ht="12" hidden="false" customHeight="false" outlineLevel="0" collapsed="false">
      <c r="H725" s="0" t="n">
        <f aca="false">E725-D725</f>
        <v>0</v>
      </c>
      <c r="I725" s="0" t="n">
        <f aca="false">F725-D725</f>
        <v>0</v>
      </c>
    </row>
    <row r="726" customFormat="false" ht="12" hidden="false" customHeight="false" outlineLevel="0" collapsed="false">
      <c r="H726" s="0" t="n">
        <f aca="false">E726-D726</f>
        <v>0</v>
      </c>
      <c r="I726" s="0" t="n">
        <f aca="false">F726-D726</f>
        <v>0</v>
      </c>
    </row>
    <row r="727" customFormat="false" ht="12" hidden="false" customHeight="false" outlineLevel="0" collapsed="false">
      <c r="H727" s="0" t="n">
        <f aca="false">E727-D727</f>
        <v>0</v>
      </c>
      <c r="I727" s="0" t="n">
        <f aca="false">F727-D727</f>
        <v>0</v>
      </c>
    </row>
    <row r="728" customFormat="false" ht="12" hidden="false" customHeight="false" outlineLevel="0" collapsed="false">
      <c r="H728" s="0" t="n">
        <f aca="false">E728-D728</f>
        <v>0</v>
      </c>
      <c r="I728" s="0" t="n">
        <f aca="false">F728-D728</f>
        <v>0</v>
      </c>
    </row>
    <row r="729" customFormat="false" ht="12" hidden="false" customHeight="false" outlineLevel="0" collapsed="false">
      <c r="H729" s="0" t="n">
        <f aca="false">E729-D729</f>
        <v>0</v>
      </c>
      <c r="I729" s="0" t="n">
        <f aca="false">F729-D729</f>
        <v>0</v>
      </c>
    </row>
    <row r="730" customFormat="false" ht="12" hidden="false" customHeight="false" outlineLevel="0" collapsed="false">
      <c r="H730" s="0" t="n">
        <f aca="false">E730-D730</f>
        <v>0</v>
      </c>
      <c r="I730" s="0" t="n">
        <f aca="false">F730-D730</f>
        <v>0</v>
      </c>
    </row>
    <row r="731" customFormat="false" ht="12" hidden="false" customHeight="false" outlineLevel="0" collapsed="false">
      <c r="H731" s="0" t="n">
        <f aca="false">E731-D731</f>
        <v>0</v>
      </c>
      <c r="I731" s="0" t="n">
        <f aca="false">F731-D731</f>
        <v>0</v>
      </c>
    </row>
    <row r="732" customFormat="false" ht="12" hidden="false" customHeight="false" outlineLevel="0" collapsed="false">
      <c r="H732" s="0" t="n">
        <f aca="false">E732-D732</f>
        <v>0</v>
      </c>
      <c r="I732" s="0" t="n">
        <f aca="false">F732-D732</f>
        <v>0</v>
      </c>
    </row>
    <row r="733" customFormat="false" ht="12" hidden="false" customHeight="false" outlineLevel="0" collapsed="false">
      <c r="H733" s="0" t="n">
        <f aca="false">E733-D733</f>
        <v>0</v>
      </c>
      <c r="I733" s="0" t="n">
        <f aca="false">F733-D733</f>
        <v>0</v>
      </c>
    </row>
    <row r="734" customFormat="false" ht="12" hidden="false" customHeight="false" outlineLevel="0" collapsed="false">
      <c r="H734" s="0" t="n">
        <f aca="false">E734-D734</f>
        <v>0</v>
      </c>
      <c r="I734" s="0" t="n">
        <f aca="false">F734-D734</f>
        <v>0</v>
      </c>
    </row>
    <row r="735" customFormat="false" ht="12" hidden="false" customHeight="false" outlineLevel="0" collapsed="false">
      <c r="H735" s="0" t="n">
        <f aca="false">E735-D735</f>
        <v>0</v>
      </c>
      <c r="I735" s="0" t="n">
        <f aca="false">F735-D735</f>
        <v>0</v>
      </c>
    </row>
    <row r="736" customFormat="false" ht="12" hidden="false" customHeight="false" outlineLevel="0" collapsed="false">
      <c r="H736" s="0" t="n">
        <f aca="false">E736-D736</f>
        <v>0</v>
      </c>
      <c r="I736" s="0" t="n">
        <f aca="false">F736-D736</f>
        <v>0</v>
      </c>
    </row>
    <row r="737" customFormat="false" ht="12" hidden="false" customHeight="false" outlineLevel="0" collapsed="false">
      <c r="H737" s="0" t="n">
        <f aca="false">E737-D737</f>
        <v>0</v>
      </c>
      <c r="I737" s="0" t="n">
        <f aca="false">F737-D737</f>
        <v>0</v>
      </c>
    </row>
    <row r="738" customFormat="false" ht="12" hidden="false" customHeight="false" outlineLevel="0" collapsed="false">
      <c r="H738" s="0" t="n">
        <f aca="false">E738-D738</f>
        <v>0</v>
      </c>
      <c r="I738" s="0" t="n">
        <f aca="false">F738-D738</f>
        <v>0</v>
      </c>
    </row>
    <row r="739" customFormat="false" ht="12" hidden="false" customHeight="false" outlineLevel="0" collapsed="false">
      <c r="H739" s="0" t="n">
        <f aca="false">E739-D739</f>
        <v>0</v>
      </c>
      <c r="I739" s="0" t="n">
        <f aca="false">F739-D739</f>
        <v>0</v>
      </c>
    </row>
    <row r="740" customFormat="false" ht="12" hidden="false" customHeight="false" outlineLevel="0" collapsed="false">
      <c r="H740" s="0" t="n">
        <f aca="false">E740-D740</f>
        <v>0</v>
      </c>
      <c r="I740" s="0" t="n">
        <f aca="false">F740-D740</f>
        <v>0</v>
      </c>
    </row>
    <row r="741" customFormat="false" ht="12" hidden="false" customHeight="false" outlineLevel="0" collapsed="false">
      <c r="H741" s="0" t="n">
        <f aca="false">E741-D741</f>
        <v>0</v>
      </c>
      <c r="I741" s="0" t="n">
        <f aca="false">F741-D741</f>
        <v>0</v>
      </c>
    </row>
    <row r="742" customFormat="false" ht="12" hidden="false" customHeight="false" outlineLevel="0" collapsed="false">
      <c r="H742" s="0" t="n">
        <f aca="false">E742-D742</f>
        <v>0</v>
      </c>
      <c r="I742" s="0" t="n">
        <f aca="false">F742-D742</f>
        <v>0</v>
      </c>
    </row>
    <row r="743" customFormat="false" ht="12" hidden="false" customHeight="false" outlineLevel="0" collapsed="false">
      <c r="H743" s="0" t="n">
        <f aca="false">E743-D743</f>
        <v>0</v>
      </c>
      <c r="I743" s="0" t="n">
        <f aca="false">F743-D743</f>
        <v>0</v>
      </c>
    </row>
    <row r="744" customFormat="false" ht="12" hidden="false" customHeight="false" outlineLevel="0" collapsed="false">
      <c r="H744" s="0" t="n">
        <f aca="false">E744-D744</f>
        <v>0</v>
      </c>
      <c r="I744" s="0" t="n">
        <f aca="false">F744-D744</f>
        <v>0</v>
      </c>
    </row>
    <row r="745" customFormat="false" ht="12" hidden="false" customHeight="false" outlineLevel="0" collapsed="false">
      <c r="H745" s="0" t="n">
        <f aca="false">E745-D745</f>
        <v>0</v>
      </c>
      <c r="I745" s="0" t="n">
        <f aca="false">F745-D745</f>
        <v>0</v>
      </c>
    </row>
    <row r="746" customFormat="false" ht="12" hidden="false" customHeight="false" outlineLevel="0" collapsed="false">
      <c r="H746" s="0" t="n">
        <f aca="false">E746-D746</f>
        <v>0</v>
      </c>
      <c r="I746" s="0" t="n">
        <f aca="false">F746-D746</f>
        <v>0</v>
      </c>
    </row>
    <row r="747" customFormat="false" ht="12" hidden="false" customHeight="false" outlineLevel="0" collapsed="false">
      <c r="H747" s="0" t="n">
        <f aca="false">E747-D747</f>
        <v>0</v>
      </c>
      <c r="I747" s="0" t="n">
        <f aca="false">F747-D747</f>
        <v>0</v>
      </c>
    </row>
    <row r="748" customFormat="false" ht="12" hidden="false" customHeight="false" outlineLevel="0" collapsed="false">
      <c r="H748" s="0" t="n">
        <f aca="false">E748-D748</f>
        <v>0</v>
      </c>
      <c r="I748" s="0" t="n">
        <f aca="false">F748-D748</f>
        <v>0</v>
      </c>
    </row>
    <row r="749" customFormat="false" ht="12" hidden="false" customHeight="false" outlineLevel="0" collapsed="false">
      <c r="H749" s="0" t="n">
        <f aca="false">E749-D749</f>
        <v>0</v>
      </c>
      <c r="I749" s="0" t="n">
        <f aca="false">F749-D749</f>
        <v>0</v>
      </c>
    </row>
    <row r="750" customFormat="false" ht="12" hidden="false" customHeight="false" outlineLevel="0" collapsed="false">
      <c r="H750" s="0" t="n">
        <f aca="false">E750-D750</f>
        <v>0</v>
      </c>
      <c r="I750" s="0" t="n">
        <f aca="false">F750-D750</f>
        <v>0</v>
      </c>
    </row>
    <row r="751" customFormat="false" ht="12" hidden="false" customHeight="false" outlineLevel="0" collapsed="false">
      <c r="H751" s="0" t="n">
        <f aca="false">E751-D751</f>
        <v>0</v>
      </c>
      <c r="I751" s="0" t="n">
        <f aca="false">F751-D751</f>
        <v>0</v>
      </c>
    </row>
    <row r="752" customFormat="false" ht="12" hidden="false" customHeight="false" outlineLevel="0" collapsed="false">
      <c r="H752" s="0" t="n">
        <f aca="false">E752-D752</f>
        <v>0</v>
      </c>
      <c r="I752" s="0" t="n">
        <f aca="false">F752-D752</f>
        <v>0</v>
      </c>
    </row>
    <row r="753" customFormat="false" ht="12" hidden="false" customHeight="false" outlineLevel="0" collapsed="false">
      <c r="H753" s="0" t="n">
        <f aca="false">E753-D753</f>
        <v>0</v>
      </c>
      <c r="I753" s="0" t="n">
        <f aca="false">F753-D753</f>
        <v>0</v>
      </c>
    </row>
    <row r="754" customFormat="false" ht="12" hidden="false" customHeight="false" outlineLevel="0" collapsed="false">
      <c r="H754" s="0" t="n">
        <f aca="false">E754-D754</f>
        <v>0</v>
      </c>
      <c r="I754" s="0" t="n">
        <f aca="false">F754-D754</f>
        <v>0</v>
      </c>
    </row>
    <row r="755" customFormat="false" ht="12" hidden="false" customHeight="false" outlineLevel="0" collapsed="false">
      <c r="H755" s="0" t="n">
        <f aca="false">E755-D755</f>
        <v>0</v>
      </c>
      <c r="I755" s="0" t="n">
        <f aca="false">F755-D755</f>
        <v>0</v>
      </c>
    </row>
    <row r="756" customFormat="false" ht="12" hidden="false" customHeight="false" outlineLevel="0" collapsed="false">
      <c r="H756" s="0" t="n">
        <f aca="false">E756-D756</f>
        <v>0</v>
      </c>
      <c r="I756" s="0" t="n">
        <f aca="false">F756-D756</f>
        <v>0</v>
      </c>
    </row>
    <row r="757" customFormat="false" ht="12" hidden="false" customHeight="false" outlineLevel="0" collapsed="false">
      <c r="H757" s="0" t="n">
        <f aca="false">E757-D757</f>
        <v>0</v>
      </c>
      <c r="I757" s="0" t="n">
        <f aca="false">F757-D757</f>
        <v>0</v>
      </c>
    </row>
    <row r="758" customFormat="false" ht="12" hidden="false" customHeight="false" outlineLevel="0" collapsed="false">
      <c r="H758" s="0" t="n">
        <f aca="false">E758-D758</f>
        <v>0</v>
      </c>
      <c r="I758" s="0" t="n">
        <f aca="false">F758-D758</f>
        <v>0</v>
      </c>
    </row>
    <row r="759" customFormat="false" ht="12" hidden="false" customHeight="false" outlineLevel="0" collapsed="false">
      <c r="H759" s="0" t="n">
        <f aca="false">E759-D759</f>
        <v>0</v>
      </c>
      <c r="I759" s="0" t="n">
        <f aca="false">F759-D759</f>
        <v>0</v>
      </c>
    </row>
    <row r="760" customFormat="false" ht="12" hidden="false" customHeight="false" outlineLevel="0" collapsed="false">
      <c r="H760" s="0" t="n">
        <f aca="false">E760-D760</f>
        <v>0</v>
      </c>
      <c r="I760" s="0" t="n">
        <f aca="false">F760-D760</f>
        <v>0</v>
      </c>
    </row>
    <row r="761" customFormat="false" ht="12" hidden="false" customHeight="false" outlineLevel="0" collapsed="false">
      <c r="H761" s="0" t="n">
        <f aca="false">E761-D761</f>
        <v>0</v>
      </c>
      <c r="I761" s="0" t="n">
        <f aca="false">F761-D761</f>
        <v>0</v>
      </c>
    </row>
    <row r="762" customFormat="false" ht="12" hidden="false" customHeight="false" outlineLevel="0" collapsed="false">
      <c r="H762" s="0" t="n">
        <f aca="false">E762-D762</f>
        <v>0</v>
      </c>
      <c r="I762" s="0" t="n">
        <f aca="false">F762-D762</f>
        <v>0</v>
      </c>
    </row>
    <row r="763" customFormat="false" ht="12" hidden="false" customHeight="false" outlineLevel="0" collapsed="false">
      <c r="H763" s="0" t="n">
        <f aca="false">E763-D763</f>
        <v>0</v>
      </c>
      <c r="I763" s="0" t="n">
        <f aca="false">F763-D763</f>
        <v>0</v>
      </c>
    </row>
    <row r="764" customFormat="false" ht="12" hidden="false" customHeight="false" outlineLevel="0" collapsed="false">
      <c r="H764" s="0" t="n">
        <f aca="false">E764-D764</f>
        <v>0</v>
      </c>
      <c r="I764" s="0" t="n">
        <f aca="false">F764-D764</f>
        <v>0</v>
      </c>
    </row>
    <row r="765" customFormat="false" ht="12" hidden="false" customHeight="false" outlineLevel="0" collapsed="false">
      <c r="H765" s="0" t="n">
        <f aca="false">E765-D765</f>
        <v>0</v>
      </c>
      <c r="I765" s="0" t="n">
        <f aca="false">F765-D765</f>
        <v>0</v>
      </c>
    </row>
    <row r="766" customFormat="false" ht="12" hidden="false" customHeight="false" outlineLevel="0" collapsed="false">
      <c r="H766" s="0" t="n">
        <f aca="false">E766-D766</f>
        <v>0</v>
      </c>
      <c r="I766" s="0" t="n">
        <f aca="false">F766-D766</f>
        <v>0</v>
      </c>
    </row>
    <row r="767" customFormat="false" ht="12" hidden="false" customHeight="false" outlineLevel="0" collapsed="false">
      <c r="H767" s="0" t="n">
        <f aca="false">E767-D767</f>
        <v>0</v>
      </c>
      <c r="I767" s="0" t="n">
        <f aca="false">F767-D767</f>
        <v>0</v>
      </c>
    </row>
    <row r="768" customFormat="false" ht="12" hidden="false" customHeight="false" outlineLevel="0" collapsed="false">
      <c r="H768" s="0" t="n">
        <f aca="false">E768-D768</f>
        <v>0</v>
      </c>
      <c r="I768" s="0" t="n">
        <f aca="false">F768-D768</f>
        <v>0</v>
      </c>
    </row>
    <row r="769" customFormat="false" ht="12" hidden="false" customHeight="false" outlineLevel="0" collapsed="false">
      <c r="H769" s="0" t="n">
        <f aca="false">E769-D769</f>
        <v>0</v>
      </c>
      <c r="I769" s="0" t="n">
        <f aca="false">F769-D769</f>
        <v>0</v>
      </c>
    </row>
    <row r="770" customFormat="false" ht="12" hidden="false" customHeight="false" outlineLevel="0" collapsed="false">
      <c r="H770" s="0" t="n">
        <f aca="false">E770-D770</f>
        <v>0</v>
      </c>
      <c r="I770" s="0" t="n">
        <f aca="false">F770-D770</f>
        <v>0</v>
      </c>
    </row>
    <row r="771" customFormat="false" ht="12" hidden="false" customHeight="false" outlineLevel="0" collapsed="false">
      <c r="H771" s="0" t="n">
        <f aca="false">E771-D771</f>
        <v>0</v>
      </c>
      <c r="I771" s="0" t="n">
        <f aca="false">F771-D771</f>
        <v>0</v>
      </c>
    </row>
    <row r="772" customFormat="false" ht="12" hidden="false" customHeight="false" outlineLevel="0" collapsed="false">
      <c r="H772" s="0" t="n">
        <f aca="false">E772-D772</f>
        <v>0</v>
      </c>
      <c r="I772" s="0" t="n">
        <f aca="false">F772-D772</f>
        <v>0</v>
      </c>
    </row>
    <row r="773" customFormat="false" ht="12" hidden="false" customHeight="false" outlineLevel="0" collapsed="false">
      <c r="H773" s="0" t="n">
        <f aca="false">E773-D773</f>
        <v>0</v>
      </c>
      <c r="I773" s="0" t="n">
        <f aca="false">F773-D773</f>
        <v>0</v>
      </c>
    </row>
    <row r="774" customFormat="false" ht="12" hidden="false" customHeight="false" outlineLevel="0" collapsed="false">
      <c r="H774" s="0" t="n">
        <f aca="false">E774-D774</f>
        <v>0</v>
      </c>
      <c r="I774" s="0" t="n">
        <f aca="false">F774-D774</f>
        <v>0</v>
      </c>
    </row>
    <row r="775" customFormat="false" ht="12" hidden="false" customHeight="false" outlineLevel="0" collapsed="false">
      <c r="H775" s="0" t="n">
        <f aca="false">E775-D775</f>
        <v>0</v>
      </c>
      <c r="I775" s="0" t="n">
        <f aca="false">F775-D775</f>
        <v>0</v>
      </c>
    </row>
    <row r="776" customFormat="false" ht="12" hidden="false" customHeight="false" outlineLevel="0" collapsed="false">
      <c r="H776" s="0" t="n">
        <f aca="false">E776-D776</f>
        <v>0</v>
      </c>
      <c r="I776" s="0" t="n">
        <f aca="false">F776-D776</f>
        <v>0</v>
      </c>
    </row>
    <row r="777" customFormat="false" ht="12" hidden="false" customHeight="false" outlineLevel="0" collapsed="false">
      <c r="H777" s="0" t="n">
        <f aca="false">E777-D777</f>
        <v>0</v>
      </c>
      <c r="I777" s="0" t="n">
        <f aca="false">F777-D777</f>
        <v>0</v>
      </c>
    </row>
    <row r="778" customFormat="false" ht="12" hidden="false" customHeight="false" outlineLevel="0" collapsed="false">
      <c r="H778" s="0" t="n">
        <f aca="false">E778-D778</f>
        <v>0</v>
      </c>
      <c r="I778" s="0" t="n">
        <f aca="false">F778-D778</f>
        <v>0</v>
      </c>
    </row>
    <row r="779" customFormat="false" ht="12" hidden="false" customHeight="false" outlineLevel="0" collapsed="false">
      <c r="H779" s="0" t="n">
        <f aca="false">E779-D779</f>
        <v>0</v>
      </c>
      <c r="I779" s="0" t="n">
        <f aca="false">F779-D779</f>
        <v>0</v>
      </c>
    </row>
    <row r="780" customFormat="false" ht="12" hidden="false" customHeight="false" outlineLevel="0" collapsed="false">
      <c r="H780" s="0" t="n">
        <f aca="false">E780-D780</f>
        <v>0</v>
      </c>
      <c r="I780" s="0" t="n">
        <f aca="false">F780-D780</f>
        <v>0</v>
      </c>
    </row>
    <row r="781" customFormat="false" ht="12" hidden="false" customHeight="false" outlineLevel="0" collapsed="false">
      <c r="H781" s="0" t="n">
        <f aca="false">E781-D781</f>
        <v>0</v>
      </c>
      <c r="I781" s="0" t="n">
        <f aca="false">F781-D781</f>
        <v>0</v>
      </c>
    </row>
    <row r="782" customFormat="false" ht="12" hidden="false" customHeight="false" outlineLevel="0" collapsed="false">
      <c r="H782" s="0" t="n">
        <f aca="false">E782-D782</f>
        <v>0</v>
      </c>
      <c r="I782" s="0" t="n">
        <f aca="false">F782-D782</f>
        <v>0</v>
      </c>
    </row>
    <row r="783" customFormat="false" ht="12" hidden="false" customHeight="false" outlineLevel="0" collapsed="false">
      <c r="H783" s="0" t="n">
        <f aca="false">E783-D783</f>
        <v>0</v>
      </c>
      <c r="I783" s="0" t="n">
        <f aca="false">F783-D783</f>
        <v>0</v>
      </c>
    </row>
    <row r="784" customFormat="false" ht="12" hidden="false" customHeight="false" outlineLevel="0" collapsed="false">
      <c r="H784" s="0" t="n">
        <f aca="false">E784-D784</f>
        <v>0</v>
      </c>
      <c r="I784" s="0" t="n">
        <f aca="false">F784-D784</f>
        <v>0</v>
      </c>
    </row>
    <row r="785" customFormat="false" ht="12" hidden="false" customHeight="false" outlineLevel="0" collapsed="false">
      <c r="H785" s="0" t="n">
        <f aca="false">E785-D785</f>
        <v>0</v>
      </c>
      <c r="I785" s="0" t="n">
        <f aca="false">F785-D785</f>
        <v>0</v>
      </c>
    </row>
    <row r="786" customFormat="false" ht="12" hidden="false" customHeight="false" outlineLevel="0" collapsed="false">
      <c r="H786" s="0" t="n">
        <f aca="false">E786-D786</f>
        <v>0</v>
      </c>
      <c r="I786" s="0" t="n">
        <f aca="false">F786-D786</f>
        <v>0</v>
      </c>
    </row>
    <row r="787" customFormat="false" ht="12" hidden="false" customHeight="false" outlineLevel="0" collapsed="false">
      <c r="H787" s="0" t="n">
        <f aca="false">E787-D787</f>
        <v>0</v>
      </c>
      <c r="I787" s="0" t="n">
        <f aca="false">F787-D787</f>
        <v>0</v>
      </c>
    </row>
    <row r="788" customFormat="false" ht="12" hidden="false" customHeight="false" outlineLevel="0" collapsed="false">
      <c r="H788" s="0" t="n">
        <f aca="false">E788-D788</f>
        <v>0</v>
      </c>
      <c r="I788" s="0" t="n">
        <f aca="false">F788-D788</f>
        <v>0</v>
      </c>
    </row>
    <row r="789" customFormat="false" ht="12" hidden="false" customHeight="false" outlineLevel="0" collapsed="false">
      <c r="H789" s="0" t="n">
        <f aca="false">E789-D789</f>
        <v>0</v>
      </c>
      <c r="I789" s="0" t="n">
        <f aca="false">F789-D789</f>
        <v>0</v>
      </c>
    </row>
    <row r="790" customFormat="false" ht="12" hidden="false" customHeight="false" outlineLevel="0" collapsed="false">
      <c r="H790" s="0" t="n">
        <f aca="false">E790-D790</f>
        <v>0</v>
      </c>
      <c r="I790" s="0" t="n">
        <f aca="false">F790-D790</f>
        <v>0</v>
      </c>
    </row>
    <row r="791" customFormat="false" ht="12" hidden="false" customHeight="false" outlineLevel="0" collapsed="false">
      <c r="H791" s="0" t="n">
        <f aca="false">E791-D791</f>
        <v>0</v>
      </c>
      <c r="I791" s="0" t="n">
        <f aca="false">F791-D791</f>
        <v>0</v>
      </c>
    </row>
    <row r="792" customFormat="false" ht="12" hidden="false" customHeight="false" outlineLevel="0" collapsed="false">
      <c r="H792" s="0" t="n">
        <f aca="false">E792-D792</f>
        <v>0</v>
      </c>
      <c r="I792" s="0" t="n">
        <f aca="false">F792-D792</f>
        <v>0</v>
      </c>
    </row>
    <row r="793" customFormat="false" ht="12" hidden="false" customHeight="false" outlineLevel="0" collapsed="false">
      <c r="H793" s="0" t="n">
        <f aca="false">E793-D793</f>
        <v>0</v>
      </c>
      <c r="I793" s="0" t="n">
        <f aca="false">F793-D793</f>
        <v>0</v>
      </c>
    </row>
    <row r="794" customFormat="false" ht="12" hidden="false" customHeight="false" outlineLevel="0" collapsed="false">
      <c r="H794" s="0" t="n">
        <f aca="false">E794-D794</f>
        <v>0</v>
      </c>
      <c r="I794" s="0" t="n">
        <f aca="false">F794-D794</f>
        <v>0</v>
      </c>
    </row>
    <row r="795" customFormat="false" ht="12" hidden="false" customHeight="false" outlineLevel="0" collapsed="false">
      <c r="H795" s="0" t="n">
        <f aca="false">E795-D795</f>
        <v>0</v>
      </c>
      <c r="I795" s="0" t="n">
        <f aca="false">F795-D795</f>
        <v>0</v>
      </c>
    </row>
    <row r="796" customFormat="false" ht="12" hidden="false" customHeight="false" outlineLevel="0" collapsed="false">
      <c r="H796" s="0" t="n">
        <f aca="false">E796-D796</f>
        <v>0</v>
      </c>
      <c r="I796" s="0" t="n">
        <f aca="false">F796-D796</f>
        <v>0</v>
      </c>
    </row>
    <row r="797" customFormat="false" ht="12" hidden="false" customHeight="false" outlineLevel="0" collapsed="false">
      <c r="H797" s="0" t="n">
        <f aca="false">E797-D797</f>
        <v>0</v>
      </c>
      <c r="I797" s="0" t="n">
        <f aca="false">F797-D797</f>
        <v>0</v>
      </c>
    </row>
    <row r="798" customFormat="false" ht="12" hidden="false" customHeight="false" outlineLevel="0" collapsed="false">
      <c r="H798" s="0" t="n">
        <f aca="false">E798-D798</f>
        <v>0</v>
      </c>
      <c r="I798" s="0" t="n">
        <f aca="false">F798-D798</f>
        <v>0</v>
      </c>
    </row>
    <row r="799" customFormat="false" ht="12" hidden="false" customHeight="false" outlineLevel="0" collapsed="false">
      <c r="H799" s="0" t="n">
        <f aca="false">E799-D799</f>
        <v>0</v>
      </c>
      <c r="I799" s="0" t="n">
        <f aca="false">F799-D799</f>
        <v>0</v>
      </c>
    </row>
    <row r="800" customFormat="false" ht="12" hidden="false" customHeight="false" outlineLevel="0" collapsed="false">
      <c r="H800" s="0" t="n">
        <f aca="false">E800-D800</f>
        <v>0</v>
      </c>
      <c r="I800" s="0" t="n">
        <f aca="false">F800-D800</f>
        <v>0</v>
      </c>
    </row>
    <row r="801" customFormat="false" ht="12" hidden="false" customHeight="false" outlineLevel="0" collapsed="false">
      <c r="H801" s="0" t="n">
        <f aca="false">E801-D801</f>
        <v>0</v>
      </c>
      <c r="I801" s="0" t="n">
        <f aca="false">F801-D801</f>
        <v>0</v>
      </c>
    </row>
    <row r="802" customFormat="false" ht="12" hidden="false" customHeight="false" outlineLevel="0" collapsed="false">
      <c r="H802" s="0" t="n">
        <f aca="false">E802-D802</f>
        <v>0</v>
      </c>
      <c r="I802" s="0" t="n">
        <f aca="false">F802-D802</f>
        <v>0</v>
      </c>
    </row>
    <row r="803" customFormat="false" ht="12" hidden="false" customHeight="false" outlineLevel="0" collapsed="false">
      <c r="H803" s="0" t="n">
        <f aca="false">E803-D803</f>
        <v>0</v>
      </c>
      <c r="I803" s="0" t="n">
        <f aca="false">F803-D803</f>
        <v>0</v>
      </c>
    </row>
    <row r="804" customFormat="false" ht="12" hidden="false" customHeight="false" outlineLevel="0" collapsed="false">
      <c r="H804" s="0" t="n">
        <f aca="false">E804-D804</f>
        <v>0</v>
      </c>
      <c r="I804" s="0" t="n">
        <f aca="false">F804-D804</f>
        <v>0</v>
      </c>
    </row>
    <row r="805" customFormat="false" ht="12" hidden="false" customHeight="false" outlineLevel="0" collapsed="false">
      <c r="H805" s="0" t="n">
        <f aca="false">E805-D805</f>
        <v>0</v>
      </c>
      <c r="I805" s="0" t="n">
        <f aca="false">F805-D805</f>
        <v>0</v>
      </c>
    </row>
    <row r="806" customFormat="false" ht="12" hidden="false" customHeight="false" outlineLevel="0" collapsed="false">
      <c r="H806" s="0" t="n">
        <f aca="false">E806-D806</f>
        <v>0</v>
      </c>
      <c r="I806" s="0" t="n">
        <f aca="false">F806-D806</f>
        <v>0</v>
      </c>
    </row>
    <row r="807" customFormat="false" ht="12" hidden="false" customHeight="false" outlineLevel="0" collapsed="false">
      <c r="H807" s="0" t="n">
        <f aca="false">E807-D807</f>
        <v>0</v>
      </c>
      <c r="I807" s="0" t="n">
        <f aca="false">F807-D807</f>
        <v>0</v>
      </c>
    </row>
    <row r="808" customFormat="false" ht="12" hidden="false" customHeight="false" outlineLevel="0" collapsed="false">
      <c r="H808" s="0" t="n">
        <f aca="false">E808-D808</f>
        <v>0</v>
      </c>
      <c r="I808" s="0" t="n">
        <f aca="false">F808-D808</f>
        <v>0</v>
      </c>
    </row>
    <row r="809" customFormat="false" ht="12" hidden="false" customHeight="false" outlineLevel="0" collapsed="false">
      <c r="H809" s="0" t="n">
        <f aca="false">E809-D809</f>
        <v>0</v>
      </c>
      <c r="I809" s="0" t="n">
        <f aca="false">F809-D809</f>
        <v>0</v>
      </c>
    </row>
    <row r="810" customFormat="false" ht="12" hidden="false" customHeight="false" outlineLevel="0" collapsed="false">
      <c r="H810" s="0" t="n">
        <f aca="false">E810-D810</f>
        <v>0</v>
      </c>
      <c r="I810" s="0" t="n">
        <f aca="false">F810-D810</f>
        <v>0</v>
      </c>
    </row>
    <row r="811" customFormat="false" ht="12" hidden="false" customHeight="false" outlineLevel="0" collapsed="false">
      <c r="H811" s="0" t="n">
        <f aca="false">E811-D811</f>
        <v>0</v>
      </c>
      <c r="I811" s="0" t="n">
        <f aca="false">F811-D811</f>
        <v>0</v>
      </c>
    </row>
    <row r="812" customFormat="false" ht="12" hidden="false" customHeight="false" outlineLevel="0" collapsed="false">
      <c r="H812" s="0" t="n">
        <f aca="false">E812-D812</f>
        <v>0</v>
      </c>
      <c r="I812" s="0" t="n">
        <f aca="false">F812-D812</f>
        <v>0</v>
      </c>
    </row>
    <row r="813" customFormat="false" ht="12" hidden="false" customHeight="false" outlineLevel="0" collapsed="false">
      <c r="H813" s="0" t="n">
        <f aca="false">E813-D813</f>
        <v>0</v>
      </c>
      <c r="I813" s="0" t="n">
        <f aca="false">F813-D813</f>
        <v>0</v>
      </c>
    </row>
    <row r="814" customFormat="false" ht="12" hidden="false" customHeight="false" outlineLevel="0" collapsed="false">
      <c r="H814" s="0" t="n">
        <f aca="false">E814-D814</f>
        <v>0</v>
      </c>
      <c r="I814" s="0" t="n">
        <f aca="false">F814-D814</f>
        <v>0</v>
      </c>
    </row>
    <row r="815" customFormat="false" ht="12" hidden="false" customHeight="false" outlineLevel="0" collapsed="false">
      <c r="H815" s="0" t="n">
        <f aca="false">E815-D815</f>
        <v>0</v>
      </c>
      <c r="I815" s="0" t="n">
        <f aca="false">F815-D815</f>
        <v>0</v>
      </c>
    </row>
    <row r="816" customFormat="false" ht="12" hidden="false" customHeight="false" outlineLevel="0" collapsed="false">
      <c r="H816" s="0" t="n">
        <f aca="false">E816-D816</f>
        <v>0</v>
      </c>
      <c r="I816" s="0" t="n">
        <f aca="false">F816-D816</f>
        <v>0</v>
      </c>
    </row>
    <row r="817" customFormat="false" ht="12" hidden="false" customHeight="false" outlineLevel="0" collapsed="false">
      <c r="H817" s="0" t="n">
        <f aca="false">E817-D817</f>
        <v>0</v>
      </c>
      <c r="I817" s="0" t="n">
        <f aca="false">F817-D817</f>
        <v>0</v>
      </c>
    </row>
    <row r="818" customFormat="false" ht="12" hidden="false" customHeight="false" outlineLevel="0" collapsed="false">
      <c r="H818" s="0" t="n">
        <f aca="false">E818-D818</f>
        <v>0</v>
      </c>
      <c r="I818" s="0" t="n">
        <f aca="false">F818-D818</f>
        <v>0</v>
      </c>
    </row>
    <row r="819" customFormat="false" ht="12" hidden="false" customHeight="false" outlineLevel="0" collapsed="false">
      <c r="H819" s="0" t="n">
        <f aca="false">E819-D819</f>
        <v>0</v>
      </c>
      <c r="I819" s="0" t="n">
        <f aca="false">F819-D819</f>
        <v>0</v>
      </c>
    </row>
    <row r="820" customFormat="false" ht="12" hidden="false" customHeight="false" outlineLevel="0" collapsed="false">
      <c r="H820" s="0" t="n">
        <f aca="false">E820-D820</f>
        <v>0</v>
      </c>
      <c r="I820" s="0" t="n">
        <f aca="false">F820-D820</f>
        <v>0</v>
      </c>
    </row>
    <row r="821" customFormat="false" ht="12" hidden="false" customHeight="false" outlineLevel="0" collapsed="false">
      <c r="H821" s="0" t="n">
        <f aca="false">E821-D821</f>
        <v>0</v>
      </c>
      <c r="I821" s="0" t="n">
        <f aca="false">F821-D821</f>
        <v>0</v>
      </c>
    </row>
    <row r="822" customFormat="false" ht="12" hidden="false" customHeight="false" outlineLevel="0" collapsed="false">
      <c r="H822" s="0" t="n">
        <f aca="false">E822-D822</f>
        <v>0</v>
      </c>
      <c r="I822" s="0" t="n">
        <f aca="false">F822-D822</f>
        <v>0</v>
      </c>
    </row>
    <row r="823" customFormat="false" ht="12" hidden="false" customHeight="false" outlineLevel="0" collapsed="false">
      <c r="H823" s="0" t="n">
        <f aca="false">E823-D823</f>
        <v>0</v>
      </c>
      <c r="I823" s="0" t="n">
        <f aca="false">F823-D823</f>
        <v>0</v>
      </c>
    </row>
    <row r="824" customFormat="false" ht="12" hidden="false" customHeight="false" outlineLevel="0" collapsed="false">
      <c r="H824" s="0" t="n">
        <f aca="false">E824-D824</f>
        <v>0</v>
      </c>
      <c r="I824" s="0" t="n">
        <f aca="false">F824-D824</f>
        <v>0</v>
      </c>
    </row>
    <row r="825" customFormat="false" ht="12" hidden="false" customHeight="false" outlineLevel="0" collapsed="false">
      <c r="H825" s="0" t="n">
        <f aca="false">E825-D825</f>
        <v>0</v>
      </c>
      <c r="I825" s="0" t="n">
        <f aca="false">F825-D825</f>
        <v>0</v>
      </c>
    </row>
    <row r="826" customFormat="false" ht="12" hidden="false" customHeight="false" outlineLevel="0" collapsed="false">
      <c r="H826" s="0" t="n">
        <f aca="false">E826-D826</f>
        <v>0</v>
      </c>
      <c r="I826" s="0" t="n">
        <f aca="false">F826-D826</f>
        <v>0</v>
      </c>
    </row>
    <row r="827" customFormat="false" ht="12" hidden="false" customHeight="false" outlineLevel="0" collapsed="false">
      <c r="H827" s="0" t="n">
        <f aca="false">E827-D827</f>
        <v>0</v>
      </c>
      <c r="I827" s="0" t="n">
        <f aca="false">F827-D827</f>
        <v>0</v>
      </c>
    </row>
    <row r="828" customFormat="false" ht="12" hidden="false" customHeight="false" outlineLevel="0" collapsed="false">
      <c r="H828" s="0" t="n">
        <f aca="false">E828-D828</f>
        <v>0</v>
      </c>
      <c r="I828" s="0" t="n">
        <f aca="false">F828-D828</f>
        <v>0</v>
      </c>
    </row>
    <row r="829" customFormat="false" ht="12" hidden="false" customHeight="false" outlineLevel="0" collapsed="false">
      <c r="H829" s="0" t="n">
        <f aca="false">E829-D829</f>
        <v>0</v>
      </c>
      <c r="I829" s="0" t="n">
        <f aca="false">F829-D829</f>
        <v>0</v>
      </c>
    </row>
    <row r="830" customFormat="false" ht="12" hidden="false" customHeight="false" outlineLevel="0" collapsed="false">
      <c r="H830" s="0" t="n">
        <f aca="false">E830-D830</f>
        <v>0</v>
      </c>
      <c r="I830" s="0" t="n">
        <f aca="false">F830-D830</f>
        <v>0</v>
      </c>
    </row>
    <row r="831" customFormat="false" ht="12" hidden="false" customHeight="false" outlineLevel="0" collapsed="false">
      <c r="H831" s="0" t="n">
        <f aca="false">E831-D831</f>
        <v>0</v>
      </c>
      <c r="I831" s="0" t="n">
        <f aca="false">F831-D831</f>
        <v>0</v>
      </c>
    </row>
    <row r="832" customFormat="false" ht="12" hidden="false" customHeight="false" outlineLevel="0" collapsed="false">
      <c r="H832" s="0" t="n">
        <f aca="false">E832-D832</f>
        <v>0</v>
      </c>
      <c r="I832" s="0" t="n">
        <f aca="false">F832-D832</f>
        <v>0</v>
      </c>
    </row>
    <row r="833" customFormat="false" ht="12" hidden="false" customHeight="false" outlineLevel="0" collapsed="false">
      <c r="H833" s="0" t="n">
        <f aca="false">E833-D833</f>
        <v>0</v>
      </c>
      <c r="I833" s="0" t="n">
        <f aca="false">F833-D833</f>
        <v>0</v>
      </c>
    </row>
    <row r="834" customFormat="false" ht="12" hidden="false" customHeight="false" outlineLevel="0" collapsed="false">
      <c r="H834" s="0" t="n">
        <f aca="false">E834-D834</f>
        <v>0</v>
      </c>
      <c r="I834" s="0" t="n">
        <f aca="false">F834-D834</f>
        <v>0</v>
      </c>
    </row>
    <row r="835" customFormat="false" ht="12" hidden="false" customHeight="false" outlineLevel="0" collapsed="false">
      <c r="H835" s="0" t="n">
        <f aca="false">E835-D835</f>
        <v>0</v>
      </c>
      <c r="I835" s="0" t="n">
        <f aca="false">F835-D835</f>
        <v>0</v>
      </c>
    </row>
    <row r="836" customFormat="false" ht="12" hidden="false" customHeight="false" outlineLevel="0" collapsed="false">
      <c r="H836" s="0" t="n">
        <f aca="false">E836-D836</f>
        <v>0</v>
      </c>
      <c r="I836" s="0" t="n">
        <f aca="false">F836-D836</f>
        <v>0</v>
      </c>
    </row>
    <row r="837" customFormat="false" ht="12" hidden="false" customHeight="false" outlineLevel="0" collapsed="false">
      <c r="H837" s="0" t="n">
        <f aca="false">E837-D837</f>
        <v>0</v>
      </c>
      <c r="I837" s="0" t="n">
        <f aca="false">F837-D837</f>
        <v>0</v>
      </c>
    </row>
    <row r="838" customFormat="false" ht="12" hidden="false" customHeight="false" outlineLevel="0" collapsed="false">
      <c r="H838" s="0" t="n">
        <f aca="false">E838-D838</f>
        <v>0</v>
      </c>
      <c r="I838" s="0" t="n">
        <f aca="false">F838-D838</f>
        <v>0</v>
      </c>
    </row>
    <row r="839" customFormat="false" ht="12" hidden="false" customHeight="false" outlineLevel="0" collapsed="false">
      <c r="H839" s="0" t="n">
        <f aca="false">E839-D839</f>
        <v>0</v>
      </c>
      <c r="I839" s="0" t="n">
        <f aca="false">F839-D839</f>
        <v>0</v>
      </c>
    </row>
    <row r="840" customFormat="false" ht="12" hidden="false" customHeight="false" outlineLevel="0" collapsed="false">
      <c r="H840" s="0" t="n">
        <f aca="false">E840-D840</f>
        <v>0</v>
      </c>
      <c r="I840" s="0" t="n">
        <f aca="false">F840-D840</f>
        <v>0</v>
      </c>
    </row>
    <row r="841" customFormat="false" ht="12" hidden="false" customHeight="false" outlineLevel="0" collapsed="false">
      <c r="H841" s="0" t="n">
        <f aca="false">E841-D841</f>
        <v>0</v>
      </c>
      <c r="I841" s="0" t="n">
        <f aca="false">F841-D841</f>
        <v>0</v>
      </c>
    </row>
    <row r="842" customFormat="false" ht="12" hidden="false" customHeight="false" outlineLevel="0" collapsed="false">
      <c r="H842" s="0" t="n">
        <f aca="false">E842-D842</f>
        <v>0</v>
      </c>
      <c r="I842" s="0" t="n">
        <f aca="false">F842-D842</f>
        <v>0</v>
      </c>
    </row>
    <row r="843" customFormat="false" ht="12" hidden="false" customHeight="false" outlineLevel="0" collapsed="false">
      <c r="H843" s="0" t="n">
        <f aca="false">E843-D843</f>
        <v>0</v>
      </c>
      <c r="I843" s="0" t="n">
        <f aca="false">F843-D843</f>
        <v>0</v>
      </c>
    </row>
    <row r="844" customFormat="false" ht="12" hidden="false" customHeight="false" outlineLevel="0" collapsed="false">
      <c r="H844" s="0" t="n">
        <f aca="false">E844-D844</f>
        <v>0</v>
      </c>
      <c r="I844" s="0" t="n">
        <f aca="false">F844-D844</f>
        <v>0</v>
      </c>
    </row>
    <row r="845" customFormat="false" ht="12" hidden="false" customHeight="false" outlineLevel="0" collapsed="false">
      <c r="H845" s="0" t="n">
        <f aca="false">E845-D845</f>
        <v>0</v>
      </c>
      <c r="I845" s="0" t="n">
        <f aca="false">F845-D845</f>
        <v>0</v>
      </c>
    </row>
    <row r="846" customFormat="false" ht="12" hidden="false" customHeight="false" outlineLevel="0" collapsed="false">
      <c r="H846" s="0" t="n">
        <f aca="false">E846-D846</f>
        <v>0</v>
      </c>
      <c r="I846" s="0" t="n">
        <f aca="false">F846-D846</f>
        <v>0</v>
      </c>
    </row>
    <row r="847" customFormat="false" ht="12" hidden="false" customHeight="false" outlineLevel="0" collapsed="false">
      <c r="H847" s="0" t="n">
        <f aca="false">E847-D847</f>
        <v>0</v>
      </c>
      <c r="I847" s="0" t="n">
        <f aca="false">F847-D847</f>
        <v>0</v>
      </c>
    </row>
    <row r="848" customFormat="false" ht="12" hidden="false" customHeight="false" outlineLevel="0" collapsed="false">
      <c r="H848" s="0" t="n">
        <f aca="false">E848-D848</f>
        <v>0</v>
      </c>
      <c r="I848" s="0" t="n">
        <f aca="false">F848-D848</f>
        <v>0</v>
      </c>
    </row>
    <row r="849" customFormat="false" ht="12" hidden="false" customHeight="false" outlineLevel="0" collapsed="false">
      <c r="H849" s="0" t="n">
        <f aca="false">E849-D849</f>
        <v>0</v>
      </c>
      <c r="I849" s="0" t="n">
        <f aca="false">F849-D849</f>
        <v>0</v>
      </c>
    </row>
    <row r="850" customFormat="false" ht="12" hidden="false" customHeight="false" outlineLevel="0" collapsed="false">
      <c r="H850" s="0" t="n">
        <f aca="false">E850-D850</f>
        <v>0</v>
      </c>
      <c r="I850" s="0" t="n">
        <f aca="false">F850-D850</f>
        <v>0</v>
      </c>
    </row>
    <row r="851" customFormat="false" ht="12" hidden="false" customHeight="false" outlineLevel="0" collapsed="false">
      <c r="H851" s="0" t="n">
        <f aca="false">E851-D851</f>
        <v>0</v>
      </c>
      <c r="I851" s="0" t="n">
        <f aca="false">F851-D851</f>
        <v>0</v>
      </c>
    </row>
    <row r="852" customFormat="false" ht="12" hidden="false" customHeight="false" outlineLevel="0" collapsed="false">
      <c r="H852" s="0" t="n">
        <f aca="false">E852-D852</f>
        <v>0</v>
      </c>
      <c r="I852" s="0" t="n">
        <f aca="false">F852-D852</f>
        <v>0</v>
      </c>
    </row>
    <row r="853" customFormat="false" ht="12" hidden="false" customHeight="false" outlineLevel="0" collapsed="false">
      <c r="H853" s="0" t="n">
        <f aca="false">E853-D853</f>
        <v>0</v>
      </c>
      <c r="I853" s="0" t="n">
        <f aca="false">F853-D853</f>
        <v>0</v>
      </c>
    </row>
    <row r="854" customFormat="false" ht="12" hidden="false" customHeight="false" outlineLevel="0" collapsed="false">
      <c r="H854" s="0" t="n">
        <f aca="false">E854-D854</f>
        <v>0</v>
      </c>
      <c r="I854" s="0" t="n">
        <f aca="false">F854-D854</f>
        <v>0</v>
      </c>
    </row>
    <row r="855" customFormat="false" ht="12" hidden="false" customHeight="false" outlineLevel="0" collapsed="false">
      <c r="H855" s="0" t="n">
        <f aca="false">E855-D855</f>
        <v>0</v>
      </c>
      <c r="I855" s="0" t="n">
        <f aca="false">F855-D855</f>
        <v>0</v>
      </c>
    </row>
    <row r="856" customFormat="false" ht="12" hidden="false" customHeight="false" outlineLevel="0" collapsed="false">
      <c r="H856" s="0" t="n">
        <f aca="false">E856-D856</f>
        <v>0</v>
      </c>
      <c r="I856" s="0" t="n">
        <f aca="false">F856-D856</f>
        <v>0</v>
      </c>
    </row>
    <row r="857" customFormat="false" ht="12" hidden="false" customHeight="false" outlineLevel="0" collapsed="false">
      <c r="H857" s="0" t="n">
        <f aca="false">E857-D857</f>
        <v>0</v>
      </c>
      <c r="I857" s="0" t="n">
        <f aca="false">F857-D857</f>
        <v>0</v>
      </c>
    </row>
    <row r="858" customFormat="false" ht="12" hidden="false" customHeight="false" outlineLevel="0" collapsed="false">
      <c r="H858" s="0" t="n">
        <f aca="false">E858-D858</f>
        <v>0</v>
      </c>
      <c r="I858" s="0" t="n">
        <f aca="false">F858-D858</f>
        <v>0</v>
      </c>
    </row>
    <row r="859" customFormat="false" ht="12" hidden="false" customHeight="false" outlineLevel="0" collapsed="false">
      <c r="H859" s="0" t="n">
        <f aca="false">E859-D859</f>
        <v>0</v>
      </c>
      <c r="I859" s="0" t="n">
        <f aca="false">F859-D859</f>
        <v>0</v>
      </c>
    </row>
    <row r="860" customFormat="false" ht="12" hidden="false" customHeight="false" outlineLevel="0" collapsed="false">
      <c r="H860" s="0" t="n">
        <f aca="false">E860-D860</f>
        <v>0</v>
      </c>
      <c r="I860" s="0" t="n">
        <f aca="false">F860-D860</f>
        <v>0</v>
      </c>
    </row>
    <row r="861" customFormat="false" ht="12" hidden="false" customHeight="false" outlineLevel="0" collapsed="false">
      <c r="H861" s="0" t="n">
        <f aca="false">E861-D861</f>
        <v>0</v>
      </c>
      <c r="I861" s="0" t="n">
        <f aca="false">F861-D861</f>
        <v>0</v>
      </c>
    </row>
    <row r="862" customFormat="false" ht="12" hidden="false" customHeight="false" outlineLevel="0" collapsed="false">
      <c r="H862" s="0" t="n">
        <f aca="false">E862-D862</f>
        <v>0</v>
      </c>
      <c r="I862" s="0" t="n">
        <f aca="false">F862-D862</f>
        <v>0</v>
      </c>
    </row>
    <row r="863" customFormat="false" ht="12" hidden="false" customHeight="false" outlineLevel="0" collapsed="false">
      <c r="H863" s="0" t="n">
        <f aca="false">E863-D863</f>
        <v>0</v>
      </c>
      <c r="I863" s="0" t="n">
        <f aca="false">F863-D863</f>
        <v>0</v>
      </c>
    </row>
    <row r="864" customFormat="false" ht="12" hidden="false" customHeight="false" outlineLevel="0" collapsed="false">
      <c r="H864" s="0" t="n">
        <f aca="false">E864-D864</f>
        <v>0</v>
      </c>
      <c r="I864" s="0" t="n">
        <f aca="false">F864-D864</f>
        <v>0</v>
      </c>
    </row>
    <row r="865" customFormat="false" ht="12" hidden="false" customHeight="false" outlineLevel="0" collapsed="false">
      <c r="H865" s="0" t="n">
        <f aca="false">E865-D865</f>
        <v>0</v>
      </c>
      <c r="I865" s="0" t="n">
        <f aca="false">F865-D865</f>
        <v>0</v>
      </c>
    </row>
    <row r="866" customFormat="false" ht="12" hidden="false" customHeight="false" outlineLevel="0" collapsed="false">
      <c r="H866" s="0" t="n">
        <f aca="false">E866-D866</f>
        <v>0</v>
      </c>
      <c r="I866" s="0" t="n">
        <f aca="false">F866-D866</f>
        <v>0</v>
      </c>
    </row>
    <row r="867" customFormat="false" ht="12" hidden="false" customHeight="false" outlineLevel="0" collapsed="false">
      <c r="H867" s="0" t="n">
        <f aca="false">E867-D867</f>
        <v>0</v>
      </c>
      <c r="I867" s="0" t="n">
        <f aca="false">F867-D867</f>
        <v>0</v>
      </c>
    </row>
    <row r="868" customFormat="false" ht="12" hidden="false" customHeight="false" outlineLevel="0" collapsed="false">
      <c r="H868" s="0" t="n">
        <f aca="false">E868-D868</f>
        <v>0</v>
      </c>
      <c r="I868" s="0" t="n">
        <f aca="false">F868-D868</f>
        <v>0</v>
      </c>
    </row>
    <row r="869" customFormat="false" ht="12" hidden="false" customHeight="false" outlineLevel="0" collapsed="false">
      <c r="H869" s="0" t="n">
        <f aca="false">E869-D869</f>
        <v>0</v>
      </c>
      <c r="I869" s="0" t="n">
        <f aca="false">F869-D869</f>
        <v>0</v>
      </c>
    </row>
    <row r="870" customFormat="false" ht="12" hidden="false" customHeight="false" outlineLevel="0" collapsed="false">
      <c r="H870" s="0" t="n">
        <f aca="false">E870-D870</f>
        <v>0</v>
      </c>
      <c r="I870" s="0" t="n">
        <f aca="false">F870-D870</f>
        <v>0</v>
      </c>
    </row>
    <row r="871" customFormat="false" ht="12" hidden="false" customHeight="false" outlineLevel="0" collapsed="false">
      <c r="H871" s="0" t="n">
        <f aca="false">E871-D871</f>
        <v>0</v>
      </c>
      <c r="I871" s="0" t="n">
        <f aca="false">F871-D871</f>
        <v>0</v>
      </c>
    </row>
    <row r="872" customFormat="false" ht="12" hidden="false" customHeight="false" outlineLevel="0" collapsed="false">
      <c r="H872" s="0" t="n">
        <f aca="false">E872-D872</f>
        <v>0</v>
      </c>
      <c r="I872" s="0" t="n">
        <f aca="false">F872-D872</f>
        <v>0</v>
      </c>
    </row>
    <row r="873" customFormat="false" ht="12" hidden="false" customHeight="false" outlineLevel="0" collapsed="false">
      <c r="H873" s="0" t="n">
        <f aca="false">E873-D873</f>
        <v>0</v>
      </c>
      <c r="I873" s="0" t="n">
        <f aca="false">F873-D873</f>
        <v>0</v>
      </c>
    </row>
    <row r="874" customFormat="false" ht="12" hidden="false" customHeight="false" outlineLevel="0" collapsed="false">
      <c r="H874" s="0" t="n">
        <f aca="false">E874-D874</f>
        <v>0</v>
      </c>
      <c r="I874" s="0" t="n">
        <f aca="false">F874-D874</f>
        <v>0</v>
      </c>
    </row>
    <row r="875" customFormat="false" ht="12" hidden="false" customHeight="false" outlineLevel="0" collapsed="false">
      <c r="H875" s="0" t="n">
        <f aca="false">E875-D875</f>
        <v>0</v>
      </c>
      <c r="I875" s="0" t="n">
        <f aca="false">F875-D875</f>
        <v>0</v>
      </c>
    </row>
    <row r="876" customFormat="false" ht="12" hidden="false" customHeight="false" outlineLevel="0" collapsed="false">
      <c r="H876" s="0" t="n">
        <f aca="false">E876-D876</f>
        <v>0</v>
      </c>
      <c r="I876" s="0" t="n">
        <f aca="false">F876-D876</f>
        <v>0</v>
      </c>
    </row>
    <row r="877" customFormat="false" ht="12" hidden="false" customHeight="false" outlineLevel="0" collapsed="false">
      <c r="H877" s="0" t="n">
        <f aca="false">E877-D877</f>
        <v>0</v>
      </c>
      <c r="I877" s="0" t="n">
        <f aca="false">F877-D877</f>
        <v>0</v>
      </c>
    </row>
    <row r="878" customFormat="false" ht="12" hidden="false" customHeight="false" outlineLevel="0" collapsed="false">
      <c r="H878" s="0" t="n">
        <f aca="false">E878-D878</f>
        <v>0</v>
      </c>
      <c r="I878" s="0" t="n">
        <f aca="false">F878-D878</f>
        <v>0</v>
      </c>
    </row>
    <row r="879" customFormat="false" ht="12" hidden="false" customHeight="false" outlineLevel="0" collapsed="false">
      <c r="H879" s="0" t="n">
        <f aca="false">E879-D879</f>
        <v>0</v>
      </c>
      <c r="I879" s="0" t="n">
        <f aca="false">F879-D879</f>
        <v>0</v>
      </c>
    </row>
    <row r="880" customFormat="false" ht="12" hidden="false" customHeight="false" outlineLevel="0" collapsed="false">
      <c r="H880" s="0" t="n">
        <f aca="false">E880-D880</f>
        <v>0</v>
      </c>
      <c r="I880" s="0" t="n">
        <f aca="false">F880-D880</f>
        <v>0</v>
      </c>
    </row>
    <row r="881" customFormat="false" ht="12" hidden="false" customHeight="false" outlineLevel="0" collapsed="false">
      <c r="H881" s="0" t="n">
        <f aca="false">E881-D881</f>
        <v>0</v>
      </c>
      <c r="I881" s="0" t="n">
        <f aca="false">F881-D881</f>
        <v>0</v>
      </c>
    </row>
    <row r="882" customFormat="false" ht="12" hidden="false" customHeight="false" outlineLevel="0" collapsed="false">
      <c r="H882" s="0" t="n">
        <f aca="false">E882-D882</f>
        <v>0</v>
      </c>
      <c r="I882" s="0" t="n">
        <f aca="false">F882-D882</f>
        <v>0</v>
      </c>
    </row>
    <row r="883" customFormat="false" ht="12" hidden="false" customHeight="false" outlineLevel="0" collapsed="false">
      <c r="H883" s="0" t="n">
        <f aca="false">E883-D883</f>
        <v>0</v>
      </c>
      <c r="I883" s="0" t="n">
        <f aca="false">F883-D883</f>
        <v>0</v>
      </c>
    </row>
    <row r="884" customFormat="false" ht="12" hidden="false" customHeight="false" outlineLevel="0" collapsed="false">
      <c r="H884" s="0" t="n">
        <f aca="false">E884-D884</f>
        <v>0</v>
      </c>
      <c r="I884" s="0" t="n">
        <f aca="false">F884-D884</f>
        <v>0</v>
      </c>
    </row>
    <row r="885" customFormat="false" ht="12" hidden="false" customHeight="false" outlineLevel="0" collapsed="false">
      <c r="H885" s="0" t="n">
        <f aca="false">E885-D885</f>
        <v>0</v>
      </c>
      <c r="I885" s="0" t="n">
        <f aca="false">F885-D885</f>
        <v>0</v>
      </c>
    </row>
    <row r="886" customFormat="false" ht="12" hidden="false" customHeight="false" outlineLevel="0" collapsed="false">
      <c r="H886" s="0" t="n">
        <f aca="false">E886-D886</f>
        <v>0</v>
      </c>
      <c r="I886" s="0" t="n">
        <f aca="false">F886-D886</f>
        <v>0</v>
      </c>
    </row>
    <row r="887" customFormat="false" ht="12" hidden="false" customHeight="false" outlineLevel="0" collapsed="false">
      <c r="H887" s="0" t="n">
        <f aca="false">E887-D887</f>
        <v>0</v>
      </c>
      <c r="I887" s="0" t="n">
        <f aca="false">F887-D887</f>
        <v>0</v>
      </c>
    </row>
    <row r="888" customFormat="false" ht="12" hidden="false" customHeight="false" outlineLevel="0" collapsed="false">
      <c r="H888" s="0" t="n">
        <f aca="false">E888-D888</f>
        <v>0</v>
      </c>
      <c r="I888" s="0" t="n">
        <f aca="false">F888-D888</f>
        <v>0</v>
      </c>
    </row>
    <row r="889" customFormat="false" ht="12" hidden="false" customHeight="false" outlineLevel="0" collapsed="false">
      <c r="H889" s="0" t="n">
        <f aca="false">E889-D889</f>
        <v>0</v>
      </c>
      <c r="I889" s="0" t="n">
        <f aca="false">F889-D889</f>
        <v>0</v>
      </c>
    </row>
    <row r="890" customFormat="false" ht="12" hidden="false" customHeight="false" outlineLevel="0" collapsed="false">
      <c r="H890" s="0" t="n">
        <f aca="false">E890-D890</f>
        <v>0</v>
      </c>
      <c r="I890" s="0" t="n">
        <f aca="false">F890-D890</f>
        <v>0</v>
      </c>
    </row>
    <row r="891" customFormat="false" ht="12" hidden="false" customHeight="false" outlineLevel="0" collapsed="false">
      <c r="H891" s="0" t="n">
        <f aca="false">E891-D891</f>
        <v>0</v>
      </c>
      <c r="I891" s="0" t="n">
        <f aca="false">F891-D891</f>
        <v>0</v>
      </c>
    </row>
    <row r="892" customFormat="false" ht="12" hidden="false" customHeight="false" outlineLevel="0" collapsed="false">
      <c r="H892" s="0" t="n">
        <f aca="false">E892-D892</f>
        <v>0</v>
      </c>
      <c r="I892" s="0" t="n">
        <f aca="false">F892-D892</f>
        <v>0</v>
      </c>
    </row>
    <row r="893" customFormat="false" ht="12" hidden="false" customHeight="false" outlineLevel="0" collapsed="false">
      <c r="H893" s="0" t="n">
        <f aca="false">E893-D893</f>
        <v>0</v>
      </c>
      <c r="I893" s="0" t="n">
        <f aca="false">F893-D893</f>
        <v>0</v>
      </c>
    </row>
    <row r="894" customFormat="false" ht="12" hidden="false" customHeight="false" outlineLevel="0" collapsed="false">
      <c r="H894" s="0" t="n">
        <f aca="false">E894-D894</f>
        <v>0</v>
      </c>
      <c r="I894" s="0" t="n">
        <f aca="false">F894-D894</f>
        <v>0</v>
      </c>
    </row>
    <row r="895" customFormat="false" ht="12" hidden="false" customHeight="false" outlineLevel="0" collapsed="false">
      <c r="H895" s="0" t="n">
        <f aca="false">E895-D895</f>
        <v>0</v>
      </c>
      <c r="I895" s="0" t="n">
        <f aca="false">F895-D895</f>
        <v>0</v>
      </c>
    </row>
    <row r="896" customFormat="false" ht="12" hidden="false" customHeight="false" outlineLevel="0" collapsed="false">
      <c r="H896" s="0" t="n">
        <f aca="false">E896-D896</f>
        <v>0</v>
      </c>
      <c r="I896" s="0" t="n">
        <f aca="false">F896-D896</f>
        <v>0</v>
      </c>
    </row>
    <row r="897" customFormat="false" ht="12" hidden="false" customHeight="false" outlineLevel="0" collapsed="false">
      <c r="H897" s="0" t="n">
        <f aca="false">E897-D897</f>
        <v>0</v>
      </c>
      <c r="I897" s="0" t="n">
        <f aca="false">F897-D897</f>
        <v>0</v>
      </c>
    </row>
    <row r="898" customFormat="false" ht="12" hidden="false" customHeight="false" outlineLevel="0" collapsed="false">
      <c r="H898" s="0" t="n">
        <f aca="false">E898-D898</f>
        <v>0</v>
      </c>
      <c r="I898" s="0" t="n">
        <f aca="false">F898-D898</f>
        <v>0</v>
      </c>
    </row>
    <row r="899" customFormat="false" ht="12" hidden="false" customHeight="false" outlineLevel="0" collapsed="false">
      <c r="H899" s="0" t="n">
        <f aca="false">E899-D899</f>
        <v>0</v>
      </c>
      <c r="I899" s="0" t="n">
        <f aca="false">F899-D899</f>
        <v>0</v>
      </c>
    </row>
    <row r="900" customFormat="false" ht="12" hidden="false" customHeight="false" outlineLevel="0" collapsed="false">
      <c r="H900" s="0" t="n">
        <f aca="false">E900-D900</f>
        <v>0</v>
      </c>
      <c r="I900" s="0" t="n">
        <f aca="false">F900-D900</f>
        <v>0</v>
      </c>
    </row>
    <row r="901" customFormat="false" ht="12" hidden="false" customHeight="false" outlineLevel="0" collapsed="false">
      <c r="H901" s="0" t="n">
        <f aca="false">E901-D901</f>
        <v>0</v>
      </c>
      <c r="I901" s="0" t="n">
        <f aca="false">F901-D901</f>
        <v>0</v>
      </c>
    </row>
    <row r="902" customFormat="false" ht="12" hidden="false" customHeight="false" outlineLevel="0" collapsed="false">
      <c r="H902" s="0" t="n">
        <f aca="false">E902-D902</f>
        <v>0</v>
      </c>
      <c r="I902" s="0" t="n">
        <f aca="false">F902-D902</f>
        <v>0</v>
      </c>
    </row>
    <row r="903" customFormat="false" ht="12" hidden="false" customHeight="false" outlineLevel="0" collapsed="false">
      <c r="H903" s="0" t="n">
        <f aca="false">E903-D903</f>
        <v>0</v>
      </c>
      <c r="I903" s="0" t="n">
        <f aca="false">F903-D903</f>
        <v>0</v>
      </c>
    </row>
    <row r="904" customFormat="false" ht="12" hidden="false" customHeight="false" outlineLevel="0" collapsed="false">
      <c r="H904" s="0" t="n">
        <f aca="false">E904-D904</f>
        <v>0</v>
      </c>
      <c r="I904" s="0" t="n">
        <f aca="false">F904-D904</f>
        <v>0</v>
      </c>
    </row>
    <row r="905" customFormat="false" ht="12" hidden="false" customHeight="false" outlineLevel="0" collapsed="false">
      <c r="H905" s="0" t="n">
        <f aca="false">E905-D905</f>
        <v>0</v>
      </c>
      <c r="I905" s="0" t="n">
        <f aca="false">F905-D905</f>
        <v>0</v>
      </c>
    </row>
    <row r="906" customFormat="false" ht="12" hidden="false" customHeight="false" outlineLevel="0" collapsed="false">
      <c r="H906" s="0" t="n">
        <f aca="false">E906-D906</f>
        <v>0</v>
      </c>
      <c r="I906" s="0" t="n">
        <f aca="false">F906-D906</f>
        <v>0</v>
      </c>
    </row>
    <row r="907" customFormat="false" ht="12" hidden="false" customHeight="false" outlineLevel="0" collapsed="false">
      <c r="H907" s="0" t="n">
        <f aca="false">E907-D907</f>
        <v>0</v>
      </c>
      <c r="I907" s="0" t="n">
        <f aca="false">F907-D907</f>
        <v>0</v>
      </c>
    </row>
    <row r="908" customFormat="false" ht="12" hidden="false" customHeight="false" outlineLevel="0" collapsed="false">
      <c r="H908" s="0" t="n">
        <f aca="false">E908-D908</f>
        <v>0</v>
      </c>
      <c r="I908" s="0" t="n">
        <f aca="false">F908-D908</f>
        <v>0</v>
      </c>
    </row>
    <row r="909" customFormat="false" ht="12" hidden="false" customHeight="false" outlineLevel="0" collapsed="false">
      <c r="H909" s="0" t="n">
        <f aca="false">E909-D909</f>
        <v>0</v>
      </c>
      <c r="I909" s="0" t="n">
        <f aca="false">F909-D909</f>
        <v>0</v>
      </c>
    </row>
    <row r="910" customFormat="false" ht="12" hidden="false" customHeight="false" outlineLevel="0" collapsed="false">
      <c r="H910" s="0" t="n">
        <f aca="false">E910-D910</f>
        <v>0</v>
      </c>
      <c r="I910" s="0" t="n">
        <f aca="false">F910-D910</f>
        <v>0</v>
      </c>
    </row>
    <row r="911" customFormat="false" ht="12" hidden="false" customHeight="false" outlineLevel="0" collapsed="false">
      <c r="H911" s="0" t="n">
        <f aca="false">E911-D911</f>
        <v>0</v>
      </c>
      <c r="I911" s="0" t="n">
        <f aca="false">F911-D911</f>
        <v>0</v>
      </c>
    </row>
    <row r="912" customFormat="false" ht="12" hidden="false" customHeight="false" outlineLevel="0" collapsed="false">
      <c r="H912" s="0" t="n">
        <f aca="false">E912-D912</f>
        <v>0</v>
      </c>
      <c r="I912" s="0" t="n">
        <f aca="false">F912-D912</f>
        <v>0</v>
      </c>
    </row>
    <row r="913" customFormat="false" ht="12" hidden="false" customHeight="false" outlineLevel="0" collapsed="false">
      <c r="H913" s="0" t="n">
        <f aca="false">E913-D913</f>
        <v>0</v>
      </c>
      <c r="I913" s="0" t="n">
        <f aca="false">F913-D913</f>
        <v>0</v>
      </c>
    </row>
    <row r="914" customFormat="false" ht="12" hidden="false" customHeight="false" outlineLevel="0" collapsed="false">
      <c r="H914" s="0" t="n">
        <f aca="false">E914-D914</f>
        <v>0</v>
      </c>
      <c r="I914" s="0" t="n">
        <f aca="false">F914-D914</f>
        <v>0</v>
      </c>
    </row>
    <row r="915" customFormat="false" ht="12" hidden="false" customHeight="false" outlineLevel="0" collapsed="false">
      <c r="H915" s="0" t="n">
        <f aca="false">E915-D915</f>
        <v>0</v>
      </c>
      <c r="I915" s="0" t="n">
        <f aca="false">F915-D915</f>
        <v>0</v>
      </c>
    </row>
    <row r="916" customFormat="false" ht="12" hidden="false" customHeight="false" outlineLevel="0" collapsed="false">
      <c r="H916" s="0" t="n">
        <f aca="false">E916-D916</f>
        <v>0</v>
      </c>
      <c r="I916" s="0" t="n">
        <f aca="false">F916-D916</f>
        <v>0</v>
      </c>
    </row>
    <row r="917" customFormat="false" ht="12" hidden="false" customHeight="false" outlineLevel="0" collapsed="false">
      <c r="H917" s="0" t="n">
        <f aca="false">E917-D917</f>
        <v>0</v>
      </c>
      <c r="I917" s="0" t="n">
        <f aca="false">F917-D917</f>
        <v>0</v>
      </c>
    </row>
    <row r="918" customFormat="false" ht="12" hidden="false" customHeight="false" outlineLevel="0" collapsed="false">
      <c r="H918" s="0" t="n">
        <f aca="false">E918-D918</f>
        <v>0</v>
      </c>
      <c r="I918" s="0" t="n">
        <f aca="false">F918-D918</f>
        <v>0</v>
      </c>
    </row>
    <row r="919" customFormat="false" ht="12" hidden="false" customHeight="false" outlineLevel="0" collapsed="false">
      <c r="H919" s="0" t="n">
        <f aca="false">E919-D919</f>
        <v>0</v>
      </c>
      <c r="I919" s="0" t="n">
        <f aca="false">F919-D919</f>
        <v>0</v>
      </c>
    </row>
    <row r="920" customFormat="false" ht="12" hidden="false" customHeight="false" outlineLevel="0" collapsed="false">
      <c r="H920" s="0" t="n">
        <f aca="false">E920-D920</f>
        <v>0</v>
      </c>
      <c r="I920" s="0" t="n">
        <f aca="false">F920-D920</f>
        <v>0</v>
      </c>
    </row>
    <row r="921" customFormat="false" ht="12" hidden="false" customHeight="false" outlineLevel="0" collapsed="false">
      <c r="H921" s="0" t="n">
        <f aca="false">E921-D921</f>
        <v>0</v>
      </c>
      <c r="I921" s="0" t="n">
        <f aca="false">F921-D921</f>
        <v>0</v>
      </c>
    </row>
    <row r="922" customFormat="false" ht="12" hidden="false" customHeight="false" outlineLevel="0" collapsed="false">
      <c r="H922" s="0" t="n">
        <f aca="false">E922-D922</f>
        <v>0</v>
      </c>
      <c r="I922" s="0" t="n">
        <f aca="false">F922-D922</f>
        <v>0</v>
      </c>
    </row>
    <row r="923" customFormat="false" ht="12" hidden="false" customHeight="false" outlineLevel="0" collapsed="false">
      <c r="H923" s="0" t="n">
        <f aca="false">E923-D923</f>
        <v>0</v>
      </c>
      <c r="I923" s="0" t="n">
        <f aca="false">F923-D923</f>
        <v>0</v>
      </c>
    </row>
    <row r="924" customFormat="false" ht="12" hidden="false" customHeight="false" outlineLevel="0" collapsed="false">
      <c r="H924" s="0" t="n">
        <f aca="false">E924-D924</f>
        <v>0</v>
      </c>
      <c r="I924" s="0" t="n">
        <f aca="false">F924-D924</f>
        <v>0</v>
      </c>
    </row>
    <row r="925" customFormat="false" ht="12" hidden="false" customHeight="false" outlineLevel="0" collapsed="false">
      <c r="H925" s="0" t="n">
        <f aca="false">E925-D925</f>
        <v>0</v>
      </c>
      <c r="I925" s="0" t="n">
        <f aca="false">F925-D925</f>
        <v>0</v>
      </c>
    </row>
    <row r="926" customFormat="false" ht="12" hidden="false" customHeight="false" outlineLevel="0" collapsed="false">
      <c r="H926" s="0" t="n">
        <f aca="false">E926-D926</f>
        <v>0</v>
      </c>
      <c r="I926" s="0" t="n">
        <f aca="false">F926-D926</f>
        <v>0</v>
      </c>
    </row>
    <row r="927" customFormat="false" ht="12" hidden="false" customHeight="false" outlineLevel="0" collapsed="false">
      <c r="H927" s="0" t="n">
        <f aca="false">E927-D927</f>
        <v>0</v>
      </c>
      <c r="I927" s="0" t="n">
        <f aca="false">F927-D927</f>
        <v>0</v>
      </c>
    </row>
    <row r="928" customFormat="false" ht="12" hidden="false" customHeight="false" outlineLevel="0" collapsed="false">
      <c r="H928" s="0" t="n">
        <f aca="false">E928-D928</f>
        <v>0</v>
      </c>
      <c r="I928" s="0" t="n">
        <f aca="false">F928-D928</f>
        <v>0</v>
      </c>
    </row>
    <row r="929" customFormat="false" ht="12" hidden="false" customHeight="false" outlineLevel="0" collapsed="false">
      <c r="H929" s="0" t="n">
        <f aca="false">E929-D929</f>
        <v>0</v>
      </c>
      <c r="I929" s="0" t="n">
        <f aca="false">F929-D929</f>
        <v>0</v>
      </c>
    </row>
    <row r="930" customFormat="false" ht="12" hidden="false" customHeight="false" outlineLevel="0" collapsed="false">
      <c r="H930" s="0" t="n">
        <f aca="false">E930-D930</f>
        <v>0</v>
      </c>
      <c r="I930" s="0" t="n">
        <f aca="false">F930-D930</f>
        <v>0</v>
      </c>
    </row>
    <row r="931" customFormat="false" ht="12" hidden="false" customHeight="false" outlineLevel="0" collapsed="false">
      <c r="H931" s="0" t="n">
        <f aca="false">E931-D931</f>
        <v>0</v>
      </c>
      <c r="I931" s="0" t="n">
        <f aca="false">F931-D931</f>
        <v>0</v>
      </c>
    </row>
    <row r="932" customFormat="false" ht="12" hidden="false" customHeight="false" outlineLevel="0" collapsed="false">
      <c r="H932" s="0" t="n">
        <f aca="false">E932-D932</f>
        <v>0</v>
      </c>
      <c r="I932" s="0" t="n">
        <f aca="false">F932-D932</f>
        <v>0</v>
      </c>
    </row>
    <row r="933" customFormat="false" ht="12" hidden="false" customHeight="false" outlineLevel="0" collapsed="false">
      <c r="H933" s="0" t="n">
        <f aca="false">E933-D933</f>
        <v>0</v>
      </c>
      <c r="I933" s="0" t="n">
        <f aca="false">F933-D933</f>
        <v>0</v>
      </c>
    </row>
    <row r="934" customFormat="false" ht="12" hidden="false" customHeight="false" outlineLevel="0" collapsed="false">
      <c r="H934" s="0" t="n">
        <f aca="false">E934-D934</f>
        <v>0</v>
      </c>
      <c r="I934" s="0" t="n">
        <f aca="false">F934-D934</f>
        <v>0</v>
      </c>
    </row>
    <row r="935" customFormat="false" ht="12" hidden="false" customHeight="false" outlineLevel="0" collapsed="false">
      <c r="H935" s="0" t="n">
        <f aca="false">E935-D935</f>
        <v>0</v>
      </c>
      <c r="I935" s="0" t="n">
        <f aca="false">F935-D935</f>
        <v>0</v>
      </c>
    </row>
    <row r="936" customFormat="false" ht="12" hidden="false" customHeight="false" outlineLevel="0" collapsed="false">
      <c r="H936" s="0" t="n">
        <f aca="false">E936-D936</f>
        <v>0</v>
      </c>
      <c r="I936" s="0" t="n">
        <f aca="false">F936-D936</f>
        <v>0</v>
      </c>
    </row>
    <row r="937" customFormat="false" ht="12" hidden="false" customHeight="false" outlineLevel="0" collapsed="false">
      <c r="H937" s="0" t="n">
        <f aca="false">E937-D937</f>
        <v>0</v>
      </c>
      <c r="I937" s="0" t="n">
        <f aca="false">F937-D937</f>
        <v>0</v>
      </c>
    </row>
    <row r="938" customFormat="false" ht="12" hidden="false" customHeight="false" outlineLevel="0" collapsed="false">
      <c r="H938" s="0" t="n">
        <f aca="false">E938-D938</f>
        <v>0</v>
      </c>
      <c r="I938" s="0" t="n">
        <f aca="false">F938-D938</f>
        <v>0</v>
      </c>
    </row>
    <row r="939" customFormat="false" ht="12" hidden="false" customHeight="false" outlineLevel="0" collapsed="false">
      <c r="H939" s="0" t="n">
        <f aca="false">E939-D939</f>
        <v>0</v>
      </c>
      <c r="I939" s="0" t="n">
        <f aca="false">F939-D939</f>
        <v>0</v>
      </c>
    </row>
    <row r="940" customFormat="false" ht="12" hidden="false" customHeight="false" outlineLevel="0" collapsed="false">
      <c r="H940" s="0" t="n">
        <f aca="false">E940-D940</f>
        <v>0</v>
      </c>
      <c r="I940" s="0" t="n">
        <f aca="false">F940-D940</f>
        <v>0</v>
      </c>
    </row>
    <row r="941" customFormat="false" ht="12" hidden="false" customHeight="false" outlineLevel="0" collapsed="false">
      <c r="H941" s="0" t="n">
        <f aca="false">E941-D941</f>
        <v>0</v>
      </c>
      <c r="I941" s="0" t="n">
        <f aca="false">F941-D941</f>
        <v>0</v>
      </c>
    </row>
    <row r="942" customFormat="false" ht="12" hidden="false" customHeight="false" outlineLevel="0" collapsed="false">
      <c r="H942" s="0" t="n">
        <f aca="false">E942-D942</f>
        <v>0</v>
      </c>
      <c r="I942" s="0" t="n">
        <f aca="false">F942-D942</f>
        <v>0</v>
      </c>
    </row>
    <row r="943" customFormat="false" ht="12" hidden="false" customHeight="false" outlineLevel="0" collapsed="false">
      <c r="H943" s="0" t="n">
        <f aca="false">E943-D943</f>
        <v>0</v>
      </c>
      <c r="I943" s="0" t="n">
        <f aca="false">F943-D943</f>
        <v>0</v>
      </c>
    </row>
    <row r="944" customFormat="false" ht="12" hidden="false" customHeight="false" outlineLevel="0" collapsed="false">
      <c r="H944" s="0" t="n">
        <f aca="false">E944-D944</f>
        <v>0</v>
      </c>
      <c r="I944" s="0" t="n">
        <f aca="false">F944-D944</f>
        <v>0</v>
      </c>
    </row>
    <row r="945" customFormat="false" ht="12" hidden="false" customHeight="false" outlineLevel="0" collapsed="false">
      <c r="H945" s="0" t="n">
        <f aca="false">E945-D945</f>
        <v>0</v>
      </c>
      <c r="I945" s="0" t="n">
        <f aca="false">F945-D945</f>
        <v>0</v>
      </c>
    </row>
    <row r="946" customFormat="false" ht="12" hidden="false" customHeight="false" outlineLevel="0" collapsed="false">
      <c r="H946" s="0" t="n">
        <f aca="false">E946-D946</f>
        <v>0</v>
      </c>
      <c r="I946" s="0" t="n">
        <f aca="false">F946-D946</f>
        <v>0</v>
      </c>
    </row>
    <row r="947" customFormat="false" ht="12" hidden="false" customHeight="false" outlineLevel="0" collapsed="false">
      <c r="H947" s="0" t="n">
        <f aca="false">E947-D947</f>
        <v>0</v>
      </c>
      <c r="I947" s="0" t="n">
        <f aca="false">F947-D947</f>
        <v>0</v>
      </c>
    </row>
    <row r="948" customFormat="false" ht="12" hidden="false" customHeight="false" outlineLevel="0" collapsed="false">
      <c r="H948" s="0" t="n">
        <f aca="false">E948-D948</f>
        <v>0</v>
      </c>
      <c r="I948" s="0" t="n">
        <f aca="false">F948-D948</f>
        <v>0</v>
      </c>
    </row>
    <row r="949" customFormat="false" ht="12" hidden="false" customHeight="false" outlineLevel="0" collapsed="false">
      <c r="H949" s="0" t="n">
        <f aca="false">E949-D949</f>
        <v>0</v>
      </c>
      <c r="I949" s="0" t="n">
        <f aca="false">F949-D949</f>
        <v>0</v>
      </c>
    </row>
    <row r="950" customFormat="false" ht="12" hidden="false" customHeight="false" outlineLevel="0" collapsed="false">
      <c r="H950" s="0" t="n">
        <f aca="false">E950-D950</f>
        <v>0</v>
      </c>
      <c r="I950" s="0" t="n">
        <f aca="false">F950-D950</f>
        <v>0</v>
      </c>
    </row>
    <row r="951" customFormat="false" ht="12" hidden="false" customHeight="false" outlineLevel="0" collapsed="false">
      <c r="H951" s="0" t="n">
        <f aca="false">E951-D951</f>
        <v>0</v>
      </c>
      <c r="I951" s="0" t="n">
        <f aca="false">F951-D951</f>
        <v>0</v>
      </c>
    </row>
    <row r="952" customFormat="false" ht="12" hidden="false" customHeight="false" outlineLevel="0" collapsed="false">
      <c r="H952" s="0" t="n">
        <f aca="false">E952-D952</f>
        <v>0</v>
      </c>
      <c r="I952" s="0" t="n">
        <f aca="false">F952-D952</f>
        <v>0</v>
      </c>
    </row>
    <row r="953" customFormat="false" ht="12" hidden="false" customHeight="false" outlineLevel="0" collapsed="false">
      <c r="H953" s="0" t="n">
        <f aca="false">E953-D953</f>
        <v>0</v>
      </c>
      <c r="I953" s="0" t="n">
        <f aca="false">F953-D953</f>
        <v>0</v>
      </c>
    </row>
    <row r="954" customFormat="false" ht="12" hidden="false" customHeight="false" outlineLevel="0" collapsed="false">
      <c r="H954" s="0" t="n">
        <f aca="false">E954-D954</f>
        <v>0</v>
      </c>
      <c r="I954" s="0" t="n">
        <f aca="false">F954-D954</f>
        <v>0</v>
      </c>
    </row>
    <row r="955" customFormat="false" ht="12" hidden="false" customHeight="false" outlineLevel="0" collapsed="false">
      <c r="H955" s="0" t="n">
        <f aca="false">E955-D955</f>
        <v>0</v>
      </c>
      <c r="I955" s="0" t="n">
        <f aca="false">F955-D955</f>
        <v>0</v>
      </c>
    </row>
    <row r="956" customFormat="false" ht="12" hidden="false" customHeight="false" outlineLevel="0" collapsed="false">
      <c r="H956" s="0" t="n">
        <f aca="false">E956-D956</f>
        <v>0</v>
      </c>
      <c r="I956" s="0" t="n">
        <f aca="false">F956-D956</f>
        <v>0</v>
      </c>
    </row>
    <row r="957" customFormat="false" ht="12" hidden="false" customHeight="false" outlineLevel="0" collapsed="false">
      <c r="H957" s="0" t="n">
        <f aca="false">E957-D957</f>
        <v>0</v>
      </c>
      <c r="I957" s="0" t="n">
        <f aca="false">F957-D957</f>
        <v>0</v>
      </c>
    </row>
    <row r="958" customFormat="false" ht="12" hidden="false" customHeight="false" outlineLevel="0" collapsed="false">
      <c r="H958" s="0" t="n">
        <f aca="false">E958-D958</f>
        <v>0</v>
      </c>
      <c r="I958" s="0" t="n">
        <f aca="false">F958-D958</f>
        <v>0</v>
      </c>
    </row>
    <row r="959" customFormat="false" ht="12" hidden="false" customHeight="false" outlineLevel="0" collapsed="false">
      <c r="H959" s="0" t="n">
        <f aca="false">E959-D959</f>
        <v>0</v>
      </c>
      <c r="I959" s="0" t="n">
        <f aca="false">F959-D959</f>
        <v>0</v>
      </c>
    </row>
    <row r="960" customFormat="false" ht="12" hidden="false" customHeight="false" outlineLevel="0" collapsed="false">
      <c r="H960" s="0" t="n">
        <f aca="false">E960-D960</f>
        <v>0</v>
      </c>
      <c r="I960" s="0" t="n">
        <f aca="false">F960-D960</f>
        <v>0</v>
      </c>
    </row>
    <row r="961" customFormat="false" ht="12" hidden="false" customHeight="false" outlineLevel="0" collapsed="false">
      <c r="H961" s="0" t="n">
        <f aca="false">E961-D961</f>
        <v>0</v>
      </c>
      <c r="I961" s="0" t="n">
        <f aca="false">F961-D961</f>
        <v>0</v>
      </c>
    </row>
    <row r="962" customFormat="false" ht="12" hidden="false" customHeight="false" outlineLevel="0" collapsed="false">
      <c r="H962" s="0" t="n">
        <f aca="false">E962-D962</f>
        <v>0</v>
      </c>
      <c r="I962" s="0" t="n">
        <f aca="false">F962-D962</f>
        <v>0</v>
      </c>
    </row>
    <row r="963" customFormat="false" ht="12" hidden="false" customHeight="false" outlineLevel="0" collapsed="false">
      <c r="H963" s="0" t="n">
        <f aca="false">E963-D963</f>
        <v>0</v>
      </c>
      <c r="I963" s="0" t="n">
        <f aca="false">F963-D963</f>
        <v>0</v>
      </c>
    </row>
    <row r="964" customFormat="false" ht="12" hidden="false" customHeight="false" outlineLevel="0" collapsed="false">
      <c r="H964" s="0" t="n">
        <f aca="false">E964-D964</f>
        <v>0</v>
      </c>
      <c r="I964" s="0" t="n">
        <f aca="false">F964-D964</f>
        <v>0</v>
      </c>
    </row>
    <row r="965" customFormat="false" ht="12" hidden="false" customHeight="false" outlineLevel="0" collapsed="false">
      <c r="H965" s="0" t="n">
        <f aca="false">E965-D965</f>
        <v>0</v>
      </c>
      <c r="I965" s="0" t="n">
        <f aca="false">F965-D965</f>
        <v>0</v>
      </c>
    </row>
    <row r="966" customFormat="false" ht="12" hidden="false" customHeight="false" outlineLevel="0" collapsed="false">
      <c r="H966" s="0" t="n">
        <f aca="false">E966-D966</f>
        <v>0</v>
      </c>
      <c r="I966" s="0" t="n">
        <f aca="false">F966-D966</f>
        <v>0</v>
      </c>
    </row>
    <row r="967" customFormat="false" ht="12" hidden="false" customHeight="false" outlineLevel="0" collapsed="false">
      <c r="H967" s="0" t="n">
        <f aca="false">E967-D967</f>
        <v>0</v>
      </c>
      <c r="I967" s="0" t="n">
        <f aca="false">F967-D967</f>
        <v>0</v>
      </c>
    </row>
    <row r="968" customFormat="false" ht="12" hidden="false" customHeight="false" outlineLevel="0" collapsed="false">
      <c r="H968" s="0" t="n">
        <f aca="false">E968-D968</f>
        <v>0</v>
      </c>
      <c r="I968" s="0" t="n">
        <f aca="false">F968-D968</f>
        <v>0</v>
      </c>
    </row>
    <row r="969" customFormat="false" ht="12" hidden="false" customHeight="false" outlineLevel="0" collapsed="false">
      <c r="H969" s="0" t="n">
        <f aca="false">E969-D969</f>
        <v>0</v>
      </c>
      <c r="I969" s="0" t="n">
        <f aca="false">F969-D969</f>
        <v>0</v>
      </c>
    </row>
    <row r="970" customFormat="false" ht="12" hidden="false" customHeight="false" outlineLevel="0" collapsed="false">
      <c r="H970" s="0" t="n">
        <f aca="false">E970-D970</f>
        <v>0</v>
      </c>
      <c r="I970" s="0" t="n">
        <f aca="false">F970-D970</f>
        <v>0</v>
      </c>
    </row>
    <row r="971" customFormat="false" ht="12" hidden="false" customHeight="false" outlineLevel="0" collapsed="false">
      <c r="H971" s="0" t="n">
        <f aca="false">E971-D971</f>
        <v>0</v>
      </c>
      <c r="I971" s="0" t="n">
        <f aca="false">F971-D971</f>
        <v>0</v>
      </c>
    </row>
    <row r="972" customFormat="false" ht="12" hidden="false" customHeight="false" outlineLevel="0" collapsed="false">
      <c r="H972" s="0" t="n">
        <f aca="false">E972-D972</f>
        <v>0</v>
      </c>
      <c r="I972" s="0" t="n">
        <f aca="false">F972-D972</f>
        <v>0</v>
      </c>
    </row>
    <row r="973" customFormat="false" ht="12" hidden="false" customHeight="false" outlineLevel="0" collapsed="false">
      <c r="H973" s="0" t="n">
        <f aca="false">E973-D973</f>
        <v>0</v>
      </c>
      <c r="I973" s="0" t="n">
        <f aca="false">F973-D973</f>
        <v>0</v>
      </c>
    </row>
    <row r="974" customFormat="false" ht="12" hidden="false" customHeight="false" outlineLevel="0" collapsed="false">
      <c r="H974" s="0" t="n">
        <f aca="false">E974-D974</f>
        <v>0</v>
      </c>
      <c r="I974" s="0" t="n">
        <f aca="false">F974-D974</f>
        <v>0</v>
      </c>
    </row>
    <row r="975" customFormat="false" ht="12" hidden="false" customHeight="false" outlineLevel="0" collapsed="false">
      <c r="H975" s="0" t="n">
        <f aca="false">E975-D975</f>
        <v>0</v>
      </c>
      <c r="I975" s="0" t="n">
        <f aca="false">F975-D975</f>
        <v>0</v>
      </c>
    </row>
    <row r="976" customFormat="false" ht="12" hidden="false" customHeight="false" outlineLevel="0" collapsed="false">
      <c r="H976" s="0" t="n">
        <f aca="false">E976-D976</f>
        <v>0</v>
      </c>
      <c r="I976" s="0" t="n">
        <f aca="false">F976-D976</f>
        <v>0</v>
      </c>
    </row>
    <row r="977" customFormat="false" ht="12" hidden="false" customHeight="false" outlineLevel="0" collapsed="false">
      <c r="H977" s="0" t="n">
        <f aca="false">E977-D977</f>
        <v>0</v>
      </c>
      <c r="I977" s="0" t="n">
        <f aca="false">F977-D977</f>
        <v>0</v>
      </c>
    </row>
    <row r="978" customFormat="false" ht="12" hidden="false" customHeight="false" outlineLevel="0" collapsed="false">
      <c r="H978" s="0" t="n">
        <f aca="false">E978-D978</f>
        <v>0</v>
      </c>
      <c r="I978" s="0" t="n">
        <f aca="false">F978-D978</f>
        <v>0</v>
      </c>
    </row>
    <row r="979" customFormat="false" ht="12" hidden="false" customHeight="false" outlineLevel="0" collapsed="false">
      <c r="H979" s="0" t="n">
        <f aca="false">E979-D979</f>
        <v>0</v>
      </c>
      <c r="I979" s="0" t="n">
        <f aca="false">F979-D979</f>
        <v>0</v>
      </c>
    </row>
    <row r="980" customFormat="false" ht="12" hidden="false" customHeight="false" outlineLevel="0" collapsed="false">
      <c r="H980" s="0" t="n">
        <f aca="false">E980-D980</f>
        <v>0</v>
      </c>
      <c r="I980" s="0" t="n">
        <f aca="false">F980-D980</f>
        <v>0</v>
      </c>
    </row>
    <row r="981" customFormat="false" ht="12" hidden="false" customHeight="false" outlineLevel="0" collapsed="false">
      <c r="H981" s="0" t="n">
        <f aca="false">E981-D981</f>
        <v>0</v>
      </c>
      <c r="I981" s="0" t="n">
        <f aca="false">F981-D981</f>
        <v>0</v>
      </c>
    </row>
    <row r="982" customFormat="false" ht="12" hidden="false" customHeight="false" outlineLevel="0" collapsed="false">
      <c r="H982" s="0" t="n">
        <f aca="false">E982-D982</f>
        <v>0</v>
      </c>
      <c r="I982" s="0" t="n">
        <f aca="false">F982-D982</f>
        <v>0</v>
      </c>
    </row>
    <row r="983" customFormat="false" ht="12" hidden="false" customHeight="false" outlineLevel="0" collapsed="false">
      <c r="H983" s="0" t="n">
        <f aca="false">E983-D983</f>
        <v>0</v>
      </c>
      <c r="I983" s="0" t="n">
        <f aca="false">F983-D983</f>
        <v>0</v>
      </c>
    </row>
    <row r="984" customFormat="false" ht="12" hidden="false" customHeight="false" outlineLevel="0" collapsed="false">
      <c r="H984" s="0" t="n">
        <f aca="false">E984-D984</f>
        <v>0</v>
      </c>
      <c r="I984" s="0" t="n">
        <f aca="false">F984-D984</f>
        <v>0</v>
      </c>
    </row>
    <row r="985" customFormat="false" ht="12" hidden="false" customHeight="false" outlineLevel="0" collapsed="false">
      <c r="H985" s="0" t="n">
        <f aca="false">E985-D985</f>
        <v>0</v>
      </c>
      <c r="I985" s="0" t="n">
        <f aca="false">F985-D985</f>
        <v>0</v>
      </c>
    </row>
    <row r="986" customFormat="false" ht="12" hidden="false" customHeight="false" outlineLevel="0" collapsed="false">
      <c r="H986" s="0" t="n">
        <f aca="false">E986-D986</f>
        <v>0</v>
      </c>
      <c r="I986" s="0" t="n">
        <f aca="false">F986-D986</f>
        <v>0</v>
      </c>
    </row>
    <row r="987" customFormat="false" ht="12" hidden="false" customHeight="false" outlineLevel="0" collapsed="false">
      <c r="H987" s="0" t="n">
        <f aca="false">E987-D987</f>
        <v>0</v>
      </c>
      <c r="I987" s="0" t="n">
        <f aca="false">F987-D987</f>
        <v>0</v>
      </c>
    </row>
    <row r="988" customFormat="false" ht="12" hidden="false" customHeight="false" outlineLevel="0" collapsed="false">
      <c r="H988" s="0" t="n">
        <f aca="false">E988-D988</f>
        <v>0</v>
      </c>
      <c r="I988" s="0" t="n">
        <f aca="false">F988-D988</f>
        <v>0</v>
      </c>
    </row>
    <row r="989" customFormat="false" ht="12" hidden="false" customHeight="false" outlineLevel="0" collapsed="false">
      <c r="H989" s="0" t="n">
        <f aca="false">E989-D989</f>
        <v>0</v>
      </c>
      <c r="I989" s="0" t="n">
        <f aca="false">F989-D989</f>
        <v>0</v>
      </c>
    </row>
    <row r="990" customFormat="false" ht="12" hidden="false" customHeight="false" outlineLevel="0" collapsed="false">
      <c r="H990" s="0" t="n">
        <f aca="false">E990-D990</f>
        <v>0</v>
      </c>
      <c r="I990" s="0" t="n">
        <f aca="false">F990-D990</f>
        <v>0</v>
      </c>
    </row>
    <row r="991" customFormat="false" ht="12" hidden="false" customHeight="false" outlineLevel="0" collapsed="false">
      <c r="H991" s="0" t="n">
        <f aca="false">E991-D991</f>
        <v>0</v>
      </c>
      <c r="I991" s="0" t="n">
        <f aca="false">F991-D991</f>
        <v>0</v>
      </c>
    </row>
    <row r="992" customFormat="false" ht="12" hidden="false" customHeight="false" outlineLevel="0" collapsed="false">
      <c r="H992" s="0" t="n">
        <f aca="false">E992-D992</f>
        <v>0</v>
      </c>
      <c r="I992" s="0" t="n">
        <f aca="false">F992-D992</f>
        <v>0</v>
      </c>
    </row>
    <row r="993" customFormat="false" ht="12" hidden="false" customHeight="false" outlineLevel="0" collapsed="false">
      <c r="H993" s="0" t="n">
        <f aca="false">E993-D993</f>
        <v>0</v>
      </c>
      <c r="I993" s="0" t="n">
        <f aca="false">F993-D993</f>
        <v>0</v>
      </c>
    </row>
    <row r="994" customFormat="false" ht="12" hidden="false" customHeight="false" outlineLevel="0" collapsed="false">
      <c r="H994" s="0" t="n">
        <f aca="false">E994-D994</f>
        <v>0</v>
      </c>
      <c r="I994" s="0" t="n">
        <f aca="false">F994-D994</f>
        <v>0</v>
      </c>
    </row>
    <row r="995" customFormat="false" ht="12" hidden="false" customHeight="false" outlineLevel="0" collapsed="false">
      <c r="H995" s="0" t="n">
        <f aca="false">E995-D995</f>
        <v>0</v>
      </c>
      <c r="I995" s="0" t="n">
        <f aca="false">F995-D995</f>
        <v>0</v>
      </c>
    </row>
    <row r="996" customFormat="false" ht="12" hidden="false" customHeight="false" outlineLevel="0" collapsed="false">
      <c r="H996" s="0" t="n">
        <f aca="false">E996-D996</f>
        <v>0</v>
      </c>
      <c r="I996" s="0" t="n">
        <f aca="false">F996-D996</f>
        <v>0</v>
      </c>
    </row>
    <row r="997" customFormat="false" ht="12" hidden="false" customHeight="false" outlineLevel="0" collapsed="false">
      <c r="H997" s="0" t="n">
        <f aca="false">E997-D997</f>
        <v>0</v>
      </c>
      <c r="I997" s="0" t="n">
        <f aca="false">F997-D997</f>
        <v>0</v>
      </c>
    </row>
    <row r="998" customFormat="false" ht="12" hidden="false" customHeight="false" outlineLevel="0" collapsed="false">
      <c r="H998" s="0" t="n">
        <f aca="false">E998-D998</f>
        <v>0</v>
      </c>
      <c r="I998" s="0" t="n">
        <f aca="false">F998-D998</f>
        <v>0</v>
      </c>
    </row>
    <row r="999" customFormat="false" ht="12" hidden="false" customHeight="false" outlineLevel="0" collapsed="false">
      <c r="H999" s="0" t="n">
        <f aca="false">E999-D999</f>
        <v>0</v>
      </c>
      <c r="I999" s="0" t="n">
        <f aca="false">F999-D999</f>
        <v>0</v>
      </c>
    </row>
    <row r="1000" customFormat="false" ht="12" hidden="false" customHeight="false" outlineLevel="0" collapsed="false">
      <c r="H1000" s="0" t="n">
        <f aca="false">E1000-D1000</f>
        <v>0</v>
      </c>
      <c r="I1000" s="0" t="n">
        <f aca="false">F1000-D1000</f>
        <v>0</v>
      </c>
    </row>
    <row r="1001" customFormat="false" ht="12" hidden="false" customHeight="false" outlineLevel="0" collapsed="false">
      <c r="H1001" s="0" t="n">
        <f aca="false">E1001-D1001</f>
        <v>0</v>
      </c>
      <c r="I1001" s="0" t="n">
        <f aca="false">F1001-D1001</f>
        <v>0</v>
      </c>
    </row>
    <row r="1002" customFormat="false" ht="12" hidden="false" customHeight="false" outlineLevel="0" collapsed="false">
      <c r="H1002" s="0" t="n">
        <f aca="false">E1002-D1002</f>
        <v>0</v>
      </c>
      <c r="I1002" s="0" t="n">
        <f aca="false">F1002-D1002</f>
        <v>0</v>
      </c>
    </row>
    <row r="1003" customFormat="false" ht="12" hidden="false" customHeight="false" outlineLevel="0" collapsed="false">
      <c r="H1003" s="0" t="n">
        <f aca="false">E1003-D1003</f>
        <v>0</v>
      </c>
      <c r="I1003" s="0" t="n">
        <f aca="false">F1003-D1003</f>
        <v>0</v>
      </c>
    </row>
    <row r="1004" customFormat="false" ht="12" hidden="false" customHeight="false" outlineLevel="0" collapsed="false">
      <c r="H1004" s="0" t="n">
        <f aca="false">E1004-D1004</f>
        <v>0</v>
      </c>
      <c r="I1004" s="0" t="n">
        <f aca="false">F1004-D1004</f>
        <v>0</v>
      </c>
    </row>
    <row r="1005" customFormat="false" ht="12" hidden="false" customHeight="false" outlineLevel="0" collapsed="false">
      <c r="H1005" s="0" t="n">
        <f aca="false">E1005-D1005</f>
        <v>0</v>
      </c>
      <c r="I1005" s="0" t="n">
        <f aca="false">F1005-D1005</f>
        <v>0</v>
      </c>
    </row>
    <row r="1006" customFormat="false" ht="12" hidden="false" customHeight="false" outlineLevel="0" collapsed="false">
      <c r="H1006" s="0" t="n">
        <f aca="false">E1006-D1006</f>
        <v>0</v>
      </c>
      <c r="I1006" s="0" t="n">
        <f aca="false">F1006-D1006</f>
        <v>0</v>
      </c>
    </row>
    <row r="1007" customFormat="false" ht="12" hidden="false" customHeight="false" outlineLevel="0" collapsed="false">
      <c r="H1007" s="0" t="n">
        <f aca="false">E1007-D1007</f>
        <v>0</v>
      </c>
      <c r="I1007" s="0" t="n">
        <f aca="false">F1007-D1007</f>
        <v>0</v>
      </c>
    </row>
    <row r="1008" customFormat="false" ht="12" hidden="false" customHeight="false" outlineLevel="0" collapsed="false">
      <c r="H1008" s="0" t="n">
        <f aca="false">E1008-D1008</f>
        <v>0</v>
      </c>
      <c r="I1008" s="0" t="n">
        <f aca="false">F1008-D1008</f>
        <v>0</v>
      </c>
    </row>
    <row r="1009" customFormat="false" ht="12" hidden="false" customHeight="false" outlineLevel="0" collapsed="false">
      <c r="H1009" s="0" t="n">
        <f aca="false">E1009-D1009</f>
        <v>0</v>
      </c>
      <c r="I1009" s="0" t="n">
        <f aca="false">F1009-D1009</f>
        <v>0</v>
      </c>
    </row>
    <row r="1010" customFormat="false" ht="12" hidden="false" customHeight="false" outlineLevel="0" collapsed="false">
      <c r="H1010" s="0" t="n">
        <f aca="false">E1010-D1010</f>
        <v>0</v>
      </c>
      <c r="I1010" s="0" t="n">
        <f aca="false">F1010-D1010</f>
        <v>0</v>
      </c>
    </row>
    <row r="1011" customFormat="false" ht="12" hidden="false" customHeight="false" outlineLevel="0" collapsed="false">
      <c r="H1011" s="0" t="n">
        <f aca="false">E1011-D1011</f>
        <v>0</v>
      </c>
      <c r="I1011" s="0" t="n">
        <f aca="false">F1011-D1011</f>
        <v>0</v>
      </c>
    </row>
    <row r="1012" customFormat="false" ht="12" hidden="false" customHeight="false" outlineLevel="0" collapsed="false">
      <c r="H1012" s="0" t="n">
        <f aca="false">E1012-D1012</f>
        <v>0</v>
      </c>
      <c r="I1012" s="0" t="n">
        <f aca="false">F1012-D1012</f>
        <v>0</v>
      </c>
    </row>
    <row r="1013" customFormat="false" ht="12" hidden="false" customHeight="false" outlineLevel="0" collapsed="false">
      <c r="H1013" s="0" t="n">
        <f aca="false">E1013-D1013</f>
        <v>0</v>
      </c>
      <c r="I1013" s="0" t="n">
        <f aca="false">F1013-D1013</f>
        <v>0</v>
      </c>
    </row>
    <row r="1014" customFormat="false" ht="12" hidden="false" customHeight="false" outlineLevel="0" collapsed="false">
      <c r="H1014" s="0" t="n">
        <f aca="false">E1014-D1014</f>
        <v>0</v>
      </c>
      <c r="I1014" s="0" t="n">
        <f aca="false">F1014-D1014</f>
        <v>0</v>
      </c>
    </row>
    <row r="1015" customFormat="false" ht="12" hidden="false" customHeight="false" outlineLevel="0" collapsed="false">
      <c r="H1015" s="0" t="n">
        <f aca="false">E1015-D1015</f>
        <v>0</v>
      </c>
      <c r="I1015" s="0" t="n">
        <f aca="false">F1015-D1015</f>
        <v>0</v>
      </c>
    </row>
    <row r="1016" customFormat="false" ht="12" hidden="false" customHeight="false" outlineLevel="0" collapsed="false">
      <c r="H1016" s="0" t="n">
        <f aca="false">E1016-D1016</f>
        <v>0</v>
      </c>
      <c r="I1016" s="0" t="n">
        <f aca="false">F1016-D1016</f>
        <v>0</v>
      </c>
    </row>
    <row r="1017" customFormat="false" ht="12" hidden="false" customHeight="false" outlineLevel="0" collapsed="false">
      <c r="H1017" s="0" t="n">
        <f aca="false">E1017-D1017</f>
        <v>0</v>
      </c>
      <c r="I1017" s="0" t="n">
        <f aca="false">F1017-D1017</f>
        <v>0</v>
      </c>
    </row>
    <row r="1018" customFormat="false" ht="12" hidden="false" customHeight="false" outlineLevel="0" collapsed="false">
      <c r="H1018" s="0" t="n">
        <f aca="false">E1018-D1018</f>
        <v>0</v>
      </c>
      <c r="I1018" s="0" t="n">
        <f aca="false">F1018-D1018</f>
        <v>0</v>
      </c>
    </row>
    <row r="1019" customFormat="false" ht="12" hidden="false" customHeight="false" outlineLevel="0" collapsed="false">
      <c r="H1019" s="0" t="n">
        <f aca="false">E1019-D1019</f>
        <v>0</v>
      </c>
      <c r="I1019" s="0" t="n">
        <f aca="false">F1019-D1019</f>
        <v>0</v>
      </c>
    </row>
    <row r="1020" customFormat="false" ht="12" hidden="false" customHeight="false" outlineLevel="0" collapsed="false">
      <c r="H1020" s="0" t="n">
        <f aca="false">E1020-D1020</f>
        <v>0</v>
      </c>
      <c r="I1020" s="0" t="n">
        <f aca="false">F1020-D1020</f>
        <v>0</v>
      </c>
    </row>
    <row r="1021" customFormat="false" ht="12" hidden="false" customHeight="false" outlineLevel="0" collapsed="false">
      <c r="H1021" s="0" t="n">
        <f aca="false">E1021-D1021</f>
        <v>0</v>
      </c>
      <c r="I1021" s="0" t="n">
        <f aca="false">F1021-D1021</f>
        <v>0</v>
      </c>
    </row>
    <row r="1022" customFormat="false" ht="12" hidden="false" customHeight="false" outlineLevel="0" collapsed="false">
      <c r="H1022" s="0" t="n">
        <f aca="false">E1022-D1022</f>
        <v>0</v>
      </c>
      <c r="I1022" s="0" t="n">
        <f aca="false">F1022-D1022</f>
        <v>0</v>
      </c>
    </row>
    <row r="1023" customFormat="false" ht="12" hidden="false" customHeight="false" outlineLevel="0" collapsed="false">
      <c r="H1023" s="0" t="n">
        <f aca="false">E1023-D1023</f>
        <v>0</v>
      </c>
      <c r="I1023" s="0" t="n">
        <f aca="false">F1023-D1023</f>
        <v>0</v>
      </c>
    </row>
    <row r="1024" customFormat="false" ht="12" hidden="false" customHeight="false" outlineLevel="0" collapsed="false">
      <c r="H1024" s="0" t="n">
        <f aca="false">E1024-D1024</f>
        <v>0</v>
      </c>
      <c r="I1024" s="0" t="n">
        <f aca="false">F1024-D1024</f>
        <v>0</v>
      </c>
    </row>
    <row r="1025" customFormat="false" ht="12" hidden="false" customHeight="false" outlineLevel="0" collapsed="false">
      <c r="H1025" s="0" t="n">
        <f aca="false">E1025-D1025</f>
        <v>0</v>
      </c>
      <c r="I1025" s="0" t="n">
        <f aca="false">F1025-D1025</f>
        <v>0</v>
      </c>
    </row>
    <row r="1026" customFormat="false" ht="12" hidden="false" customHeight="false" outlineLevel="0" collapsed="false">
      <c r="H1026" s="0" t="n">
        <f aca="false">E1026-D1026</f>
        <v>0</v>
      </c>
      <c r="I1026" s="0" t="n">
        <f aca="false">F1026-D1026</f>
        <v>0</v>
      </c>
    </row>
    <row r="1027" customFormat="false" ht="12" hidden="false" customHeight="false" outlineLevel="0" collapsed="false">
      <c r="H1027" s="0" t="n">
        <f aca="false">E1027-D1027</f>
        <v>0</v>
      </c>
      <c r="I1027" s="0" t="n">
        <f aca="false">F1027-D1027</f>
        <v>0</v>
      </c>
    </row>
    <row r="1028" customFormat="false" ht="12" hidden="false" customHeight="false" outlineLevel="0" collapsed="false">
      <c r="H1028" s="0" t="n">
        <f aca="false">E1028-D1028</f>
        <v>0</v>
      </c>
      <c r="I1028" s="0" t="n">
        <f aca="false">F1028-D1028</f>
        <v>0</v>
      </c>
    </row>
    <row r="1029" customFormat="false" ht="12" hidden="false" customHeight="false" outlineLevel="0" collapsed="false">
      <c r="H1029" s="0" t="n">
        <f aca="false">E1029-D1029</f>
        <v>0</v>
      </c>
      <c r="I1029" s="0" t="n">
        <f aca="false">F1029-D1029</f>
        <v>0</v>
      </c>
    </row>
    <row r="1030" customFormat="false" ht="12" hidden="false" customHeight="false" outlineLevel="0" collapsed="false">
      <c r="H1030" s="0" t="n">
        <f aca="false">E1030-D1030</f>
        <v>0</v>
      </c>
      <c r="I1030" s="0" t="n">
        <f aca="false">F1030-D1030</f>
        <v>0</v>
      </c>
    </row>
    <row r="1031" customFormat="false" ht="12" hidden="false" customHeight="false" outlineLevel="0" collapsed="false">
      <c r="H1031" s="0" t="n">
        <f aca="false">E1031-D1031</f>
        <v>0</v>
      </c>
      <c r="I1031" s="0" t="n">
        <f aca="false">F1031-D1031</f>
        <v>0</v>
      </c>
    </row>
    <row r="1032" customFormat="false" ht="12" hidden="false" customHeight="false" outlineLevel="0" collapsed="false">
      <c r="H1032" s="0" t="n">
        <f aca="false">E1032-D1032</f>
        <v>0</v>
      </c>
      <c r="I1032" s="0" t="n">
        <f aca="false">F1032-D1032</f>
        <v>0</v>
      </c>
    </row>
    <row r="1033" customFormat="false" ht="12" hidden="false" customHeight="false" outlineLevel="0" collapsed="false">
      <c r="H1033" s="0" t="n">
        <f aca="false">E1033-D1033</f>
        <v>0</v>
      </c>
      <c r="I1033" s="0" t="n">
        <f aca="false">F1033-D1033</f>
        <v>0</v>
      </c>
    </row>
    <row r="1034" customFormat="false" ht="12" hidden="false" customHeight="false" outlineLevel="0" collapsed="false">
      <c r="H1034" s="0" t="n">
        <f aca="false">E1034-D1034</f>
        <v>0</v>
      </c>
      <c r="I1034" s="0" t="n">
        <f aca="false">F1034-D1034</f>
        <v>0</v>
      </c>
    </row>
    <row r="1035" customFormat="false" ht="12" hidden="false" customHeight="false" outlineLevel="0" collapsed="false">
      <c r="H1035" s="0" t="n">
        <f aca="false">E1035-D1035</f>
        <v>0</v>
      </c>
      <c r="I1035" s="0" t="n">
        <f aca="false">F1035-D1035</f>
        <v>0</v>
      </c>
    </row>
    <row r="1036" customFormat="false" ht="12" hidden="false" customHeight="false" outlineLevel="0" collapsed="false">
      <c r="H1036" s="0" t="n">
        <f aca="false">E1036-D1036</f>
        <v>0</v>
      </c>
      <c r="I1036" s="0" t="n">
        <f aca="false">F1036-D1036</f>
        <v>0</v>
      </c>
    </row>
    <row r="1037" customFormat="false" ht="12" hidden="false" customHeight="false" outlineLevel="0" collapsed="false">
      <c r="H1037" s="0" t="n">
        <f aca="false">E1037-D1037</f>
        <v>0</v>
      </c>
      <c r="I1037" s="0" t="n">
        <f aca="false">F1037-D1037</f>
        <v>0</v>
      </c>
    </row>
    <row r="1038" customFormat="false" ht="12" hidden="false" customHeight="false" outlineLevel="0" collapsed="false">
      <c r="H1038" s="0" t="n">
        <f aca="false">E1038-D1038</f>
        <v>0</v>
      </c>
      <c r="I1038" s="0" t="n">
        <f aca="false">F1038-D1038</f>
        <v>0</v>
      </c>
    </row>
    <row r="1039" customFormat="false" ht="12" hidden="false" customHeight="false" outlineLevel="0" collapsed="false">
      <c r="H1039" s="0" t="n">
        <f aca="false">E1039-D1039</f>
        <v>0</v>
      </c>
      <c r="I1039" s="0" t="n">
        <f aca="false">F1039-D1039</f>
        <v>0</v>
      </c>
    </row>
    <row r="1040" customFormat="false" ht="12" hidden="false" customHeight="false" outlineLevel="0" collapsed="false">
      <c r="H1040" s="0" t="n">
        <f aca="false">E1040-D1040</f>
        <v>0</v>
      </c>
      <c r="I1040" s="0" t="n">
        <f aca="false">F1040-D1040</f>
        <v>0</v>
      </c>
    </row>
    <row r="1041" customFormat="false" ht="12" hidden="false" customHeight="false" outlineLevel="0" collapsed="false">
      <c r="H1041" s="0" t="n">
        <f aca="false">E1041-D1041</f>
        <v>0</v>
      </c>
      <c r="I1041" s="0" t="n">
        <f aca="false">F1041-D1041</f>
        <v>0</v>
      </c>
    </row>
    <row r="1042" customFormat="false" ht="12" hidden="false" customHeight="false" outlineLevel="0" collapsed="false">
      <c r="H1042" s="0" t="n">
        <f aca="false">E1042-D1042</f>
        <v>0</v>
      </c>
      <c r="I1042" s="0" t="n">
        <f aca="false">F1042-D1042</f>
        <v>0</v>
      </c>
    </row>
    <row r="1043" customFormat="false" ht="12" hidden="false" customHeight="false" outlineLevel="0" collapsed="false">
      <c r="H1043" s="0" t="n">
        <f aca="false">E1043-D1043</f>
        <v>0</v>
      </c>
      <c r="I1043" s="0" t="n">
        <f aca="false">F1043-D1043</f>
        <v>0</v>
      </c>
    </row>
    <row r="1044" customFormat="false" ht="12" hidden="false" customHeight="false" outlineLevel="0" collapsed="false">
      <c r="H1044" s="0" t="n">
        <f aca="false">E1044-D1044</f>
        <v>0</v>
      </c>
      <c r="I1044" s="0" t="n">
        <f aca="false">F1044-D1044</f>
        <v>0</v>
      </c>
    </row>
    <row r="1045" customFormat="false" ht="12" hidden="false" customHeight="false" outlineLevel="0" collapsed="false">
      <c r="H1045" s="0" t="n">
        <f aca="false">E1045-D1045</f>
        <v>0</v>
      </c>
      <c r="I1045" s="0" t="n">
        <f aca="false">F1045-D1045</f>
        <v>0</v>
      </c>
    </row>
    <row r="1046" customFormat="false" ht="12" hidden="false" customHeight="false" outlineLevel="0" collapsed="false">
      <c r="H1046" s="0" t="n">
        <f aca="false">E1046-D1046</f>
        <v>0</v>
      </c>
      <c r="I1046" s="0" t="n">
        <f aca="false">F1046-D1046</f>
        <v>0</v>
      </c>
    </row>
    <row r="1047" customFormat="false" ht="12" hidden="false" customHeight="false" outlineLevel="0" collapsed="false">
      <c r="H1047" s="0" t="n">
        <f aca="false">E1047-D1047</f>
        <v>0</v>
      </c>
      <c r="I1047" s="0" t="n">
        <f aca="false">F1047-D1047</f>
        <v>0</v>
      </c>
    </row>
    <row r="1048" customFormat="false" ht="12" hidden="false" customHeight="false" outlineLevel="0" collapsed="false">
      <c r="H1048" s="0" t="n">
        <f aca="false">E1048-D1048</f>
        <v>0</v>
      </c>
      <c r="I1048" s="0" t="n">
        <f aca="false">F1048-D1048</f>
        <v>0</v>
      </c>
    </row>
    <row r="1049" customFormat="false" ht="12" hidden="false" customHeight="false" outlineLevel="0" collapsed="false">
      <c r="H1049" s="0" t="n">
        <f aca="false">E1049-D1049</f>
        <v>0</v>
      </c>
      <c r="I1049" s="0" t="n">
        <f aca="false">F1049-D1049</f>
        <v>0</v>
      </c>
    </row>
    <row r="1050" customFormat="false" ht="12" hidden="false" customHeight="false" outlineLevel="0" collapsed="false">
      <c r="H1050" s="0" t="n">
        <f aca="false">E1050-D1050</f>
        <v>0</v>
      </c>
      <c r="I1050" s="0" t="n">
        <f aca="false">F1050-D1050</f>
        <v>0</v>
      </c>
    </row>
    <row r="1051" customFormat="false" ht="12" hidden="false" customHeight="false" outlineLevel="0" collapsed="false">
      <c r="H1051" s="0" t="n">
        <f aca="false">E1051-D1051</f>
        <v>0</v>
      </c>
      <c r="I1051" s="0" t="n">
        <f aca="false">F1051-D1051</f>
        <v>0</v>
      </c>
    </row>
    <row r="1052" customFormat="false" ht="12" hidden="false" customHeight="false" outlineLevel="0" collapsed="false">
      <c r="H1052" s="0" t="n">
        <f aca="false">E1052-D1052</f>
        <v>0</v>
      </c>
      <c r="I1052" s="0" t="n">
        <f aca="false">F1052-D1052</f>
        <v>0</v>
      </c>
    </row>
    <row r="1053" customFormat="false" ht="12" hidden="false" customHeight="false" outlineLevel="0" collapsed="false">
      <c r="H1053" s="0" t="n">
        <f aca="false">E1053-D1053</f>
        <v>0</v>
      </c>
      <c r="I1053" s="0" t="n">
        <f aca="false">F1053-D1053</f>
        <v>0</v>
      </c>
    </row>
    <row r="1054" customFormat="false" ht="12" hidden="false" customHeight="false" outlineLevel="0" collapsed="false">
      <c r="H1054" s="0" t="n">
        <f aca="false">E1054-D1054</f>
        <v>0</v>
      </c>
      <c r="I1054" s="0" t="n">
        <f aca="false">F1054-D1054</f>
        <v>0</v>
      </c>
    </row>
    <row r="1055" customFormat="false" ht="12" hidden="false" customHeight="false" outlineLevel="0" collapsed="false">
      <c r="H1055" s="0" t="n">
        <f aca="false">E1055-D1055</f>
        <v>0</v>
      </c>
      <c r="I1055" s="0" t="n">
        <f aca="false">F1055-D1055</f>
        <v>0</v>
      </c>
    </row>
    <row r="1056" customFormat="false" ht="12" hidden="false" customHeight="false" outlineLevel="0" collapsed="false">
      <c r="H1056" s="0" t="n">
        <f aca="false">E1056-D1056</f>
        <v>0</v>
      </c>
      <c r="I1056" s="0" t="n">
        <f aca="false">F1056-D1056</f>
        <v>0</v>
      </c>
    </row>
    <row r="1057" customFormat="false" ht="12" hidden="false" customHeight="false" outlineLevel="0" collapsed="false">
      <c r="H1057" s="0" t="n">
        <f aca="false">E1057-D1057</f>
        <v>0</v>
      </c>
      <c r="I1057" s="0" t="n">
        <f aca="false">F1057-D1057</f>
        <v>0</v>
      </c>
    </row>
    <row r="1058" customFormat="false" ht="12" hidden="false" customHeight="false" outlineLevel="0" collapsed="false">
      <c r="H1058" s="0" t="n">
        <f aca="false">E1058-D1058</f>
        <v>0</v>
      </c>
      <c r="I1058" s="0" t="n">
        <f aca="false">F1058-D1058</f>
        <v>0</v>
      </c>
    </row>
    <row r="1059" customFormat="false" ht="12" hidden="false" customHeight="false" outlineLevel="0" collapsed="false">
      <c r="H1059" s="0" t="n">
        <f aca="false">E1059-D1059</f>
        <v>0</v>
      </c>
      <c r="I1059" s="0" t="n">
        <f aca="false">F1059-D1059</f>
        <v>0</v>
      </c>
    </row>
    <row r="1060" customFormat="false" ht="12" hidden="false" customHeight="false" outlineLevel="0" collapsed="false">
      <c r="H1060" s="0" t="n">
        <f aca="false">E1060-D1060</f>
        <v>0</v>
      </c>
      <c r="I1060" s="0" t="n">
        <f aca="false">F1060-D1060</f>
        <v>0</v>
      </c>
    </row>
    <row r="1061" customFormat="false" ht="12" hidden="false" customHeight="false" outlineLevel="0" collapsed="false">
      <c r="H1061" s="0" t="n">
        <f aca="false">E1061-D1061</f>
        <v>0</v>
      </c>
      <c r="I1061" s="0" t="n">
        <f aca="false">F1061-D1061</f>
        <v>0</v>
      </c>
    </row>
    <row r="1062" customFormat="false" ht="12" hidden="false" customHeight="false" outlineLevel="0" collapsed="false">
      <c r="H1062" s="0" t="n">
        <f aca="false">E1062-D1062</f>
        <v>0</v>
      </c>
      <c r="I1062" s="0" t="n">
        <f aca="false">F1062-D1062</f>
        <v>0</v>
      </c>
    </row>
    <row r="1063" customFormat="false" ht="12" hidden="false" customHeight="false" outlineLevel="0" collapsed="false">
      <c r="H1063" s="0" t="n">
        <f aca="false">E1063-D1063</f>
        <v>0</v>
      </c>
      <c r="I1063" s="0" t="n">
        <f aca="false">F1063-D1063</f>
        <v>0</v>
      </c>
    </row>
    <row r="1064" customFormat="false" ht="12" hidden="false" customHeight="false" outlineLevel="0" collapsed="false">
      <c r="H1064" s="0" t="n">
        <f aca="false">E1064-D1064</f>
        <v>0</v>
      </c>
      <c r="I1064" s="0" t="n">
        <f aca="false">F1064-D1064</f>
        <v>0</v>
      </c>
    </row>
    <row r="1065" customFormat="false" ht="12" hidden="false" customHeight="false" outlineLevel="0" collapsed="false">
      <c r="H1065" s="0" t="n">
        <f aca="false">E1065-D1065</f>
        <v>0</v>
      </c>
      <c r="I1065" s="0" t="n">
        <f aca="false">F1065-D1065</f>
        <v>0</v>
      </c>
    </row>
    <row r="1066" customFormat="false" ht="12" hidden="false" customHeight="false" outlineLevel="0" collapsed="false">
      <c r="H1066" s="0" t="n">
        <f aca="false">E1066-D1066</f>
        <v>0</v>
      </c>
      <c r="I1066" s="0" t="n">
        <f aca="false">F1066-D1066</f>
        <v>0</v>
      </c>
    </row>
    <row r="1067" customFormat="false" ht="12" hidden="false" customHeight="false" outlineLevel="0" collapsed="false">
      <c r="H1067" s="0" t="n">
        <f aca="false">E1067-D1067</f>
        <v>0</v>
      </c>
      <c r="I1067" s="0" t="n">
        <f aca="false">F1067-D1067</f>
        <v>0</v>
      </c>
    </row>
    <row r="1068" customFormat="false" ht="12" hidden="false" customHeight="false" outlineLevel="0" collapsed="false">
      <c r="H1068" s="0" t="n">
        <f aca="false">E1068-D1068</f>
        <v>0</v>
      </c>
      <c r="I1068" s="0" t="n">
        <f aca="false">F1068-D1068</f>
        <v>0</v>
      </c>
    </row>
    <row r="1069" customFormat="false" ht="12" hidden="false" customHeight="false" outlineLevel="0" collapsed="false">
      <c r="H1069" s="0" t="n">
        <f aca="false">E1069-D1069</f>
        <v>0</v>
      </c>
      <c r="I1069" s="0" t="n">
        <f aca="false">F1069-D1069</f>
        <v>0</v>
      </c>
    </row>
    <row r="1070" customFormat="false" ht="12" hidden="false" customHeight="false" outlineLevel="0" collapsed="false">
      <c r="H1070" s="0" t="n">
        <f aca="false">E1070-D1070</f>
        <v>0</v>
      </c>
      <c r="I1070" s="0" t="n">
        <f aca="false">F1070-D1070</f>
        <v>0</v>
      </c>
    </row>
    <row r="1071" customFormat="false" ht="12" hidden="false" customHeight="false" outlineLevel="0" collapsed="false">
      <c r="H1071" s="0" t="n">
        <f aca="false">E1071-D1071</f>
        <v>0</v>
      </c>
      <c r="I1071" s="0" t="n">
        <f aca="false">F1071-D1071</f>
        <v>0</v>
      </c>
    </row>
    <row r="1072" customFormat="false" ht="12" hidden="false" customHeight="false" outlineLevel="0" collapsed="false">
      <c r="H1072" s="0" t="n">
        <f aca="false">E1072-D1072</f>
        <v>0</v>
      </c>
      <c r="I1072" s="0" t="n">
        <f aca="false">F1072-D1072</f>
        <v>0</v>
      </c>
    </row>
    <row r="1073" customFormat="false" ht="12" hidden="false" customHeight="false" outlineLevel="0" collapsed="false">
      <c r="H1073" s="0" t="n">
        <f aca="false">E1073-D1073</f>
        <v>0</v>
      </c>
      <c r="I1073" s="0" t="n">
        <f aca="false">F1073-D1073</f>
        <v>0</v>
      </c>
    </row>
    <row r="1074" customFormat="false" ht="12" hidden="false" customHeight="false" outlineLevel="0" collapsed="false">
      <c r="H1074" s="0" t="n">
        <f aca="false">E1074-D1074</f>
        <v>0</v>
      </c>
      <c r="I1074" s="0" t="n">
        <f aca="false">F1074-D1074</f>
        <v>0</v>
      </c>
    </row>
    <row r="1075" customFormat="false" ht="12" hidden="false" customHeight="false" outlineLevel="0" collapsed="false">
      <c r="H1075" s="0" t="n">
        <f aca="false">E1075-D1075</f>
        <v>0</v>
      </c>
      <c r="I1075" s="0" t="n">
        <f aca="false">F1075-D1075</f>
        <v>0</v>
      </c>
    </row>
    <row r="1076" customFormat="false" ht="12" hidden="false" customHeight="false" outlineLevel="0" collapsed="false">
      <c r="H1076" s="0" t="n">
        <f aca="false">E1076-D1076</f>
        <v>0</v>
      </c>
      <c r="I1076" s="0" t="n">
        <f aca="false">F1076-D1076</f>
        <v>0</v>
      </c>
    </row>
    <row r="1077" customFormat="false" ht="12" hidden="false" customHeight="false" outlineLevel="0" collapsed="false">
      <c r="H1077" s="0" t="n">
        <f aca="false">E1077-D1077</f>
        <v>0</v>
      </c>
      <c r="I1077" s="0" t="n">
        <f aca="false">F1077-D1077</f>
        <v>0</v>
      </c>
    </row>
    <row r="1078" customFormat="false" ht="12" hidden="false" customHeight="false" outlineLevel="0" collapsed="false">
      <c r="H1078" s="0" t="n">
        <f aca="false">E1078-D1078</f>
        <v>0</v>
      </c>
      <c r="I1078" s="0" t="n">
        <f aca="false">F1078-D1078</f>
        <v>0</v>
      </c>
    </row>
    <row r="1079" customFormat="false" ht="12" hidden="false" customHeight="false" outlineLevel="0" collapsed="false">
      <c r="H1079" s="0" t="n">
        <f aca="false">E1079-D1079</f>
        <v>0</v>
      </c>
      <c r="I1079" s="0" t="n">
        <f aca="false">F1079-D1079</f>
        <v>0</v>
      </c>
    </row>
    <row r="1080" customFormat="false" ht="12" hidden="false" customHeight="false" outlineLevel="0" collapsed="false">
      <c r="H1080" s="0" t="n">
        <f aca="false">E1080-D1080</f>
        <v>0</v>
      </c>
      <c r="I1080" s="0" t="n">
        <f aca="false">F1080-D1080</f>
        <v>0</v>
      </c>
    </row>
    <row r="1081" customFormat="false" ht="12" hidden="false" customHeight="false" outlineLevel="0" collapsed="false">
      <c r="H1081" s="0" t="n">
        <f aca="false">E1081-D1081</f>
        <v>0</v>
      </c>
      <c r="I1081" s="0" t="n">
        <f aca="false">F1081-D1081</f>
        <v>0</v>
      </c>
    </row>
    <row r="1082" customFormat="false" ht="12" hidden="false" customHeight="false" outlineLevel="0" collapsed="false">
      <c r="H1082" s="0" t="n">
        <f aca="false">E1082-D1082</f>
        <v>0</v>
      </c>
      <c r="I1082" s="0" t="n">
        <f aca="false">F1082-D1082</f>
        <v>0</v>
      </c>
    </row>
    <row r="1083" customFormat="false" ht="12" hidden="false" customHeight="false" outlineLevel="0" collapsed="false">
      <c r="H1083" s="0" t="n">
        <f aca="false">E1083-D1083</f>
        <v>0</v>
      </c>
      <c r="I1083" s="0" t="n">
        <f aca="false">F1083-D1083</f>
        <v>0</v>
      </c>
    </row>
    <row r="1084" customFormat="false" ht="12" hidden="false" customHeight="false" outlineLevel="0" collapsed="false">
      <c r="H1084" s="0" t="n">
        <f aca="false">E1084-D1084</f>
        <v>0</v>
      </c>
      <c r="I1084" s="0" t="n">
        <f aca="false">F1084-D1084</f>
        <v>0</v>
      </c>
    </row>
    <row r="1085" customFormat="false" ht="12" hidden="false" customHeight="false" outlineLevel="0" collapsed="false">
      <c r="H1085" s="0" t="n">
        <f aca="false">E1085-D1085</f>
        <v>0</v>
      </c>
      <c r="I1085" s="0" t="n">
        <f aca="false">F1085-D1085</f>
        <v>0</v>
      </c>
    </row>
    <row r="1086" customFormat="false" ht="12" hidden="false" customHeight="false" outlineLevel="0" collapsed="false">
      <c r="H1086" s="0" t="n">
        <f aca="false">E1086-D1086</f>
        <v>0</v>
      </c>
      <c r="I1086" s="0" t="n">
        <f aca="false">F1086-D1086</f>
        <v>0</v>
      </c>
    </row>
    <row r="1087" customFormat="false" ht="12" hidden="false" customHeight="false" outlineLevel="0" collapsed="false">
      <c r="H1087" s="0" t="n">
        <f aca="false">E1087-D1087</f>
        <v>0</v>
      </c>
      <c r="I1087" s="0" t="n">
        <f aca="false">F1087-D1087</f>
        <v>0</v>
      </c>
    </row>
    <row r="1088" customFormat="false" ht="12" hidden="false" customHeight="false" outlineLevel="0" collapsed="false">
      <c r="H1088" s="0" t="n">
        <f aca="false">E1088-D1088</f>
        <v>0</v>
      </c>
      <c r="I1088" s="0" t="n">
        <f aca="false">F1088-D1088</f>
        <v>0</v>
      </c>
    </row>
    <row r="1089" customFormat="false" ht="12" hidden="false" customHeight="false" outlineLevel="0" collapsed="false">
      <c r="H1089" s="0" t="n">
        <f aca="false">E1089-D1089</f>
        <v>0</v>
      </c>
      <c r="I1089" s="0" t="n">
        <f aca="false">F1089-D1089</f>
        <v>0</v>
      </c>
    </row>
    <row r="1090" customFormat="false" ht="12" hidden="false" customHeight="false" outlineLevel="0" collapsed="false">
      <c r="H1090" s="0" t="n">
        <f aca="false">E1090-D1090</f>
        <v>0</v>
      </c>
      <c r="I1090" s="0" t="n">
        <f aca="false">F1090-D1090</f>
        <v>0</v>
      </c>
    </row>
    <row r="1091" customFormat="false" ht="12" hidden="false" customHeight="false" outlineLevel="0" collapsed="false">
      <c r="H1091" s="0" t="n">
        <f aca="false">E1091-D1091</f>
        <v>0</v>
      </c>
      <c r="I1091" s="0" t="n">
        <f aca="false">F1091-D1091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204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40" t="s">
        <v>60</v>
      </c>
      <c r="B1" s="40" t="s">
        <v>75</v>
      </c>
      <c r="C1" s="40" t="s">
        <v>76</v>
      </c>
    </row>
    <row r="2" customFormat="false" ht="12" hidden="false" customHeight="false" outlineLevel="0" collapsed="false">
      <c r="A2" s="41" t="n">
        <v>5</v>
      </c>
      <c r="B2" s="42" t="n">
        <v>3</v>
      </c>
      <c r="C2" s="44" t="n">
        <v>0.003</v>
      </c>
    </row>
    <row r="3" customFormat="false" ht="12" hidden="false" customHeight="false" outlineLevel="0" collapsed="false">
      <c r="A3" s="41" t="n">
        <v>10</v>
      </c>
      <c r="B3" s="42" t="n">
        <v>3</v>
      </c>
      <c r="C3" s="44" t="n">
        <v>0.006</v>
      </c>
    </row>
    <row r="4" customFormat="false" ht="12" hidden="false" customHeight="false" outlineLevel="0" collapsed="false">
      <c r="A4" s="41" t="n">
        <v>15</v>
      </c>
      <c r="B4" s="42" t="n">
        <v>6</v>
      </c>
      <c r="C4" s="44" t="n">
        <v>0.012</v>
      </c>
    </row>
    <row r="5" customFormat="false" ht="12" hidden="false" customHeight="false" outlineLevel="0" collapsed="false">
      <c r="A5" s="41" t="n">
        <v>20</v>
      </c>
      <c r="B5" s="42" t="n">
        <v>5</v>
      </c>
      <c r="C5" s="44" t="n">
        <v>0.017</v>
      </c>
    </row>
    <row r="6" customFormat="false" ht="12" hidden="false" customHeight="false" outlineLevel="0" collapsed="false">
      <c r="A6" s="41" t="n">
        <v>25</v>
      </c>
      <c r="B6" s="42" t="n">
        <v>5</v>
      </c>
      <c r="C6" s="44" t="n">
        <v>0.022</v>
      </c>
    </row>
    <row r="7" customFormat="false" ht="12" hidden="false" customHeight="false" outlineLevel="0" collapsed="false">
      <c r="A7" s="41" t="n">
        <v>30</v>
      </c>
      <c r="B7" s="42" t="n">
        <v>4</v>
      </c>
      <c r="C7" s="44" t="n">
        <v>0.026</v>
      </c>
    </row>
    <row r="8" customFormat="false" ht="12" hidden="false" customHeight="false" outlineLevel="0" collapsed="false">
      <c r="A8" s="41" t="n">
        <v>35</v>
      </c>
      <c r="B8" s="42" t="n">
        <v>6</v>
      </c>
      <c r="C8" s="44" t="n">
        <v>0.032</v>
      </c>
    </row>
    <row r="9" customFormat="false" ht="12" hidden="false" customHeight="false" outlineLevel="0" collapsed="false">
      <c r="A9" s="41" t="n">
        <v>40</v>
      </c>
      <c r="B9" s="42" t="n">
        <v>4</v>
      </c>
      <c r="C9" s="44" t="n">
        <v>0.036</v>
      </c>
    </row>
    <row r="10" customFormat="false" ht="12" hidden="false" customHeight="false" outlineLevel="0" collapsed="false">
      <c r="A10" s="41" t="n">
        <v>45</v>
      </c>
      <c r="B10" s="42" t="n">
        <v>6</v>
      </c>
      <c r="C10" s="44" t="n">
        <v>0.042</v>
      </c>
    </row>
    <row r="11" customFormat="false" ht="12" hidden="false" customHeight="false" outlineLevel="0" collapsed="false">
      <c r="A11" s="41" t="n">
        <v>50</v>
      </c>
      <c r="B11" s="42" t="n">
        <v>4</v>
      </c>
      <c r="C11" s="44" t="n">
        <v>0.046</v>
      </c>
    </row>
    <row r="12" customFormat="false" ht="12" hidden="false" customHeight="false" outlineLevel="0" collapsed="false">
      <c r="A12" s="41" t="n">
        <v>55</v>
      </c>
      <c r="B12" s="42" t="n">
        <v>6</v>
      </c>
      <c r="C12" s="44" t="n">
        <v>0.052</v>
      </c>
    </row>
    <row r="13" customFormat="false" ht="12" hidden="false" customHeight="false" outlineLevel="0" collapsed="false">
      <c r="A13" s="41" t="n">
        <v>60</v>
      </c>
      <c r="B13" s="42" t="n">
        <v>4</v>
      </c>
      <c r="C13" s="44" t="n">
        <v>0.056</v>
      </c>
    </row>
    <row r="14" customFormat="false" ht="12" hidden="false" customHeight="false" outlineLevel="0" collapsed="false">
      <c r="A14" s="41" t="n">
        <v>65</v>
      </c>
      <c r="B14" s="42" t="n">
        <v>5</v>
      </c>
      <c r="C14" s="44" t="n">
        <v>0.061</v>
      </c>
    </row>
    <row r="15" customFormat="false" ht="12" hidden="false" customHeight="false" outlineLevel="0" collapsed="false">
      <c r="A15" s="41" t="n">
        <v>70</v>
      </c>
      <c r="B15" s="42" t="n">
        <v>5</v>
      </c>
      <c r="C15" s="44" t="n">
        <v>0.066</v>
      </c>
    </row>
    <row r="16" customFormat="false" ht="12" hidden="false" customHeight="false" outlineLevel="0" collapsed="false">
      <c r="A16" s="41" t="n">
        <v>75</v>
      </c>
      <c r="B16" s="42" t="n">
        <v>6</v>
      </c>
      <c r="C16" s="44" t="n">
        <v>0.072</v>
      </c>
    </row>
    <row r="17" customFormat="false" ht="12" hidden="false" customHeight="false" outlineLevel="0" collapsed="false">
      <c r="A17" s="41" t="n">
        <v>80</v>
      </c>
      <c r="B17" s="42" t="n">
        <v>4</v>
      </c>
      <c r="C17" s="44" t="n">
        <v>0.076</v>
      </c>
    </row>
    <row r="18" customFormat="false" ht="12" hidden="false" customHeight="false" outlineLevel="0" collapsed="false">
      <c r="A18" s="41" t="n">
        <v>85</v>
      </c>
      <c r="B18" s="42" t="n">
        <v>6</v>
      </c>
      <c r="C18" s="44" t="n">
        <v>0.082</v>
      </c>
    </row>
    <row r="19" customFormat="false" ht="12" hidden="false" customHeight="false" outlineLevel="0" collapsed="false">
      <c r="A19" s="41" t="n">
        <v>90</v>
      </c>
      <c r="B19" s="42" t="n">
        <v>4</v>
      </c>
      <c r="C19" s="44" t="n">
        <v>0.086</v>
      </c>
    </row>
    <row r="20" customFormat="false" ht="12" hidden="false" customHeight="false" outlineLevel="0" collapsed="false">
      <c r="A20" s="41" t="n">
        <v>95</v>
      </c>
      <c r="B20" s="42" t="n">
        <v>5</v>
      </c>
      <c r="C20" s="44" t="n">
        <v>0.091</v>
      </c>
    </row>
    <row r="21" customFormat="false" ht="12" hidden="false" customHeight="false" outlineLevel="0" collapsed="false">
      <c r="A21" s="41" t="n">
        <v>100</v>
      </c>
      <c r="B21" s="42" t="n">
        <v>5</v>
      </c>
      <c r="C21" s="44" t="n">
        <v>0.096</v>
      </c>
    </row>
    <row r="22" customFormat="false" ht="12" hidden="false" customHeight="false" outlineLevel="0" collapsed="false">
      <c r="A22" s="41" t="n">
        <v>105</v>
      </c>
      <c r="B22" s="42" t="n">
        <v>4</v>
      </c>
      <c r="C22" s="44" t="n">
        <v>0.1</v>
      </c>
    </row>
    <row r="23" customFormat="false" ht="12" hidden="false" customHeight="false" outlineLevel="0" collapsed="false">
      <c r="A23" s="41" t="n">
        <v>110</v>
      </c>
      <c r="B23" s="42" t="n">
        <v>6</v>
      </c>
      <c r="C23" s="44" t="n">
        <v>0.106</v>
      </c>
    </row>
    <row r="24" customFormat="false" ht="12" hidden="false" customHeight="false" outlineLevel="0" collapsed="false">
      <c r="A24" s="41" t="n">
        <v>115</v>
      </c>
      <c r="B24" s="42" t="n">
        <v>4</v>
      </c>
      <c r="C24" s="44" t="n">
        <v>0.11</v>
      </c>
    </row>
    <row r="25" customFormat="false" ht="12" hidden="false" customHeight="false" outlineLevel="0" collapsed="false">
      <c r="A25" s="41" t="n">
        <v>120</v>
      </c>
      <c r="B25" s="42" t="n">
        <v>6</v>
      </c>
      <c r="C25" s="44" t="n">
        <v>0.116</v>
      </c>
    </row>
    <row r="26" customFormat="false" ht="12" hidden="false" customHeight="false" outlineLevel="0" collapsed="false">
      <c r="A26" s="41" t="n">
        <v>125</v>
      </c>
      <c r="B26" s="42" t="n">
        <v>4</v>
      </c>
      <c r="C26" s="44" t="n">
        <v>0.12</v>
      </c>
    </row>
    <row r="27" customFormat="false" ht="12" hidden="false" customHeight="false" outlineLevel="0" collapsed="false">
      <c r="A27" s="41" t="n">
        <v>130</v>
      </c>
      <c r="B27" s="42" t="n">
        <v>5</v>
      </c>
      <c r="C27" s="44" t="n">
        <v>0.125</v>
      </c>
    </row>
    <row r="28" customFormat="false" ht="12" hidden="false" customHeight="false" outlineLevel="0" collapsed="false">
      <c r="A28" s="41" t="n">
        <v>135</v>
      </c>
      <c r="B28" s="42" t="n">
        <v>5</v>
      </c>
      <c r="C28" s="44" t="n">
        <v>0.13</v>
      </c>
    </row>
    <row r="29" customFormat="false" ht="12" hidden="false" customHeight="false" outlineLevel="0" collapsed="false">
      <c r="A29" s="41" t="n">
        <v>140</v>
      </c>
      <c r="B29" s="42" t="n">
        <v>6</v>
      </c>
      <c r="C29" s="44" t="n">
        <v>0.136</v>
      </c>
    </row>
    <row r="30" customFormat="false" ht="12" hidden="false" customHeight="false" outlineLevel="0" collapsed="false">
      <c r="A30" s="41" t="n">
        <v>145</v>
      </c>
      <c r="B30" s="42" t="n">
        <v>4</v>
      </c>
      <c r="C30" s="44" t="n">
        <v>0.14</v>
      </c>
    </row>
    <row r="31" customFormat="false" ht="12" hidden="false" customHeight="false" outlineLevel="0" collapsed="false">
      <c r="A31" s="41" t="n">
        <v>150</v>
      </c>
      <c r="B31" s="42" t="n">
        <v>6</v>
      </c>
      <c r="C31" s="44" t="n">
        <v>0.146</v>
      </c>
    </row>
    <row r="32" customFormat="false" ht="12" hidden="false" customHeight="false" outlineLevel="0" collapsed="false">
      <c r="A32" s="41" t="n">
        <v>155</v>
      </c>
      <c r="B32" s="42" t="n">
        <v>4</v>
      </c>
      <c r="C32" s="44" t="n">
        <v>0.15</v>
      </c>
    </row>
    <row r="33" customFormat="false" ht="12" hidden="false" customHeight="false" outlineLevel="0" collapsed="false">
      <c r="A33" s="41" t="n">
        <v>160</v>
      </c>
      <c r="B33" s="42" t="n">
        <v>6</v>
      </c>
      <c r="C33" s="44" t="n">
        <v>0.156</v>
      </c>
    </row>
    <row r="34" customFormat="false" ht="12" hidden="false" customHeight="false" outlineLevel="0" collapsed="false">
      <c r="A34" s="41" t="n">
        <v>165</v>
      </c>
      <c r="B34" s="42" t="n">
        <v>4</v>
      </c>
      <c r="C34" s="44" t="n">
        <v>0.16</v>
      </c>
    </row>
    <row r="35" customFormat="false" ht="12" hidden="false" customHeight="false" outlineLevel="0" collapsed="false">
      <c r="A35" s="41" t="n">
        <v>170</v>
      </c>
      <c r="B35" s="42" t="n">
        <v>6</v>
      </c>
      <c r="C35" s="44" t="n">
        <v>0.166</v>
      </c>
    </row>
    <row r="36" customFormat="false" ht="12" hidden="false" customHeight="false" outlineLevel="0" collapsed="false">
      <c r="A36" s="41" t="n">
        <v>175</v>
      </c>
      <c r="B36" s="42" t="n">
        <v>1</v>
      </c>
      <c r="C36" s="44" t="n">
        <v>0.167</v>
      </c>
    </row>
    <row r="37" customFormat="false" ht="12" hidden="false" customHeight="false" outlineLevel="0" collapsed="false">
      <c r="A37" s="41" t="n">
        <v>180</v>
      </c>
      <c r="B37" s="42" t="n">
        <v>4</v>
      </c>
      <c r="C37" s="44" t="n">
        <v>0.171</v>
      </c>
    </row>
    <row r="38" customFormat="false" ht="12" hidden="false" customHeight="false" outlineLevel="0" collapsed="false">
      <c r="A38" s="41" t="n">
        <v>185</v>
      </c>
      <c r="B38" s="42" t="n">
        <v>5</v>
      </c>
      <c r="C38" s="44" t="n">
        <v>0.176</v>
      </c>
    </row>
    <row r="39" customFormat="false" ht="12" hidden="false" customHeight="false" outlineLevel="0" collapsed="false">
      <c r="A39" s="41" t="n">
        <v>190</v>
      </c>
      <c r="B39" s="42" t="n">
        <v>4</v>
      </c>
      <c r="C39" s="44" t="n">
        <v>0.18</v>
      </c>
    </row>
    <row r="40" customFormat="false" ht="12" hidden="false" customHeight="false" outlineLevel="0" collapsed="false">
      <c r="A40" s="41" t="n">
        <v>195</v>
      </c>
      <c r="B40" s="42" t="n">
        <v>4</v>
      </c>
      <c r="C40" s="44" t="n">
        <v>0.184</v>
      </c>
    </row>
    <row r="41" customFormat="false" ht="12" hidden="false" customHeight="false" outlineLevel="0" collapsed="false">
      <c r="A41" s="41" t="n">
        <v>200</v>
      </c>
      <c r="B41" s="42" t="n">
        <v>5</v>
      </c>
      <c r="C41" s="44" t="n">
        <v>0.189</v>
      </c>
    </row>
    <row r="42" customFormat="false" ht="12" hidden="false" customHeight="false" outlineLevel="0" collapsed="false">
      <c r="A42" s="41" t="n">
        <v>205</v>
      </c>
      <c r="B42" s="42" t="n">
        <v>4</v>
      </c>
      <c r="C42" s="44" t="n">
        <v>0.193</v>
      </c>
    </row>
    <row r="43" customFormat="false" ht="12" hidden="false" customHeight="false" outlineLevel="0" collapsed="false">
      <c r="A43" s="41" t="n">
        <v>210</v>
      </c>
      <c r="B43" s="42" t="n">
        <v>1</v>
      </c>
      <c r="C43" s="44" t="n">
        <v>0.194</v>
      </c>
    </row>
    <row r="44" customFormat="false" ht="12" hidden="false" customHeight="false" outlineLevel="0" collapsed="false">
      <c r="A44" s="41" t="n">
        <v>215</v>
      </c>
      <c r="B44" s="42" t="n">
        <v>5</v>
      </c>
      <c r="C44" s="44" t="n">
        <v>0.199</v>
      </c>
    </row>
    <row r="45" customFormat="false" ht="12" hidden="false" customHeight="false" outlineLevel="0" collapsed="false">
      <c r="A45" s="41" t="n">
        <v>220</v>
      </c>
      <c r="B45" s="42" t="n">
        <v>4</v>
      </c>
      <c r="C45" s="44" t="n">
        <v>0.203</v>
      </c>
    </row>
    <row r="46" customFormat="false" ht="12" hidden="false" customHeight="false" outlineLevel="0" collapsed="false">
      <c r="A46" s="41" t="n">
        <v>225</v>
      </c>
      <c r="B46" s="42" t="n">
        <v>6</v>
      </c>
      <c r="C46" s="44" t="n">
        <v>0.209</v>
      </c>
    </row>
    <row r="47" customFormat="false" ht="12" hidden="false" customHeight="false" outlineLevel="0" collapsed="false">
      <c r="A47" s="41" t="n">
        <v>230</v>
      </c>
      <c r="B47" s="42" t="n">
        <v>4</v>
      </c>
      <c r="C47" s="44" t="n">
        <v>0.213</v>
      </c>
    </row>
    <row r="48" customFormat="false" ht="12" hidden="false" customHeight="false" outlineLevel="0" collapsed="false">
      <c r="A48" s="41" t="n">
        <v>235</v>
      </c>
      <c r="B48" s="42" t="n">
        <v>5</v>
      </c>
      <c r="C48" s="44" t="n">
        <v>0.218</v>
      </c>
    </row>
    <row r="49" customFormat="false" ht="12" hidden="false" customHeight="false" outlineLevel="0" collapsed="false">
      <c r="A49" s="41" t="n">
        <v>240</v>
      </c>
      <c r="B49" s="42" t="n">
        <v>5</v>
      </c>
      <c r="C49" s="44" t="n">
        <v>0.223</v>
      </c>
    </row>
    <row r="50" customFormat="false" ht="12" hidden="false" customHeight="false" outlineLevel="0" collapsed="false">
      <c r="A50" s="41" t="n">
        <v>245</v>
      </c>
      <c r="B50" s="42" t="n">
        <v>4</v>
      </c>
      <c r="C50" s="44" t="n">
        <v>0.227</v>
      </c>
    </row>
    <row r="51" customFormat="false" ht="12" hidden="false" customHeight="false" outlineLevel="0" collapsed="false">
      <c r="A51" s="41" t="n">
        <v>250</v>
      </c>
      <c r="B51" s="42" t="n">
        <v>6</v>
      </c>
      <c r="C51" s="44" t="n">
        <v>0.233</v>
      </c>
    </row>
    <row r="52" customFormat="false" ht="12" hidden="false" customHeight="false" outlineLevel="0" collapsed="false">
      <c r="A52" s="41" t="n">
        <v>255</v>
      </c>
      <c r="B52" s="42" t="n">
        <v>5</v>
      </c>
      <c r="C52" s="44" t="n">
        <v>0.238</v>
      </c>
    </row>
    <row r="53" customFormat="false" ht="12" hidden="false" customHeight="false" outlineLevel="0" collapsed="false">
      <c r="A53" s="41" t="n">
        <v>260</v>
      </c>
      <c r="B53" s="42" t="n">
        <v>5</v>
      </c>
      <c r="C53" s="44" t="n">
        <v>0.243</v>
      </c>
    </row>
    <row r="54" customFormat="false" ht="12" hidden="false" customHeight="false" outlineLevel="0" collapsed="false">
      <c r="A54" s="41" t="n">
        <v>265</v>
      </c>
      <c r="B54" s="42" t="n">
        <v>4</v>
      </c>
      <c r="C54" s="44" t="n">
        <v>0.247</v>
      </c>
    </row>
    <row r="55" customFormat="false" ht="12" hidden="false" customHeight="false" outlineLevel="0" collapsed="false">
      <c r="A55" s="41" t="n">
        <v>270</v>
      </c>
      <c r="B55" s="42" t="n">
        <v>6</v>
      </c>
      <c r="C55" s="44" t="n">
        <v>0.253</v>
      </c>
    </row>
    <row r="56" customFormat="false" ht="12" hidden="false" customHeight="false" outlineLevel="0" collapsed="false">
      <c r="A56" s="41" t="n">
        <v>275</v>
      </c>
      <c r="B56" s="42" t="n">
        <v>4</v>
      </c>
      <c r="C56" s="44" t="n">
        <v>0.257</v>
      </c>
    </row>
    <row r="57" customFormat="false" ht="12" hidden="false" customHeight="false" outlineLevel="0" collapsed="false">
      <c r="A57" s="41" t="n">
        <v>280</v>
      </c>
      <c r="B57" s="42" t="n">
        <v>6</v>
      </c>
      <c r="C57" s="44" t="n">
        <v>0.263</v>
      </c>
    </row>
    <row r="58" customFormat="false" ht="12" hidden="false" customHeight="false" outlineLevel="0" collapsed="false">
      <c r="A58" s="41" t="n">
        <v>285</v>
      </c>
      <c r="B58" s="42" t="n">
        <v>4</v>
      </c>
      <c r="C58" s="44" t="n">
        <v>0.267</v>
      </c>
    </row>
    <row r="59" customFormat="false" ht="12" hidden="false" customHeight="false" outlineLevel="0" collapsed="false">
      <c r="A59" s="41" t="n">
        <v>290</v>
      </c>
      <c r="B59" s="42" t="n">
        <v>6</v>
      </c>
      <c r="C59" s="44" t="n">
        <v>0.273</v>
      </c>
    </row>
    <row r="60" customFormat="false" ht="12" hidden="false" customHeight="false" outlineLevel="0" collapsed="false">
      <c r="A60" s="41" t="n">
        <v>295</v>
      </c>
      <c r="B60" s="42" t="n">
        <v>4</v>
      </c>
      <c r="C60" s="44" t="n">
        <v>0.277</v>
      </c>
    </row>
    <row r="61" customFormat="false" ht="12" hidden="false" customHeight="false" outlineLevel="0" collapsed="false">
      <c r="A61" s="41" t="n">
        <v>300</v>
      </c>
      <c r="B61" s="42" t="n">
        <v>5</v>
      </c>
      <c r="C61" s="44" t="n">
        <v>0.282</v>
      </c>
    </row>
    <row r="62" customFormat="false" ht="12" hidden="false" customHeight="false" outlineLevel="0" collapsed="false">
      <c r="A62" s="41" t="n">
        <v>305</v>
      </c>
      <c r="B62" s="42" t="n">
        <v>3</v>
      </c>
      <c r="C62" s="44" t="n">
        <v>0.285</v>
      </c>
    </row>
    <row r="63" customFormat="false" ht="12" hidden="false" customHeight="false" outlineLevel="0" collapsed="false">
      <c r="A63" s="41" t="n">
        <v>310</v>
      </c>
      <c r="B63" s="42" t="n">
        <v>6</v>
      </c>
      <c r="C63" s="44" t="n">
        <v>0.291</v>
      </c>
    </row>
    <row r="64" customFormat="false" ht="12" hidden="false" customHeight="false" outlineLevel="0" collapsed="false">
      <c r="A64" s="41" t="n">
        <v>315</v>
      </c>
      <c r="B64" s="42" t="n">
        <v>4</v>
      </c>
      <c r="C64" s="44" t="n">
        <v>0.295</v>
      </c>
    </row>
    <row r="65" customFormat="false" ht="12" hidden="false" customHeight="false" outlineLevel="0" collapsed="false">
      <c r="A65" s="41" t="n">
        <v>320</v>
      </c>
      <c r="B65" s="42" t="n">
        <v>6</v>
      </c>
      <c r="C65" s="44" t="n">
        <v>0.301</v>
      </c>
    </row>
    <row r="66" customFormat="false" ht="12" hidden="false" customHeight="false" outlineLevel="0" collapsed="false">
      <c r="A66" s="41" t="n">
        <v>325</v>
      </c>
      <c r="B66" s="42" t="n">
        <v>4</v>
      </c>
      <c r="C66" s="44" t="n">
        <v>0.305</v>
      </c>
    </row>
    <row r="67" customFormat="false" ht="12" hidden="false" customHeight="false" outlineLevel="0" collapsed="false">
      <c r="A67" s="41" t="n">
        <v>330</v>
      </c>
      <c r="B67" s="42" t="n">
        <v>4</v>
      </c>
      <c r="C67" s="44" t="n">
        <v>0.309</v>
      </c>
    </row>
    <row r="68" customFormat="false" ht="12" hidden="false" customHeight="false" outlineLevel="0" collapsed="false">
      <c r="A68" s="41" t="n">
        <v>335</v>
      </c>
      <c r="B68" s="42" t="n">
        <v>4</v>
      </c>
      <c r="C68" s="44" t="n">
        <v>0.313</v>
      </c>
    </row>
    <row r="69" customFormat="false" ht="12" hidden="false" customHeight="false" outlineLevel="0" collapsed="false">
      <c r="A69" s="41" t="n">
        <v>340</v>
      </c>
      <c r="B69" s="42" t="n">
        <v>4</v>
      </c>
      <c r="C69" s="44" t="n">
        <v>0.317</v>
      </c>
    </row>
    <row r="70" customFormat="false" ht="12" hidden="false" customHeight="false" outlineLevel="0" collapsed="false">
      <c r="A70" s="41" t="n">
        <v>345</v>
      </c>
      <c r="B70" s="42" t="n">
        <v>4</v>
      </c>
      <c r="C70" s="44" t="n">
        <v>0.321</v>
      </c>
    </row>
    <row r="71" customFormat="false" ht="12" hidden="false" customHeight="false" outlineLevel="0" collapsed="false">
      <c r="A71" s="41" t="n">
        <v>350</v>
      </c>
      <c r="B71" s="42" t="n">
        <v>4</v>
      </c>
      <c r="C71" s="44" t="n">
        <v>0.325</v>
      </c>
    </row>
    <row r="72" customFormat="false" ht="12" hidden="false" customHeight="false" outlineLevel="0" collapsed="false">
      <c r="A72" s="41" t="n">
        <v>355</v>
      </c>
      <c r="B72" s="42" t="n">
        <v>5</v>
      </c>
      <c r="C72" s="44" t="n">
        <v>0.33</v>
      </c>
    </row>
    <row r="73" customFormat="false" ht="12" hidden="false" customHeight="false" outlineLevel="0" collapsed="false">
      <c r="A73" s="41" t="n">
        <v>360</v>
      </c>
      <c r="B73" s="42" t="n">
        <v>4</v>
      </c>
      <c r="C73" s="44" t="n">
        <v>0.334</v>
      </c>
    </row>
    <row r="74" customFormat="false" ht="12" hidden="false" customHeight="false" outlineLevel="0" collapsed="false">
      <c r="A74" s="41" t="n">
        <v>365</v>
      </c>
      <c r="B74" s="42" t="n">
        <v>4</v>
      </c>
      <c r="C74" s="44" t="n">
        <v>0.338</v>
      </c>
    </row>
    <row r="75" customFormat="false" ht="12" hidden="false" customHeight="false" outlineLevel="0" collapsed="false">
      <c r="A75" s="41" t="n">
        <v>370</v>
      </c>
      <c r="B75" s="42" t="n">
        <v>4</v>
      </c>
      <c r="C75" s="44" t="n">
        <v>0.342</v>
      </c>
    </row>
    <row r="76" customFormat="false" ht="12" hidden="false" customHeight="false" outlineLevel="0" collapsed="false">
      <c r="A76" s="41" t="n">
        <v>375</v>
      </c>
      <c r="B76" s="42" t="n">
        <v>5</v>
      </c>
      <c r="C76" s="44" t="n">
        <v>0.347</v>
      </c>
    </row>
    <row r="77" customFormat="false" ht="12" hidden="false" customHeight="false" outlineLevel="0" collapsed="false">
      <c r="A77" s="41" t="n">
        <v>380</v>
      </c>
      <c r="B77" s="42" t="n">
        <v>1</v>
      </c>
      <c r="C77" s="44" t="n">
        <v>0.348</v>
      </c>
    </row>
    <row r="78" customFormat="false" ht="12" hidden="false" customHeight="false" outlineLevel="0" collapsed="false">
      <c r="A78" s="41" t="n">
        <v>385</v>
      </c>
      <c r="B78" s="42" t="n">
        <v>3</v>
      </c>
      <c r="C78" s="44" t="n">
        <v>0.351</v>
      </c>
    </row>
    <row r="79" customFormat="false" ht="12" hidden="false" customHeight="false" outlineLevel="0" collapsed="false">
      <c r="A79" s="41" t="n">
        <v>390</v>
      </c>
      <c r="B79" s="42" t="n">
        <v>2</v>
      </c>
      <c r="C79" s="44" t="n">
        <v>0.353</v>
      </c>
    </row>
    <row r="80" customFormat="false" ht="12" hidden="false" customHeight="false" outlineLevel="0" collapsed="false">
      <c r="A80" s="41" t="n">
        <v>395</v>
      </c>
      <c r="B80" s="42" t="n">
        <v>3</v>
      </c>
      <c r="C80" s="44" t="n">
        <v>0.356</v>
      </c>
    </row>
    <row r="81" customFormat="false" ht="12" hidden="false" customHeight="false" outlineLevel="0" collapsed="false">
      <c r="A81" s="41" t="n">
        <v>400</v>
      </c>
      <c r="B81" s="42" t="n">
        <v>5</v>
      </c>
      <c r="C81" s="44" t="n">
        <v>0.361</v>
      </c>
    </row>
    <row r="82" customFormat="false" ht="12" hidden="false" customHeight="false" outlineLevel="0" collapsed="false">
      <c r="A82" s="41" t="n">
        <v>405</v>
      </c>
      <c r="B82" s="42" t="n">
        <v>5</v>
      </c>
      <c r="C82" s="44" t="n">
        <v>0.366</v>
      </c>
    </row>
    <row r="83" customFormat="false" ht="12" hidden="false" customHeight="false" outlineLevel="0" collapsed="false">
      <c r="A83" s="41" t="n">
        <v>410</v>
      </c>
      <c r="B83" s="42" t="n">
        <v>5</v>
      </c>
      <c r="C83" s="44" t="n">
        <v>0.371</v>
      </c>
    </row>
    <row r="84" customFormat="false" ht="12" hidden="false" customHeight="false" outlineLevel="0" collapsed="false">
      <c r="A84" s="41" t="n">
        <v>415</v>
      </c>
      <c r="B84" s="42" t="n">
        <v>5</v>
      </c>
      <c r="C84" s="44" t="n">
        <v>0.376</v>
      </c>
    </row>
    <row r="85" customFormat="false" ht="12" hidden="false" customHeight="false" outlineLevel="0" collapsed="false">
      <c r="A85" s="41" t="n">
        <v>420</v>
      </c>
      <c r="B85" s="42" t="n">
        <v>5</v>
      </c>
      <c r="C85" s="44" t="n">
        <v>0.381</v>
      </c>
    </row>
    <row r="86" customFormat="false" ht="12" hidden="false" customHeight="false" outlineLevel="0" collapsed="false">
      <c r="A86" s="41" t="n">
        <v>425</v>
      </c>
      <c r="B86" s="42" t="n">
        <v>3</v>
      </c>
      <c r="C86" s="44" t="n">
        <v>0.384</v>
      </c>
    </row>
    <row r="87" customFormat="false" ht="12" hidden="false" customHeight="false" outlineLevel="0" collapsed="false">
      <c r="A87" s="41" t="n">
        <v>430</v>
      </c>
      <c r="B87" s="42" t="n">
        <v>5</v>
      </c>
      <c r="C87" s="44" t="n">
        <v>0.389</v>
      </c>
    </row>
    <row r="88" customFormat="false" ht="12" hidden="false" customHeight="false" outlineLevel="0" collapsed="false">
      <c r="A88" s="41" t="n">
        <v>435</v>
      </c>
      <c r="B88" s="42" t="n">
        <v>4</v>
      </c>
      <c r="C88" s="44" t="n">
        <v>0.393</v>
      </c>
    </row>
    <row r="89" customFormat="false" ht="12" hidden="false" customHeight="false" outlineLevel="0" collapsed="false">
      <c r="A89" s="41" t="n">
        <v>440</v>
      </c>
      <c r="B89" s="42" t="n">
        <v>6</v>
      </c>
      <c r="C89" s="44" t="n">
        <v>0.399</v>
      </c>
    </row>
    <row r="90" customFormat="false" ht="12" hidden="false" customHeight="false" outlineLevel="0" collapsed="false">
      <c r="A90" s="41" t="n">
        <v>445</v>
      </c>
      <c r="B90" s="42" t="n">
        <v>4</v>
      </c>
      <c r="C90" s="44" t="n">
        <v>0.403</v>
      </c>
    </row>
    <row r="91" customFormat="false" ht="12" hidden="false" customHeight="false" outlineLevel="0" collapsed="false">
      <c r="A91" s="41" t="n">
        <v>450</v>
      </c>
      <c r="B91" s="42" t="n">
        <v>5</v>
      </c>
      <c r="C91" s="44" t="n">
        <v>0.408</v>
      </c>
    </row>
    <row r="92" customFormat="false" ht="12" hidden="false" customHeight="false" outlineLevel="0" collapsed="false">
      <c r="A92" s="41" t="n">
        <v>455</v>
      </c>
      <c r="B92" s="42" t="n">
        <v>4</v>
      </c>
      <c r="C92" s="44" t="n">
        <v>0.412</v>
      </c>
    </row>
    <row r="93" customFormat="false" ht="12" hidden="false" customHeight="false" outlineLevel="0" collapsed="false">
      <c r="A93" s="41" t="n">
        <v>460</v>
      </c>
      <c r="B93" s="42" t="n">
        <v>4</v>
      </c>
      <c r="C93" s="44" t="n">
        <v>0.416</v>
      </c>
    </row>
    <row r="94" customFormat="false" ht="12" hidden="false" customHeight="false" outlineLevel="0" collapsed="false">
      <c r="A94" s="41" t="n">
        <v>465</v>
      </c>
      <c r="B94" s="42" t="n">
        <v>3</v>
      </c>
      <c r="C94" s="44" t="n">
        <v>0.419</v>
      </c>
    </row>
    <row r="95" customFormat="false" ht="12" hidden="false" customHeight="false" outlineLevel="0" collapsed="false">
      <c r="A95" s="41" t="n">
        <v>470</v>
      </c>
      <c r="B95" s="42" t="n">
        <v>4</v>
      </c>
      <c r="C95" s="44" t="n">
        <v>0.423</v>
      </c>
    </row>
    <row r="96" customFormat="false" ht="12" hidden="false" customHeight="false" outlineLevel="0" collapsed="false">
      <c r="A96" s="41" t="n">
        <v>475</v>
      </c>
      <c r="B96" s="42" t="n">
        <v>4</v>
      </c>
      <c r="C96" s="44" t="n">
        <v>0.427</v>
      </c>
    </row>
    <row r="97" customFormat="false" ht="12" hidden="false" customHeight="false" outlineLevel="0" collapsed="false">
      <c r="A97" s="41" t="n">
        <v>480</v>
      </c>
      <c r="B97" s="42" t="n">
        <v>3</v>
      </c>
      <c r="C97" s="44" t="n">
        <v>0.43</v>
      </c>
    </row>
    <row r="98" customFormat="false" ht="12" hidden="false" customHeight="false" outlineLevel="0" collapsed="false">
      <c r="A98" s="41" t="n">
        <v>485</v>
      </c>
      <c r="B98" s="42" t="n">
        <v>6</v>
      </c>
      <c r="C98" s="44" t="n">
        <v>0.436</v>
      </c>
    </row>
    <row r="99" customFormat="false" ht="12" hidden="false" customHeight="false" outlineLevel="0" collapsed="false">
      <c r="A99" s="41" t="n">
        <v>490</v>
      </c>
      <c r="B99" s="42" t="n">
        <v>4</v>
      </c>
      <c r="C99" s="44" t="n">
        <v>0.44</v>
      </c>
    </row>
    <row r="100" customFormat="false" ht="12" hidden="false" customHeight="false" outlineLevel="0" collapsed="false">
      <c r="A100" s="41" t="n">
        <v>495</v>
      </c>
      <c r="B100" s="42" t="n">
        <v>1</v>
      </c>
      <c r="C100" s="44" t="n">
        <v>0.441</v>
      </c>
    </row>
    <row r="101" customFormat="false" ht="12" hidden="false" customHeight="false" outlineLevel="0" collapsed="false">
      <c r="A101" s="41" t="n">
        <v>500</v>
      </c>
      <c r="B101" s="42" t="n">
        <v>2</v>
      </c>
      <c r="C101" s="44" t="n">
        <v>0.443</v>
      </c>
    </row>
    <row r="102" customFormat="false" ht="12" hidden="false" customHeight="false" outlineLevel="0" collapsed="false">
      <c r="A102" s="41" t="n">
        <v>505</v>
      </c>
      <c r="B102" s="42" t="n">
        <v>2</v>
      </c>
      <c r="C102" s="44" t="n">
        <v>0.445</v>
      </c>
    </row>
    <row r="103" customFormat="false" ht="12" hidden="false" customHeight="false" outlineLevel="0" collapsed="false">
      <c r="A103" s="41" t="n">
        <v>510</v>
      </c>
      <c r="B103" s="42" t="n">
        <v>2</v>
      </c>
      <c r="C103" s="44" t="n">
        <v>0.447</v>
      </c>
    </row>
    <row r="104" customFormat="false" ht="12" hidden="false" customHeight="false" outlineLevel="0" collapsed="false">
      <c r="A104" s="41" t="n">
        <v>515</v>
      </c>
      <c r="B104" s="42" t="n">
        <v>6</v>
      </c>
      <c r="C104" s="44" t="n">
        <v>0.453</v>
      </c>
    </row>
    <row r="105" customFormat="false" ht="12" hidden="false" customHeight="false" outlineLevel="0" collapsed="false">
      <c r="A105" s="41" t="n">
        <v>520</v>
      </c>
      <c r="B105" s="42" t="n">
        <v>5</v>
      </c>
      <c r="C105" s="44" t="n">
        <v>0.458</v>
      </c>
    </row>
    <row r="106" customFormat="false" ht="12" hidden="false" customHeight="false" outlineLevel="0" collapsed="false">
      <c r="A106" s="41" t="n">
        <v>525</v>
      </c>
      <c r="B106" s="42" t="n">
        <v>5</v>
      </c>
      <c r="C106" s="44" t="n">
        <v>0.463</v>
      </c>
    </row>
    <row r="107" customFormat="false" ht="12" hidden="false" customHeight="false" outlineLevel="0" collapsed="false">
      <c r="A107" s="41" t="n">
        <v>530</v>
      </c>
      <c r="B107" s="42" t="n">
        <v>5</v>
      </c>
      <c r="C107" s="44" t="n">
        <v>0.468</v>
      </c>
    </row>
    <row r="108" customFormat="false" ht="12" hidden="false" customHeight="false" outlineLevel="0" collapsed="false">
      <c r="A108" s="41" t="n">
        <v>535</v>
      </c>
      <c r="B108" s="42" t="n">
        <v>5</v>
      </c>
      <c r="C108" s="44" t="n">
        <v>0.473</v>
      </c>
    </row>
    <row r="109" customFormat="false" ht="12" hidden="false" customHeight="false" outlineLevel="0" collapsed="false">
      <c r="A109" s="41" t="n">
        <v>540</v>
      </c>
      <c r="B109" s="42" t="n">
        <v>5</v>
      </c>
      <c r="C109" s="44" t="n">
        <v>0.478</v>
      </c>
    </row>
    <row r="110" customFormat="false" ht="12" hidden="false" customHeight="false" outlineLevel="0" collapsed="false">
      <c r="A110" s="41" t="n">
        <v>545</v>
      </c>
      <c r="B110" s="42" t="n">
        <v>5</v>
      </c>
      <c r="C110" s="44" t="n">
        <v>0.483</v>
      </c>
    </row>
    <row r="111" customFormat="false" ht="12" hidden="false" customHeight="false" outlineLevel="0" collapsed="false">
      <c r="A111" s="41" t="n">
        <v>550</v>
      </c>
      <c r="B111" s="42" t="n">
        <v>4</v>
      </c>
      <c r="C111" s="44" t="n">
        <v>0.487</v>
      </c>
    </row>
    <row r="112" customFormat="false" ht="12" hidden="false" customHeight="false" outlineLevel="0" collapsed="false">
      <c r="A112" s="41" t="n">
        <v>555</v>
      </c>
      <c r="B112" s="42" t="n">
        <v>4</v>
      </c>
      <c r="C112" s="44" t="n">
        <v>0.491</v>
      </c>
    </row>
    <row r="113" customFormat="false" ht="12" hidden="false" customHeight="false" outlineLevel="0" collapsed="false">
      <c r="A113" s="41" t="n">
        <v>560</v>
      </c>
      <c r="B113" s="42" t="n">
        <v>4</v>
      </c>
      <c r="C113" s="44" t="n">
        <v>0.495</v>
      </c>
    </row>
    <row r="114" customFormat="false" ht="12" hidden="false" customHeight="false" outlineLevel="0" collapsed="false">
      <c r="A114" s="41" t="n">
        <v>565</v>
      </c>
      <c r="B114" s="42" t="n">
        <v>5</v>
      </c>
      <c r="C114" s="44" t="n">
        <v>0.5</v>
      </c>
    </row>
    <row r="115" customFormat="false" ht="12" hidden="false" customHeight="false" outlineLevel="0" collapsed="false">
      <c r="A115" s="41" t="n">
        <v>570</v>
      </c>
      <c r="B115" s="42" t="n">
        <v>5</v>
      </c>
      <c r="C115" s="44" t="n">
        <v>0.505</v>
      </c>
    </row>
    <row r="116" customFormat="false" ht="12" hidden="false" customHeight="false" outlineLevel="0" collapsed="false">
      <c r="A116" s="41" t="n">
        <v>575</v>
      </c>
      <c r="B116" s="42" t="n">
        <v>5</v>
      </c>
      <c r="C116" s="44" t="n">
        <v>0.51</v>
      </c>
    </row>
    <row r="117" customFormat="false" ht="12" hidden="false" customHeight="false" outlineLevel="0" collapsed="false">
      <c r="A117" s="41" t="n">
        <v>580</v>
      </c>
      <c r="B117" s="42" t="n">
        <v>5</v>
      </c>
      <c r="C117" s="44" t="n">
        <v>0.515</v>
      </c>
    </row>
    <row r="118" customFormat="false" ht="12" hidden="false" customHeight="false" outlineLevel="0" collapsed="false">
      <c r="A118" s="41" t="n">
        <v>585</v>
      </c>
      <c r="B118" s="42" t="n">
        <v>4</v>
      </c>
      <c r="C118" s="44" t="n">
        <v>0.519</v>
      </c>
    </row>
    <row r="119" customFormat="false" ht="12" hidden="false" customHeight="false" outlineLevel="0" collapsed="false">
      <c r="A119" s="41" t="n">
        <v>590</v>
      </c>
      <c r="B119" s="42" t="n">
        <v>4</v>
      </c>
      <c r="C119" s="44" t="n">
        <v>0.523</v>
      </c>
    </row>
    <row r="120" customFormat="false" ht="12" hidden="false" customHeight="false" outlineLevel="0" collapsed="false">
      <c r="A120" s="41" t="n">
        <v>595</v>
      </c>
      <c r="B120" s="42" t="n">
        <v>5</v>
      </c>
      <c r="C120" s="44" t="n">
        <v>0.528</v>
      </c>
    </row>
    <row r="121" customFormat="false" ht="12" hidden="false" customHeight="false" outlineLevel="0" collapsed="false">
      <c r="A121" s="41" t="n">
        <v>600</v>
      </c>
      <c r="B121" s="42" t="n">
        <v>5</v>
      </c>
      <c r="C121" s="44" t="n">
        <v>0.533</v>
      </c>
    </row>
    <row r="122" customFormat="false" ht="12" hidden="false" customHeight="false" outlineLevel="0" collapsed="false">
      <c r="A122" s="41" t="n">
        <v>605</v>
      </c>
      <c r="B122" s="42" t="n">
        <v>5</v>
      </c>
      <c r="C122" s="44" t="n">
        <v>0.538</v>
      </c>
    </row>
    <row r="123" customFormat="false" ht="12" hidden="false" customHeight="false" outlineLevel="0" collapsed="false">
      <c r="A123" s="41" t="n">
        <v>610</v>
      </c>
      <c r="B123" s="42" t="n">
        <v>5</v>
      </c>
      <c r="C123" s="44" t="n">
        <v>0.543</v>
      </c>
    </row>
    <row r="124" customFormat="false" ht="12" hidden="false" customHeight="false" outlineLevel="0" collapsed="false">
      <c r="A124" s="41" t="n">
        <v>615</v>
      </c>
      <c r="B124" s="42" t="n">
        <v>5</v>
      </c>
      <c r="C124" s="44" t="n">
        <v>0.548</v>
      </c>
    </row>
    <row r="125" customFormat="false" ht="12" hidden="false" customHeight="false" outlineLevel="0" collapsed="false">
      <c r="A125" s="41" t="n">
        <v>620</v>
      </c>
      <c r="B125" s="42" t="n">
        <v>4</v>
      </c>
      <c r="C125" s="44" t="n">
        <v>0.552</v>
      </c>
    </row>
    <row r="126" customFormat="false" ht="12" hidden="false" customHeight="false" outlineLevel="0" collapsed="false">
      <c r="A126" s="41" t="n">
        <v>625</v>
      </c>
      <c r="B126" s="42" t="n">
        <v>6</v>
      </c>
      <c r="C126" s="44" t="n">
        <v>0.558</v>
      </c>
    </row>
    <row r="127" customFormat="false" ht="12" hidden="false" customHeight="false" outlineLevel="0" collapsed="false">
      <c r="A127" s="41" t="n">
        <v>630</v>
      </c>
      <c r="B127" s="42" t="n">
        <v>5</v>
      </c>
      <c r="C127" s="44" t="n">
        <v>0.563</v>
      </c>
    </row>
    <row r="128" customFormat="false" ht="12" hidden="false" customHeight="false" outlineLevel="0" collapsed="false">
      <c r="A128" s="41" t="n">
        <v>635</v>
      </c>
      <c r="B128" s="42" t="n">
        <v>5</v>
      </c>
      <c r="C128" s="44" t="n">
        <v>0.568</v>
      </c>
    </row>
    <row r="129" customFormat="false" ht="12" hidden="false" customHeight="false" outlineLevel="0" collapsed="false">
      <c r="A129" s="41" t="n">
        <v>640</v>
      </c>
      <c r="B129" s="42" t="n">
        <v>5</v>
      </c>
      <c r="C129" s="44" t="n">
        <v>0.573</v>
      </c>
    </row>
    <row r="130" customFormat="false" ht="12" hidden="false" customHeight="false" outlineLevel="0" collapsed="false">
      <c r="A130" s="41" t="n">
        <v>645</v>
      </c>
      <c r="B130" s="42" t="n">
        <v>5</v>
      </c>
      <c r="C130" s="44" t="n">
        <v>0.578</v>
      </c>
    </row>
    <row r="131" customFormat="false" ht="12" hidden="false" customHeight="false" outlineLevel="0" collapsed="false">
      <c r="A131" s="41" t="n">
        <v>650</v>
      </c>
      <c r="B131" s="42" t="n">
        <v>5</v>
      </c>
      <c r="C131" s="44" t="n">
        <v>0.583</v>
      </c>
    </row>
    <row r="132" customFormat="false" ht="12" hidden="false" customHeight="false" outlineLevel="0" collapsed="false">
      <c r="A132" s="41" t="n">
        <v>655</v>
      </c>
      <c r="B132" s="42" t="n">
        <v>5</v>
      </c>
      <c r="C132" s="44" t="n">
        <v>0.588</v>
      </c>
    </row>
    <row r="133" customFormat="false" ht="12" hidden="false" customHeight="false" outlineLevel="0" collapsed="false">
      <c r="A133" s="41" t="n">
        <v>660</v>
      </c>
      <c r="B133" s="42" t="n">
        <v>5</v>
      </c>
      <c r="C133" s="44" t="n">
        <v>0.593</v>
      </c>
    </row>
    <row r="134" customFormat="false" ht="12" hidden="false" customHeight="false" outlineLevel="0" collapsed="false">
      <c r="A134" s="41" t="n">
        <v>665</v>
      </c>
      <c r="B134" s="42" t="n">
        <v>6</v>
      </c>
      <c r="C134" s="44" t="n">
        <v>0.599</v>
      </c>
    </row>
    <row r="135" customFormat="false" ht="12" hidden="false" customHeight="false" outlineLevel="0" collapsed="false">
      <c r="A135" s="41" t="n">
        <v>670</v>
      </c>
      <c r="B135" s="42" t="n">
        <v>4</v>
      </c>
      <c r="C135" s="44" t="n">
        <v>0.603</v>
      </c>
    </row>
    <row r="136" customFormat="false" ht="12" hidden="false" customHeight="false" outlineLevel="0" collapsed="false">
      <c r="A136" s="41" t="n">
        <v>675</v>
      </c>
      <c r="B136" s="42" t="n">
        <v>6</v>
      </c>
      <c r="C136" s="44" t="n">
        <v>0.609</v>
      </c>
    </row>
    <row r="137" customFormat="false" ht="12" hidden="false" customHeight="false" outlineLevel="0" collapsed="false">
      <c r="A137" s="41" t="n">
        <v>680</v>
      </c>
      <c r="B137" s="42" t="n">
        <v>4</v>
      </c>
      <c r="C137" s="44" t="n">
        <v>0.613</v>
      </c>
    </row>
    <row r="138" customFormat="false" ht="12" hidden="false" customHeight="false" outlineLevel="0" collapsed="false">
      <c r="A138" s="41" t="n">
        <v>685</v>
      </c>
      <c r="B138" s="42" t="n">
        <v>6</v>
      </c>
      <c r="C138" s="44" t="n">
        <v>0.619</v>
      </c>
    </row>
    <row r="139" customFormat="false" ht="12" hidden="false" customHeight="false" outlineLevel="0" collapsed="false">
      <c r="A139" s="41" t="n">
        <v>690</v>
      </c>
      <c r="B139" s="42" t="n">
        <v>4</v>
      </c>
      <c r="C139" s="44" t="n">
        <v>0.623</v>
      </c>
    </row>
    <row r="140" customFormat="false" ht="12" hidden="false" customHeight="false" outlineLevel="0" collapsed="false">
      <c r="A140" s="41" t="n">
        <v>695</v>
      </c>
      <c r="B140" s="42" t="n">
        <v>6</v>
      </c>
      <c r="C140" s="44" t="n">
        <v>0.629</v>
      </c>
    </row>
    <row r="141" customFormat="false" ht="12" hidden="false" customHeight="false" outlineLevel="0" collapsed="false">
      <c r="A141" s="41" t="n">
        <v>700</v>
      </c>
      <c r="B141" s="42" t="n">
        <v>4</v>
      </c>
      <c r="C141" s="44" t="n">
        <v>0.633</v>
      </c>
    </row>
    <row r="142" customFormat="false" ht="12" hidden="false" customHeight="false" outlineLevel="0" collapsed="false">
      <c r="A142" s="41" t="n">
        <v>705</v>
      </c>
      <c r="B142" s="42" t="n">
        <v>5</v>
      </c>
      <c r="C142" s="44" t="n">
        <v>0.638</v>
      </c>
    </row>
    <row r="143" customFormat="false" ht="12" hidden="false" customHeight="false" outlineLevel="0" collapsed="false">
      <c r="A143" s="41" t="n">
        <v>710</v>
      </c>
      <c r="B143" s="42" t="n">
        <v>5</v>
      </c>
      <c r="C143" s="44" t="n">
        <v>0.643</v>
      </c>
    </row>
    <row r="144" customFormat="false" ht="12" hidden="false" customHeight="false" outlineLevel="0" collapsed="false">
      <c r="A144" s="41" t="n">
        <v>715</v>
      </c>
      <c r="B144" s="42" t="n">
        <v>5</v>
      </c>
      <c r="C144" s="44" t="n">
        <v>0.648</v>
      </c>
    </row>
    <row r="145" customFormat="false" ht="12" hidden="false" customHeight="false" outlineLevel="0" collapsed="false">
      <c r="A145" s="41" t="n">
        <v>720</v>
      </c>
      <c r="B145" s="42" t="n">
        <v>4</v>
      </c>
      <c r="C145" s="44" t="n">
        <v>0.652</v>
      </c>
    </row>
    <row r="146" customFormat="false" ht="12" hidden="false" customHeight="false" outlineLevel="0" collapsed="false">
      <c r="A146" s="41" t="n">
        <v>725</v>
      </c>
      <c r="B146" s="42" t="n">
        <v>5</v>
      </c>
      <c r="C146" s="44" t="n">
        <v>0.657</v>
      </c>
    </row>
    <row r="147" customFormat="false" ht="12" hidden="false" customHeight="false" outlineLevel="0" collapsed="false">
      <c r="A147" s="41" t="n">
        <v>730</v>
      </c>
      <c r="B147" s="42" t="n">
        <v>5</v>
      </c>
      <c r="C147" s="44" t="n">
        <v>0.662</v>
      </c>
    </row>
    <row r="148" customFormat="false" ht="12" hidden="false" customHeight="false" outlineLevel="0" collapsed="false">
      <c r="A148" s="41" t="n">
        <v>735</v>
      </c>
      <c r="B148" s="42" t="n">
        <v>4</v>
      </c>
      <c r="C148" s="44" t="n">
        <v>0.666</v>
      </c>
    </row>
    <row r="149" customFormat="false" ht="12" hidden="false" customHeight="false" outlineLevel="0" collapsed="false">
      <c r="A149" s="41" t="n">
        <v>740</v>
      </c>
      <c r="B149" s="42" t="n">
        <v>5</v>
      </c>
      <c r="C149" s="44" t="n">
        <v>0.671</v>
      </c>
    </row>
    <row r="150" customFormat="false" ht="12" hidden="false" customHeight="false" outlineLevel="0" collapsed="false">
      <c r="A150" s="41" t="n">
        <v>745</v>
      </c>
      <c r="B150" s="42" t="n">
        <v>4</v>
      </c>
      <c r="C150" s="44" t="n">
        <v>0.675</v>
      </c>
    </row>
    <row r="151" customFormat="false" ht="12" hidden="false" customHeight="false" outlineLevel="0" collapsed="false">
      <c r="A151" s="41" t="n">
        <v>750</v>
      </c>
      <c r="B151" s="42" t="n">
        <v>5</v>
      </c>
      <c r="C151" s="44" t="n">
        <v>0.68</v>
      </c>
    </row>
    <row r="152" customFormat="false" ht="12" hidden="false" customHeight="false" outlineLevel="0" collapsed="false">
      <c r="A152" s="41" t="n">
        <v>755</v>
      </c>
      <c r="B152" s="42" t="n">
        <v>5</v>
      </c>
      <c r="C152" s="44" t="n">
        <v>0.685</v>
      </c>
    </row>
    <row r="153" customFormat="false" ht="12" hidden="false" customHeight="false" outlineLevel="0" collapsed="false">
      <c r="A153" s="41" t="n">
        <v>760</v>
      </c>
      <c r="B153" s="42" t="n">
        <v>6</v>
      </c>
      <c r="C153" s="44" t="n">
        <v>0.691</v>
      </c>
    </row>
    <row r="154" customFormat="false" ht="12" hidden="false" customHeight="false" outlineLevel="0" collapsed="false">
      <c r="A154" s="41" t="n">
        <v>765</v>
      </c>
      <c r="B154" s="42" t="n">
        <v>4</v>
      </c>
      <c r="C154" s="44" t="n">
        <v>0.695</v>
      </c>
    </row>
    <row r="155" customFormat="false" ht="12" hidden="false" customHeight="false" outlineLevel="0" collapsed="false">
      <c r="A155" s="41" t="n">
        <v>770</v>
      </c>
      <c r="B155" s="42" t="n">
        <v>6</v>
      </c>
      <c r="C155" s="44" t="n">
        <v>0.701</v>
      </c>
    </row>
    <row r="156" customFormat="false" ht="12" hidden="false" customHeight="false" outlineLevel="0" collapsed="false">
      <c r="A156" s="41" t="n">
        <v>775</v>
      </c>
      <c r="B156" s="42" t="n">
        <v>5</v>
      </c>
      <c r="C156" s="44" t="n">
        <v>0.706</v>
      </c>
    </row>
    <row r="157" customFormat="false" ht="12" hidden="false" customHeight="false" outlineLevel="0" collapsed="false">
      <c r="A157" s="41" t="n">
        <v>780</v>
      </c>
      <c r="B157" s="42" t="n">
        <v>5</v>
      </c>
      <c r="C157" s="44" t="n">
        <v>0.711</v>
      </c>
    </row>
    <row r="158" customFormat="false" ht="12" hidden="false" customHeight="false" outlineLevel="0" collapsed="false">
      <c r="A158" s="41" t="n">
        <v>785</v>
      </c>
      <c r="B158" s="42" t="n">
        <v>4</v>
      </c>
      <c r="C158" s="44" t="n">
        <v>0.715</v>
      </c>
    </row>
    <row r="159" customFormat="false" ht="12" hidden="false" customHeight="false" outlineLevel="0" collapsed="false">
      <c r="A159" s="41" t="n">
        <v>790</v>
      </c>
      <c r="B159" s="42" t="n">
        <v>5</v>
      </c>
      <c r="C159" s="44" t="n">
        <v>0.72</v>
      </c>
    </row>
    <row r="160" customFormat="false" ht="12" hidden="false" customHeight="false" outlineLevel="0" collapsed="false">
      <c r="A160" s="41" t="n">
        <v>795</v>
      </c>
      <c r="B160" s="42" t="n">
        <v>5</v>
      </c>
      <c r="C160" s="44" t="n">
        <v>0.725</v>
      </c>
    </row>
    <row r="161" customFormat="false" ht="12" hidden="false" customHeight="false" outlineLevel="0" collapsed="false">
      <c r="A161" s="41" t="n">
        <v>800</v>
      </c>
      <c r="B161" s="42" t="n">
        <v>4</v>
      </c>
      <c r="C161" s="44" t="n">
        <v>0.729</v>
      </c>
    </row>
    <row r="162" customFormat="false" ht="12" hidden="false" customHeight="false" outlineLevel="0" collapsed="false">
      <c r="A162" s="41" t="n">
        <v>805</v>
      </c>
      <c r="B162" s="42" t="n">
        <v>6</v>
      </c>
      <c r="C162" s="44" t="n">
        <v>0.735</v>
      </c>
    </row>
    <row r="163" customFormat="false" ht="12" hidden="false" customHeight="false" outlineLevel="0" collapsed="false">
      <c r="A163" s="41" t="n">
        <v>810</v>
      </c>
      <c r="B163" s="42" t="n">
        <v>4</v>
      </c>
      <c r="C163" s="44" t="n">
        <v>0.739</v>
      </c>
    </row>
    <row r="164" customFormat="false" ht="12" hidden="false" customHeight="false" outlineLevel="0" collapsed="false">
      <c r="A164" s="41" t="n">
        <v>815</v>
      </c>
      <c r="B164" s="42" t="n">
        <v>6</v>
      </c>
      <c r="C164" s="44" t="n">
        <v>0.745</v>
      </c>
    </row>
    <row r="165" customFormat="false" ht="12" hidden="false" customHeight="false" outlineLevel="0" collapsed="false">
      <c r="A165" s="41" t="n">
        <v>820</v>
      </c>
      <c r="B165" s="42" t="n">
        <v>4</v>
      </c>
      <c r="C165" s="44" t="n">
        <v>0.749</v>
      </c>
    </row>
    <row r="166" customFormat="false" ht="12" hidden="false" customHeight="false" outlineLevel="0" collapsed="false">
      <c r="A166" s="41" t="n">
        <v>825</v>
      </c>
      <c r="B166" s="42" t="n">
        <v>6</v>
      </c>
      <c r="C166" s="44" t="n">
        <v>0.755</v>
      </c>
    </row>
    <row r="167" customFormat="false" ht="12" hidden="false" customHeight="false" outlineLevel="0" collapsed="false">
      <c r="A167" s="41" t="n">
        <v>830</v>
      </c>
      <c r="B167" s="42" t="n">
        <v>4</v>
      </c>
      <c r="C167" s="44" t="n">
        <v>0.759</v>
      </c>
    </row>
    <row r="168" customFormat="false" ht="12" hidden="false" customHeight="false" outlineLevel="0" collapsed="false">
      <c r="A168" s="41" t="n">
        <v>835</v>
      </c>
      <c r="B168" s="42" t="n">
        <v>5</v>
      </c>
      <c r="C168" s="44" t="n">
        <v>0.764</v>
      </c>
    </row>
    <row r="169" customFormat="false" ht="12" hidden="false" customHeight="false" outlineLevel="0" collapsed="false">
      <c r="A169" s="41" t="n">
        <v>840</v>
      </c>
      <c r="B169" s="42" t="n">
        <v>5</v>
      </c>
      <c r="C169" s="44" t="n">
        <v>0.769</v>
      </c>
    </row>
    <row r="170" customFormat="false" ht="12" hidden="false" customHeight="false" outlineLevel="0" collapsed="false">
      <c r="A170" s="41" t="n">
        <v>845</v>
      </c>
      <c r="B170" s="42" t="n">
        <v>5</v>
      </c>
      <c r="C170" s="44" t="n">
        <v>0.774</v>
      </c>
    </row>
    <row r="171" customFormat="false" ht="12" hidden="false" customHeight="false" outlineLevel="0" collapsed="false">
      <c r="A171" s="41" t="n">
        <v>850</v>
      </c>
      <c r="B171" s="42" t="n">
        <v>5</v>
      </c>
      <c r="C171" s="44" t="n">
        <v>0.779</v>
      </c>
    </row>
    <row r="172" customFormat="false" ht="12" hidden="false" customHeight="false" outlineLevel="0" collapsed="false">
      <c r="A172" s="41" t="n">
        <v>855</v>
      </c>
      <c r="B172" s="42" t="n">
        <v>5</v>
      </c>
      <c r="C172" s="44" t="n">
        <v>0.784</v>
      </c>
    </row>
    <row r="173" customFormat="false" ht="12" hidden="false" customHeight="false" outlineLevel="0" collapsed="false">
      <c r="A173" s="41" t="n">
        <v>860</v>
      </c>
      <c r="B173" s="42" t="n">
        <v>5</v>
      </c>
      <c r="C173" s="44" t="n">
        <v>0.789</v>
      </c>
    </row>
    <row r="174" customFormat="false" ht="12" hidden="false" customHeight="false" outlineLevel="0" collapsed="false">
      <c r="A174" s="41" t="n">
        <v>865</v>
      </c>
      <c r="B174" s="42" t="n">
        <v>6</v>
      </c>
      <c r="C174" s="44" t="n">
        <v>0.795</v>
      </c>
    </row>
    <row r="175" customFormat="false" ht="12" hidden="false" customHeight="false" outlineLevel="0" collapsed="false">
      <c r="A175" s="41" t="n">
        <v>870</v>
      </c>
      <c r="B175" s="42" t="n">
        <v>4</v>
      </c>
      <c r="C175" s="44" t="n">
        <v>0.799</v>
      </c>
    </row>
    <row r="176" customFormat="false" ht="12" hidden="false" customHeight="false" outlineLevel="0" collapsed="false">
      <c r="A176" s="41" t="n">
        <v>875</v>
      </c>
      <c r="B176" s="42" t="n">
        <v>6</v>
      </c>
      <c r="C176" s="44" t="n">
        <v>0.805</v>
      </c>
    </row>
    <row r="177" customFormat="false" ht="12" hidden="false" customHeight="false" outlineLevel="0" collapsed="false">
      <c r="A177" s="41" t="n">
        <v>880</v>
      </c>
      <c r="B177" s="42" t="n">
        <v>4</v>
      </c>
      <c r="C177" s="44" t="n">
        <v>0.809</v>
      </c>
    </row>
    <row r="178" customFormat="false" ht="12" hidden="false" customHeight="false" outlineLevel="0" collapsed="false">
      <c r="A178" s="41" t="n">
        <v>885</v>
      </c>
      <c r="B178" s="42" t="n">
        <v>6</v>
      </c>
      <c r="C178" s="44" t="n">
        <v>0.815</v>
      </c>
    </row>
    <row r="179" customFormat="false" ht="12" hidden="false" customHeight="false" outlineLevel="0" collapsed="false">
      <c r="A179" s="41" t="n">
        <v>890</v>
      </c>
      <c r="B179" s="42" t="n">
        <v>4</v>
      </c>
      <c r="C179" s="44" t="n">
        <v>0.819</v>
      </c>
    </row>
    <row r="180" customFormat="false" ht="12" hidden="false" customHeight="false" outlineLevel="0" collapsed="false">
      <c r="A180" s="41" t="n">
        <v>895</v>
      </c>
      <c r="B180" s="42" t="n">
        <v>6</v>
      </c>
      <c r="C180" s="44" t="n">
        <v>0.825</v>
      </c>
    </row>
    <row r="181" customFormat="false" ht="12" hidden="false" customHeight="false" outlineLevel="0" collapsed="false">
      <c r="A181" s="41" t="n">
        <v>900</v>
      </c>
      <c r="B181" s="42" t="n">
        <v>4</v>
      </c>
      <c r="C181" s="44" t="n">
        <v>0.829</v>
      </c>
    </row>
    <row r="182" customFormat="false" ht="12" hidden="false" customHeight="false" outlineLevel="0" collapsed="false">
      <c r="A182" s="41" t="n">
        <v>905</v>
      </c>
      <c r="B182" s="42" t="n">
        <v>6</v>
      </c>
      <c r="C182" s="44" t="n">
        <v>0.835</v>
      </c>
    </row>
    <row r="183" customFormat="false" ht="12" hidden="false" customHeight="false" outlineLevel="0" collapsed="false">
      <c r="A183" s="41" t="n">
        <v>910</v>
      </c>
      <c r="B183" s="42" t="n">
        <v>5</v>
      </c>
      <c r="C183" s="44" t="n">
        <v>0.84</v>
      </c>
    </row>
    <row r="184" customFormat="false" ht="12" hidden="false" customHeight="false" outlineLevel="0" collapsed="false">
      <c r="A184" s="41" t="n">
        <v>915</v>
      </c>
      <c r="B184" s="42" t="n">
        <v>4</v>
      </c>
      <c r="C184" s="44" t="n">
        <v>0.844</v>
      </c>
    </row>
    <row r="185" customFormat="false" ht="12" hidden="false" customHeight="false" outlineLevel="0" collapsed="false">
      <c r="A185" s="41" t="n">
        <v>920</v>
      </c>
      <c r="B185" s="42" t="n">
        <v>5</v>
      </c>
      <c r="C185" s="44" t="n">
        <v>0.849</v>
      </c>
    </row>
    <row r="186" customFormat="false" ht="12" hidden="false" customHeight="false" outlineLevel="0" collapsed="false">
      <c r="A186" s="41" t="n">
        <v>925</v>
      </c>
      <c r="B186" s="42" t="n">
        <v>5</v>
      </c>
      <c r="C186" s="44" t="n">
        <v>0.854</v>
      </c>
    </row>
    <row r="187" customFormat="false" ht="12" hidden="false" customHeight="false" outlineLevel="0" collapsed="false">
      <c r="A187" s="41" t="n">
        <v>930</v>
      </c>
      <c r="B187" s="42" t="n">
        <v>5</v>
      </c>
      <c r="C187" s="44" t="n">
        <v>0.859</v>
      </c>
    </row>
    <row r="188" customFormat="false" ht="12" hidden="false" customHeight="false" outlineLevel="0" collapsed="false">
      <c r="A188" s="41" t="n">
        <v>935</v>
      </c>
      <c r="B188" s="42" t="n">
        <v>4</v>
      </c>
      <c r="C188" s="44" t="n">
        <v>0.863</v>
      </c>
    </row>
    <row r="189" customFormat="false" ht="12" hidden="false" customHeight="false" outlineLevel="0" collapsed="false">
      <c r="A189" s="41" t="n">
        <v>940</v>
      </c>
      <c r="B189" s="42" t="n">
        <v>6</v>
      </c>
      <c r="C189" s="44" t="n">
        <v>0.869</v>
      </c>
    </row>
    <row r="190" customFormat="false" ht="12" hidden="false" customHeight="false" outlineLevel="0" collapsed="false">
      <c r="A190" s="41" t="n">
        <v>945</v>
      </c>
      <c r="B190" s="42" t="n">
        <v>4</v>
      </c>
      <c r="C190" s="44" t="n">
        <v>0.873</v>
      </c>
    </row>
    <row r="191" customFormat="false" ht="12" hidden="false" customHeight="false" outlineLevel="0" collapsed="false">
      <c r="A191" s="41" t="n">
        <v>950</v>
      </c>
      <c r="B191" s="42" t="n">
        <v>6</v>
      </c>
      <c r="C191" s="44" t="n">
        <v>0.879</v>
      </c>
    </row>
    <row r="192" customFormat="false" ht="12" hidden="false" customHeight="false" outlineLevel="0" collapsed="false">
      <c r="A192" s="41" t="n">
        <v>955</v>
      </c>
      <c r="B192" s="42" t="n">
        <v>4</v>
      </c>
      <c r="C192" s="44" t="n">
        <v>0.883</v>
      </c>
    </row>
    <row r="193" customFormat="false" ht="12" hidden="false" customHeight="false" outlineLevel="0" collapsed="false">
      <c r="A193" s="41" t="n">
        <v>960</v>
      </c>
      <c r="B193" s="42" t="n">
        <v>6</v>
      </c>
      <c r="C193" s="44" t="n">
        <v>0.889</v>
      </c>
    </row>
    <row r="194" customFormat="false" ht="12" hidden="false" customHeight="false" outlineLevel="0" collapsed="false">
      <c r="A194" s="41" t="n">
        <v>965</v>
      </c>
      <c r="B194" s="42" t="n">
        <v>4</v>
      </c>
      <c r="C194" s="44" t="n">
        <v>0.893</v>
      </c>
    </row>
    <row r="195" customFormat="false" ht="12" hidden="false" customHeight="false" outlineLevel="0" collapsed="false">
      <c r="A195" s="41" t="n">
        <v>970</v>
      </c>
      <c r="B195" s="42" t="n">
        <v>6</v>
      </c>
      <c r="C195" s="44" t="n">
        <v>0.899</v>
      </c>
    </row>
    <row r="196" customFormat="false" ht="12" hidden="false" customHeight="false" outlineLevel="0" collapsed="false">
      <c r="A196" s="41" t="n">
        <v>975</v>
      </c>
      <c r="B196" s="42" t="n">
        <v>4</v>
      </c>
      <c r="C196" s="44" t="n">
        <v>0.903</v>
      </c>
    </row>
    <row r="197" customFormat="false" ht="12" hidden="false" customHeight="false" outlineLevel="0" collapsed="false">
      <c r="A197" s="41" t="n">
        <v>980</v>
      </c>
      <c r="B197" s="42" t="n">
        <v>6</v>
      </c>
      <c r="C197" s="44" t="n">
        <v>0.909</v>
      </c>
    </row>
    <row r="198" customFormat="false" ht="12" hidden="false" customHeight="false" outlineLevel="0" collapsed="false">
      <c r="A198" s="41" t="n">
        <v>985</v>
      </c>
      <c r="B198" s="42" t="n">
        <v>4</v>
      </c>
      <c r="C198" s="44" t="n">
        <v>0.913</v>
      </c>
    </row>
    <row r="199" customFormat="false" ht="12" hidden="false" customHeight="false" outlineLevel="0" collapsed="false">
      <c r="A199" s="41" t="n">
        <v>990</v>
      </c>
      <c r="B199" s="42" t="n">
        <v>5</v>
      </c>
      <c r="C199" s="44" t="n">
        <v>0.918</v>
      </c>
    </row>
    <row r="200" customFormat="false" ht="12" hidden="false" customHeight="false" outlineLevel="0" collapsed="false">
      <c r="A200" s="41" t="n">
        <v>995</v>
      </c>
      <c r="B200" s="42" t="n">
        <v>5</v>
      </c>
      <c r="C200" s="44" t="n">
        <v>0.923</v>
      </c>
    </row>
    <row r="201" customFormat="false" ht="12" hidden="false" customHeight="false" outlineLevel="0" collapsed="false">
      <c r="A201" s="41" t="n">
        <v>1000</v>
      </c>
      <c r="B201" s="42" t="n">
        <v>5</v>
      </c>
      <c r="C201" s="44" t="n">
        <v>0.928</v>
      </c>
    </row>
    <row r="202" customFormat="false" ht="12" hidden="false" customHeight="false" outlineLevel="0" collapsed="false">
      <c r="A202" s="41" t="n">
        <v>1005</v>
      </c>
      <c r="B202" s="42" t="n">
        <v>6</v>
      </c>
      <c r="C202" s="44" t="n">
        <v>0.934</v>
      </c>
    </row>
    <row r="203" customFormat="false" ht="12" hidden="false" customHeight="false" outlineLevel="0" collapsed="false">
      <c r="A203" s="41" t="n">
        <v>1010</v>
      </c>
      <c r="B203" s="42" t="n">
        <v>5</v>
      </c>
      <c r="C203" s="44" t="n">
        <v>0.939</v>
      </c>
    </row>
    <row r="204" customFormat="false" ht="12.75" hidden="false" customHeight="false" outlineLevel="0" collapsed="false">
      <c r="A204" s="43" t="s">
        <v>74</v>
      </c>
      <c r="B204" s="43" t="n">
        <v>61</v>
      </c>
      <c r="C204" s="45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J17" activeCellId="0" sqref="J17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0" t="s">
        <v>0</v>
      </c>
    </row>
    <row r="2" customFormat="false" ht="12" hidden="false" customHeight="false" outlineLevel="0" collapsed="false">
      <c r="A2" s="0" t="s">
        <v>2</v>
      </c>
      <c r="B2" s="0" t="n">
        <v>0.95</v>
      </c>
    </row>
    <row r="3" customFormat="false" ht="12" hidden="false" customHeight="false" outlineLevel="0" collapsed="false">
      <c r="A3" s="0" t="s">
        <v>4</v>
      </c>
      <c r="B3" s="0" t="n">
        <v>2</v>
      </c>
    </row>
    <row r="4" customFormat="false" ht="12" hidden="false" customHeight="false" outlineLevel="0" collapsed="false">
      <c r="A4" s="0" t="s">
        <v>5</v>
      </c>
      <c r="B4" s="0" t="n">
        <v>2</v>
      </c>
    </row>
    <row r="5" customFormat="false" ht="12" hidden="false" customHeight="false" outlineLevel="0" collapsed="false">
      <c r="A5" s="0" t="s">
        <v>6</v>
      </c>
      <c r="B5" s="0" t="n">
        <v>0.5</v>
      </c>
    </row>
    <row r="6" customFormat="false" ht="12" hidden="false" customHeight="false" outlineLevel="0" collapsed="false">
      <c r="A6" s="0" t="s">
        <v>7</v>
      </c>
      <c r="B6" s="0" t="n">
        <v>-0.15</v>
      </c>
    </row>
    <row r="7" customFormat="false" ht="12" hidden="false" customHeight="false" outlineLevel="0" collapsed="false">
      <c r="A7" s="0" t="s">
        <v>8</v>
      </c>
      <c r="B7" s="0" t="n">
        <v>0</v>
      </c>
    </row>
    <row r="8" customFormat="false" ht="12" hidden="false" customHeight="false" outlineLevel="0" collapsed="false">
      <c r="A8" s="0" t="s">
        <v>9</v>
      </c>
      <c r="B8" s="0" t="n">
        <v>0.5</v>
      </c>
    </row>
    <row r="10" customFormat="false" ht="12" hidden="false" customHeight="false" outlineLevel="0" collapsed="false">
      <c r="A10" s="0" t="s">
        <v>10</v>
      </c>
      <c r="B10" s="0" t="n">
        <v>0.504</v>
      </c>
    </row>
    <row r="11" customFormat="false" ht="12" hidden="false" customHeight="false" outlineLevel="0" collapsed="false">
      <c r="A11" s="0" t="s">
        <v>11</v>
      </c>
      <c r="B11" s="0" t="n">
        <v>0.489</v>
      </c>
    </row>
    <row r="15" customFormat="false" ht="12" hidden="false" customHeight="false" outlineLevel="0" collapsed="false">
      <c r="A15" s="0" t="s">
        <v>77</v>
      </c>
      <c r="B15" s="0" t="s">
        <v>78</v>
      </c>
      <c r="C15" s="0" t="s">
        <v>79</v>
      </c>
    </row>
    <row r="16" customFormat="false" ht="12" hidden="false" customHeight="false" outlineLevel="0" collapsed="false">
      <c r="A16" s="0" t="s">
        <v>80</v>
      </c>
      <c r="B16" s="0" t="s">
        <v>81</v>
      </c>
      <c r="C16" s="0" t="s">
        <v>81</v>
      </c>
    </row>
    <row r="17" customFormat="false" ht="12" hidden="false" customHeight="false" outlineLevel="0" collapsed="false">
      <c r="A17" s="0" t="s">
        <v>77</v>
      </c>
      <c r="B17" s="0" t="s">
        <v>78</v>
      </c>
      <c r="C17" s="0" t="s">
        <v>79</v>
      </c>
      <c r="F17" s="0" t="s">
        <v>60</v>
      </c>
    </row>
    <row r="18" customFormat="false" ht="12" hidden="false" customHeight="false" outlineLevel="0" collapsed="false">
      <c r="A18" s="0" t="n">
        <v>1</v>
      </c>
      <c r="B18" s="0" t="n">
        <v>0</v>
      </c>
      <c r="C18" s="0" t="n">
        <v>1.93051074805011</v>
      </c>
      <c r="F18" s="0" t="n">
        <v>5</v>
      </c>
    </row>
    <row r="19" customFormat="false" ht="12" hidden="false" customHeight="false" outlineLevel="0" collapsed="false">
      <c r="A19" s="0" t="n">
        <v>2</v>
      </c>
      <c r="B19" s="0" t="n">
        <v>0.26618855856164</v>
      </c>
      <c r="C19" s="0" t="n">
        <v>2.37438887111157</v>
      </c>
      <c r="F19" s="0" t="n">
        <f aca="false">5+F18</f>
        <v>10</v>
      </c>
    </row>
    <row r="20" customFormat="false" ht="12" hidden="false" customHeight="false" outlineLevel="0" collapsed="false">
      <c r="A20" s="0" t="n">
        <v>3</v>
      </c>
      <c r="B20" s="0" t="n">
        <v>0.469754354032025</v>
      </c>
      <c r="C20" s="0" t="n">
        <v>4.61532192400038</v>
      </c>
      <c r="F20" s="0" t="n">
        <f aca="false">5+F19</f>
        <v>15</v>
      </c>
    </row>
    <row r="21" customFormat="false" ht="12" hidden="false" customHeight="false" outlineLevel="0" collapsed="false">
      <c r="A21" s="0" t="n">
        <v>4</v>
      </c>
      <c r="B21" s="0" t="n">
        <v>1.69689869377683</v>
      </c>
      <c r="C21" s="0" t="n">
        <v>6.42449784498001</v>
      </c>
      <c r="F21" s="0" t="n">
        <f aca="false">5+F20</f>
        <v>20</v>
      </c>
    </row>
    <row r="22" customFormat="false" ht="12" hidden="false" customHeight="false" outlineLevel="0" collapsed="false">
      <c r="A22" s="0" t="n">
        <v>5</v>
      </c>
      <c r="B22" s="0" t="n">
        <v>3.42596611338834</v>
      </c>
      <c r="C22" s="0" t="n">
        <v>8.44688128593587</v>
      </c>
      <c r="F22" s="0" t="n">
        <f aca="false">5+F21</f>
        <v>25</v>
      </c>
    </row>
    <row r="23" customFormat="false" ht="12" hidden="false" customHeight="false" outlineLevel="0" collapsed="false">
      <c r="A23" s="0" t="n">
        <v>6</v>
      </c>
      <c r="B23" s="0" t="n">
        <v>4.63908096118923</v>
      </c>
      <c r="C23" s="0" t="n">
        <v>10.3803184134236</v>
      </c>
      <c r="F23" s="0" t="n">
        <f aca="false">5+F22</f>
        <v>30</v>
      </c>
    </row>
    <row r="24" customFormat="false" ht="12" hidden="false" customHeight="false" outlineLevel="0" collapsed="false">
      <c r="A24" s="0" t="n">
        <v>7</v>
      </c>
      <c r="B24" s="0" t="n">
        <v>6.04346107581144</v>
      </c>
      <c r="C24" s="0" t="n">
        <v>8.19518117597363</v>
      </c>
      <c r="F24" s="0" t="n">
        <f aca="false">5+F23</f>
        <v>35</v>
      </c>
    </row>
    <row r="25" customFormat="false" ht="12" hidden="false" customHeight="false" outlineLevel="0" collapsed="false">
      <c r="A25" s="0" t="n">
        <v>8</v>
      </c>
      <c r="B25" s="0" t="n">
        <v>6.20618034744353</v>
      </c>
      <c r="C25" s="0" t="n">
        <v>10.3439483687866</v>
      </c>
      <c r="F25" s="0" t="n">
        <f aca="false">5+F24</f>
        <v>40</v>
      </c>
    </row>
    <row r="26" customFormat="false" ht="12" hidden="false" customHeight="false" outlineLevel="0" collapsed="false">
      <c r="A26" s="0" t="n">
        <v>9</v>
      </c>
      <c r="B26" s="0" t="n">
        <v>6.79742235729951</v>
      </c>
      <c r="C26" s="0" t="n">
        <v>12.2720109708016</v>
      </c>
      <c r="F26" s="0" t="n">
        <f aca="false">5+F25</f>
        <v>45</v>
      </c>
    </row>
    <row r="27" customFormat="false" ht="12" hidden="false" customHeight="false" outlineLevel="0" collapsed="false">
      <c r="A27" s="0" t="n">
        <v>10</v>
      </c>
      <c r="B27" s="0" t="n">
        <v>7.2681451247551</v>
      </c>
      <c r="C27" s="0" t="n">
        <v>14.1902804797363</v>
      </c>
      <c r="F27" s="0" t="n">
        <f aca="false">5+F26</f>
        <v>50</v>
      </c>
    </row>
    <row r="28" customFormat="false" ht="12" hidden="false" customHeight="false" outlineLevel="0" collapsed="false">
      <c r="A28" s="0" t="n">
        <v>11</v>
      </c>
      <c r="B28" s="0" t="n">
        <v>7.26819817314723</v>
      </c>
      <c r="C28" s="0" t="n">
        <v>12.3213309211289</v>
      </c>
      <c r="F28" s="0" t="n">
        <f aca="false">5+F27</f>
        <v>55</v>
      </c>
    </row>
    <row r="29" customFormat="false" ht="12" hidden="false" customHeight="false" outlineLevel="0" collapsed="false">
      <c r="A29" s="0" t="n">
        <v>12</v>
      </c>
      <c r="B29" s="0" t="n">
        <v>8.11451399502886</v>
      </c>
      <c r="C29" s="0" t="n">
        <v>15.9726355895763</v>
      </c>
      <c r="F29" s="0" t="n">
        <f aca="false">5+F28</f>
        <v>60</v>
      </c>
    </row>
    <row r="30" customFormat="false" ht="12" hidden="false" customHeight="false" outlineLevel="0" collapsed="false">
      <c r="A30" s="0" t="n">
        <v>13</v>
      </c>
      <c r="B30" s="0" t="n">
        <v>8.74161564637211</v>
      </c>
      <c r="C30" s="0" t="n">
        <v>14.4386211120195</v>
      </c>
      <c r="F30" s="0" t="n">
        <f aca="false">5+F29</f>
        <v>65</v>
      </c>
    </row>
    <row r="31" customFormat="false" ht="12" hidden="false" customHeight="false" outlineLevel="0" collapsed="false">
      <c r="A31" s="0" t="n">
        <v>14</v>
      </c>
      <c r="B31" s="0" t="n">
        <v>9.66613956385085</v>
      </c>
      <c r="C31" s="0" t="n">
        <v>16.4840093212512</v>
      </c>
      <c r="F31" s="0" t="n">
        <f aca="false">5+F30</f>
        <v>70</v>
      </c>
    </row>
    <row r="32" customFormat="false" ht="12" hidden="false" customHeight="false" outlineLevel="0" collapsed="false">
      <c r="A32" s="0" t="n">
        <v>15</v>
      </c>
      <c r="B32" s="0" t="n">
        <v>10.0356810011814</v>
      </c>
      <c r="C32" s="0" t="n">
        <v>17.8235015054196</v>
      </c>
      <c r="F32" s="0" t="n">
        <f aca="false">5+F31</f>
        <v>75</v>
      </c>
    </row>
    <row r="33" customFormat="false" ht="12" hidden="false" customHeight="false" outlineLevel="0" collapsed="false">
      <c r="A33" s="0" t="n">
        <v>16</v>
      </c>
      <c r="B33" s="0" t="n">
        <v>10.3731903779911</v>
      </c>
      <c r="C33" s="0" t="n">
        <v>19.8000454153369</v>
      </c>
      <c r="F33" s="0" t="n">
        <f aca="false">5+F32</f>
        <v>80</v>
      </c>
    </row>
    <row r="34" customFormat="false" ht="12" hidden="false" customHeight="false" outlineLevel="0" collapsed="false">
      <c r="A34" s="0" t="n">
        <v>17</v>
      </c>
      <c r="B34" s="0" t="n">
        <v>12.0124963875944</v>
      </c>
      <c r="C34" s="0" t="n">
        <v>18.6228467271245</v>
      </c>
      <c r="F34" s="0" t="n">
        <f aca="false">5+F33</f>
        <v>85</v>
      </c>
    </row>
    <row r="35" customFormat="false" ht="12" hidden="false" customHeight="false" outlineLevel="0" collapsed="false">
      <c r="A35" s="0" t="n">
        <v>18</v>
      </c>
      <c r="B35" s="0" t="n">
        <v>12.8178696937435</v>
      </c>
      <c r="C35" s="0" t="n">
        <v>20.7014105930128</v>
      </c>
      <c r="F35" s="0" t="n">
        <f aca="false">5+F34</f>
        <v>90</v>
      </c>
    </row>
    <row r="36" customFormat="false" ht="12" hidden="false" customHeight="false" outlineLevel="0" collapsed="false">
      <c r="A36" s="0" t="n">
        <v>19</v>
      </c>
      <c r="B36" s="0" t="n">
        <v>13.5968822033296</v>
      </c>
      <c r="C36" s="0" t="n">
        <v>22.4953706564213</v>
      </c>
      <c r="F36" s="0" t="n">
        <f aca="false">5+F35</f>
        <v>95</v>
      </c>
    </row>
    <row r="37" customFormat="false" ht="12" hidden="false" customHeight="false" outlineLevel="0" collapsed="false">
      <c r="A37" s="0" t="n">
        <v>20</v>
      </c>
      <c r="B37" s="0" t="n">
        <v>14.0819352093213</v>
      </c>
      <c r="C37" s="0" t="n">
        <v>24.537166945979</v>
      </c>
      <c r="F37" s="0" t="n">
        <f aca="false">5+F36</f>
        <v>100</v>
      </c>
    </row>
    <row r="38" customFormat="false" ht="12" hidden="false" customHeight="false" outlineLevel="0" collapsed="false">
      <c r="A38" s="0" t="n">
        <v>21</v>
      </c>
      <c r="B38" s="0" t="n">
        <v>14.2351879496138</v>
      </c>
      <c r="C38" s="0" t="n">
        <v>21.8390499306908</v>
      </c>
      <c r="F38" s="0" t="n">
        <f aca="false">5+F37</f>
        <v>105</v>
      </c>
    </row>
    <row r="39" customFormat="false" ht="12" hidden="false" customHeight="false" outlineLevel="0" collapsed="false">
      <c r="A39" s="0" t="n">
        <v>22</v>
      </c>
      <c r="B39" s="0" t="n">
        <v>18.2561733769009</v>
      </c>
      <c r="C39" s="0" t="n">
        <v>26.4727477060311</v>
      </c>
      <c r="F39" s="0" t="n">
        <f aca="false">5+F38</f>
        <v>110</v>
      </c>
    </row>
    <row r="40" customFormat="false" ht="12" hidden="false" customHeight="false" outlineLevel="0" collapsed="false">
      <c r="A40" s="0" t="n">
        <v>23</v>
      </c>
      <c r="B40" s="0" t="n">
        <v>18.7318743381968</v>
      </c>
      <c r="C40" s="0" t="n">
        <v>23.7972866531301</v>
      </c>
      <c r="F40" s="0" t="n">
        <f aca="false">5+F39</f>
        <v>115</v>
      </c>
    </row>
    <row r="41" customFormat="false" ht="12" hidden="false" customHeight="false" outlineLevel="0" collapsed="false">
      <c r="A41" s="0" t="n">
        <v>24</v>
      </c>
      <c r="B41" s="0" t="n">
        <v>18.9556467994248</v>
      </c>
      <c r="C41" s="0" t="n">
        <v>25.9972537300477</v>
      </c>
      <c r="F41" s="0" t="n">
        <f aca="false">5+F40</f>
        <v>120</v>
      </c>
    </row>
    <row r="42" customFormat="false" ht="12" hidden="false" customHeight="false" outlineLevel="0" collapsed="false">
      <c r="A42" s="0" t="n">
        <v>25</v>
      </c>
      <c r="B42" s="0" t="n">
        <v>19.832716576128</v>
      </c>
      <c r="C42" s="0" t="n">
        <v>28.0153554420749</v>
      </c>
      <c r="F42" s="0" t="n">
        <f aca="false">5+F41</f>
        <v>125</v>
      </c>
    </row>
    <row r="43" customFormat="false" ht="12" hidden="false" customHeight="false" outlineLevel="0" collapsed="false">
      <c r="A43" s="0" t="n">
        <v>26</v>
      </c>
      <c r="B43" s="0" t="n">
        <v>20.4490856487132</v>
      </c>
      <c r="C43" s="0" t="n">
        <v>30.0618090070938</v>
      </c>
      <c r="F43" s="0" t="n">
        <f aca="false">5+F42</f>
        <v>130</v>
      </c>
    </row>
    <row r="44" customFormat="false" ht="12" hidden="false" customHeight="false" outlineLevel="0" collapsed="false">
      <c r="A44" s="0" t="n">
        <v>27</v>
      </c>
      <c r="B44" s="0" t="n">
        <v>20.9007732523715</v>
      </c>
      <c r="C44" s="0" t="n">
        <v>28.30073701643</v>
      </c>
      <c r="F44" s="0" t="n">
        <f aca="false">5+F43</f>
        <v>135</v>
      </c>
    </row>
    <row r="45" customFormat="false" ht="12" hidden="false" customHeight="false" outlineLevel="0" collapsed="false">
      <c r="A45" s="0" t="n">
        <v>28</v>
      </c>
      <c r="B45" s="0" t="n">
        <v>21.6968859885769</v>
      </c>
      <c r="C45" s="0" t="n">
        <v>30.3009645985995</v>
      </c>
      <c r="F45" s="0" t="n">
        <f aca="false">5+F44</f>
        <v>140</v>
      </c>
    </row>
    <row r="46" customFormat="false" ht="12" hidden="false" customHeight="false" outlineLevel="0" collapsed="false">
      <c r="A46" s="0" t="n">
        <v>29</v>
      </c>
      <c r="B46" s="0" t="n">
        <v>21.7158894909636</v>
      </c>
      <c r="C46" s="0" t="n">
        <v>32.0544130319484</v>
      </c>
      <c r="F46" s="0" t="n">
        <f aca="false">5+F45</f>
        <v>145</v>
      </c>
    </row>
    <row r="47" customFormat="false" ht="12" hidden="false" customHeight="false" outlineLevel="0" collapsed="false">
      <c r="A47" s="0" t="n">
        <v>30</v>
      </c>
      <c r="B47" s="0" t="n">
        <v>22.0357816682561</v>
      </c>
      <c r="C47" s="0" t="n">
        <v>33.9841183688014</v>
      </c>
      <c r="F47" s="0" t="n">
        <f aca="false">5+F46</f>
        <v>150</v>
      </c>
    </row>
    <row r="48" customFormat="false" ht="12" hidden="false" customHeight="false" outlineLevel="0" collapsed="false">
      <c r="A48" s="0" t="n">
        <v>31</v>
      </c>
      <c r="B48" s="0" t="n">
        <v>22.095068223782</v>
      </c>
      <c r="C48" s="0" t="n">
        <v>32.5284679584289</v>
      </c>
      <c r="F48" s="0" t="n">
        <f aca="false">5+F47</f>
        <v>155</v>
      </c>
    </row>
    <row r="49" customFormat="false" ht="12" hidden="false" customHeight="false" outlineLevel="0" collapsed="false">
      <c r="A49" s="0" t="n">
        <v>32</v>
      </c>
      <c r="B49" s="0" t="n">
        <v>22.4857775092658</v>
      </c>
      <c r="C49" s="0" t="n">
        <v>35.9170921316506</v>
      </c>
      <c r="F49" s="0" t="n">
        <f aca="false">5+F48</f>
        <v>160</v>
      </c>
    </row>
    <row r="50" customFormat="false" ht="12" hidden="false" customHeight="false" outlineLevel="0" collapsed="false">
      <c r="A50" s="0" t="n">
        <v>33</v>
      </c>
      <c r="B50" s="0" t="n">
        <v>25.4037054121635</v>
      </c>
      <c r="C50" s="0" t="n">
        <v>38.0460976880289</v>
      </c>
      <c r="F50" s="0" t="n">
        <f aca="false">5+F49</f>
        <v>165</v>
      </c>
    </row>
    <row r="51" customFormat="false" ht="12" hidden="false" customHeight="false" outlineLevel="0" collapsed="false">
      <c r="A51" s="0" t="n">
        <v>34</v>
      </c>
      <c r="B51" s="0" t="n">
        <v>26.2907207696879</v>
      </c>
      <c r="C51" s="0" t="n">
        <v>34.7421994797499</v>
      </c>
      <c r="F51" s="0" t="n">
        <f aca="false">5+F50</f>
        <v>170</v>
      </c>
    </row>
    <row r="52" customFormat="false" ht="12" hidden="false" customHeight="false" outlineLevel="0" collapsed="false">
      <c r="A52" s="0" t="n">
        <v>35</v>
      </c>
      <c r="B52" s="0" t="n">
        <v>26.8643883475154</v>
      </c>
      <c r="C52" s="0" t="n">
        <v>36.742422089737</v>
      </c>
      <c r="F52" s="0" t="n">
        <f aca="false">5+F51</f>
        <v>175</v>
      </c>
    </row>
    <row r="53" customFormat="false" ht="12" hidden="false" customHeight="false" outlineLevel="0" collapsed="false">
      <c r="A53" s="0" t="n">
        <v>36</v>
      </c>
      <c r="B53" s="0" t="n">
        <v>27.1842783116848</v>
      </c>
      <c r="C53" s="0" t="n">
        <v>38.7511457782107</v>
      </c>
      <c r="F53" s="0" t="n">
        <f aca="false">5+F52</f>
        <v>180</v>
      </c>
    </row>
    <row r="54" customFormat="false" ht="12" hidden="false" customHeight="false" outlineLevel="0" collapsed="false">
      <c r="A54" s="0" t="n">
        <v>37</v>
      </c>
      <c r="B54" s="0" t="n">
        <v>27.8545597868402</v>
      </c>
      <c r="C54" s="0" t="n">
        <v>40.0320146972835</v>
      </c>
      <c r="F54" s="0" t="n">
        <f aca="false">5+F53</f>
        <v>185</v>
      </c>
    </row>
    <row r="55" customFormat="false" ht="12" hidden="false" customHeight="false" outlineLevel="0" collapsed="false">
      <c r="A55" s="0" t="n">
        <v>38</v>
      </c>
      <c r="B55" s="0" t="n">
        <v>28.6006595539726</v>
      </c>
      <c r="C55" s="0" t="n">
        <v>40.9652659435777</v>
      </c>
      <c r="F55" s="0" t="n">
        <f aca="false">5+F54</f>
        <v>190</v>
      </c>
    </row>
    <row r="56" customFormat="false" ht="12" hidden="false" customHeight="false" outlineLevel="0" collapsed="false">
      <c r="A56" s="0" t="n">
        <v>39</v>
      </c>
      <c r="B56" s="0" t="n">
        <v>28.9003481915135</v>
      </c>
      <c r="C56" s="0" t="n">
        <v>42.2183688553235</v>
      </c>
      <c r="F56" s="0" t="n">
        <f aca="false">5+F55</f>
        <v>195</v>
      </c>
    </row>
    <row r="57" customFormat="false" ht="12" hidden="false" customHeight="false" outlineLevel="0" collapsed="false">
      <c r="A57" s="0" t="n">
        <v>40</v>
      </c>
      <c r="B57" s="0" t="n">
        <v>28.9940367365244</v>
      </c>
      <c r="C57" s="0" t="n">
        <v>42.9033062558817</v>
      </c>
      <c r="F57" s="0" t="n">
        <f aca="false">5+F56</f>
        <v>200</v>
      </c>
    </row>
    <row r="58" customFormat="false" ht="12" hidden="false" customHeight="false" outlineLevel="0" collapsed="false">
      <c r="A58" s="0" t="n">
        <v>41</v>
      </c>
      <c r="B58" s="0" t="n">
        <v>29.0620889561135</v>
      </c>
      <c r="C58" s="0" t="n">
        <v>44.9390787825976</v>
      </c>
      <c r="F58" s="0" t="n">
        <f aca="false">5+F57</f>
        <v>205</v>
      </c>
    </row>
    <row r="59" customFormat="false" ht="12" hidden="false" customHeight="false" outlineLevel="0" collapsed="false">
      <c r="A59" s="0" t="n">
        <v>42</v>
      </c>
      <c r="B59" s="0" t="n">
        <v>29.6885088580051</v>
      </c>
      <c r="C59" s="0" t="n">
        <v>44.289854797582</v>
      </c>
      <c r="F59" s="0" t="n">
        <f aca="false">5+F58</f>
        <v>210</v>
      </c>
    </row>
    <row r="60" customFormat="false" ht="12" hidden="false" customHeight="false" outlineLevel="0" collapsed="false">
      <c r="A60" s="0" t="n">
        <v>43</v>
      </c>
      <c r="B60" s="0" t="n">
        <v>30.2605666617189</v>
      </c>
      <c r="C60" s="0" t="n">
        <v>46.1660360589501</v>
      </c>
      <c r="F60" s="0" t="n">
        <f aca="false">5+F59</f>
        <v>215</v>
      </c>
    </row>
    <row r="61" customFormat="false" ht="12" hidden="false" customHeight="false" outlineLevel="0" collapsed="false">
      <c r="A61" s="0" t="n">
        <v>44</v>
      </c>
      <c r="B61" s="0" t="n">
        <v>31.8493205120235</v>
      </c>
      <c r="C61" s="0" t="n">
        <v>47.0887459702953</v>
      </c>
      <c r="F61" s="0" t="n">
        <f aca="false">5+F60</f>
        <v>220</v>
      </c>
    </row>
    <row r="62" customFormat="false" ht="12" hidden="false" customHeight="false" outlineLevel="0" collapsed="false">
      <c r="A62" s="0" t="n">
        <v>45</v>
      </c>
      <c r="B62" s="0" t="n">
        <v>32.5068577742602</v>
      </c>
      <c r="C62" s="0" t="n">
        <v>48.3701644593148</v>
      </c>
      <c r="F62" s="0" t="n">
        <f aca="false">5+F61</f>
        <v>225</v>
      </c>
    </row>
    <row r="63" customFormat="false" ht="12" hidden="false" customHeight="false" outlineLevel="0" collapsed="false">
      <c r="A63" s="0" t="n">
        <v>46</v>
      </c>
      <c r="B63" s="0" t="n">
        <v>33.0408070124577</v>
      </c>
      <c r="C63" s="0" t="n">
        <v>49.0139722242705</v>
      </c>
      <c r="F63" s="0" t="n">
        <f aca="false">5+F62</f>
        <v>230</v>
      </c>
    </row>
    <row r="64" customFormat="false" ht="12" hidden="false" customHeight="false" outlineLevel="0" collapsed="false">
      <c r="A64" s="0" t="n">
        <v>47</v>
      </c>
      <c r="B64" s="0" t="n">
        <v>33.2290046397117</v>
      </c>
      <c r="C64" s="0" t="n">
        <v>50.5908021748941</v>
      </c>
      <c r="F64" s="0" t="n">
        <f aca="false">5+F63</f>
        <v>235</v>
      </c>
    </row>
    <row r="65" customFormat="false" ht="12" hidden="false" customHeight="false" outlineLevel="0" collapsed="false">
      <c r="A65" s="0" t="n">
        <v>48</v>
      </c>
      <c r="B65" s="0" t="n">
        <v>33.4889844427064</v>
      </c>
      <c r="C65" s="0" t="n">
        <v>51.0160358059079</v>
      </c>
      <c r="F65" s="0" t="n">
        <f aca="false">5+F64</f>
        <v>240</v>
      </c>
    </row>
    <row r="66" customFormat="false" ht="12" hidden="false" customHeight="false" outlineLevel="0" collapsed="false">
      <c r="A66" s="0" t="n">
        <v>49</v>
      </c>
      <c r="B66" s="0" t="n">
        <v>35.6189557894378</v>
      </c>
      <c r="C66" s="0" t="n">
        <v>52.537759645658</v>
      </c>
      <c r="F66" s="0" t="n">
        <f aca="false">5+F65</f>
        <v>245</v>
      </c>
    </row>
    <row r="67" customFormat="false" ht="12" hidden="false" customHeight="false" outlineLevel="0" collapsed="false">
      <c r="A67" s="0" t="n">
        <v>50</v>
      </c>
      <c r="B67" s="0" t="n">
        <v>38.0266866721851</v>
      </c>
      <c r="C67" s="0" t="n">
        <v>52.906408828314</v>
      </c>
      <c r="F67" s="0" t="n">
        <f aca="false">5+F66</f>
        <v>250</v>
      </c>
    </row>
    <row r="68" customFormat="false" ht="12" hidden="false" customHeight="false" outlineLevel="0" collapsed="false">
      <c r="A68" s="0" t="n">
        <v>51</v>
      </c>
      <c r="B68" s="0" t="n">
        <v>38.3372094324135</v>
      </c>
      <c r="C68" s="0" t="n">
        <v>54.6918493261634</v>
      </c>
      <c r="F68" s="0" t="n">
        <f aca="false">5+F67</f>
        <v>255</v>
      </c>
    </row>
    <row r="69" customFormat="false" ht="12" hidden="false" customHeight="false" outlineLevel="0" collapsed="false">
      <c r="A69" s="0" t="n">
        <v>52</v>
      </c>
      <c r="B69" s="0" t="n">
        <v>38.4313742802473</v>
      </c>
      <c r="C69" s="0" t="n">
        <v>56.9124585880642</v>
      </c>
      <c r="F69" s="0" t="n">
        <f aca="false">5+F68</f>
        <v>260</v>
      </c>
    </row>
    <row r="70" customFormat="false" ht="12" hidden="false" customHeight="false" outlineLevel="0" collapsed="false">
      <c r="A70" s="0" t="n">
        <v>53</v>
      </c>
      <c r="B70" s="0" t="n">
        <v>39.7595948129059</v>
      </c>
      <c r="C70" s="0" t="n">
        <v>54.967456439111</v>
      </c>
      <c r="F70" s="0" t="n">
        <f aca="false">5+F69</f>
        <v>265</v>
      </c>
    </row>
    <row r="71" customFormat="false" ht="12" hidden="false" customHeight="false" outlineLevel="0" collapsed="false">
      <c r="A71" s="0" t="n">
        <v>54</v>
      </c>
      <c r="B71" s="0" t="n">
        <v>39.8930690738935</v>
      </c>
      <c r="C71" s="0" t="n">
        <v>56.8872793242761</v>
      </c>
      <c r="F71" s="0" t="n">
        <f aca="false">5+F70</f>
        <v>270</v>
      </c>
    </row>
    <row r="72" customFormat="false" ht="12" hidden="false" customHeight="false" outlineLevel="0" collapsed="false">
      <c r="A72" s="0" t="n">
        <v>55</v>
      </c>
      <c r="B72" s="0" t="n">
        <v>40.6814051324559</v>
      </c>
      <c r="C72" s="0" t="n">
        <v>58.9136952713055</v>
      </c>
      <c r="F72" s="0" t="n">
        <f aca="false">5+F71</f>
        <v>275</v>
      </c>
    </row>
    <row r="73" customFormat="false" ht="12" hidden="false" customHeight="false" outlineLevel="0" collapsed="false">
      <c r="A73" s="0" t="n">
        <v>56</v>
      </c>
      <c r="B73" s="0" t="n">
        <v>41.0976513444229</v>
      </c>
      <c r="C73" s="0" t="n">
        <v>58.8150717819827</v>
      </c>
      <c r="F73" s="0" t="n">
        <f aca="false">5+F72</f>
        <v>280</v>
      </c>
    </row>
    <row r="74" customFormat="false" ht="12" hidden="false" customHeight="false" outlineLevel="0" collapsed="false">
      <c r="A74" s="0" t="n">
        <v>57</v>
      </c>
      <c r="B74" s="0" t="n">
        <v>42.9899959869462</v>
      </c>
      <c r="C74" s="0" t="n">
        <v>60.6948654729115</v>
      </c>
      <c r="F74" s="0" t="n">
        <f aca="false">5+F73</f>
        <v>285</v>
      </c>
    </row>
    <row r="75" customFormat="false" ht="12" hidden="false" customHeight="false" outlineLevel="0" collapsed="false">
      <c r="A75" s="0" t="n">
        <v>58</v>
      </c>
      <c r="B75" s="0" t="n">
        <v>44.2175293804483</v>
      </c>
      <c r="C75" s="0" t="n">
        <v>61.0350520756666</v>
      </c>
      <c r="F75" s="0" t="n">
        <f aca="false">5+F74</f>
        <v>290</v>
      </c>
    </row>
    <row r="76" customFormat="false" ht="12" hidden="false" customHeight="false" outlineLevel="0" collapsed="false">
      <c r="A76" s="0" t="n">
        <v>59</v>
      </c>
      <c r="B76" s="0" t="n">
        <v>46.8909666555337</v>
      </c>
      <c r="C76" s="0" t="n">
        <v>62.6917805630896</v>
      </c>
      <c r="F76" s="0" t="n">
        <f aca="false">5+F75</f>
        <v>295</v>
      </c>
    </row>
    <row r="77" customFormat="false" ht="12" hidden="false" customHeight="false" outlineLevel="0" collapsed="false">
      <c r="A77" s="0" t="n">
        <v>60</v>
      </c>
      <c r="B77" s="0" t="n">
        <v>46.894479226918</v>
      </c>
      <c r="C77" s="0" t="n">
        <v>63.2324213022685</v>
      </c>
      <c r="F77" s="0" t="n">
        <f aca="false">5+F76</f>
        <v>300</v>
      </c>
    </row>
    <row r="78" customFormat="false" ht="12" hidden="false" customHeight="false" outlineLevel="0" collapsed="false">
      <c r="A78" s="0" t="n">
        <v>61</v>
      </c>
      <c r="B78" s="0" t="n">
        <v>47.0498030781372</v>
      </c>
      <c r="C78" s="0" t="n">
        <v>65.4382875766752</v>
      </c>
      <c r="F78" s="0" t="n">
        <f aca="false">5+F77</f>
        <v>305</v>
      </c>
    </row>
    <row r="79" customFormat="false" ht="12" hidden="false" customHeight="false" outlineLevel="0" collapsed="false">
      <c r="A79" s="0" t="n">
        <v>62</v>
      </c>
      <c r="B79" s="0" t="n">
        <v>47.5420471564488</v>
      </c>
      <c r="C79" s="0" t="n">
        <v>64.9007695513551</v>
      </c>
      <c r="F79" s="0" t="n">
        <f aca="false">5+F78</f>
        <v>310</v>
      </c>
    </row>
    <row r="80" customFormat="false" ht="12" hidden="false" customHeight="false" outlineLevel="0" collapsed="false">
      <c r="A80" s="0" t="n">
        <v>63</v>
      </c>
      <c r="B80" s="0" t="n">
        <v>47.7344096992301</v>
      </c>
      <c r="C80" s="0" t="n">
        <v>66.7965790953426</v>
      </c>
      <c r="F80" s="0" t="n">
        <f aca="false">5+F79</f>
        <v>315</v>
      </c>
    </row>
    <row r="81" customFormat="false" ht="12" hidden="false" customHeight="false" outlineLevel="0" collapsed="false">
      <c r="A81" s="0" t="n">
        <v>64</v>
      </c>
      <c r="B81" s="0" t="n">
        <v>47.7908729398988</v>
      </c>
      <c r="C81" s="0" t="n">
        <v>67.4267054431489</v>
      </c>
      <c r="F81" s="0" t="n">
        <f aca="false">5+F80</f>
        <v>320</v>
      </c>
    </row>
    <row r="82" customFormat="false" ht="12" hidden="false" customHeight="false" outlineLevel="0" collapsed="false">
      <c r="A82" s="0" t="n">
        <v>65</v>
      </c>
      <c r="B82" s="0" t="n">
        <v>47.9212061027335</v>
      </c>
      <c r="C82" s="0" t="n">
        <v>69.1861231236254</v>
      </c>
      <c r="F82" s="0" t="n">
        <f aca="false">5+F81</f>
        <v>325</v>
      </c>
    </row>
    <row r="83" customFormat="false" ht="12" hidden="false" customHeight="false" outlineLevel="0" collapsed="false">
      <c r="A83" s="0" t="n">
        <v>66</v>
      </c>
      <c r="B83" s="0" t="n">
        <v>49.4257732239669</v>
      </c>
      <c r="C83" s="0" t="n">
        <v>68.9191438799666</v>
      </c>
      <c r="F83" s="0" t="n">
        <f aca="false">5+F82</f>
        <v>330</v>
      </c>
    </row>
    <row r="84" customFormat="false" ht="12" hidden="false" customHeight="false" outlineLevel="0" collapsed="false">
      <c r="A84" s="0" t="n">
        <v>67</v>
      </c>
      <c r="B84" s="0" t="n">
        <v>49.8620746570004</v>
      </c>
      <c r="C84" s="0" t="n">
        <v>71.0955995147989</v>
      </c>
      <c r="F84" s="0" t="n">
        <f aca="false">5+F83</f>
        <v>335</v>
      </c>
    </row>
    <row r="85" customFormat="false" ht="12" hidden="false" customHeight="false" outlineLevel="0" collapsed="false">
      <c r="A85" s="0" t="n">
        <v>68</v>
      </c>
      <c r="B85" s="0" t="n">
        <v>50.3394699414441</v>
      </c>
      <c r="C85" s="0" t="n">
        <v>71.0132344736934</v>
      </c>
      <c r="F85" s="0" t="n">
        <f aca="false">5+F84</f>
        <v>340</v>
      </c>
    </row>
    <row r="86" customFormat="false" ht="12" hidden="false" customHeight="false" outlineLevel="0" collapsed="false">
      <c r="A86" s="0" t="n">
        <v>69</v>
      </c>
      <c r="B86" s="0" t="n">
        <v>51.0822616426652</v>
      </c>
      <c r="C86" s="0" t="n">
        <v>72.887511878147</v>
      </c>
      <c r="F86" s="0" t="n">
        <f aca="false">5+F85</f>
        <v>345</v>
      </c>
    </row>
    <row r="87" customFormat="false" ht="12" hidden="false" customHeight="false" outlineLevel="0" collapsed="false">
      <c r="A87" s="0" t="n">
        <v>70</v>
      </c>
      <c r="B87" s="0" t="n">
        <v>54.8381841011692</v>
      </c>
      <c r="C87" s="0" t="n">
        <v>73.0500626045879</v>
      </c>
      <c r="F87" s="0" t="n">
        <f aca="false">5+F86</f>
        <v>350</v>
      </c>
    </row>
    <row r="88" customFormat="false" ht="12" hidden="false" customHeight="false" outlineLevel="0" collapsed="false">
      <c r="A88" s="0" t="n">
        <v>71</v>
      </c>
      <c r="B88" s="0" t="n">
        <v>55.202134479555</v>
      </c>
      <c r="C88" s="0" t="n">
        <v>74.9885397823818</v>
      </c>
      <c r="F88" s="0" t="n">
        <f aca="false">5+F87</f>
        <v>355</v>
      </c>
    </row>
    <row r="89" customFormat="false" ht="12" hidden="false" customHeight="false" outlineLevel="0" collapsed="false">
      <c r="A89" s="0" t="n">
        <v>72</v>
      </c>
      <c r="B89" s="0" t="n">
        <v>57.5513696066058</v>
      </c>
      <c r="C89" s="0" t="n">
        <v>74.6764336860992</v>
      </c>
      <c r="F89" s="0" t="n">
        <f aca="false">5+F88</f>
        <v>360</v>
      </c>
    </row>
    <row r="90" customFormat="false" ht="12" hidden="false" customHeight="false" outlineLevel="0" collapsed="false">
      <c r="A90" s="0" t="n">
        <v>73</v>
      </c>
      <c r="B90" s="0" t="n">
        <v>58.0646667106366</v>
      </c>
      <c r="C90" s="0" t="n">
        <v>76.4577353346017</v>
      </c>
      <c r="F90" s="0" t="n">
        <f aca="false">5+F89</f>
        <v>365</v>
      </c>
    </row>
    <row r="91" customFormat="false" ht="12" hidden="false" customHeight="false" outlineLevel="0" collapsed="false">
      <c r="A91" s="0" t="n">
        <v>74</v>
      </c>
      <c r="B91" s="0" t="n">
        <v>58.2067612635268</v>
      </c>
      <c r="C91" s="0" t="n">
        <v>76.8032865526896</v>
      </c>
      <c r="F91" s="0" t="n">
        <f aca="false">5+F90</f>
        <v>370</v>
      </c>
    </row>
    <row r="92" customFormat="false" ht="12" hidden="false" customHeight="false" outlineLevel="0" collapsed="false">
      <c r="A92" s="0" t="n">
        <v>75</v>
      </c>
      <c r="B92" s="0" t="n">
        <v>59.1117601854216</v>
      </c>
      <c r="C92" s="0" t="n">
        <v>78.6794126207861</v>
      </c>
      <c r="F92" s="0" t="n">
        <f aca="false">5+F91</f>
        <v>375</v>
      </c>
    </row>
    <row r="93" customFormat="false" ht="12" hidden="false" customHeight="false" outlineLevel="0" collapsed="false">
      <c r="A93" s="0" t="n">
        <v>76</v>
      </c>
      <c r="B93" s="0" t="n">
        <v>60.2598461735967</v>
      </c>
      <c r="C93" s="0" t="n">
        <v>80.5807842273112</v>
      </c>
      <c r="F93" s="0" t="n">
        <f aca="false">5+F92</f>
        <v>380</v>
      </c>
    </row>
    <row r="94" customFormat="false" ht="12" hidden="false" customHeight="false" outlineLevel="0" collapsed="false">
      <c r="A94" s="0" t="n">
        <v>77</v>
      </c>
      <c r="B94" s="0" t="n">
        <v>60.3566522340834</v>
      </c>
      <c r="C94" s="0" t="n">
        <v>78.8881906794507</v>
      </c>
      <c r="F94" s="0" t="n">
        <f aca="false">5+F93</f>
        <v>385</v>
      </c>
    </row>
    <row r="95" customFormat="false" ht="12" hidden="false" customHeight="false" outlineLevel="0" collapsed="false">
      <c r="A95" s="0" t="n">
        <v>78</v>
      </c>
      <c r="B95" s="0" t="n">
        <v>61.7274656832199</v>
      </c>
      <c r="C95" s="0" t="n">
        <v>80.8208081167598</v>
      </c>
      <c r="F95" s="0" t="n">
        <f aca="false">5+F94</f>
        <v>390</v>
      </c>
    </row>
    <row r="96" customFormat="false" ht="12" hidden="false" customHeight="false" outlineLevel="0" collapsed="false">
      <c r="A96" s="0" t="n">
        <v>79</v>
      </c>
      <c r="B96" s="0" t="n">
        <v>61.9827327692182</v>
      </c>
      <c r="C96" s="0" t="n">
        <v>82.6501910443893</v>
      </c>
      <c r="F96" s="0" t="n">
        <f aca="false">5+F95</f>
        <v>395</v>
      </c>
    </row>
    <row r="97" customFormat="false" ht="12" hidden="false" customHeight="false" outlineLevel="0" collapsed="false">
      <c r="A97" s="0" t="n">
        <v>80</v>
      </c>
      <c r="B97" s="0" t="n">
        <v>65.4514367383727</v>
      </c>
      <c r="C97" s="0" t="n">
        <v>84.4607130926091</v>
      </c>
      <c r="F97" s="0" t="n">
        <f aca="false">5+F96</f>
        <v>400</v>
      </c>
    </row>
    <row r="98" customFormat="false" ht="12" hidden="false" customHeight="false" outlineLevel="0" collapsed="false">
      <c r="A98" s="0" t="n">
        <v>81</v>
      </c>
      <c r="B98" s="0" t="n">
        <v>65.7848305861648</v>
      </c>
      <c r="C98" s="0" t="n">
        <v>82.7252331781438</v>
      </c>
      <c r="F98" s="0" t="n">
        <f aca="false">5+F97</f>
        <v>405</v>
      </c>
    </row>
    <row r="99" customFormat="false" ht="12" hidden="false" customHeight="false" outlineLevel="0" collapsed="false">
      <c r="A99" s="0" t="n">
        <v>82</v>
      </c>
      <c r="B99" s="0" t="n">
        <v>66.0113411996165</v>
      </c>
      <c r="C99" s="0" t="n">
        <v>84.5818514411425</v>
      </c>
      <c r="F99" s="0" t="n">
        <f aca="false">5+F98</f>
        <v>410</v>
      </c>
    </row>
    <row r="100" customFormat="false" ht="12" hidden="false" customHeight="false" outlineLevel="0" collapsed="false">
      <c r="A100" s="0" t="n">
        <v>83</v>
      </c>
      <c r="B100" s="0" t="n">
        <v>70.8504349796879</v>
      </c>
      <c r="C100" s="0" t="n">
        <v>86.6399196077622</v>
      </c>
      <c r="F100" s="0" t="n">
        <f aca="false">5+F99</f>
        <v>415</v>
      </c>
    </row>
    <row r="101" customFormat="false" ht="12" hidden="false" customHeight="false" outlineLevel="0" collapsed="false">
      <c r="A101" s="0" t="n">
        <v>84</v>
      </c>
      <c r="B101" s="0" t="n">
        <v>71.3760601412776</v>
      </c>
      <c r="C101" s="0" t="n">
        <v>86.6264220593137</v>
      </c>
      <c r="F101" s="0" t="n">
        <f aca="false">5+F100</f>
        <v>420</v>
      </c>
    </row>
    <row r="102" customFormat="false" ht="12" hidden="false" customHeight="false" outlineLevel="0" collapsed="false">
      <c r="A102" s="0" t="n">
        <v>85</v>
      </c>
      <c r="B102" s="0" t="n">
        <v>73.0541557423718</v>
      </c>
      <c r="C102" s="0" t="n">
        <v>88.6682707856075</v>
      </c>
      <c r="F102" s="0" t="n">
        <f aca="false">5+F101</f>
        <v>425</v>
      </c>
    </row>
    <row r="103" customFormat="false" ht="12" hidden="false" customHeight="false" outlineLevel="0" collapsed="false">
      <c r="A103" s="0" t="n">
        <v>86</v>
      </c>
      <c r="B103" s="0" t="n">
        <v>73.2331395458872</v>
      </c>
      <c r="C103" s="0" t="n">
        <v>88.7789838150716</v>
      </c>
      <c r="F103" s="0" t="n">
        <f aca="false">5+F102</f>
        <v>430</v>
      </c>
    </row>
    <row r="104" customFormat="false" ht="12" hidden="false" customHeight="false" outlineLevel="0" collapsed="false">
      <c r="A104" s="0" t="n">
        <v>87</v>
      </c>
      <c r="B104" s="0" t="n">
        <v>75.7717519463888</v>
      </c>
      <c r="C104" s="0" t="n">
        <v>90.7035923573833</v>
      </c>
      <c r="F104" s="0" t="n">
        <f aca="false">5+F103</f>
        <v>435</v>
      </c>
    </row>
    <row r="105" customFormat="false" ht="12" hidden="false" customHeight="false" outlineLevel="0" collapsed="false">
      <c r="A105" s="0" t="n">
        <v>88</v>
      </c>
      <c r="B105" s="0" t="n">
        <v>77.29594766296</v>
      </c>
      <c r="C105" s="0" t="n">
        <v>92.7543853372422</v>
      </c>
      <c r="F105" s="0" t="n">
        <f aca="false">5+F104</f>
        <v>440</v>
      </c>
    </row>
    <row r="106" customFormat="false" ht="12" hidden="false" customHeight="false" outlineLevel="0" collapsed="false">
      <c r="A106" s="0" t="n">
        <v>89</v>
      </c>
      <c r="B106" s="0" t="n">
        <v>80.5310232409907</v>
      </c>
      <c r="C106" s="0" t="n">
        <v>94.7051584833024</v>
      </c>
      <c r="F106" s="0" t="n">
        <f aca="false">5+F105</f>
        <v>445</v>
      </c>
    </row>
    <row r="107" customFormat="false" ht="12" hidden="false" customHeight="false" outlineLevel="0" collapsed="false">
      <c r="A107" s="0" t="n">
        <v>90</v>
      </c>
      <c r="B107" s="0" t="n">
        <v>80.7841021033212</v>
      </c>
      <c r="C107" s="0" t="n">
        <v>90.9656637302552</v>
      </c>
      <c r="F107" s="0" t="n">
        <f aca="false">5+F106</f>
        <v>450</v>
      </c>
    </row>
    <row r="108" customFormat="false" ht="12" hidden="false" customHeight="false" outlineLevel="0" collapsed="false">
      <c r="A108" s="0" t="n">
        <v>91</v>
      </c>
      <c r="B108" s="0" t="n">
        <v>83.3816288319649</v>
      </c>
      <c r="C108" s="0" t="n">
        <v>96.939681662759</v>
      </c>
      <c r="F108" s="0" t="n">
        <f aca="false">5+F107</f>
        <v>455</v>
      </c>
    </row>
    <row r="109" customFormat="false" ht="12" hidden="false" customHeight="false" outlineLevel="0" collapsed="false">
      <c r="A109" s="0" t="n">
        <v>92</v>
      </c>
      <c r="B109" s="0" t="n">
        <v>83.7271788182862</v>
      </c>
      <c r="C109" s="0" t="n">
        <v>99.1649851472981</v>
      </c>
      <c r="F109" s="0" t="n">
        <f aca="false">5+F108</f>
        <v>460</v>
      </c>
    </row>
    <row r="110" customFormat="false" ht="12" hidden="false" customHeight="false" outlineLevel="0" collapsed="false">
      <c r="A110" s="0" t="n">
        <v>93</v>
      </c>
      <c r="B110" s="0" t="n">
        <v>83.7871923296711</v>
      </c>
      <c r="C110" s="0" t="n">
        <v>101.253735719466</v>
      </c>
      <c r="F110" s="0" t="n">
        <f aca="false">5+F109</f>
        <v>465</v>
      </c>
    </row>
    <row r="111" customFormat="false" ht="12" hidden="false" customHeight="false" outlineLevel="0" collapsed="false">
      <c r="A111" s="0" t="n">
        <v>94</v>
      </c>
      <c r="B111" s="0" t="n">
        <v>84.5875329077671</v>
      </c>
      <c r="C111" s="0" t="n">
        <v>92.8032518717538</v>
      </c>
      <c r="F111" s="0" t="n">
        <f aca="false">5+F110</f>
        <v>470</v>
      </c>
    </row>
    <row r="112" customFormat="false" ht="12" hidden="false" customHeight="false" outlineLevel="0" collapsed="false">
      <c r="A112" s="0" t="n">
        <v>95</v>
      </c>
      <c r="B112" s="0" t="n">
        <v>84.8161208693091</v>
      </c>
      <c r="C112" s="0" t="n">
        <v>95.0517121756691</v>
      </c>
      <c r="F112" s="0" t="n">
        <f aca="false">5+F111</f>
        <v>475</v>
      </c>
    </row>
    <row r="113" customFormat="false" ht="12" hidden="false" customHeight="false" outlineLevel="0" collapsed="false">
      <c r="A113" s="0" t="n">
        <v>96</v>
      </c>
      <c r="B113" s="0" t="n">
        <v>85.8203969560643</v>
      </c>
      <c r="C113" s="0" t="n">
        <v>97.0243227895392</v>
      </c>
      <c r="F113" s="0" t="n">
        <f aca="false">5+F112</f>
        <v>480</v>
      </c>
    </row>
    <row r="114" customFormat="false" ht="12" hidden="false" customHeight="false" outlineLevel="0" collapsed="false">
      <c r="A114" s="0" t="n">
        <v>97</v>
      </c>
      <c r="B114" s="0" t="n">
        <v>86.7069923923827</v>
      </c>
      <c r="C114" s="0" t="n">
        <v>99.1503603992727</v>
      </c>
      <c r="F114" s="0" t="n">
        <f aca="false">5+F113</f>
        <v>485</v>
      </c>
    </row>
    <row r="115" customFormat="false" ht="12" hidden="false" customHeight="false" outlineLevel="0" collapsed="false">
      <c r="A115" s="0" t="n">
        <v>98</v>
      </c>
      <c r="B115" s="0" t="n">
        <v>86.9682337934902</v>
      </c>
      <c r="C115" s="0" t="n">
        <v>103.408254213504</v>
      </c>
      <c r="F115" s="0" t="n">
        <f aca="false">5+F114</f>
        <v>490</v>
      </c>
    </row>
    <row r="116" customFormat="false" ht="12" hidden="false" customHeight="false" outlineLevel="0" collapsed="false">
      <c r="A116" s="0" t="n">
        <v>99</v>
      </c>
      <c r="B116" s="0" t="n">
        <v>87.5073754464804</v>
      </c>
      <c r="C116" s="0" t="n">
        <v>101.082236578613</v>
      </c>
      <c r="F116" s="0" t="n">
        <f aca="false">5+F115</f>
        <v>495</v>
      </c>
    </row>
    <row r="117" customFormat="false" ht="12" hidden="false" customHeight="false" outlineLevel="0" collapsed="false">
      <c r="A117" s="0" t="n">
        <v>100</v>
      </c>
      <c r="B117" s="0" t="n">
        <v>88.1568239329538</v>
      </c>
      <c r="C117" s="0" t="n">
        <v>103.214679996954</v>
      </c>
      <c r="F117" s="0" t="n">
        <f aca="false">5+F116</f>
        <v>500</v>
      </c>
    </row>
    <row r="118" customFormat="false" ht="12" hidden="false" customHeight="false" outlineLevel="0" collapsed="false">
      <c r="A118" s="0" t="n">
        <v>101</v>
      </c>
      <c r="B118" s="0" t="n">
        <v>91.0012790647006</v>
      </c>
      <c r="C118" s="0" t="n">
        <v>105.514922836514</v>
      </c>
      <c r="F118" s="0" t="n">
        <f aca="false">5+F117</f>
        <v>505</v>
      </c>
    </row>
    <row r="119" customFormat="false" ht="12" hidden="false" customHeight="false" outlineLevel="0" collapsed="false">
      <c r="A119" s="0" t="n">
        <v>102</v>
      </c>
      <c r="B119" s="0" t="n">
        <v>92.6677618204335</v>
      </c>
      <c r="C119" s="0" t="n">
        <v>105.44494783076</v>
      </c>
      <c r="F119" s="0" t="n">
        <f aca="false">5+F118</f>
        <v>510</v>
      </c>
    </row>
    <row r="120" customFormat="false" ht="12" hidden="false" customHeight="false" outlineLevel="0" collapsed="false">
      <c r="A120" s="0" t="n">
        <v>103</v>
      </c>
      <c r="B120" s="0" t="n">
        <v>92.7176111364647</v>
      </c>
      <c r="C120" s="0" t="n">
        <v>107.47244512482</v>
      </c>
      <c r="F120" s="0" t="n">
        <f aca="false">5+F119</f>
        <v>515</v>
      </c>
    </row>
    <row r="121" customFormat="false" ht="12" hidden="false" customHeight="false" outlineLevel="0" collapsed="false">
      <c r="A121" s="0" t="n">
        <v>104</v>
      </c>
      <c r="B121" s="0" t="n">
        <v>94.3091309926781</v>
      </c>
      <c r="C121" s="0" t="n">
        <v>107.296871412166</v>
      </c>
      <c r="F121" s="0" t="n">
        <f aca="false">5+F120</f>
        <v>520</v>
      </c>
    </row>
    <row r="122" customFormat="false" ht="12" hidden="false" customHeight="false" outlineLevel="0" collapsed="false">
      <c r="A122" s="0" t="n">
        <v>105</v>
      </c>
      <c r="B122" s="0" t="n">
        <v>95.2174436479963</v>
      </c>
      <c r="C122" s="0" t="n">
        <v>109.713299852309</v>
      </c>
      <c r="F122" s="0" t="n">
        <f aca="false">5+F121</f>
        <v>525</v>
      </c>
    </row>
    <row r="123" customFormat="false" ht="12" hidden="false" customHeight="false" outlineLevel="0" collapsed="false">
      <c r="A123" s="0" t="n">
        <v>106</v>
      </c>
      <c r="B123" s="0" t="n">
        <v>95.6813192832463</v>
      </c>
      <c r="C123" s="0" t="n">
        <v>109.138290171749</v>
      </c>
      <c r="F123" s="0" t="n">
        <f aca="false">5+F122</f>
        <v>530</v>
      </c>
    </row>
    <row r="124" customFormat="false" ht="12" hidden="false" customHeight="false" outlineLevel="0" collapsed="false">
      <c r="A124" s="0" t="n">
        <v>107</v>
      </c>
      <c r="B124" s="0" t="n">
        <v>97.1186324359171</v>
      </c>
      <c r="C124" s="0" t="n">
        <v>111.769406811988</v>
      </c>
      <c r="F124" s="0" t="n">
        <f aca="false">5+F123</f>
        <v>535</v>
      </c>
    </row>
    <row r="125" customFormat="false" ht="12" hidden="false" customHeight="false" outlineLevel="0" collapsed="false">
      <c r="A125" s="0" t="n">
        <v>108</v>
      </c>
      <c r="B125" s="0" t="n">
        <v>98.9985601468391</v>
      </c>
      <c r="C125" s="0" t="n">
        <v>113.5252626378</v>
      </c>
      <c r="F125" s="0" t="n">
        <f aca="false">5+F124</f>
        <v>540</v>
      </c>
    </row>
    <row r="126" customFormat="false" ht="12" hidden="false" customHeight="false" outlineLevel="0" collapsed="false">
      <c r="A126" s="0" t="n">
        <v>109</v>
      </c>
      <c r="B126" s="0" t="n">
        <v>100.539560475307</v>
      </c>
      <c r="C126" s="0" t="n">
        <v>111.121687748614</v>
      </c>
      <c r="F126" s="0" t="n">
        <f aca="false">5+F125</f>
        <v>545</v>
      </c>
    </row>
    <row r="127" customFormat="false" ht="12" hidden="false" customHeight="false" outlineLevel="0" collapsed="false">
      <c r="A127" s="0" t="n">
        <v>110</v>
      </c>
      <c r="B127" s="0" t="n">
        <v>101.44371465128</v>
      </c>
      <c r="C127" s="0" t="n">
        <v>113.334422961451</v>
      </c>
      <c r="F127" s="0" t="n">
        <f aca="false">5+F126</f>
        <v>550</v>
      </c>
    </row>
    <row r="128" customFormat="false" ht="12" hidden="false" customHeight="false" outlineLevel="0" collapsed="false">
      <c r="A128" s="0" t="n">
        <v>111</v>
      </c>
      <c r="B128" s="0" t="n">
        <v>101.486846610645</v>
      </c>
      <c r="C128" s="0" t="n">
        <v>115.448620702797</v>
      </c>
      <c r="F128" s="0" t="n">
        <f aca="false">5+F127</f>
        <v>555</v>
      </c>
    </row>
    <row r="129" customFormat="false" ht="12" hidden="false" customHeight="false" outlineLevel="0" collapsed="false">
      <c r="A129" s="0" t="n">
        <v>112</v>
      </c>
      <c r="B129" s="0" t="n">
        <v>102.329988276873</v>
      </c>
      <c r="C129" s="0" t="n">
        <v>115.421217148448</v>
      </c>
      <c r="F129" s="0" t="n">
        <f aca="false">5+F128</f>
        <v>560</v>
      </c>
    </row>
    <row r="130" customFormat="false" ht="12" hidden="false" customHeight="false" outlineLevel="0" collapsed="false">
      <c r="A130" s="0" t="n">
        <v>113</v>
      </c>
      <c r="B130" s="0" t="n">
        <v>102.84237570753</v>
      </c>
      <c r="C130" s="0" t="n">
        <v>117.602012840785</v>
      </c>
      <c r="F130" s="0" t="n">
        <f aca="false">5+F129</f>
        <v>565</v>
      </c>
    </row>
    <row r="131" customFormat="false" ht="12" hidden="false" customHeight="false" outlineLevel="0" collapsed="false">
      <c r="A131" s="0" t="n">
        <v>114</v>
      </c>
      <c r="B131" s="0" t="n">
        <v>104.313990151314</v>
      </c>
      <c r="C131" s="0" t="n">
        <v>117.212618891774</v>
      </c>
      <c r="F131" s="0" t="n">
        <f aca="false">5+F130</f>
        <v>570</v>
      </c>
    </row>
    <row r="132" customFormat="false" ht="12" hidden="false" customHeight="false" outlineLevel="0" collapsed="false">
      <c r="A132" s="0" t="n">
        <v>115</v>
      </c>
      <c r="B132" s="0" t="n">
        <v>104.883018166242</v>
      </c>
      <c r="C132" s="0" t="n">
        <v>119.737676008117</v>
      </c>
      <c r="F132" s="0" t="n">
        <f aca="false">5+F131</f>
        <v>575</v>
      </c>
    </row>
    <row r="133" customFormat="false" ht="12" hidden="false" customHeight="false" outlineLevel="0" collapsed="false">
      <c r="A133" s="0" t="n">
        <v>116</v>
      </c>
      <c r="B133" s="0" t="n">
        <v>107.253032689624</v>
      </c>
      <c r="C133" s="0" t="n">
        <v>121.739511294049</v>
      </c>
      <c r="F133" s="0" t="n">
        <f aca="false">5+F132</f>
        <v>580</v>
      </c>
    </row>
    <row r="134" customFormat="false" ht="12" hidden="false" customHeight="false" outlineLevel="0" collapsed="false">
      <c r="A134" s="0" t="n">
        <v>117</v>
      </c>
      <c r="B134" s="0" t="n">
        <v>109.988646694399</v>
      </c>
      <c r="C134" s="0" t="n">
        <v>119.327690979501</v>
      </c>
      <c r="F134" s="0" t="n">
        <f aca="false">5+F133</f>
        <v>585</v>
      </c>
    </row>
    <row r="135" customFormat="false" ht="12" hidden="false" customHeight="false" outlineLevel="0" collapsed="false">
      <c r="A135" s="0" t="n">
        <v>118</v>
      </c>
      <c r="B135" s="0" t="n">
        <v>110.161401606011</v>
      </c>
      <c r="C135" s="0" t="n">
        <v>121.117076349452</v>
      </c>
      <c r="F135" s="0" t="n">
        <f aca="false">5+F134</f>
        <v>590</v>
      </c>
    </row>
    <row r="136" customFormat="false" ht="12" hidden="false" customHeight="false" outlineLevel="0" collapsed="false">
      <c r="A136" s="0" t="n">
        <v>119</v>
      </c>
      <c r="B136" s="0" t="n">
        <v>110.697993791673</v>
      </c>
      <c r="C136" s="0" t="n">
        <v>123.213463914421</v>
      </c>
      <c r="F136" s="0" t="n">
        <f aca="false">5+F135</f>
        <v>595</v>
      </c>
    </row>
    <row r="137" customFormat="false" ht="12" hidden="false" customHeight="false" outlineLevel="0" collapsed="false">
      <c r="A137" s="0" t="n">
        <v>120</v>
      </c>
      <c r="B137" s="0" t="n">
        <v>111.965626072297</v>
      </c>
      <c r="C137" s="0" t="n">
        <v>123.926136555528</v>
      </c>
      <c r="F137" s="0" t="n">
        <f aca="false">5+F136</f>
        <v>600</v>
      </c>
    </row>
    <row r="138" customFormat="false" ht="12" hidden="false" customHeight="false" outlineLevel="0" collapsed="false">
      <c r="A138" s="0" t="n">
        <v>121</v>
      </c>
      <c r="B138" s="0" t="n">
        <v>112.08793540269</v>
      </c>
      <c r="C138" s="0" t="n">
        <v>125.850214665976</v>
      </c>
      <c r="F138" s="0" t="n">
        <f aca="false">5+F137</f>
        <v>605</v>
      </c>
    </row>
    <row r="139" customFormat="false" ht="12" hidden="false" customHeight="false" outlineLevel="0" collapsed="false">
      <c r="A139" s="0" t="n">
        <v>122</v>
      </c>
      <c r="B139" s="0" t="n">
        <v>113.112056744385</v>
      </c>
      <c r="C139" s="0" t="n">
        <v>128.040002932364</v>
      </c>
      <c r="F139" s="0" t="n">
        <f aca="false">5+F138</f>
        <v>610</v>
      </c>
    </row>
    <row r="140" customFormat="false" ht="12" hidden="false" customHeight="false" outlineLevel="0" collapsed="false">
      <c r="A140" s="0" t="n">
        <v>123</v>
      </c>
      <c r="B140" s="0" t="n">
        <v>113.845299665053</v>
      </c>
      <c r="C140" s="0" t="n">
        <v>125.107760541678</v>
      </c>
      <c r="F140" s="0" t="n">
        <f aca="false">5+F139</f>
        <v>615</v>
      </c>
    </row>
    <row r="141" customFormat="false" ht="12" hidden="false" customHeight="false" outlineLevel="0" collapsed="false">
      <c r="A141" s="0" t="n">
        <v>124</v>
      </c>
      <c r="B141" s="0" t="n">
        <v>115.761868443996</v>
      </c>
      <c r="C141" s="0" t="n">
        <v>127.174690886066</v>
      </c>
      <c r="F141" s="0" t="n">
        <f aca="false">5+F140</f>
        <v>620</v>
      </c>
    </row>
    <row r="142" customFormat="false" ht="12" hidden="false" customHeight="false" outlineLevel="0" collapsed="false">
      <c r="A142" s="0" t="n">
        <v>125</v>
      </c>
      <c r="B142" s="0" t="n">
        <v>118.552014442993</v>
      </c>
      <c r="C142" s="0" t="n">
        <v>130.285500691989</v>
      </c>
      <c r="F142" s="0" t="n">
        <f aca="false">5+F141</f>
        <v>625</v>
      </c>
    </row>
    <row r="143" customFormat="false" ht="12" hidden="false" customHeight="false" outlineLevel="0" collapsed="false">
      <c r="A143" s="0" t="n">
        <v>126</v>
      </c>
      <c r="B143" s="0" t="n">
        <v>118.601972721203</v>
      </c>
      <c r="C143" s="0" t="n">
        <v>129.41575586453</v>
      </c>
      <c r="F143" s="0" t="n">
        <f aca="false">5+F142</f>
        <v>630</v>
      </c>
    </row>
    <row r="144" customFormat="false" ht="12" hidden="false" customHeight="false" outlineLevel="0" collapsed="false">
      <c r="A144" s="0" t="n">
        <v>127</v>
      </c>
      <c r="B144" s="0" t="n">
        <v>121.002771920018</v>
      </c>
      <c r="C144" s="0" t="n">
        <v>131.284046378539</v>
      </c>
      <c r="F144" s="0" t="n">
        <f aca="false">5+F143</f>
        <v>635</v>
      </c>
    </row>
    <row r="145" customFormat="false" ht="12" hidden="false" customHeight="false" outlineLevel="0" collapsed="false">
      <c r="A145" s="0" t="n">
        <v>128</v>
      </c>
      <c r="B145" s="0" t="n">
        <v>123.893843840877</v>
      </c>
      <c r="C145" s="0" t="n">
        <v>133.182815767877</v>
      </c>
      <c r="F145" s="0" t="n">
        <f aca="false">5+F144</f>
        <v>640</v>
      </c>
    </row>
    <row r="146" customFormat="false" ht="12" hidden="false" customHeight="false" outlineLevel="0" collapsed="false">
      <c r="A146" s="0" t="n">
        <v>129</v>
      </c>
      <c r="B146" s="0" t="n">
        <v>124.331354186756</v>
      </c>
      <c r="C146" s="0" t="n">
        <v>132.184918710227</v>
      </c>
      <c r="F146" s="0" t="n">
        <f aca="false">5+F145</f>
        <v>645</v>
      </c>
    </row>
    <row r="147" customFormat="false" ht="12" hidden="false" customHeight="false" outlineLevel="0" collapsed="false">
      <c r="A147" s="0" t="n">
        <v>130</v>
      </c>
      <c r="B147" s="0" t="n">
        <v>125.562942189334</v>
      </c>
      <c r="C147" s="0" t="n">
        <v>134.185932070091</v>
      </c>
      <c r="F147" s="0" t="n">
        <f aca="false">5+F146</f>
        <v>650</v>
      </c>
    </row>
    <row r="148" customFormat="false" ht="12" hidden="false" customHeight="false" outlineLevel="0" collapsed="false">
      <c r="A148" s="0" t="n">
        <v>131</v>
      </c>
      <c r="B148" s="0" t="n">
        <v>126.488042184797</v>
      </c>
      <c r="C148" s="0" t="n">
        <v>135.417410959347</v>
      </c>
      <c r="F148" s="0" t="n">
        <f aca="false">5+F147</f>
        <v>655</v>
      </c>
    </row>
    <row r="149" customFormat="false" ht="12" hidden="false" customHeight="false" outlineLevel="0" collapsed="false">
      <c r="A149" s="0" t="n">
        <v>132</v>
      </c>
      <c r="B149" s="0" t="n">
        <v>127.379995227262</v>
      </c>
      <c r="C149" s="0" t="n">
        <v>137.450466311205</v>
      </c>
      <c r="F149" s="0" t="n">
        <f aca="false">5+F148</f>
        <v>660</v>
      </c>
    </row>
    <row r="150" customFormat="false" ht="12" hidden="false" customHeight="false" outlineLevel="0" collapsed="false">
      <c r="A150" s="0" t="n">
        <v>133</v>
      </c>
      <c r="B150" s="0" t="n">
        <v>127.709945471612</v>
      </c>
      <c r="C150" s="0" t="n">
        <v>136.292989823196</v>
      </c>
      <c r="F150" s="0" t="n">
        <f aca="false">5+F149</f>
        <v>665</v>
      </c>
    </row>
    <row r="151" customFormat="false" ht="12" hidden="false" customHeight="false" outlineLevel="0" collapsed="false">
      <c r="A151" s="0" t="n">
        <v>134</v>
      </c>
      <c r="B151" s="0" t="n">
        <v>128.529246576022</v>
      </c>
      <c r="C151" s="0" t="n">
        <v>139.437993497432</v>
      </c>
      <c r="F151" s="0" t="n">
        <f aca="false">5+F150</f>
        <v>670</v>
      </c>
    </row>
    <row r="152" customFormat="false" ht="12" hidden="false" customHeight="false" outlineLevel="0" collapsed="false">
      <c r="A152" s="0" t="n">
        <v>135</v>
      </c>
      <c r="B152" s="0" t="n">
        <v>131.839017918571</v>
      </c>
      <c r="C152" s="0" t="n">
        <v>141.387912322786</v>
      </c>
      <c r="F152" s="0" t="n">
        <f aca="false">5+F151</f>
        <v>675</v>
      </c>
    </row>
    <row r="153" customFormat="false" ht="12" hidden="false" customHeight="false" outlineLevel="0" collapsed="false">
      <c r="A153" s="0" t="n">
        <v>136</v>
      </c>
      <c r="B153" s="0" t="n">
        <v>132.587531312346</v>
      </c>
      <c r="C153" s="0" t="n">
        <v>138.149016400496</v>
      </c>
      <c r="F153" s="0" t="n">
        <f aca="false">5+F152</f>
        <v>680</v>
      </c>
    </row>
    <row r="154" customFormat="false" ht="12" hidden="false" customHeight="false" outlineLevel="0" collapsed="false">
      <c r="A154" s="0" t="n">
        <v>137</v>
      </c>
      <c r="B154" s="0" t="n">
        <v>134.708856479197</v>
      </c>
      <c r="C154" s="0" t="n">
        <v>139.965842490878</v>
      </c>
      <c r="F154" s="0" t="n">
        <f aca="false">5+F153</f>
        <v>685</v>
      </c>
    </row>
    <row r="155" customFormat="false" ht="12" hidden="false" customHeight="false" outlineLevel="0" collapsed="false">
      <c r="A155" s="0" t="n">
        <v>138</v>
      </c>
      <c r="B155" s="0" t="n">
        <v>136.324679789913</v>
      </c>
      <c r="C155" s="0" t="n">
        <v>143.165117050322</v>
      </c>
      <c r="F155" s="0" t="n">
        <f aca="false">5+F154</f>
        <v>690</v>
      </c>
    </row>
    <row r="156" customFormat="false" ht="12" hidden="false" customHeight="false" outlineLevel="0" collapsed="false">
      <c r="A156" s="0" t="n">
        <v>139</v>
      </c>
      <c r="B156" s="0" t="n">
        <v>136.337529341718</v>
      </c>
      <c r="C156" s="0" t="n">
        <v>141.765986383587</v>
      </c>
      <c r="F156" s="0" t="n">
        <f aca="false">5+F155</f>
        <v>695</v>
      </c>
    </row>
    <row r="157" customFormat="false" ht="12" hidden="false" customHeight="false" outlineLevel="0" collapsed="false">
      <c r="A157" s="0" t="n">
        <v>140</v>
      </c>
      <c r="B157" s="0" t="n">
        <v>136.79905635693</v>
      </c>
      <c r="C157" s="0" t="n">
        <v>143.687173033409</v>
      </c>
      <c r="F157" s="0" t="n">
        <f aca="false">5+F156</f>
        <v>700</v>
      </c>
    </row>
    <row r="158" customFormat="false" ht="12" hidden="false" customHeight="false" outlineLevel="0" collapsed="false">
      <c r="A158" s="0" t="n">
        <v>141</v>
      </c>
      <c r="B158" s="0" t="n">
        <v>138.80536873666</v>
      </c>
      <c r="C158" s="0" t="n">
        <v>145.368636291808</v>
      </c>
      <c r="F158" s="0" t="n">
        <f aca="false">5+F157</f>
        <v>705</v>
      </c>
    </row>
    <row r="159" customFormat="false" ht="12" hidden="false" customHeight="false" outlineLevel="0" collapsed="false">
      <c r="A159" s="0" t="n">
        <v>142</v>
      </c>
      <c r="B159" s="0" t="n">
        <v>139.230669975227</v>
      </c>
      <c r="C159" s="0" t="n">
        <v>145.723387935381</v>
      </c>
      <c r="F159" s="0" t="n">
        <f aca="false">5+F158</f>
        <v>710</v>
      </c>
    </row>
    <row r="160" customFormat="false" ht="12" hidden="false" customHeight="false" outlineLevel="0" collapsed="false">
      <c r="A160" s="0" t="n">
        <v>143</v>
      </c>
      <c r="B160" s="0" t="n">
        <v>139.764678991959</v>
      </c>
      <c r="C160" s="0" t="n">
        <v>147.219352164849</v>
      </c>
      <c r="F160" s="0" t="n">
        <f aca="false">5+F159</f>
        <v>715</v>
      </c>
    </row>
    <row r="161" customFormat="false" ht="12" hidden="false" customHeight="false" outlineLevel="0" collapsed="false">
      <c r="A161" s="0" t="n">
        <v>144</v>
      </c>
      <c r="B161" s="0" t="n">
        <v>140.350005400687</v>
      </c>
      <c r="C161" s="0" t="n">
        <v>147.734944712366</v>
      </c>
      <c r="F161" s="0" t="n">
        <f aca="false">5+F160</f>
        <v>720</v>
      </c>
    </row>
    <row r="162" customFormat="false" ht="12" hidden="false" customHeight="false" outlineLevel="0" collapsed="false">
      <c r="A162" s="0" t="n">
        <v>145</v>
      </c>
      <c r="B162" s="0" t="n">
        <v>140.747483675229</v>
      </c>
      <c r="C162" s="0" t="n">
        <v>149.161539350364</v>
      </c>
      <c r="F162" s="0" t="n">
        <f aca="false">5+F161</f>
        <v>725</v>
      </c>
    </row>
    <row r="163" customFormat="false" ht="12" hidden="false" customHeight="false" outlineLevel="0" collapsed="false">
      <c r="A163" s="0" t="n">
        <v>146</v>
      </c>
      <c r="B163" s="0" t="n">
        <v>143.310793824996</v>
      </c>
      <c r="C163" s="0" t="n">
        <v>149.628978575239</v>
      </c>
      <c r="F163" s="0" t="n">
        <f aca="false">5+F162</f>
        <v>730</v>
      </c>
    </row>
    <row r="164" customFormat="false" ht="12" hidden="false" customHeight="false" outlineLevel="0" collapsed="false">
      <c r="A164" s="0" t="n">
        <v>147</v>
      </c>
      <c r="B164" s="0" t="n">
        <v>145.024477984468</v>
      </c>
      <c r="C164" s="0" t="n">
        <v>151.824755469717</v>
      </c>
      <c r="F164" s="0" t="n">
        <f aca="false">5+F163</f>
        <v>735</v>
      </c>
    </row>
    <row r="165" customFormat="false" ht="12" hidden="false" customHeight="false" outlineLevel="0" collapsed="false">
      <c r="A165" s="0" t="n">
        <v>148</v>
      </c>
      <c r="B165" s="0" t="n">
        <v>145.033662657566</v>
      </c>
      <c r="C165" s="0" t="n">
        <v>153.64206189498</v>
      </c>
      <c r="F165" s="0" t="n">
        <f aca="false">5+F164</f>
        <v>740</v>
      </c>
    </row>
    <row r="166" customFormat="false" ht="12" hidden="false" customHeight="false" outlineLevel="0" collapsed="false">
      <c r="A166" s="0" t="n">
        <v>149</v>
      </c>
      <c r="B166" s="0" t="n">
        <v>145.644540991286</v>
      </c>
      <c r="C166" s="0" t="n">
        <v>151.291388946794</v>
      </c>
      <c r="F166" s="0" t="n">
        <f aca="false">5+F165</f>
        <v>745</v>
      </c>
    </row>
    <row r="167" customFormat="false" ht="12" hidden="false" customHeight="false" outlineLevel="0" collapsed="false">
      <c r="A167" s="0" t="n">
        <v>150</v>
      </c>
      <c r="B167" s="0" t="n">
        <v>145.838340277215</v>
      </c>
      <c r="C167" s="0" t="n">
        <v>153.193433095939</v>
      </c>
      <c r="F167" s="0" t="n">
        <f aca="false">5+F166</f>
        <v>750</v>
      </c>
    </row>
    <row r="168" customFormat="false" ht="12" hidden="false" customHeight="false" outlineLevel="0" collapsed="false">
      <c r="A168" s="0" t="n">
        <v>151</v>
      </c>
      <c r="B168" s="0" t="n">
        <v>146.940131534907</v>
      </c>
      <c r="C168" s="0" t="n">
        <v>155.072877757908</v>
      </c>
      <c r="F168" s="0" t="n">
        <f aca="false">5+F167</f>
        <v>755</v>
      </c>
    </row>
    <row r="169" customFormat="false" ht="12" hidden="false" customHeight="false" outlineLevel="0" collapsed="false">
      <c r="A169" s="0" t="n">
        <v>152</v>
      </c>
      <c r="B169" s="0" t="n">
        <v>148.142444829771</v>
      </c>
      <c r="C169" s="0" t="n">
        <v>157.229688001295</v>
      </c>
      <c r="F169" s="0" t="n">
        <f aca="false">5+F168</f>
        <v>760</v>
      </c>
    </row>
    <row r="170" customFormat="false" ht="12" hidden="false" customHeight="false" outlineLevel="0" collapsed="false">
      <c r="A170" s="0" t="n">
        <v>153</v>
      </c>
      <c r="B170" s="0" t="n">
        <v>148.886947179097</v>
      </c>
      <c r="C170" s="0" t="n">
        <v>155.579563695932</v>
      </c>
      <c r="F170" s="0" t="n">
        <f aca="false">5+F169</f>
        <v>765</v>
      </c>
    </row>
    <row r="171" customFormat="false" ht="12" hidden="false" customHeight="false" outlineLevel="0" collapsed="false">
      <c r="A171" s="0" t="n">
        <v>154</v>
      </c>
      <c r="B171" s="0" t="n">
        <v>150.568327719135</v>
      </c>
      <c r="C171" s="0" t="n">
        <v>157.77151361403</v>
      </c>
      <c r="F171" s="0" t="n">
        <f aca="false">5+F170</f>
        <v>770</v>
      </c>
    </row>
    <row r="172" customFormat="false" ht="12" hidden="false" customHeight="false" outlineLevel="0" collapsed="false">
      <c r="A172" s="0" t="n">
        <v>155</v>
      </c>
      <c r="B172" s="0" t="n">
        <v>150.850501189066</v>
      </c>
      <c r="C172" s="0" t="n">
        <v>159.166376722853</v>
      </c>
      <c r="F172" s="0" t="n">
        <f aca="false">5+F171</f>
        <v>775</v>
      </c>
    </row>
    <row r="173" customFormat="false" ht="12" hidden="false" customHeight="false" outlineLevel="0" collapsed="false">
      <c r="A173" s="0" t="n">
        <v>156</v>
      </c>
      <c r="B173" s="0" t="n">
        <v>151.053408920026</v>
      </c>
      <c r="C173" s="0" t="n">
        <v>159.563316589315</v>
      </c>
      <c r="F173" s="0" t="n">
        <f aca="false">5+F172</f>
        <v>780</v>
      </c>
    </row>
    <row r="174" customFormat="false" ht="12" hidden="false" customHeight="false" outlineLevel="0" collapsed="false">
      <c r="A174" s="0" t="n">
        <v>157</v>
      </c>
      <c r="B174" s="0" t="n">
        <v>151.563567968111</v>
      </c>
      <c r="C174" s="0" t="n">
        <v>160.928067590709</v>
      </c>
      <c r="F174" s="0" t="n">
        <f aca="false">5+F173</f>
        <v>785</v>
      </c>
    </row>
    <row r="175" customFormat="false" ht="12" hidden="false" customHeight="false" outlineLevel="0" collapsed="false">
      <c r="A175" s="0" t="n">
        <v>158</v>
      </c>
      <c r="B175" s="0" t="n">
        <v>153.128936829063</v>
      </c>
      <c r="C175" s="0" t="n">
        <v>161.500631404605</v>
      </c>
      <c r="F175" s="0" t="n">
        <f aca="false">5+F174</f>
        <v>790</v>
      </c>
    </row>
    <row r="176" customFormat="false" ht="12" hidden="false" customHeight="false" outlineLevel="0" collapsed="false">
      <c r="A176" s="0" t="n">
        <v>159</v>
      </c>
      <c r="B176" s="0" t="n">
        <v>153.383383374282</v>
      </c>
      <c r="C176" s="0" t="n">
        <v>163.503278194024</v>
      </c>
      <c r="F176" s="0" t="n">
        <f aca="false">5+F175</f>
        <v>795</v>
      </c>
    </row>
    <row r="177" customFormat="false" ht="12" hidden="false" customHeight="false" outlineLevel="0" collapsed="false">
      <c r="A177" s="0" t="n">
        <v>160</v>
      </c>
      <c r="B177" s="0" t="n">
        <v>153.474891209559</v>
      </c>
      <c r="C177" s="0" t="n">
        <v>162.960132119544</v>
      </c>
      <c r="F177" s="0" t="n">
        <f aca="false">5+F176</f>
        <v>800</v>
      </c>
    </row>
    <row r="178" customFormat="false" ht="12" hidden="false" customHeight="false" outlineLevel="0" collapsed="false">
      <c r="A178" s="0" t="n">
        <v>161</v>
      </c>
      <c r="B178" s="0" t="n">
        <v>153.949717951286</v>
      </c>
      <c r="C178" s="0" t="n">
        <v>165.049151387267</v>
      </c>
      <c r="F178" s="0" t="n">
        <f aca="false">5+F177</f>
        <v>805</v>
      </c>
    </row>
    <row r="179" customFormat="false" ht="12" hidden="false" customHeight="false" outlineLevel="0" collapsed="false">
      <c r="A179" s="0" t="n">
        <v>162</v>
      </c>
      <c r="B179" s="0" t="n">
        <v>156.077928205247</v>
      </c>
      <c r="C179" s="0" t="n">
        <v>165.606930341237</v>
      </c>
      <c r="F179" s="0" t="n">
        <f aca="false">5+F178</f>
        <v>810</v>
      </c>
    </row>
    <row r="180" customFormat="false" ht="12" hidden="false" customHeight="false" outlineLevel="0" collapsed="false">
      <c r="A180" s="0" t="n">
        <v>163</v>
      </c>
      <c r="B180" s="0" t="n">
        <v>158.03057922176</v>
      </c>
      <c r="C180" s="0" t="n">
        <v>167.034335954511</v>
      </c>
      <c r="F180" s="0" t="n">
        <f aca="false">5+F179</f>
        <v>815</v>
      </c>
    </row>
    <row r="181" customFormat="false" ht="12" hidden="false" customHeight="false" outlineLevel="0" collapsed="false">
      <c r="A181" s="0" t="n">
        <v>164</v>
      </c>
      <c r="B181" s="0" t="n">
        <v>159.205308887309</v>
      </c>
      <c r="C181" s="0" t="n">
        <v>169.128699246965</v>
      </c>
      <c r="F181" s="0" t="n">
        <f aca="false">5+F180</f>
        <v>820</v>
      </c>
    </row>
    <row r="182" customFormat="false" ht="12" hidden="false" customHeight="false" outlineLevel="0" collapsed="false">
      <c r="A182" s="0" t="n">
        <v>165</v>
      </c>
      <c r="B182" s="0" t="n">
        <v>165.3936398301</v>
      </c>
      <c r="C182" s="0" t="n">
        <v>167.38437633068</v>
      </c>
      <c r="F182" s="0" t="n">
        <f aca="false">5+F181</f>
        <v>825</v>
      </c>
    </row>
    <row r="183" customFormat="false" ht="12" hidden="false" customHeight="false" outlineLevel="0" collapsed="false">
      <c r="A183" s="0" t="n">
        <v>166</v>
      </c>
      <c r="B183" s="0" t="n">
        <v>166.550981964409</v>
      </c>
      <c r="C183" s="0" t="n">
        <v>169.44554958098</v>
      </c>
      <c r="F183" s="0" t="n">
        <f aca="false">5+F182</f>
        <v>830</v>
      </c>
    </row>
    <row r="184" customFormat="false" ht="12" hidden="false" customHeight="false" outlineLevel="0" collapsed="false">
      <c r="A184" s="0" t="n">
        <v>167</v>
      </c>
      <c r="B184" s="0" t="n">
        <v>169.667811454108</v>
      </c>
      <c r="C184" s="0" t="n">
        <v>171.895990550137</v>
      </c>
      <c r="F184" s="0" t="n">
        <f aca="false">5+F183</f>
        <v>835</v>
      </c>
    </row>
    <row r="185" customFormat="false" ht="12" hidden="false" customHeight="false" outlineLevel="0" collapsed="false">
      <c r="A185" s="0" t="n">
        <v>168</v>
      </c>
      <c r="B185" s="0" t="n">
        <v>174.564337313402</v>
      </c>
      <c r="C185" s="0" t="n">
        <v>176.455591918912</v>
      </c>
      <c r="F185" s="0" t="n">
        <f aca="false">5+F184</f>
        <v>840</v>
      </c>
    </row>
    <row r="186" customFormat="false" ht="12" hidden="false" customHeight="false" outlineLevel="0" collapsed="false">
      <c r="A186" s="0" t="n">
        <v>169</v>
      </c>
      <c r="B186" s="0" t="n">
        <v>175.307868512381</v>
      </c>
      <c r="C186" s="0" t="n">
        <v>177.328738595229</v>
      </c>
      <c r="F186" s="0" t="n">
        <f aca="false">5+F185</f>
        <v>845</v>
      </c>
    </row>
    <row r="187" customFormat="false" ht="12" hidden="false" customHeight="false" outlineLevel="0" collapsed="false">
      <c r="A187" s="0" t="n">
        <v>170</v>
      </c>
      <c r="B187" s="0" t="n">
        <v>175.748592414776</v>
      </c>
      <c r="C187" s="0" t="n">
        <v>178.386505495977</v>
      </c>
      <c r="F187" s="0" t="n">
        <f aca="false">5+F186</f>
        <v>850</v>
      </c>
    </row>
    <row r="188" customFormat="false" ht="12" hidden="false" customHeight="false" outlineLevel="0" collapsed="false">
      <c r="A188" s="0" t="n">
        <v>171</v>
      </c>
      <c r="B188" s="0" t="n">
        <v>176.963032024862</v>
      </c>
      <c r="C188" s="0" t="n">
        <v>180.186488825426</v>
      </c>
      <c r="F188" s="0" t="n">
        <f aca="false">5+F187</f>
        <v>855</v>
      </c>
    </row>
    <row r="189" customFormat="false" ht="12" hidden="false" customHeight="false" outlineLevel="0" collapsed="false">
      <c r="A189" s="0" t="n">
        <v>172</v>
      </c>
      <c r="B189" s="0" t="n">
        <v>176.985577483291</v>
      </c>
      <c r="C189" s="0" t="n">
        <v>179.162725530853</v>
      </c>
      <c r="F189" s="0" t="n">
        <f aca="false">5+F188</f>
        <v>860</v>
      </c>
    </row>
    <row r="190" customFormat="false" ht="12" hidden="false" customHeight="false" outlineLevel="0" collapsed="false">
      <c r="A190" s="0" t="n">
        <v>173</v>
      </c>
      <c r="B190" s="0" t="n">
        <v>177.054568635281</v>
      </c>
      <c r="C190" s="0" t="n">
        <v>182.331261931747</v>
      </c>
      <c r="F190" s="0" t="n">
        <f aca="false">5+F189</f>
        <v>865</v>
      </c>
    </row>
    <row r="191" customFormat="false" ht="12" hidden="false" customHeight="false" outlineLevel="0" collapsed="false">
      <c r="A191" s="0" t="n">
        <v>174</v>
      </c>
      <c r="B191" s="0" t="n">
        <v>177.056974587593</v>
      </c>
      <c r="C191" s="0" t="n">
        <v>181.035963292552</v>
      </c>
      <c r="F191" s="0" t="n">
        <f aca="false">5+F190</f>
        <v>870</v>
      </c>
    </row>
    <row r="192" customFormat="false" ht="12" hidden="false" customHeight="false" outlineLevel="0" collapsed="false">
      <c r="A192" s="0" t="n">
        <v>175</v>
      </c>
      <c r="B192" s="0" t="n">
        <v>178.233742575848</v>
      </c>
      <c r="C192" s="0" t="n">
        <v>182.928527508714</v>
      </c>
      <c r="F192" s="0" t="n">
        <f aca="false">5+F191</f>
        <v>875</v>
      </c>
    </row>
    <row r="193" customFormat="false" ht="12" hidden="false" customHeight="false" outlineLevel="0" collapsed="false">
      <c r="A193" s="0" t="n">
        <v>176</v>
      </c>
      <c r="B193" s="0" t="n">
        <v>178.296558606406</v>
      </c>
      <c r="C193" s="0" t="n">
        <v>185.139113142422</v>
      </c>
      <c r="F193" s="0" t="n">
        <f aca="false">5+F192</f>
        <v>880</v>
      </c>
    </row>
    <row r="194" customFormat="false" ht="12" hidden="false" customHeight="false" outlineLevel="0" collapsed="false">
      <c r="A194" s="0" t="n">
        <v>177</v>
      </c>
      <c r="B194" s="0" t="n">
        <v>178.909010946738</v>
      </c>
      <c r="C194" s="0" t="n">
        <v>186.998174973316</v>
      </c>
      <c r="F194" s="0" t="n">
        <f aca="false">5+F193</f>
        <v>885</v>
      </c>
    </row>
    <row r="195" customFormat="false" ht="12" hidden="false" customHeight="false" outlineLevel="0" collapsed="false">
      <c r="A195" s="0" t="n">
        <v>178</v>
      </c>
      <c r="B195" s="0" t="n">
        <v>179.609985423598</v>
      </c>
      <c r="C195" s="0" t="n">
        <v>188.875464075234</v>
      </c>
      <c r="F195" s="0" t="n">
        <f aca="false">5+F194</f>
        <v>890</v>
      </c>
    </row>
    <row r="196" customFormat="false" ht="12" hidden="false" customHeight="false" outlineLevel="0" collapsed="false">
      <c r="A196" s="0" t="n">
        <v>179</v>
      </c>
      <c r="B196" s="0" t="n">
        <v>182.203246351515</v>
      </c>
      <c r="C196" s="0" t="n">
        <v>184.143395656253</v>
      </c>
      <c r="F196" s="0" t="n">
        <f aca="false">5+F195</f>
        <v>895</v>
      </c>
    </row>
    <row r="197" customFormat="false" ht="12" hidden="false" customHeight="false" outlineLevel="0" collapsed="false">
      <c r="A197" s="0" t="n">
        <v>180</v>
      </c>
      <c r="B197" s="0" t="n">
        <v>187.30809276255</v>
      </c>
      <c r="C197" s="0" t="n">
        <v>189.358231985197</v>
      </c>
      <c r="F197" s="0" t="n">
        <f aca="false">5+F196</f>
        <v>900</v>
      </c>
    </row>
    <row r="198" customFormat="false" ht="12" hidden="false" customHeight="false" outlineLevel="0" collapsed="false">
      <c r="A198" s="0" t="n">
        <v>181</v>
      </c>
      <c r="B198" s="0" t="n">
        <v>187.623909261951</v>
      </c>
      <c r="C198" s="0" t="n">
        <v>191.127180334121</v>
      </c>
      <c r="F198" s="0" t="n">
        <f aca="false">5+F197</f>
        <v>905</v>
      </c>
    </row>
    <row r="199" customFormat="false" ht="12" hidden="false" customHeight="false" outlineLevel="0" collapsed="false">
      <c r="A199" s="0" t="n">
        <v>182</v>
      </c>
      <c r="B199" s="0" t="n">
        <v>187.822321329918</v>
      </c>
      <c r="C199" s="0" t="n">
        <v>191.064064302057</v>
      </c>
      <c r="F199" s="0" t="n">
        <f aca="false">5+F198</f>
        <v>910</v>
      </c>
    </row>
    <row r="200" customFormat="false" ht="12" hidden="false" customHeight="false" outlineLevel="0" collapsed="false">
      <c r="A200" s="0" t="n">
        <v>183</v>
      </c>
      <c r="B200" s="0" t="n">
        <v>187.865235372416</v>
      </c>
      <c r="C200" s="0" t="n">
        <v>193.269990738038</v>
      </c>
      <c r="F200" s="0" t="n">
        <f aca="false">5+F199</f>
        <v>915</v>
      </c>
    </row>
    <row r="201" customFormat="false" ht="12" hidden="false" customHeight="false" outlineLevel="0" collapsed="false">
      <c r="A201" s="0" t="n">
        <v>184</v>
      </c>
      <c r="B201" s="0" t="n">
        <v>190.768616975339</v>
      </c>
      <c r="C201" s="0" t="n">
        <v>192.968525607963</v>
      </c>
      <c r="F201" s="0" t="n">
        <f aca="false">5+F200</f>
        <v>920</v>
      </c>
    </row>
    <row r="202" customFormat="false" ht="12" hidden="false" customHeight="false" outlineLevel="0" collapsed="false">
      <c r="A202" s="0" t="n">
        <v>185</v>
      </c>
      <c r="B202" s="0" t="n">
        <v>192.309538084253</v>
      </c>
      <c r="C202" s="0" t="n">
        <v>195.48022679657</v>
      </c>
      <c r="F202" s="0" t="n">
        <f aca="false">5+F201</f>
        <v>925</v>
      </c>
    </row>
    <row r="203" customFormat="false" ht="12" hidden="false" customHeight="false" outlineLevel="0" collapsed="false">
      <c r="A203" s="0" t="n">
        <v>186</v>
      </c>
      <c r="B203" s="0" t="n">
        <v>192.958677386993</v>
      </c>
      <c r="C203" s="0" t="n">
        <v>197.40187120291</v>
      </c>
      <c r="F203" s="0" t="n">
        <f aca="false">5+F202</f>
        <v>930</v>
      </c>
    </row>
    <row r="204" customFormat="false" ht="12" hidden="false" customHeight="false" outlineLevel="0" collapsed="false">
      <c r="A204" s="0" t="n">
        <v>187</v>
      </c>
      <c r="B204" s="0" t="n">
        <v>194.270967973052</v>
      </c>
      <c r="C204" s="0" t="n">
        <v>196.359714310646</v>
      </c>
      <c r="F204" s="0" t="n">
        <f aca="false">5+F203</f>
        <v>935</v>
      </c>
    </row>
    <row r="205" customFormat="false" ht="12" hidden="false" customHeight="false" outlineLevel="0" collapsed="false">
      <c r="A205" s="0" t="n">
        <v>188</v>
      </c>
      <c r="B205" s="0" t="n">
        <v>195.576815097925</v>
      </c>
      <c r="C205" s="0" t="n">
        <v>198.409024716421</v>
      </c>
      <c r="F205" s="0" t="n">
        <f aca="false">5+F204</f>
        <v>940</v>
      </c>
    </row>
    <row r="206" customFormat="false" ht="12" hidden="false" customHeight="false" outlineLevel="0" collapsed="false">
      <c r="A206" s="0" t="n">
        <v>189</v>
      </c>
      <c r="B206" s="0" t="n">
        <v>196.251343535151</v>
      </c>
      <c r="C206" s="0" t="n">
        <v>199.199693151488</v>
      </c>
      <c r="F206" s="0" t="n">
        <f aca="false">5+F205</f>
        <v>945</v>
      </c>
    </row>
    <row r="207" customFormat="false" ht="12" hidden="false" customHeight="false" outlineLevel="0" collapsed="false">
      <c r="A207" s="0" t="n">
        <v>190</v>
      </c>
      <c r="B207" s="0" t="n">
        <v>196.486756226691</v>
      </c>
      <c r="C207" s="0" t="n">
        <v>200.631245256204</v>
      </c>
      <c r="F207" s="0" t="n">
        <f aca="false">5+F206</f>
        <v>950</v>
      </c>
    </row>
    <row r="208" customFormat="false" ht="12" hidden="false" customHeight="false" outlineLevel="0" collapsed="false">
      <c r="A208" s="0" t="n">
        <v>191</v>
      </c>
      <c r="B208" s="0" t="n">
        <v>198.313493324677</v>
      </c>
      <c r="C208" s="0" t="n">
        <v>202.630307779353</v>
      </c>
      <c r="F208" s="0" t="n">
        <f aca="false">5+F207</f>
        <v>955</v>
      </c>
    </row>
    <row r="209" customFormat="false" ht="12" hidden="false" customHeight="false" outlineLevel="0" collapsed="false">
      <c r="A209" s="0" t="n">
        <v>192</v>
      </c>
      <c r="B209" s="0" t="n">
        <v>198.962120873368</v>
      </c>
      <c r="C209" s="0" t="n">
        <v>201.125519966555</v>
      </c>
      <c r="F209" s="0" t="n">
        <f aca="false">5+F208</f>
        <v>960</v>
      </c>
    </row>
    <row r="210" customFormat="false" ht="12" hidden="false" customHeight="false" outlineLevel="0" collapsed="false">
      <c r="A210" s="0" t="n">
        <v>193</v>
      </c>
      <c r="B210" s="0" t="n">
        <v>202.289758454576</v>
      </c>
      <c r="C210" s="0" t="n">
        <v>204.04214166491</v>
      </c>
      <c r="F210" s="0" t="n">
        <f aca="false">5+F209</f>
        <v>965</v>
      </c>
    </row>
    <row r="211" customFormat="false" ht="12" hidden="false" customHeight="false" outlineLevel="0" collapsed="false">
      <c r="A211" s="0" t="n">
        <v>194</v>
      </c>
      <c r="B211" s="0" t="n">
        <v>207.810826601969</v>
      </c>
      <c r="C211" s="0" t="n">
        <v>209.789897577605</v>
      </c>
      <c r="F211" s="0" t="n">
        <f aca="false">5+F210</f>
        <v>970</v>
      </c>
    </row>
    <row r="212" customFormat="false" ht="12" hidden="false" customHeight="false" outlineLevel="0" collapsed="false">
      <c r="A212" s="0" t="n">
        <v>195</v>
      </c>
      <c r="B212" s="0" t="n">
        <v>208.47103781486</v>
      </c>
      <c r="C212" s="0" t="n">
        <v>210.545496960125</v>
      </c>
      <c r="F212" s="0" t="n">
        <f aca="false">5+F211</f>
        <v>975</v>
      </c>
    </row>
    <row r="213" customFormat="false" ht="12" hidden="false" customHeight="false" outlineLevel="0" collapsed="false">
      <c r="A213" s="0" t="n">
        <v>196</v>
      </c>
      <c r="B213" s="0" t="n">
        <v>209.496492539476</v>
      </c>
      <c r="C213" s="0" t="n">
        <v>211.942079813644</v>
      </c>
      <c r="F213" s="0" t="n">
        <f aca="false">5+F212</f>
        <v>980</v>
      </c>
    </row>
    <row r="214" customFormat="false" ht="12" hidden="false" customHeight="false" outlineLevel="0" collapsed="false">
      <c r="A214" s="0" t="n">
        <v>197</v>
      </c>
      <c r="B214" s="0" t="n">
        <v>210.680313187873</v>
      </c>
      <c r="C214" s="0" t="n">
        <v>212.489040935158</v>
      </c>
      <c r="F214" s="0" t="n">
        <f aca="false">5+F213</f>
        <v>985</v>
      </c>
    </row>
    <row r="215" customFormat="false" ht="12" hidden="false" customHeight="false" outlineLevel="0" collapsed="false">
      <c r="A215" s="0" t="n">
        <v>198</v>
      </c>
      <c r="B215" s="0" t="n">
        <v>211.065419469753</v>
      </c>
      <c r="C215" s="0" t="n">
        <v>214.27421563515</v>
      </c>
      <c r="F215" s="0" t="n">
        <f aca="false">5+F214</f>
        <v>990</v>
      </c>
    </row>
    <row r="216" customFormat="false" ht="12" hidden="false" customHeight="false" outlineLevel="0" collapsed="false">
      <c r="A216" s="0" t="n">
        <v>199</v>
      </c>
      <c r="B216" s="0" t="n">
        <v>211.849292868008</v>
      </c>
      <c r="C216" s="0" t="n">
        <v>213.948087863949</v>
      </c>
      <c r="F216" s="0" t="n">
        <f aca="false">5+F215</f>
        <v>995</v>
      </c>
    </row>
    <row r="217" customFormat="false" ht="12" hidden="false" customHeight="false" outlineLevel="0" collapsed="false">
      <c r="A217" s="0" t="n">
        <v>200</v>
      </c>
      <c r="B217" s="0" t="n">
        <v>212.160358307281</v>
      </c>
      <c r="C217" s="0" t="n">
        <v>216.346911764043</v>
      </c>
      <c r="F217" s="0" t="n">
        <f aca="false">5+F216</f>
        <v>1000</v>
      </c>
    </row>
    <row r="218" customFormat="false" ht="12" hidden="false" customHeight="false" outlineLevel="0" collapsed="false">
      <c r="A218" s="0" t="n">
        <v>201</v>
      </c>
      <c r="B218" s="0" t="n">
        <v>212.593436271345</v>
      </c>
      <c r="C218" s="0" t="n">
        <v>218.307179774672</v>
      </c>
      <c r="F218" s="0" t="n">
        <f aca="false">5+F217</f>
        <v>1005</v>
      </c>
    </row>
    <row r="219" customFormat="false" ht="12" hidden="false" customHeight="false" outlineLevel="0" collapsed="false">
      <c r="A219" s="0" t="n">
        <v>202</v>
      </c>
      <c r="B219" s="0" t="n">
        <v>213.169974114397</v>
      </c>
      <c r="C219" s="0" t="n">
        <v>215.907638625172</v>
      </c>
      <c r="F219" s="0" t="n">
        <f aca="false">5+F218</f>
        <v>1010</v>
      </c>
    </row>
    <row r="220" customFormat="false" ht="12" hidden="false" customHeight="false" outlineLevel="0" collapsed="false">
      <c r="A220" s="0" t="n">
        <v>203</v>
      </c>
      <c r="B220" s="0" t="n">
        <v>214.772801464513</v>
      </c>
      <c r="C220" s="0" t="n">
        <v>218.023558503032</v>
      </c>
    </row>
    <row r="221" customFormat="false" ht="12" hidden="false" customHeight="false" outlineLevel="0" collapsed="false">
      <c r="A221" s="0" t="n">
        <v>204</v>
      </c>
      <c r="B221" s="0" t="n">
        <v>214.907357973871</v>
      </c>
      <c r="C221" s="0" t="n">
        <v>220.419659019117</v>
      </c>
    </row>
    <row r="222" customFormat="false" ht="12" hidden="false" customHeight="false" outlineLevel="0" collapsed="false">
      <c r="A222" s="0" t="n">
        <v>205</v>
      </c>
      <c r="B222" s="0" t="n">
        <v>215.342689749012</v>
      </c>
      <c r="C222" s="0" t="n">
        <v>220.149632596907</v>
      </c>
    </row>
    <row r="223" customFormat="false" ht="12" hidden="false" customHeight="false" outlineLevel="0" collapsed="false">
      <c r="A223" s="0" t="n">
        <v>206</v>
      </c>
      <c r="B223" s="0" t="n">
        <v>215.677610177026</v>
      </c>
      <c r="C223" s="0" t="n">
        <v>222.167389242141</v>
      </c>
    </row>
    <row r="224" customFormat="false" ht="12" hidden="false" customHeight="false" outlineLevel="0" collapsed="false">
      <c r="A224" s="0" t="n">
        <v>207</v>
      </c>
      <c r="B224" s="0" t="n">
        <v>216.52654434088</v>
      </c>
      <c r="C224" s="0" t="n">
        <v>222.568813339269</v>
      </c>
    </row>
    <row r="225" customFormat="false" ht="12" hidden="false" customHeight="false" outlineLevel="0" collapsed="false">
      <c r="A225" s="0" t="n">
        <v>208</v>
      </c>
      <c r="B225" s="0" t="n">
        <v>217.251662352407</v>
      </c>
      <c r="C225" s="0" t="n">
        <v>224.273230448886</v>
      </c>
    </row>
    <row r="226" customFormat="false" ht="12" hidden="false" customHeight="false" outlineLevel="0" collapsed="false">
      <c r="A226" s="0" t="n">
        <v>209</v>
      </c>
      <c r="B226" s="0" t="n">
        <v>217.5027923685</v>
      </c>
      <c r="C226" s="0" t="n">
        <v>224.814658435985</v>
      </c>
    </row>
    <row r="227" customFormat="false" ht="12" hidden="false" customHeight="false" outlineLevel="0" collapsed="false">
      <c r="A227" s="0" t="n">
        <v>210</v>
      </c>
      <c r="B227" s="0" t="n">
        <v>217.525568712968</v>
      </c>
      <c r="C227" s="0" t="n">
        <v>226.900122565346</v>
      </c>
    </row>
    <row r="228" customFormat="false" ht="12" hidden="false" customHeight="false" outlineLevel="0" collapsed="false">
      <c r="A228" s="0" t="n">
        <v>211</v>
      </c>
      <c r="B228" s="0" t="n">
        <v>217.571524498467</v>
      </c>
      <c r="C228" s="0" t="n">
        <v>226.475903967506</v>
      </c>
    </row>
    <row r="229" customFormat="false" ht="12" hidden="false" customHeight="false" outlineLevel="0" collapsed="false">
      <c r="A229" s="0" t="n">
        <v>212</v>
      </c>
      <c r="B229" s="0" t="n">
        <v>218.591243585721</v>
      </c>
      <c r="C229" s="0" t="n">
        <v>229.066790891184</v>
      </c>
    </row>
    <row r="230" customFormat="false" ht="12" hidden="false" customHeight="false" outlineLevel="0" collapsed="false">
      <c r="A230" s="0" t="n">
        <v>213</v>
      </c>
      <c r="B230" s="0" t="n">
        <v>219.476002201558</v>
      </c>
      <c r="C230" s="0" t="n">
        <v>228.612093736212</v>
      </c>
    </row>
    <row r="231" customFormat="false" ht="12" hidden="false" customHeight="false" outlineLevel="0" collapsed="false">
      <c r="A231" s="0" t="n">
        <v>214</v>
      </c>
      <c r="B231" s="0" t="n">
        <v>220.109011314399</v>
      </c>
      <c r="C231" s="0" t="n">
        <v>231.309575734636</v>
      </c>
    </row>
    <row r="232" customFormat="false" ht="12" hidden="false" customHeight="false" outlineLevel="0" collapsed="false">
      <c r="A232" s="0" t="n">
        <v>215</v>
      </c>
      <c r="B232" s="0" t="n">
        <v>222.464647950995</v>
      </c>
      <c r="C232" s="0" t="n">
        <v>230.75664844213</v>
      </c>
    </row>
    <row r="233" customFormat="false" ht="12" hidden="false" customHeight="false" outlineLevel="0" collapsed="false">
      <c r="A233" s="0" t="n">
        <v>216</v>
      </c>
      <c r="B233" s="0" t="n">
        <v>223.187422621283</v>
      </c>
      <c r="C233" s="0" t="n">
        <v>232.867000441929</v>
      </c>
    </row>
    <row r="234" customFormat="false" ht="12" hidden="false" customHeight="false" outlineLevel="0" collapsed="false">
      <c r="A234" s="0" t="n">
        <v>217</v>
      </c>
      <c r="B234" s="0" t="n">
        <v>223.666438262083</v>
      </c>
      <c r="C234" s="0" t="n">
        <v>234.976272086404</v>
      </c>
    </row>
    <row r="235" customFormat="false" ht="12" hidden="false" customHeight="false" outlineLevel="0" collapsed="false">
      <c r="A235" s="0" t="n">
        <v>218</v>
      </c>
      <c r="B235" s="0" t="n">
        <v>223.691766715563</v>
      </c>
      <c r="C235" s="0" t="n">
        <v>233.254939524917</v>
      </c>
    </row>
    <row r="236" customFormat="false" ht="12" hidden="false" customHeight="false" outlineLevel="0" collapsed="false">
      <c r="A236" s="0" t="n">
        <v>219</v>
      </c>
      <c r="B236" s="0" t="n">
        <v>224.605599290249</v>
      </c>
      <c r="C236" s="0" t="n">
        <v>235.346631309113</v>
      </c>
    </row>
    <row r="237" customFormat="false" ht="12" hidden="false" customHeight="false" outlineLevel="0" collapsed="false">
      <c r="A237" s="0" t="n">
        <v>220</v>
      </c>
      <c r="B237" s="0" t="n">
        <v>225.663040942353</v>
      </c>
      <c r="C237" s="0" t="n">
        <v>237.568851954865</v>
      </c>
    </row>
    <row r="238" customFormat="false" ht="12" hidden="false" customHeight="false" outlineLevel="0" collapsed="false">
      <c r="A238" s="0" t="n">
        <v>221</v>
      </c>
      <c r="B238" s="0" t="n">
        <v>230.185601047237</v>
      </c>
      <c r="C238" s="0" t="n">
        <v>239.632202327393</v>
      </c>
    </row>
    <row r="239" customFormat="false" ht="12" hidden="false" customHeight="false" outlineLevel="0" collapsed="false">
      <c r="A239" s="0" t="n">
        <v>222</v>
      </c>
      <c r="B239" s="0" t="n">
        <v>230.570783167295</v>
      </c>
      <c r="C239" s="0" t="n">
        <v>236.805174929317</v>
      </c>
    </row>
    <row r="240" customFormat="false" ht="12" hidden="false" customHeight="false" outlineLevel="0" collapsed="false">
      <c r="A240" s="0" t="n">
        <v>223</v>
      </c>
      <c r="B240" s="0" t="n">
        <v>231.741044039303</v>
      </c>
      <c r="C240" s="0" t="n">
        <v>238.650046698201</v>
      </c>
    </row>
    <row r="241" customFormat="false" ht="12" hidden="false" customHeight="false" outlineLevel="0" collapsed="false">
      <c r="A241" s="0" t="n">
        <v>224</v>
      </c>
      <c r="B241" s="0" t="n">
        <v>232.077964565454</v>
      </c>
      <c r="C241" s="0" t="n">
        <v>241.699382808994</v>
      </c>
    </row>
    <row r="242" customFormat="false" ht="12" hidden="false" customHeight="false" outlineLevel="0" collapsed="false">
      <c r="A242" s="0" t="n">
        <v>225</v>
      </c>
      <c r="B242" s="0" t="n">
        <v>232.123812486029</v>
      </c>
      <c r="C242" s="0" t="n">
        <v>240.713179156648</v>
      </c>
    </row>
    <row r="243" customFormat="false" ht="12" hidden="false" customHeight="false" outlineLevel="0" collapsed="false">
      <c r="A243" s="0" t="n">
        <v>226</v>
      </c>
      <c r="B243" s="0" t="n">
        <v>233.4442317762</v>
      </c>
      <c r="C243" s="0" t="n">
        <v>243.831574286928</v>
      </c>
    </row>
    <row r="244" customFormat="false" ht="12" hidden="false" customHeight="false" outlineLevel="0" collapsed="false">
      <c r="A244" s="0" t="n">
        <v>227</v>
      </c>
      <c r="B244" s="0" t="n">
        <v>235.395474459865</v>
      </c>
      <c r="C244" s="0" t="n">
        <v>242.914672420368</v>
      </c>
    </row>
    <row r="245" customFormat="false" ht="12" hidden="false" customHeight="false" outlineLevel="0" collapsed="false">
      <c r="A245" s="0" t="n">
        <v>228</v>
      </c>
      <c r="B245" s="0" t="n">
        <v>235.562916463722</v>
      </c>
      <c r="C245" s="0" t="n">
        <v>245.059631522436</v>
      </c>
    </row>
    <row r="246" customFormat="false" ht="12" hidden="false" customHeight="false" outlineLevel="0" collapsed="false">
      <c r="A246" s="0" t="n">
        <v>229</v>
      </c>
      <c r="B246" s="0" t="n">
        <v>236.236795891753</v>
      </c>
      <c r="C246" s="0" t="n">
        <v>245.631033193828</v>
      </c>
    </row>
    <row r="247" customFormat="false" ht="12" hidden="false" customHeight="false" outlineLevel="0" collapsed="false">
      <c r="A247" s="0" t="n">
        <v>230</v>
      </c>
      <c r="B247" s="0" t="n">
        <v>236.665281998627</v>
      </c>
      <c r="C247" s="0" t="n">
        <v>247.793437181153</v>
      </c>
    </row>
    <row r="248" customFormat="false" ht="12" hidden="false" customHeight="false" outlineLevel="0" collapsed="false">
      <c r="A248" s="0" t="n">
        <v>231</v>
      </c>
      <c r="B248" s="0" t="n">
        <v>237.205673726243</v>
      </c>
      <c r="C248" s="0" t="n">
        <v>249.951844307706</v>
      </c>
    </row>
    <row r="249" customFormat="false" ht="12" hidden="false" customHeight="false" outlineLevel="0" collapsed="false">
      <c r="A249" s="0" t="n">
        <v>232</v>
      </c>
      <c r="B249" s="0" t="n">
        <v>237.385005682984</v>
      </c>
      <c r="C249" s="0" t="n">
        <v>246.899058409608</v>
      </c>
    </row>
    <row r="250" customFormat="false" ht="12" hidden="false" customHeight="false" outlineLevel="0" collapsed="false">
      <c r="A250" s="0" t="n">
        <v>233</v>
      </c>
      <c r="B250" s="0" t="n">
        <v>238.149400065114</v>
      </c>
      <c r="C250" s="0" t="n">
        <v>248.909297622871</v>
      </c>
    </row>
    <row r="251" customFormat="false" ht="12" hidden="false" customHeight="false" outlineLevel="0" collapsed="false">
      <c r="A251" s="0" t="n">
        <v>234</v>
      </c>
      <c r="B251" s="0" t="n">
        <v>239.697136367461</v>
      </c>
      <c r="C251" s="0" t="n">
        <v>251.910913889057</v>
      </c>
    </row>
    <row r="252" customFormat="false" ht="12" hidden="false" customHeight="false" outlineLevel="0" collapsed="false">
      <c r="A252" s="0" t="n">
        <v>235</v>
      </c>
      <c r="B252" s="0" t="n">
        <v>239.936265614229</v>
      </c>
      <c r="C252" s="0" t="n">
        <v>250.979718886787</v>
      </c>
    </row>
    <row r="253" customFormat="false" ht="12" hidden="false" customHeight="false" outlineLevel="0" collapsed="false">
      <c r="A253" s="0" t="n">
        <v>236</v>
      </c>
      <c r="B253" s="0" t="n">
        <v>241.141140694875</v>
      </c>
      <c r="C253" s="0" t="n">
        <v>253.678706085793</v>
      </c>
    </row>
    <row r="254" customFormat="false" ht="12" hidden="false" customHeight="false" outlineLevel="0" collapsed="false">
      <c r="A254" s="0" t="n">
        <v>237</v>
      </c>
      <c r="B254" s="0" t="n">
        <v>243.023998562744</v>
      </c>
      <c r="C254" s="0" t="n">
        <v>252.962172367938</v>
      </c>
    </row>
    <row r="255" customFormat="false" ht="12" hidden="false" customHeight="false" outlineLevel="0" collapsed="false">
      <c r="A255" s="0" t="n">
        <v>238</v>
      </c>
      <c r="B255" s="0" t="n">
        <v>246.650593517477</v>
      </c>
      <c r="C255" s="0" t="n">
        <v>254.985661104463</v>
      </c>
    </row>
    <row r="256" customFormat="false" ht="12" hidden="false" customHeight="false" outlineLevel="0" collapsed="false">
      <c r="A256" s="0" t="n">
        <v>239</v>
      </c>
      <c r="B256" s="0" t="n">
        <v>246.798039807766</v>
      </c>
      <c r="C256" s="0" t="n">
        <v>255.718394391151</v>
      </c>
    </row>
    <row r="257" customFormat="false" ht="12" hidden="false" customHeight="false" outlineLevel="0" collapsed="false">
      <c r="A257" s="0" t="n">
        <v>240</v>
      </c>
      <c r="B257" s="0" t="n">
        <v>248.029185679212</v>
      </c>
      <c r="C257" s="0" t="n">
        <v>257.054155655508</v>
      </c>
    </row>
    <row r="258" customFormat="false" ht="12" hidden="false" customHeight="false" outlineLevel="0" collapsed="false">
      <c r="A258" s="0" t="n">
        <v>241</v>
      </c>
      <c r="B258" s="0" t="n">
        <v>249.581072715633</v>
      </c>
      <c r="C258" s="0" t="n">
        <v>259.274733987766</v>
      </c>
    </row>
    <row r="259" customFormat="false" ht="12" hidden="false" customHeight="false" outlineLevel="0" collapsed="false">
      <c r="A259" s="0" t="n">
        <v>242</v>
      </c>
      <c r="B259" s="0" t="n">
        <v>249.745498361545</v>
      </c>
      <c r="C259" s="0" t="n">
        <v>261.045327143529</v>
      </c>
    </row>
    <row r="260" customFormat="false" ht="12" hidden="false" customHeight="false" outlineLevel="0" collapsed="false">
      <c r="A260" s="0" t="n">
        <v>243</v>
      </c>
      <c r="B260" s="0" t="n">
        <v>250.120007505143</v>
      </c>
      <c r="C260" s="0" t="n">
        <v>257.500410060789</v>
      </c>
    </row>
    <row r="261" customFormat="false" ht="12" hidden="false" customHeight="false" outlineLevel="0" collapsed="false">
      <c r="A261" s="0" t="n">
        <v>244</v>
      </c>
      <c r="B261" s="0" t="n">
        <v>251.106604995235</v>
      </c>
      <c r="C261" s="0" t="n">
        <v>259.68604218389</v>
      </c>
    </row>
    <row r="262" customFormat="false" ht="12" hidden="false" customHeight="false" outlineLevel="0" collapsed="false">
      <c r="A262" s="0" t="n">
        <v>245</v>
      </c>
      <c r="B262" s="0" t="n">
        <v>255.524885332619</v>
      </c>
      <c r="C262" s="0" t="n">
        <v>261.833748942585</v>
      </c>
    </row>
    <row r="263" customFormat="false" ht="12" hidden="false" customHeight="false" outlineLevel="0" collapsed="false">
      <c r="A263" s="0" t="n">
        <v>246</v>
      </c>
      <c r="B263" s="0" t="n">
        <v>256.766014523522</v>
      </c>
      <c r="C263" s="0" t="n">
        <v>263.74069560468</v>
      </c>
    </row>
    <row r="264" customFormat="false" ht="12" hidden="false" customHeight="false" outlineLevel="0" collapsed="false">
      <c r="A264" s="0" t="n">
        <v>247</v>
      </c>
      <c r="B264" s="0" t="n">
        <v>258.452203426206</v>
      </c>
      <c r="C264" s="0" t="n">
        <v>265.820696464648</v>
      </c>
    </row>
    <row r="265" customFormat="false" ht="12" hidden="false" customHeight="false" outlineLevel="0" collapsed="false">
      <c r="A265" s="0" t="n">
        <v>248</v>
      </c>
      <c r="B265" s="0" t="n">
        <v>258.911313914541</v>
      </c>
      <c r="C265" s="0" t="n">
        <v>262.946940233241</v>
      </c>
    </row>
    <row r="266" customFormat="false" ht="12" hidden="false" customHeight="false" outlineLevel="0" collapsed="false">
      <c r="A266" s="0" t="n">
        <v>249</v>
      </c>
      <c r="B266" s="0" t="n">
        <v>259.439866737751</v>
      </c>
      <c r="C266" s="0" t="n">
        <v>265.191511333556</v>
      </c>
    </row>
    <row r="267" customFormat="false" ht="12" hidden="false" customHeight="false" outlineLevel="0" collapsed="false">
      <c r="A267" s="0" t="n">
        <v>250</v>
      </c>
      <c r="B267" s="0" t="n">
        <v>260.080684887585</v>
      </c>
      <c r="C267" s="0" t="n">
        <v>267.665679710744</v>
      </c>
    </row>
    <row r="268" customFormat="false" ht="12" hidden="false" customHeight="false" outlineLevel="0" collapsed="false">
      <c r="A268" s="0" t="n">
        <v>251</v>
      </c>
      <c r="B268" s="0" t="n">
        <v>260.500656301289</v>
      </c>
      <c r="C268" s="0" t="n">
        <v>269.836575705904</v>
      </c>
    </row>
    <row r="269" customFormat="false" ht="12" hidden="false" customHeight="false" outlineLevel="0" collapsed="false">
      <c r="A269" s="0" t="n">
        <v>252</v>
      </c>
      <c r="B269" s="0" t="n">
        <v>260.867118825002</v>
      </c>
      <c r="C269" s="0" t="n">
        <v>267.284331839108</v>
      </c>
    </row>
    <row r="270" customFormat="false" ht="12" hidden="false" customHeight="false" outlineLevel="0" collapsed="false">
      <c r="A270" s="0" t="n">
        <v>253</v>
      </c>
      <c r="B270" s="0" t="n">
        <v>260.974745895738</v>
      </c>
      <c r="C270" s="0" t="n">
        <v>269.496321665515</v>
      </c>
    </row>
    <row r="271" customFormat="false" ht="12" hidden="false" customHeight="false" outlineLevel="0" collapsed="false">
      <c r="A271" s="0" t="n">
        <v>254</v>
      </c>
      <c r="B271" s="0" t="n">
        <v>261.569888707369</v>
      </c>
      <c r="C271" s="0" t="n">
        <v>271.690126786969</v>
      </c>
    </row>
    <row r="272" customFormat="false" ht="12" hidden="false" customHeight="false" outlineLevel="0" collapsed="false">
      <c r="A272" s="0" t="n">
        <v>255</v>
      </c>
      <c r="B272" s="0" t="n">
        <v>261.835610453257</v>
      </c>
      <c r="C272" s="0" t="n">
        <v>271.697214160011</v>
      </c>
    </row>
    <row r="273" customFormat="false" ht="12" hidden="false" customHeight="false" outlineLevel="0" collapsed="false">
      <c r="A273" s="0" t="n">
        <v>256</v>
      </c>
      <c r="B273" s="0" t="n">
        <v>261.962138368909</v>
      </c>
      <c r="C273" s="0" t="n">
        <v>273.633765220148</v>
      </c>
    </row>
    <row r="274" customFormat="false" ht="12" hidden="false" customHeight="false" outlineLevel="0" collapsed="false">
      <c r="A274" s="0" t="n">
        <v>257</v>
      </c>
      <c r="B274" s="0" t="n">
        <v>266.081366020722</v>
      </c>
      <c r="C274" s="0" t="n">
        <v>273.661410387361</v>
      </c>
    </row>
    <row r="275" customFormat="false" ht="12" hidden="false" customHeight="false" outlineLevel="0" collapsed="false">
      <c r="A275" s="0" t="n">
        <v>258</v>
      </c>
      <c r="B275" s="0" t="n">
        <v>266.257321348824</v>
      </c>
      <c r="C275" s="0" t="n">
        <v>275.694267423452</v>
      </c>
    </row>
    <row r="276" customFormat="false" ht="12" hidden="false" customHeight="false" outlineLevel="0" collapsed="false">
      <c r="A276" s="0" t="n">
        <v>259</v>
      </c>
      <c r="B276" s="0" t="n">
        <v>267.206686308435</v>
      </c>
      <c r="C276" s="0" t="n">
        <v>275.406160709153</v>
      </c>
    </row>
    <row r="277" customFormat="false" ht="12" hidden="false" customHeight="false" outlineLevel="0" collapsed="false">
      <c r="A277" s="0" t="n">
        <v>260</v>
      </c>
      <c r="B277" s="0" t="n">
        <v>267.85898298467</v>
      </c>
      <c r="C277" s="0" t="n">
        <v>277.655346187263</v>
      </c>
    </row>
    <row r="278" customFormat="false" ht="12" hidden="false" customHeight="false" outlineLevel="0" collapsed="false">
      <c r="A278" s="0" t="n">
        <v>261</v>
      </c>
      <c r="B278" s="0" t="n">
        <v>267.913285012421</v>
      </c>
      <c r="C278" s="0" t="n">
        <v>279.751263696012</v>
      </c>
    </row>
    <row r="279" customFormat="false" ht="12" hidden="false" customHeight="false" outlineLevel="0" collapsed="false">
      <c r="A279" s="0" t="n">
        <v>262</v>
      </c>
      <c r="B279" s="0" t="n">
        <v>270.564203935343</v>
      </c>
      <c r="C279" s="0" t="n">
        <v>277.402035079216</v>
      </c>
    </row>
    <row r="280" customFormat="false" ht="12" hidden="false" customHeight="false" outlineLevel="0" collapsed="false">
      <c r="A280" s="0" t="n">
        <v>263</v>
      </c>
      <c r="B280" s="0" t="n">
        <v>270.908337620464</v>
      </c>
      <c r="C280" s="0" t="n">
        <v>279.489484129966</v>
      </c>
    </row>
    <row r="281" customFormat="false" ht="12" hidden="false" customHeight="false" outlineLevel="0" collapsed="false">
      <c r="A281" s="0" t="n">
        <v>264</v>
      </c>
      <c r="B281" s="0" t="n">
        <v>272.182428754624</v>
      </c>
      <c r="C281" s="0" t="n">
        <v>281.998821587503</v>
      </c>
    </row>
    <row r="282" customFormat="false" ht="12" hidden="false" customHeight="false" outlineLevel="0" collapsed="false">
      <c r="A282" s="0" t="n">
        <v>265</v>
      </c>
      <c r="B282" s="0" t="n">
        <v>273.94717280606</v>
      </c>
      <c r="C282" s="0" t="n">
        <v>281.269203743484</v>
      </c>
    </row>
    <row r="283" customFormat="false" ht="12" hidden="false" customHeight="false" outlineLevel="0" collapsed="false">
      <c r="A283" s="0" t="n">
        <v>266</v>
      </c>
      <c r="B283" s="0" t="n">
        <v>273.997011007407</v>
      </c>
      <c r="C283" s="0" t="n">
        <v>283.336941544778</v>
      </c>
    </row>
    <row r="284" customFormat="false" ht="12" hidden="false" customHeight="false" outlineLevel="0" collapsed="false">
      <c r="A284" s="0" t="n">
        <v>267</v>
      </c>
      <c r="B284" s="0" t="n">
        <v>274.161976303781</v>
      </c>
      <c r="C284" s="0" t="n">
        <v>284.20181369985</v>
      </c>
    </row>
    <row r="285" customFormat="false" ht="12" hidden="false" customHeight="false" outlineLevel="0" collapsed="false">
      <c r="A285" s="0" t="n">
        <v>268</v>
      </c>
      <c r="B285" s="0" t="n">
        <v>274.832381676026</v>
      </c>
      <c r="C285" s="0" t="n">
        <v>285.277331752824</v>
      </c>
    </row>
    <row r="286" customFormat="false" ht="12" hidden="false" customHeight="false" outlineLevel="0" collapsed="false">
      <c r="A286" s="0" t="n">
        <v>269</v>
      </c>
      <c r="B286" s="0" t="n">
        <v>275.413757041387</v>
      </c>
      <c r="C286" s="0" t="n">
        <v>287.06650500834</v>
      </c>
    </row>
    <row r="287" customFormat="false" ht="12" hidden="false" customHeight="false" outlineLevel="0" collapsed="false">
      <c r="A287" s="0" t="n">
        <v>270</v>
      </c>
      <c r="B287" s="0" t="n">
        <v>277.820765682131</v>
      </c>
      <c r="C287" s="0" t="n">
        <v>288.999708603595</v>
      </c>
    </row>
    <row r="288" customFormat="false" ht="12" hidden="false" customHeight="false" outlineLevel="0" collapsed="false">
      <c r="A288" s="0" t="n">
        <v>271</v>
      </c>
      <c r="B288" s="0" t="n">
        <v>278.625082472057</v>
      </c>
      <c r="C288" s="0" t="n">
        <v>290.980220115194</v>
      </c>
    </row>
    <row r="289" customFormat="false" ht="12" hidden="false" customHeight="false" outlineLevel="0" collapsed="false">
      <c r="A289" s="0" t="n">
        <v>272</v>
      </c>
      <c r="B289" s="0" t="n">
        <v>278.700698520524</v>
      </c>
      <c r="C289" s="0" t="n">
        <v>285.970286898581</v>
      </c>
    </row>
    <row r="290" customFormat="false" ht="12" hidden="false" customHeight="false" outlineLevel="0" collapsed="false">
      <c r="A290" s="0" t="n">
        <v>273</v>
      </c>
      <c r="B290" s="0" t="n">
        <v>280.452885940819</v>
      </c>
      <c r="C290" s="0" t="n">
        <v>287.727840873276</v>
      </c>
    </row>
    <row r="291" customFormat="false" ht="12" hidden="false" customHeight="false" outlineLevel="0" collapsed="false">
      <c r="A291" s="0" t="n">
        <v>274</v>
      </c>
      <c r="B291" s="0" t="n">
        <v>282.330002404932</v>
      </c>
      <c r="C291" s="0" t="n">
        <v>289.849968562947</v>
      </c>
    </row>
    <row r="292" customFormat="false" ht="12" hidden="false" customHeight="false" outlineLevel="0" collapsed="false">
      <c r="A292" s="0" t="n">
        <v>275</v>
      </c>
      <c r="B292" s="0" t="n">
        <v>283.984014970232</v>
      </c>
      <c r="C292" s="0" t="n">
        <v>293.179752448072</v>
      </c>
    </row>
    <row r="293" customFormat="false" ht="12" hidden="false" customHeight="false" outlineLevel="0" collapsed="false">
      <c r="A293" s="0" t="n">
        <v>276</v>
      </c>
      <c r="B293" s="0" t="n">
        <v>284.791666346628</v>
      </c>
      <c r="C293" s="0" t="n">
        <v>291.614267782675</v>
      </c>
    </row>
    <row r="294" customFormat="false" ht="12" hidden="false" customHeight="false" outlineLevel="0" collapsed="false">
      <c r="A294" s="0" t="n">
        <v>277</v>
      </c>
      <c r="B294" s="0" t="n">
        <v>285.233941200882</v>
      </c>
      <c r="C294" s="0" t="n">
        <v>293.820546262757</v>
      </c>
    </row>
    <row r="295" customFormat="false" ht="12" hidden="false" customHeight="false" outlineLevel="0" collapsed="false">
      <c r="A295" s="0" t="n">
        <v>278</v>
      </c>
      <c r="B295" s="0" t="n">
        <v>287.246348379236</v>
      </c>
      <c r="C295" s="0" t="n">
        <v>295.888003459333</v>
      </c>
    </row>
    <row r="296" customFormat="false" ht="12" hidden="false" customHeight="false" outlineLevel="0" collapsed="false">
      <c r="A296" s="0" t="n">
        <v>279</v>
      </c>
      <c r="B296" s="0" t="n">
        <v>287.744129055467</v>
      </c>
      <c r="C296" s="0" t="n">
        <v>295.076115146154</v>
      </c>
    </row>
    <row r="297" customFormat="false" ht="12" hidden="false" customHeight="false" outlineLevel="0" collapsed="false">
      <c r="A297" s="0" t="n">
        <v>280</v>
      </c>
      <c r="B297" s="0" t="n">
        <v>291.847881109046</v>
      </c>
      <c r="C297" s="0" t="n">
        <v>297.954346277957</v>
      </c>
    </row>
    <row r="298" customFormat="false" ht="12" hidden="false" customHeight="false" outlineLevel="0" collapsed="false">
      <c r="A298" s="0" t="n">
        <v>281</v>
      </c>
      <c r="B298" s="0" t="n">
        <v>292.436121380645</v>
      </c>
      <c r="C298" s="0" t="n">
        <v>297.203646890342</v>
      </c>
    </row>
    <row r="299" customFormat="false" ht="12" hidden="false" customHeight="false" outlineLevel="0" collapsed="false">
      <c r="A299" s="0" t="n">
        <v>282</v>
      </c>
      <c r="B299" s="0" t="n">
        <v>294.698770723804</v>
      </c>
      <c r="C299" s="0" t="n">
        <v>299.191497680612</v>
      </c>
    </row>
    <row r="300" customFormat="false" ht="12" hidden="false" customHeight="false" outlineLevel="0" collapsed="false">
      <c r="A300" s="0" t="n">
        <v>283</v>
      </c>
      <c r="B300" s="0" t="n">
        <v>294.998666345249</v>
      </c>
      <c r="C300" s="0" t="n">
        <v>300.199023723477</v>
      </c>
    </row>
    <row r="301" customFormat="false" ht="12" hidden="false" customHeight="false" outlineLevel="0" collapsed="false">
      <c r="A301" s="0" t="n">
        <v>284</v>
      </c>
      <c r="B301" s="0" t="n">
        <v>300.851877469734</v>
      </c>
      <c r="C301" s="0" t="n">
        <v>302.657941440211</v>
      </c>
    </row>
    <row r="302" customFormat="false" ht="12" hidden="false" customHeight="false" outlineLevel="0" collapsed="false">
      <c r="A302" s="0" t="n">
        <v>285</v>
      </c>
      <c r="B302" s="0" t="n">
        <v>301.457602388283</v>
      </c>
      <c r="C302" s="0" t="n">
        <v>303.260867874585</v>
      </c>
    </row>
    <row r="303" customFormat="false" ht="12" hidden="false" customHeight="false" outlineLevel="0" collapsed="false">
      <c r="A303" s="0" t="n">
        <v>286</v>
      </c>
      <c r="B303" s="0" t="n">
        <v>302.391097243976</v>
      </c>
      <c r="C303" s="0" t="n">
        <v>305.417730483381</v>
      </c>
    </row>
    <row r="304" customFormat="false" ht="12" hidden="false" customHeight="false" outlineLevel="0" collapsed="false">
      <c r="A304" s="0" t="n">
        <v>287</v>
      </c>
      <c r="B304" s="0" t="n">
        <v>302.803488966608</v>
      </c>
      <c r="C304" s="0" t="n">
        <v>305.02528691183</v>
      </c>
    </row>
    <row r="305" customFormat="false" ht="12" hidden="false" customHeight="false" outlineLevel="0" collapsed="false">
      <c r="A305" s="0" t="n">
        <v>288</v>
      </c>
      <c r="B305" s="0" t="n">
        <v>303.173281233629</v>
      </c>
      <c r="C305" s="0" t="n">
        <v>307.210287035332</v>
      </c>
    </row>
    <row r="306" customFormat="false" ht="12" hidden="false" customHeight="false" outlineLevel="0" collapsed="false">
      <c r="A306" s="0" t="n">
        <v>289</v>
      </c>
      <c r="B306" s="0" t="n">
        <v>303.406552812717</v>
      </c>
      <c r="C306" s="0" t="n">
        <v>307.048934345694</v>
      </c>
    </row>
    <row r="307" customFormat="false" ht="12" hidden="false" customHeight="false" outlineLevel="0" collapsed="false">
      <c r="A307" s="0" t="n">
        <v>290</v>
      </c>
      <c r="B307" s="0" t="n">
        <v>304.904637230029</v>
      </c>
      <c r="C307" s="0" t="n">
        <v>309.150646897738</v>
      </c>
    </row>
    <row r="308" customFormat="false" ht="12" hidden="false" customHeight="false" outlineLevel="0" collapsed="false">
      <c r="A308" s="0" t="n">
        <v>291</v>
      </c>
      <c r="B308" s="0" t="n">
        <v>306.323141662068</v>
      </c>
      <c r="C308" s="0" t="n">
        <v>310.906402559454</v>
      </c>
    </row>
    <row r="309" customFormat="false" ht="12" hidden="false" customHeight="false" outlineLevel="0" collapsed="false">
      <c r="A309" s="0" t="n">
        <v>292</v>
      </c>
      <c r="B309" s="0" t="n">
        <v>307.094910421923</v>
      </c>
      <c r="C309" s="0" t="n">
        <v>309.138082813062</v>
      </c>
    </row>
    <row r="310" customFormat="false" ht="12" hidden="false" customHeight="false" outlineLevel="0" collapsed="false">
      <c r="A310" s="0" t="n">
        <v>293</v>
      </c>
      <c r="B310" s="0" t="n">
        <v>308.38534025026</v>
      </c>
      <c r="C310" s="0" t="n">
        <v>311.20162582897</v>
      </c>
    </row>
    <row r="311" customFormat="false" ht="12" hidden="false" customHeight="false" outlineLevel="0" collapsed="false">
      <c r="A311" s="0" t="n">
        <v>294</v>
      </c>
      <c r="B311" s="0" t="n">
        <v>308.864540671755</v>
      </c>
      <c r="C311" s="0" t="n">
        <v>313.316345408563</v>
      </c>
    </row>
    <row r="312" customFormat="false" ht="12" hidden="false" customHeight="false" outlineLevel="0" collapsed="false">
      <c r="A312" s="0" t="n">
        <v>295</v>
      </c>
      <c r="B312" s="0" t="n">
        <v>310.121846885864</v>
      </c>
      <c r="C312" s="0" t="n">
        <v>313.012213059063</v>
      </c>
    </row>
    <row r="313" customFormat="false" ht="12" hidden="false" customHeight="false" outlineLevel="0" collapsed="false">
      <c r="A313" s="0" t="n">
        <v>296</v>
      </c>
      <c r="B313" s="0" t="n">
        <v>311.249471621808</v>
      </c>
      <c r="C313" s="0" t="n">
        <v>315.027058329125</v>
      </c>
    </row>
    <row r="314" customFormat="false" ht="12" hidden="false" customHeight="false" outlineLevel="0" collapsed="false">
      <c r="A314" s="0" t="n">
        <v>297</v>
      </c>
      <c r="B314" s="0" t="n">
        <v>311.567905896531</v>
      </c>
      <c r="C314" s="0" t="n">
        <v>315.249134846233</v>
      </c>
    </row>
    <row r="315" customFormat="false" ht="12" hidden="false" customHeight="false" outlineLevel="0" collapsed="false">
      <c r="A315" s="0" t="n">
        <v>298</v>
      </c>
      <c r="B315" s="0" t="n">
        <v>312.681651906657</v>
      </c>
      <c r="C315" s="0" t="n">
        <v>317.340070418895</v>
      </c>
    </row>
    <row r="316" customFormat="false" ht="12" hidden="false" customHeight="false" outlineLevel="0" collapsed="false">
      <c r="A316" s="0" t="n">
        <v>299</v>
      </c>
      <c r="B316" s="0" t="n">
        <v>312.782180190059</v>
      </c>
      <c r="C316" s="0" t="n">
        <v>317.215553025887</v>
      </c>
    </row>
    <row r="317" customFormat="false" ht="12" hidden="false" customHeight="false" outlineLevel="0" collapsed="false">
      <c r="A317" s="0" t="n">
        <v>300</v>
      </c>
      <c r="B317" s="0" t="n">
        <v>313.983950154404</v>
      </c>
      <c r="C317" s="0" t="n">
        <v>319.332681320319</v>
      </c>
    </row>
    <row r="318" customFormat="false" ht="12" hidden="false" customHeight="false" outlineLevel="0" collapsed="false">
      <c r="A318" s="0" t="n">
        <v>301</v>
      </c>
      <c r="B318" s="0" t="n">
        <v>316.234729768945</v>
      </c>
      <c r="C318" s="0" t="n">
        <v>321.234192175726</v>
      </c>
    </row>
    <row r="319" customFormat="false" ht="12" hidden="false" customHeight="false" outlineLevel="0" collapsed="false">
      <c r="A319" s="0" t="n">
        <v>302</v>
      </c>
      <c r="B319" s="0" t="n">
        <v>316.972192065912</v>
      </c>
      <c r="C319" s="0" t="n">
        <v>319.393243533898</v>
      </c>
    </row>
    <row r="320" customFormat="false" ht="12" hidden="false" customHeight="false" outlineLevel="0" collapsed="false">
      <c r="A320" s="0" t="n">
        <v>303</v>
      </c>
      <c r="B320" s="0" t="n">
        <v>319.126687448349</v>
      </c>
      <c r="C320" s="0" t="n">
        <v>321.400162206033</v>
      </c>
    </row>
    <row r="321" customFormat="false" ht="12" hidden="false" customHeight="false" outlineLevel="0" collapsed="false">
      <c r="A321" s="0" t="n">
        <v>304</v>
      </c>
      <c r="B321" s="0" t="n">
        <v>321.656125216114</v>
      </c>
      <c r="C321" s="0" t="n">
        <v>323.710110969045</v>
      </c>
    </row>
    <row r="322" customFormat="false" ht="12" hidden="false" customHeight="false" outlineLevel="0" collapsed="false">
      <c r="A322" s="0" t="n">
        <v>305</v>
      </c>
      <c r="B322" s="0" t="n">
        <v>322.367499919954</v>
      </c>
      <c r="C322" s="0" t="n">
        <v>324.396867372227</v>
      </c>
    </row>
    <row r="323" customFormat="false" ht="12" hidden="false" customHeight="false" outlineLevel="0" collapsed="false">
      <c r="A323" s="0" t="n">
        <v>306</v>
      </c>
      <c r="B323" s="0" t="n">
        <v>323.768750389176</v>
      </c>
      <c r="C323" s="0" t="n">
        <v>325.794117959835</v>
      </c>
    </row>
    <row r="324" customFormat="false" ht="12" hidden="false" customHeight="false" outlineLevel="0" collapsed="false">
      <c r="A324" s="0" t="n">
        <v>307</v>
      </c>
      <c r="B324" s="0" t="n">
        <v>324.350839158403</v>
      </c>
      <c r="C324" s="0" t="n">
        <v>327.937215748494</v>
      </c>
    </row>
    <row r="325" customFormat="false" ht="12" hidden="false" customHeight="false" outlineLevel="0" collapsed="false">
      <c r="A325" s="0" t="n">
        <v>308</v>
      </c>
      <c r="B325" s="0" t="n">
        <v>324.501219176545</v>
      </c>
      <c r="C325" s="0" t="n">
        <v>326.314528975378</v>
      </c>
    </row>
    <row r="326" customFormat="false" ht="12" hidden="false" customHeight="false" outlineLevel="0" collapsed="false">
      <c r="A326" s="0" t="n">
        <v>309</v>
      </c>
      <c r="B326" s="0" t="n">
        <v>324.859623170494</v>
      </c>
      <c r="C326" s="0" t="n">
        <v>328.427641023687</v>
      </c>
    </row>
    <row r="327" customFormat="false" ht="12" hidden="false" customHeight="false" outlineLevel="0" collapsed="false">
      <c r="A327" s="0" t="n">
        <v>310</v>
      </c>
      <c r="B327" s="0" t="n">
        <v>326.202794013028</v>
      </c>
      <c r="C327" s="0" t="n">
        <v>330.384897664693</v>
      </c>
    </row>
    <row r="328" customFormat="false" ht="12" hidden="false" customHeight="false" outlineLevel="0" collapsed="false">
      <c r="A328" s="0" t="n">
        <v>311</v>
      </c>
      <c r="B328" s="0" t="n">
        <v>327.69649826168</v>
      </c>
      <c r="C328" s="0" t="n">
        <v>332.199390385921</v>
      </c>
    </row>
    <row r="329" customFormat="false" ht="12" hidden="false" customHeight="false" outlineLevel="0" collapsed="false">
      <c r="A329" s="0" t="n">
        <v>312</v>
      </c>
      <c r="B329" s="0" t="n">
        <v>332.351542112295</v>
      </c>
      <c r="C329" s="0" t="n">
        <v>334.392747159747</v>
      </c>
    </row>
    <row r="330" customFormat="false" ht="12" hidden="false" customHeight="false" outlineLevel="0" collapsed="false">
      <c r="A330" s="0" t="n">
        <v>313</v>
      </c>
      <c r="B330" s="0" t="n">
        <v>332.838211532152</v>
      </c>
      <c r="C330" s="0" t="n">
        <v>334.766136434452</v>
      </c>
    </row>
    <row r="331" customFormat="false" ht="12" hidden="false" customHeight="false" outlineLevel="0" collapsed="false">
      <c r="A331" s="0" t="n">
        <v>314</v>
      </c>
      <c r="B331" s="0" t="n">
        <v>333.592863218447</v>
      </c>
      <c r="C331" s="0" t="n">
        <v>336.920590467195</v>
      </c>
    </row>
    <row r="332" customFormat="false" ht="12" hidden="false" customHeight="false" outlineLevel="0" collapsed="false">
      <c r="A332" s="0" t="n">
        <v>315</v>
      </c>
      <c r="B332" s="0" t="n">
        <v>334.768464028455</v>
      </c>
      <c r="C332" s="0" t="n">
        <v>338.863412451411</v>
      </c>
    </row>
    <row r="333" customFormat="false" ht="12" hidden="false" customHeight="false" outlineLevel="0" collapsed="false">
      <c r="A333" s="0" t="n">
        <v>316</v>
      </c>
      <c r="B333" s="0" t="n">
        <v>335.732237460602</v>
      </c>
      <c r="C333" s="0" t="n">
        <v>337.635398813658</v>
      </c>
    </row>
    <row r="334" customFormat="false" ht="12" hidden="false" customHeight="false" outlineLevel="0" collapsed="false">
      <c r="A334" s="0" t="n">
        <v>317</v>
      </c>
      <c r="B334" s="0" t="n">
        <v>335.874670186707</v>
      </c>
      <c r="C334" s="0" t="n">
        <v>339.501036532507</v>
      </c>
    </row>
    <row r="335" customFormat="false" ht="12" hidden="false" customHeight="false" outlineLevel="0" collapsed="false">
      <c r="A335" s="0" t="n">
        <v>318</v>
      </c>
      <c r="B335" s="0" t="n">
        <v>336.546631880351</v>
      </c>
      <c r="C335" s="0" t="n">
        <v>341.648157077016</v>
      </c>
    </row>
    <row r="336" customFormat="false" ht="12" hidden="false" customHeight="false" outlineLevel="0" collapsed="false">
      <c r="A336" s="0" t="n">
        <v>319</v>
      </c>
      <c r="B336" s="0" t="n">
        <v>337.312219962024</v>
      </c>
      <c r="C336" s="0" t="n">
        <v>340.957318422896</v>
      </c>
    </row>
    <row r="337" customFormat="false" ht="12" hidden="false" customHeight="false" outlineLevel="0" collapsed="false">
      <c r="A337" s="0" t="n">
        <v>320</v>
      </c>
      <c r="B337" s="0" t="n">
        <v>337.873801810244</v>
      </c>
      <c r="C337" s="0" t="n">
        <v>343.014232536863</v>
      </c>
    </row>
    <row r="338" customFormat="false" ht="12" hidden="false" customHeight="false" outlineLevel="0" collapsed="false">
      <c r="A338" s="0" t="n">
        <v>321</v>
      </c>
      <c r="B338" s="0" t="n">
        <v>337.90575005221</v>
      </c>
      <c r="C338" s="0" t="n">
        <v>343.492294942902</v>
      </c>
    </row>
    <row r="339" customFormat="false" ht="12" hidden="false" customHeight="false" outlineLevel="0" collapsed="false">
      <c r="A339" s="0" t="n">
        <v>322</v>
      </c>
      <c r="B339" s="0" t="n">
        <v>340.841268153581</v>
      </c>
      <c r="C339" s="0" t="n">
        <v>345.126563701264</v>
      </c>
    </row>
    <row r="340" customFormat="false" ht="12" hidden="false" customHeight="false" outlineLevel="0" collapsed="false">
      <c r="A340" s="0" t="n">
        <v>323</v>
      </c>
      <c r="B340" s="0" t="n">
        <v>345.198254483096</v>
      </c>
      <c r="C340" s="0" t="n">
        <v>347.234973662952</v>
      </c>
    </row>
    <row r="341" customFormat="false" ht="12" hidden="false" customHeight="false" outlineLevel="0" collapsed="false">
      <c r="A341" s="0" t="n">
        <v>324</v>
      </c>
      <c r="B341" s="0" t="n">
        <v>345.580820918203</v>
      </c>
      <c r="C341" s="0" t="n">
        <v>347.435023627805</v>
      </c>
    </row>
    <row r="342" customFormat="false" ht="12" hidden="false" customHeight="false" outlineLevel="0" collapsed="false">
      <c r="A342" s="0" t="n">
        <v>325</v>
      </c>
      <c r="B342" s="0" t="n">
        <v>345.769677778929</v>
      </c>
      <c r="C342" s="0" t="n">
        <v>349.634081702513</v>
      </c>
    </row>
    <row r="343" customFormat="false" ht="12" hidden="false" customHeight="false" outlineLevel="0" collapsed="false">
      <c r="A343" s="0" t="n">
        <v>326</v>
      </c>
      <c r="B343" s="0" t="n">
        <v>345.793121740648</v>
      </c>
      <c r="C343" s="0" t="n">
        <v>351.446901615258</v>
      </c>
    </row>
    <row r="344" customFormat="false" ht="12" hidden="false" customHeight="false" outlineLevel="0" collapsed="false">
      <c r="A344" s="0" t="n">
        <v>327</v>
      </c>
      <c r="B344" s="0" t="n">
        <v>348.332546686138</v>
      </c>
      <c r="C344" s="0" t="n">
        <v>350.363259377482</v>
      </c>
    </row>
    <row r="345" customFormat="false" ht="12" hidden="false" customHeight="false" outlineLevel="0" collapsed="false">
      <c r="A345" s="0" t="n">
        <v>328</v>
      </c>
      <c r="B345" s="0" t="n">
        <v>349.778977650233</v>
      </c>
      <c r="C345" s="0" t="n">
        <v>353.547978946743</v>
      </c>
    </row>
    <row r="346" customFormat="false" ht="12" hidden="false" customHeight="false" outlineLevel="0" collapsed="false">
      <c r="A346" s="0" t="n">
        <v>329</v>
      </c>
      <c r="B346" s="0" t="n">
        <v>350.716749153067</v>
      </c>
      <c r="C346" s="0" t="n">
        <v>352.5600513338</v>
      </c>
    </row>
    <row r="347" customFormat="false" ht="12" hidden="false" customHeight="false" outlineLevel="0" collapsed="false">
      <c r="A347" s="0" t="n">
        <v>330</v>
      </c>
      <c r="B347" s="0" t="n">
        <v>351.305260484602</v>
      </c>
      <c r="C347" s="0" t="n">
        <v>355.410133114641</v>
      </c>
    </row>
    <row r="348" customFormat="false" ht="12" hidden="false" customHeight="false" outlineLevel="0" collapsed="false">
      <c r="A348" s="0" t="n">
        <v>331</v>
      </c>
      <c r="B348" s="0" t="n">
        <v>352.010414093255</v>
      </c>
      <c r="C348" s="0" t="n">
        <v>354.785546750392</v>
      </c>
    </row>
    <row r="349" customFormat="false" ht="12" hidden="false" customHeight="false" outlineLevel="0" collapsed="false">
      <c r="A349" s="0" t="n">
        <v>332</v>
      </c>
      <c r="B349" s="0" t="n">
        <v>352.839980505228</v>
      </c>
      <c r="C349" s="0" t="n">
        <v>356.583231585228</v>
      </c>
    </row>
    <row r="350" customFormat="false" ht="12" hidden="false" customHeight="false" outlineLevel="0" collapsed="false">
      <c r="A350" s="0" t="n">
        <v>333</v>
      </c>
      <c r="B350" s="0" t="n">
        <v>353.597767320604</v>
      </c>
      <c r="C350" s="0" t="n">
        <v>357.454275329139</v>
      </c>
    </row>
    <row r="351" customFormat="false" ht="12" hidden="false" customHeight="false" outlineLevel="0" collapsed="false">
      <c r="A351" s="0" t="n">
        <v>334</v>
      </c>
      <c r="B351" s="0" t="n">
        <v>353.909109875906</v>
      </c>
      <c r="C351" s="0" t="n">
        <v>359.415220145871</v>
      </c>
    </row>
    <row r="352" customFormat="false" ht="12" hidden="false" customHeight="false" outlineLevel="0" collapsed="false">
      <c r="A352" s="0" t="n">
        <v>335</v>
      </c>
      <c r="B352" s="0" t="n">
        <v>354.235129346049</v>
      </c>
      <c r="C352" s="0" t="n">
        <v>361.625693162107</v>
      </c>
    </row>
    <row r="353" customFormat="false" ht="12" hidden="false" customHeight="false" outlineLevel="0" collapsed="false">
      <c r="A353" s="0" t="n">
        <v>336</v>
      </c>
      <c r="B353" s="0" t="n">
        <v>356.950164988018</v>
      </c>
      <c r="C353" s="0" t="n">
        <v>363.424203744807</v>
      </c>
    </row>
    <row r="354" customFormat="false" ht="12" hidden="false" customHeight="false" outlineLevel="0" collapsed="false">
      <c r="A354" s="0" t="n">
        <v>337</v>
      </c>
      <c r="B354" s="0" t="n">
        <v>359.037557116296</v>
      </c>
      <c r="C354" s="0" t="n">
        <v>361.090239051312</v>
      </c>
    </row>
    <row r="355" customFormat="false" ht="12" hidden="false" customHeight="false" outlineLevel="0" collapsed="false">
      <c r="A355" s="0" t="n">
        <v>338</v>
      </c>
      <c r="B355" s="0" t="n">
        <v>361.74038853618</v>
      </c>
      <c r="C355" s="0" t="n">
        <v>363.597294992763</v>
      </c>
    </row>
    <row r="356" customFormat="false" ht="12" hidden="false" customHeight="false" outlineLevel="0" collapsed="false">
      <c r="A356" s="0" t="n">
        <v>339</v>
      </c>
      <c r="B356" s="0" t="n">
        <v>362.54428027602</v>
      </c>
      <c r="C356" s="0" t="n">
        <v>365.73590234093</v>
      </c>
    </row>
    <row r="357" customFormat="false" ht="12" hidden="false" customHeight="false" outlineLevel="0" collapsed="false">
      <c r="A357" s="0" t="n">
        <v>340</v>
      </c>
      <c r="B357" s="0" t="n">
        <v>364.331157467482</v>
      </c>
      <c r="C357" s="0" t="n">
        <v>367.925357235881</v>
      </c>
    </row>
    <row r="358" customFormat="false" ht="12" hidden="false" customHeight="false" outlineLevel="0" collapsed="false">
      <c r="A358" s="0" t="n">
        <v>341</v>
      </c>
      <c r="B358" s="0" t="n">
        <v>365.012772778439</v>
      </c>
      <c r="C358" s="0" t="n">
        <v>367.178913632363</v>
      </c>
    </row>
    <row r="359" customFormat="false" ht="12" hidden="false" customHeight="false" outlineLevel="0" collapsed="false">
      <c r="A359" s="0" t="n">
        <v>342</v>
      </c>
      <c r="B359" s="0" t="n">
        <v>365.323216143638</v>
      </c>
      <c r="C359" s="0" t="n">
        <v>370.093960221639</v>
      </c>
    </row>
    <row r="360" customFormat="false" ht="12" hidden="false" customHeight="false" outlineLevel="0" collapsed="false">
      <c r="A360" s="0" t="n">
        <v>343</v>
      </c>
      <c r="B360" s="0" t="n">
        <v>365.767155066001</v>
      </c>
      <c r="C360" s="0" t="n">
        <v>368.948711767427</v>
      </c>
    </row>
    <row r="361" customFormat="false" ht="12" hidden="false" customHeight="false" outlineLevel="0" collapsed="false">
      <c r="A361" s="0" t="n">
        <v>344</v>
      </c>
      <c r="B361" s="0" t="n">
        <v>366.890306609875</v>
      </c>
      <c r="C361" s="0" t="n">
        <v>372.171120456177</v>
      </c>
    </row>
    <row r="362" customFormat="false" ht="12" hidden="false" customHeight="false" outlineLevel="0" collapsed="false">
      <c r="A362" s="0" t="n">
        <v>345</v>
      </c>
      <c r="B362" s="0" t="n">
        <v>367.428581899512</v>
      </c>
      <c r="C362" s="0" t="n">
        <v>374.305019441427</v>
      </c>
    </row>
    <row r="363" customFormat="false" ht="12" hidden="false" customHeight="false" outlineLevel="0" collapsed="false">
      <c r="A363" s="0" t="n">
        <v>346</v>
      </c>
      <c r="B363" s="0" t="n">
        <v>370.663272504458</v>
      </c>
      <c r="C363" s="0" t="n">
        <v>372.481816477242</v>
      </c>
    </row>
    <row r="364" customFormat="false" ht="12" hidden="false" customHeight="false" outlineLevel="0" collapsed="false">
      <c r="A364" s="0" t="n">
        <v>347</v>
      </c>
      <c r="B364" s="0" t="n">
        <v>370.679917353258</v>
      </c>
      <c r="C364" s="0" t="n">
        <v>374.35689748872</v>
      </c>
    </row>
    <row r="365" customFormat="false" ht="12" hidden="false" customHeight="false" outlineLevel="0" collapsed="false">
      <c r="A365" s="0" t="n">
        <v>348</v>
      </c>
      <c r="B365" s="0" t="n">
        <v>376.216434632381</v>
      </c>
      <c r="C365" s="0" t="n">
        <v>378.248433236784</v>
      </c>
    </row>
    <row r="366" customFormat="false" ht="12" hidden="false" customHeight="false" outlineLevel="0" collapsed="false">
      <c r="A366" s="0" t="n">
        <v>349</v>
      </c>
      <c r="B366" s="0" t="n">
        <v>380.841252835575</v>
      </c>
      <c r="C366" s="0" t="n">
        <v>383.037137314677</v>
      </c>
    </row>
    <row r="367" customFormat="false" ht="12" hidden="false" customHeight="false" outlineLevel="0" collapsed="false">
      <c r="A367" s="0" t="n">
        <v>350</v>
      </c>
      <c r="B367" s="0" t="n">
        <v>381.771426565772</v>
      </c>
      <c r="C367" s="0" t="n">
        <v>384.859862296789</v>
      </c>
    </row>
    <row r="368" customFormat="false" ht="12" hidden="false" customHeight="false" outlineLevel="0" collapsed="false">
      <c r="A368" s="0" t="n">
        <v>351</v>
      </c>
      <c r="B368" s="0" t="n">
        <v>382.159778612855</v>
      </c>
      <c r="C368" s="0" t="n">
        <v>384.245200191058</v>
      </c>
    </row>
    <row r="369" customFormat="false" ht="12" hidden="false" customHeight="false" outlineLevel="0" collapsed="false">
      <c r="A369" s="0" t="n">
        <v>352</v>
      </c>
      <c r="B369" s="0" t="n">
        <v>386.912582872238</v>
      </c>
      <c r="C369" s="0" t="n">
        <v>388.998886597675</v>
      </c>
    </row>
    <row r="370" customFormat="false" ht="12" hidden="false" customHeight="false" outlineLevel="0" collapsed="false">
      <c r="A370" s="0" t="n">
        <v>353</v>
      </c>
      <c r="B370" s="0" t="n">
        <v>387.460550907501</v>
      </c>
      <c r="C370" s="0" t="n">
        <v>389.548468279827</v>
      </c>
    </row>
    <row r="371" customFormat="false" ht="12" hidden="false" customHeight="false" outlineLevel="0" collapsed="false">
      <c r="A371" s="0" t="n">
        <v>354</v>
      </c>
      <c r="B371" s="0" t="n">
        <v>390.087819646095</v>
      </c>
      <c r="C371" s="0" t="n">
        <v>392.320704354057</v>
      </c>
    </row>
    <row r="372" customFormat="false" ht="12" hidden="false" customHeight="false" outlineLevel="0" collapsed="false">
      <c r="A372" s="0" t="n">
        <v>355</v>
      </c>
      <c r="B372" s="0" t="n">
        <v>391.037078946407</v>
      </c>
      <c r="C372" s="0" t="n">
        <v>392.964954804783</v>
      </c>
    </row>
    <row r="373" customFormat="false" ht="12" hidden="false" customHeight="false" outlineLevel="0" collapsed="false">
      <c r="A373" s="0" t="n">
        <v>356</v>
      </c>
      <c r="B373" s="0" t="n">
        <v>391.085536213812</v>
      </c>
      <c r="C373" s="0" t="n">
        <v>395.062113394952</v>
      </c>
    </row>
    <row r="374" customFormat="false" ht="12" hidden="false" customHeight="false" outlineLevel="0" collapsed="false">
      <c r="A374" s="0" t="n">
        <v>357</v>
      </c>
      <c r="B374" s="0" t="n">
        <v>391.784952259703</v>
      </c>
      <c r="C374" s="0" t="n">
        <v>397.285149789665</v>
      </c>
    </row>
    <row r="375" customFormat="false" ht="12" hidden="false" customHeight="false" outlineLevel="0" collapsed="false">
      <c r="A375" s="0" t="n">
        <v>358</v>
      </c>
      <c r="B375" s="0" t="n">
        <v>392.027378599428</v>
      </c>
      <c r="C375" s="0" t="n">
        <v>394.2683637388</v>
      </c>
    </row>
    <row r="376" customFormat="false" ht="12" hidden="false" customHeight="false" outlineLevel="0" collapsed="false">
      <c r="A376" s="0" t="n">
        <v>359</v>
      </c>
      <c r="B376" s="0" t="n">
        <v>394.032932167674</v>
      </c>
      <c r="C376" s="0" t="n">
        <v>396.370624058659</v>
      </c>
    </row>
    <row r="377" customFormat="false" ht="12" hidden="false" customHeight="false" outlineLevel="0" collapsed="false">
      <c r="A377" s="0" t="n">
        <v>360</v>
      </c>
      <c r="B377" s="0" t="n">
        <v>394.246508111388</v>
      </c>
      <c r="C377" s="0" t="n">
        <v>399.442613226598</v>
      </c>
    </row>
    <row r="378" customFormat="false" ht="12" hidden="false" customHeight="false" outlineLevel="0" collapsed="false">
      <c r="A378" s="0" t="n">
        <v>361</v>
      </c>
      <c r="B378" s="0" t="n">
        <v>394.526311659246</v>
      </c>
      <c r="C378" s="0" t="n">
        <v>398.601146678139</v>
      </c>
    </row>
    <row r="379" customFormat="false" ht="12" hidden="false" customHeight="false" outlineLevel="0" collapsed="false">
      <c r="A379" s="0" t="n">
        <v>362</v>
      </c>
      <c r="B379" s="0" t="n">
        <v>394.63260095966</v>
      </c>
      <c r="C379" s="0" t="n">
        <v>400.460835598335</v>
      </c>
    </row>
    <row r="380" customFormat="false" ht="12" hidden="false" customHeight="false" outlineLevel="0" collapsed="false">
      <c r="A380" s="0" t="n">
        <v>363</v>
      </c>
      <c r="B380" s="0" t="n">
        <v>395.250957857384</v>
      </c>
      <c r="C380" s="0" t="n">
        <v>401.614259107067</v>
      </c>
    </row>
    <row r="381" customFormat="false" ht="12" hidden="false" customHeight="false" outlineLevel="0" collapsed="false">
      <c r="A381" s="0" t="n">
        <v>364</v>
      </c>
      <c r="B381" s="0" t="n">
        <v>397.576041448201</v>
      </c>
      <c r="C381" s="0" t="n">
        <v>403.422761934549</v>
      </c>
    </row>
    <row r="382" customFormat="false" ht="12" hidden="false" customHeight="false" outlineLevel="0" collapsed="false">
      <c r="A382" s="0" t="n">
        <v>365</v>
      </c>
      <c r="B382" s="0" t="n">
        <v>400.830958061191</v>
      </c>
      <c r="C382" s="0" t="n">
        <v>402.586089104828</v>
      </c>
    </row>
    <row r="383" customFormat="false" ht="12" hidden="false" customHeight="false" outlineLevel="0" collapsed="false">
      <c r="A383" s="0" t="n">
        <v>366</v>
      </c>
      <c r="B383" s="0" t="n">
        <v>400.961226516524</v>
      </c>
      <c r="C383" s="0" t="n">
        <v>404.66823988035</v>
      </c>
    </row>
    <row r="384" customFormat="false" ht="12" hidden="false" customHeight="false" outlineLevel="0" collapsed="false">
      <c r="A384" s="0" t="n">
        <v>367</v>
      </c>
      <c r="B384" s="0" t="n">
        <v>401.053183522095</v>
      </c>
      <c r="C384" s="0" t="n">
        <v>405.434376985235</v>
      </c>
    </row>
    <row r="385" customFormat="false" ht="12" hidden="false" customHeight="false" outlineLevel="0" collapsed="false">
      <c r="A385" s="0" t="n">
        <v>368</v>
      </c>
      <c r="B385" s="0" t="n">
        <v>402.149123863275</v>
      </c>
      <c r="C385" s="0" t="n">
        <v>406.547554700045</v>
      </c>
    </row>
    <row r="386" customFormat="false" ht="12" hidden="false" customHeight="false" outlineLevel="0" collapsed="false">
      <c r="A386" s="0" t="n">
        <v>369</v>
      </c>
      <c r="B386" s="0" t="n">
        <v>402.630924417975</v>
      </c>
      <c r="C386" s="0" t="n">
        <v>407.279298918587</v>
      </c>
    </row>
    <row r="387" customFormat="false" ht="12" hidden="false" customHeight="false" outlineLevel="0" collapsed="false">
      <c r="A387" s="0" t="n">
        <v>370</v>
      </c>
      <c r="B387" s="0" t="n">
        <v>402.632535678779</v>
      </c>
      <c r="C387" s="0" t="n">
        <v>408.408130417592</v>
      </c>
    </row>
    <row r="388" customFormat="false" ht="12" hidden="false" customHeight="false" outlineLevel="0" collapsed="false">
      <c r="A388" s="0" t="n">
        <v>371</v>
      </c>
      <c r="B388" s="0" t="n">
        <v>405.451010398434</v>
      </c>
      <c r="C388" s="0" t="n">
        <v>409.1155712933</v>
      </c>
    </row>
    <row r="389" customFormat="false" ht="12" hidden="false" customHeight="false" outlineLevel="0" collapsed="false">
      <c r="A389" s="0" t="n">
        <v>372</v>
      </c>
      <c r="B389" s="0" t="n">
        <v>406.681951530149</v>
      </c>
      <c r="C389" s="0" t="n">
        <v>410.553855866308</v>
      </c>
    </row>
    <row r="390" customFormat="false" ht="12" hidden="false" customHeight="false" outlineLevel="0" collapsed="false">
      <c r="A390" s="0" t="n">
        <v>373</v>
      </c>
      <c r="B390" s="0" t="n">
        <v>407.80206938176</v>
      </c>
      <c r="C390" s="0" t="n">
        <v>411.017510081827</v>
      </c>
    </row>
    <row r="391" customFormat="false" ht="12" hidden="false" customHeight="false" outlineLevel="0" collapsed="false">
      <c r="A391" s="0" t="n">
        <v>374</v>
      </c>
      <c r="B391" s="0" t="n">
        <v>408.719505307035</v>
      </c>
      <c r="C391" s="0" t="n">
        <v>412.454525589624</v>
      </c>
    </row>
    <row r="392" customFormat="false" ht="12" hidden="false" customHeight="false" outlineLevel="0" collapsed="false">
      <c r="A392" s="0" t="n">
        <v>375</v>
      </c>
      <c r="B392" s="0" t="n">
        <v>410.555794249856</v>
      </c>
      <c r="C392" s="0" t="n">
        <v>414.68368366738</v>
      </c>
    </row>
    <row r="393" customFormat="false" ht="12" hidden="false" customHeight="false" outlineLevel="0" collapsed="false">
      <c r="A393" s="0" t="n">
        <v>376</v>
      </c>
      <c r="B393" s="0" t="n">
        <v>411.155468002098</v>
      </c>
      <c r="C393" s="0" t="n">
        <v>413.323449024255</v>
      </c>
    </row>
    <row r="394" customFormat="false" ht="12" hidden="false" customHeight="false" outlineLevel="0" collapsed="false">
      <c r="A394" s="0" t="n">
        <v>377</v>
      </c>
      <c r="B394" s="0" t="n">
        <v>411.422207159454</v>
      </c>
      <c r="C394" s="0" t="n">
        <v>415.443118484437</v>
      </c>
    </row>
    <row r="395" customFormat="false" ht="12" hidden="false" customHeight="false" outlineLevel="0" collapsed="false">
      <c r="A395" s="0" t="n">
        <v>378</v>
      </c>
      <c r="B395" s="0" t="n">
        <v>412.872381229034</v>
      </c>
      <c r="C395" s="0" t="n">
        <v>416.91576600569</v>
      </c>
    </row>
    <row r="396" customFormat="false" ht="12" hidden="false" customHeight="false" outlineLevel="0" collapsed="false">
      <c r="A396" s="0" t="n">
        <v>379</v>
      </c>
      <c r="B396" s="0" t="n">
        <v>413.573617322835</v>
      </c>
      <c r="C396" s="0" t="n">
        <v>417.516232891479</v>
      </c>
    </row>
    <row r="397" customFormat="false" ht="12" hidden="false" customHeight="false" outlineLevel="0" collapsed="false">
      <c r="A397" s="0" t="n">
        <v>380</v>
      </c>
      <c r="B397" s="0" t="n">
        <v>414.158113316665</v>
      </c>
      <c r="C397" s="0" t="n">
        <v>418.823550444544</v>
      </c>
    </row>
    <row r="398" customFormat="false" ht="12" hidden="false" customHeight="false" outlineLevel="0" collapsed="false">
      <c r="A398" s="0" t="n">
        <v>381</v>
      </c>
      <c r="B398" s="0" t="n">
        <v>415.452667254702</v>
      </c>
      <c r="C398" s="0" t="n">
        <v>419.39267815804</v>
      </c>
    </row>
    <row r="399" customFormat="false" ht="12" hidden="false" customHeight="false" outlineLevel="0" collapsed="false">
      <c r="A399" s="0" t="n">
        <v>382</v>
      </c>
      <c r="B399" s="0" t="n">
        <v>415.951029754892</v>
      </c>
      <c r="C399" s="0" t="n">
        <v>421.044621986644</v>
      </c>
    </row>
    <row r="400" customFormat="false" ht="12" hidden="false" customHeight="false" outlineLevel="0" collapsed="false">
      <c r="A400" s="0" t="n">
        <v>383</v>
      </c>
      <c r="B400" s="0" t="n">
        <v>418.881759231258</v>
      </c>
      <c r="C400" s="0" t="n">
        <v>423.072500642504</v>
      </c>
    </row>
    <row r="401" customFormat="false" ht="12" hidden="false" customHeight="false" outlineLevel="0" collapsed="false">
      <c r="A401" s="0" t="n">
        <v>384</v>
      </c>
      <c r="B401" s="0" t="n">
        <v>422.893122281243</v>
      </c>
      <c r="C401" s="0" t="n">
        <v>424.930457690309</v>
      </c>
    </row>
    <row r="402" customFormat="false" ht="12" hidden="false" customHeight="false" outlineLevel="0" collapsed="false">
      <c r="A402" s="0" t="n">
        <v>385</v>
      </c>
      <c r="B402" s="0" t="n">
        <v>423.314950668317</v>
      </c>
      <c r="C402" s="0" t="n">
        <v>425.181510927283</v>
      </c>
    </row>
    <row r="403" customFormat="false" ht="12" hidden="false" customHeight="false" outlineLevel="0" collapsed="false">
      <c r="A403" s="0" t="n">
        <v>386</v>
      </c>
      <c r="B403" s="0" t="n">
        <v>423.351702756791</v>
      </c>
      <c r="C403" s="0" t="n">
        <v>427.333237937234</v>
      </c>
    </row>
    <row r="404" customFormat="false" ht="12" hidden="false" customHeight="false" outlineLevel="0" collapsed="false">
      <c r="A404" s="0" t="n">
        <v>387</v>
      </c>
      <c r="B404" s="0" t="n">
        <v>423.444462555493</v>
      </c>
      <c r="C404" s="0" t="n">
        <v>426.85399495721</v>
      </c>
    </row>
    <row r="405" customFormat="false" ht="12" hidden="false" customHeight="false" outlineLevel="0" collapsed="false">
      <c r="A405" s="0" t="n">
        <v>388</v>
      </c>
      <c r="B405" s="0" t="n">
        <v>423.786094028374</v>
      </c>
      <c r="C405" s="0" t="n">
        <v>429.284922077646</v>
      </c>
    </row>
    <row r="406" customFormat="false" ht="12" hidden="false" customHeight="false" outlineLevel="0" collapsed="false">
      <c r="A406" s="0" t="n">
        <v>389</v>
      </c>
      <c r="B406" s="0" t="n">
        <v>425.048126708647</v>
      </c>
      <c r="C406" s="0" t="n">
        <v>431.417520882579</v>
      </c>
    </row>
    <row r="407" customFormat="false" ht="12" hidden="false" customHeight="false" outlineLevel="0" collapsed="false">
      <c r="A407" s="0" t="n">
        <v>390</v>
      </c>
      <c r="B407" s="0" t="n">
        <v>425.156219319012</v>
      </c>
      <c r="C407" s="0" t="n">
        <v>428.877844119029</v>
      </c>
    </row>
    <row r="408" customFormat="false" ht="12" hidden="false" customHeight="false" outlineLevel="0" collapsed="false">
      <c r="A408" s="0" t="n">
        <v>391</v>
      </c>
      <c r="B408" s="0" t="n">
        <v>425.300464658965</v>
      </c>
      <c r="C408" s="0" t="n">
        <v>430.809176579531</v>
      </c>
    </row>
    <row r="409" customFormat="false" ht="12" hidden="false" customHeight="false" outlineLevel="0" collapsed="false">
      <c r="A409" s="0" t="n">
        <v>392</v>
      </c>
      <c r="B409" s="0" t="n">
        <v>426.484431087431</v>
      </c>
      <c r="C409" s="0" t="n">
        <v>433.427806982312</v>
      </c>
    </row>
    <row r="410" customFormat="false" ht="12" hidden="false" customHeight="false" outlineLevel="0" collapsed="false">
      <c r="A410" s="0" t="n">
        <v>393</v>
      </c>
      <c r="B410" s="0" t="n">
        <v>428.113074172625</v>
      </c>
      <c r="C410" s="0" t="n">
        <v>433.019094583548</v>
      </c>
    </row>
    <row r="411" customFormat="false" ht="12" hidden="false" customHeight="false" outlineLevel="0" collapsed="false">
      <c r="A411" s="0" t="n">
        <v>394</v>
      </c>
      <c r="B411" s="0" t="n">
        <v>428.374429907722</v>
      </c>
      <c r="C411" s="0" t="n">
        <v>435.226905353448</v>
      </c>
    </row>
    <row r="412" customFormat="false" ht="12" hidden="false" customHeight="false" outlineLevel="0" collapsed="false">
      <c r="A412" s="0" t="n">
        <v>395</v>
      </c>
      <c r="B412" s="0" t="n">
        <v>428.893674613661</v>
      </c>
      <c r="C412" s="0" t="n">
        <v>435.257163078412</v>
      </c>
    </row>
    <row r="413" customFormat="false" ht="12" hidden="false" customHeight="false" outlineLevel="0" collapsed="false">
      <c r="A413" s="0" t="n">
        <v>396</v>
      </c>
      <c r="B413" s="0" t="n">
        <v>429.045639680062</v>
      </c>
      <c r="C413" s="0" t="n">
        <v>437.025703981487</v>
      </c>
    </row>
    <row r="414" customFormat="false" ht="12" hidden="false" customHeight="false" outlineLevel="0" collapsed="false">
      <c r="A414" s="0" t="n">
        <v>397</v>
      </c>
      <c r="B414" s="0" t="n">
        <v>429.150372535511</v>
      </c>
      <c r="C414" s="0" t="n">
        <v>439.140334729775</v>
      </c>
    </row>
    <row r="415" customFormat="false" ht="12" hidden="false" customHeight="false" outlineLevel="0" collapsed="false">
      <c r="A415" s="0" t="n">
        <v>398</v>
      </c>
      <c r="B415" s="0" t="n">
        <v>429.188513342952</v>
      </c>
      <c r="C415" s="0" t="n">
        <v>437.139289431755</v>
      </c>
    </row>
    <row r="416" customFormat="false" ht="12" hidden="false" customHeight="false" outlineLevel="0" collapsed="false">
      <c r="A416" s="0" t="n">
        <v>399</v>
      </c>
      <c r="B416" s="0" t="n">
        <v>430.098300270077</v>
      </c>
      <c r="C416" s="0" t="n">
        <v>439.365751852369</v>
      </c>
    </row>
    <row r="417" customFormat="false" ht="12" hidden="false" customHeight="false" outlineLevel="0" collapsed="false">
      <c r="A417" s="0" t="n">
        <v>400</v>
      </c>
      <c r="B417" s="0" t="n">
        <v>430.720960259935</v>
      </c>
      <c r="C417" s="0" t="n">
        <v>440.979298176899</v>
      </c>
    </row>
    <row r="418" customFormat="false" ht="12" hidden="false" customHeight="false" outlineLevel="0" collapsed="false">
      <c r="A418" s="0" t="n">
        <v>401</v>
      </c>
      <c r="B418" s="0" t="n">
        <v>434.100905907474</v>
      </c>
      <c r="C418" s="0" t="n">
        <v>443.027159893342</v>
      </c>
    </row>
    <row r="419" customFormat="false" ht="12" hidden="false" customHeight="false" outlineLevel="0" collapsed="false">
      <c r="A419" s="0" t="n">
        <v>402</v>
      </c>
      <c r="B419" s="0" t="n">
        <v>434.376693064481</v>
      </c>
      <c r="C419" s="0" t="n">
        <v>445.175564751754</v>
      </c>
    </row>
    <row r="420" customFormat="false" ht="12" hidden="false" customHeight="false" outlineLevel="0" collapsed="false">
      <c r="A420" s="0" t="n">
        <v>403</v>
      </c>
      <c r="B420" s="0" t="n">
        <v>439.486030633998</v>
      </c>
      <c r="C420" s="0" t="n">
        <v>447.421577226889</v>
      </c>
    </row>
    <row r="421" customFormat="false" ht="12" hidden="false" customHeight="false" outlineLevel="0" collapsed="false">
      <c r="A421" s="0" t="n">
        <v>404</v>
      </c>
      <c r="B421" s="0" t="n">
        <v>440.316530638415</v>
      </c>
      <c r="C421" s="0" t="n">
        <v>442.181188863412</v>
      </c>
    </row>
    <row r="422" customFormat="false" ht="12" hidden="false" customHeight="false" outlineLevel="0" collapsed="false">
      <c r="A422" s="0" t="n">
        <v>405</v>
      </c>
      <c r="B422" s="0" t="n">
        <v>440.512203804903</v>
      </c>
      <c r="C422" s="0" t="n">
        <v>444.129182990488</v>
      </c>
    </row>
    <row r="423" customFormat="false" ht="12" hidden="false" customHeight="false" outlineLevel="0" collapsed="false">
      <c r="A423" s="0" t="n">
        <v>406</v>
      </c>
      <c r="B423" s="0" t="n">
        <v>440.625937684924</v>
      </c>
      <c r="C423" s="0" t="n">
        <v>446.361441953725</v>
      </c>
    </row>
    <row r="424" customFormat="false" ht="12" hidden="false" customHeight="false" outlineLevel="0" collapsed="false">
      <c r="A424" s="0" t="n">
        <v>407</v>
      </c>
      <c r="B424" s="0" t="n">
        <v>440.648497975379</v>
      </c>
      <c r="C424" s="0" t="n">
        <v>448.208112124827</v>
      </c>
    </row>
    <row r="425" customFormat="false" ht="12" hidden="false" customHeight="false" outlineLevel="0" collapsed="false">
      <c r="A425" s="0" t="n">
        <v>408</v>
      </c>
      <c r="B425" s="0" t="n">
        <v>442.136556513073</v>
      </c>
      <c r="C425" s="0" t="n">
        <v>450.30734225764</v>
      </c>
    </row>
    <row r="426" customFormat="false" ht="12" hidden="false" customHeight="false" outlineLevel="0" collapsed="false">
      <c r="A426" s="0" t="n">
        <v>409</v>
      </c>
      <c r="B426" s="0" t="n">
        <v>442.186435281446</v>
      </c>
      <c r="C426" s="0" t="n">
        <v>449.18948696381</v>
      </c>
    </row>
    <row r="427" customFormat="false" ht="12" hidden="false" customHeight="false" outlineLevel="0" collapsed="false">
      <c r="A427" s="0" t="n">
        <v>410</v>
      </c>
      <c r="B427" s="0" t="n">
        <v>442.381617227627</v>
      </c>
      <c r="C427" s="0" t="n">
        <v>451.023849304685</v>
      </c>
    </row>
    <row r="428" customFormat="false" ht="12" hidden="false" customHeight="false" outlineLevel="0" collapsed="false">
      <c r="A428" s="0" t="n">
        <v>411</v>
      </c>
      <c r="B428" s="0" t="n">
        <v>445.870734899968</v>
      </c>
      <c r="C428" s="0" t="n">
        <v>452.212726705737</v>
      </c>
    </row>
    <row r="429" customFormat="false" ht="12" hidden="false" customHeight="false" outlineLevel="0" collapsed="false">
      <c r="A429" s="0" t="n">
        <v>412</v>
      </c>
      <c r="B429" s="0" t="n">
        <v>447.803297904232</v>
      </c>
      <c r="C429" s="0" t="n">
        <v>454.244105238495</v>
      </c>
    </row>
    <row r="430" customFormat="false" ht="12" hidden="false" customHeight="false" outlineLevel="0" collapsed="false">
      <c r="A430" s="0" t="n">
        <v>413</v>
      </c>
      <c r="B430" s="0" t="n">
        <v>450.636943021944</v>
      </c>
      <c r="C430" s="0" t="n">
        <v>456.092622039101</v>
      </c>
    </row>
    <row r="431" customFormat="false" ht="12" hidden="false" customHeight="false" outlineLevel="0" collapsed="false">
      <c r="A431" s="0" t="n">
        <v>414</v>
      </c>
      <c r="B431" s="0" t="n">
        <v>454.071392601785</v>
      </c>
      <c r="C431" s="0" t="n">
        <v>456.29749564864</v>
      </c>
    </row>
    <row r="432" customFormat="false" ht="12" hidden="false" customHeight="false" outlineLevel="0" collapsed="false">
      <c r="A432" s="0" t="n">
        <v>415</v>
      </c>
      <c r="B432" s="0" t="n">
        <v>454.547332566067</v>
      </c>
      <c r="C432" s="0" t="n">
        <v>458.525627983609</v>
      </c>
    </row>
    <row r="433" customFormat="false" ht="12" hidden="false" customHeight="false" outlineLevel="0" collapsed="false">
      <c r="A433" s="0" t="n">
        <v>416</v>
      </c>
      <c r="B433" s="0" t="n">
        <v>454.972144386518</v>
      </c>
      <c r="C433" s="0" t="n">
        <v>460.741274175185</v>
      </c>
    </row>
    <row r="434" customFormat="false" ht="12" hidden="false" customHeight="false" outlineLevel="0" collapsed="false">
      <c r="A434" s="0" t="n">
        <v>417</v>
      </c>
      <c r="B434" s="0" t="n">
        <v>455.703656800525</v>
      </c>
      <c r="C434" s="0" t="n">
        <v>458.305482545739</v>
      </c>
    </row>
    <row r="435" customFormat="false" ht="12" hidden="false" customHeight="false" outlineLevel="0" collapsed="false">
      <c r="A435" s="0" t="n">
        <v>418</v>
      </c>
      <c r="B435" s="0" t="n">
        <v>456.440768710104</v>
      </c>
      <c r="C435" s="0" t="n">
        <v>462.507935714814</v>
      </c>
    </row>
    <row r="436" customFormat="false" ht="12" hidden="false" customHeight="false" outlineLevel="0" collapsed="false">
      <c r="A436" s="0" t="n">
        <v>419</v>
      </c>
      <c r="B436" s="0" t="n">
        <v>460.816013094201</v>
      </c>
      <c r="C436" s="0" t="n">
        <v>462.812314869268</v>
      </c>
    </row>
    <row r="437" customFormat="false" ht="12" hidden="false" customHeight="false" outlineLevel="0" collapsed="false">
      <c r="A437" s="0" t="n">
        <v>420</v>
      </c>
      <c r="B437" s="0" t="n">
        <v>463.945610941074</v>
      </c>
      <c r="C437" s="0" t="n">
        <v>465.85621686514</v>
      </c>
    </row>
    <row r="438" customFormat="false" ht="12" hidden="false" customHeight="false" outlineLevel="0" collapsed="false">
      <c r="A438" s="0" t="n">
        <v>421</v>
      </c>
      <c r="B438" s="0" t="n">
        <v>465.047091737719</v>
      </c>
      <c r="C438" s="0" t="n">
        <v>467.241626527149</v>
      </c>
    </row>
    <row r="439" customFormat="false" ht="12" hidden="false" customHeight="false" outlineLevel="0" collapsed="false">
      <c r="A439" s="0" t="n">
        <v>422</v>
      </c>
      <c r="B439" s="0" t="n">
        <v>465.047555106636</v>
      </c>
      <c r="C439" s="0" t="n">
        <v>469.359555955005</v>
      </c>
    </row>
    <row r="440" customFormat="false" ht="12" hidden="false" customHeight="false" outlineLevel="0" collapsed="false">
      <c r="A440" s="0" t="n">
        <v>423</v>
      </c>
      <c r="B440" s="0" t="n">
        <v>465.763759527756</v>
      </c>
      <c r="C440" s="0" t="n">
        <v>468.026477825479</v>
      </c>
    </row>
    <row r="441" customFormat="false" ht="12" hidden="false" customHeight="false" outlineLevel="0" collapsed="false">
      <c r="A441" s="0" t="n">
        <v>424</v>
      </c>
      <c r="B441" s="0" t="n">
        <v>467.597879808745</v>
      </c>
      <c r="C441" s="0" t="n">
        <v>471.361910737107</v>
      </c>
    </row>
    <row r="442" customFormat="false" ht="12" hidden="false" customHeight="false" outlineLevel="0" collapsed="false">
      <c r="A442" s="0" t="n">
        <v>425</v>
      </c>
      <c r="B442" s="0" t="n">
        <v>467.969873365508</v>
      </c>
      <c r="C442" s="0" t="n">
        <v>470.214115432484</v>
      </c>
    </row>
    <row r="443" customFormat="false" ht="12" hidden="false" customHeight="false" outlineLevel="0" collapsed="false">
      <c r="A443" s="0" t="n">
        <v>426</v>
      </c>
      <c r="B443" s="0" t="n">
        <v>469.500791716901</v>
      </c>
      <c r="C443" s="0" t="n">
        <v>472.073512489267</v>
      </c>
    </row>
    <row r="444" customFormat="false" ht="12" hidden="false" customHeight="false" outlineLevel="0" collapsed="false">
      <c r="A444" s="0" t="n">
        <v>427</v>
      </c>
      <c r="B444" s="0" t="n">
        <v>472.811200556392</v>
      </c>
      <c r="C444" s="0" t="n">
        <v>474.668058035872</v>
      </c>
    </row>
    <row r="445" customFormat="false" ht="12" hidden="false" customHeight="false" outlineLevel="0" collapsed="false">
      <c r="A445" s="0" t="n">
        <v>428</v>
      </c>
      <c r="B445" s="0" t="n">
        <v>473.217520121322</v>
      </c>
      <c r="C445" s="0" t="n">
        <v>475.466051170645</v>
      </c>
    </row>
    <row r="446" customFormat="false" ht="12" hidden="false" customHeight="false" outlineLevel="0" collapsed="false">
      <c r="A446" s="0" t="n">
        <v>429</v>
      </c>
      <c r="B446" s="0" t="n">
        <v>473.691264905053</v>
      </c>
      <c r="C446" s="0" t="n">
        <v>477.539808898983</v>
      </c>
    </row>
    <row r="447" customFormat="false" ht="12" hidden="false" customHeight="false" outlineLevel="0" collapsed="false">
      <c r="A447" s="0" t="n">
        <v>430</v>
      </c>
      <c r="B447" s="0" t="n">
        <v>474.6070766305</v>
      </c>
      <c r="C447" s="0" t="n">
        <v>476.887513578875</v>
      </c>
    </row>
    <row r="448" customFormat="false" ht="12" hidden="false" customHeight="false" outlineLevel="0" collapsed="false">
      <c r="A448" s="0" t="n">
        <v>431</v>
      </c>
      <c r="B448" s="0" t="n">
        <v>478.326808892109</v>
      </c>
      <c r="C448" s="0" t="n">
        <v>480.45621706662</v>
      </c>
    </row>
    <row r="449" customFormat="false" ht="12" hidden="false" customHeight="false" outlineLevel="0" collapsed="false">
      <c r="A449" s="0" t="n">
        <v>432</v>
      </c>
      <c r="B449" s="0" t="n">
        <v>478.715220871204</v>
      </c>
      <c r="C449" s="0" t="n">
        <v>480.823372455029</v>
      </c>
    </row>
    <row r="450" customFormat="false" ht="12" hidden="false" customHeight="false" outlineLevel="0" collapsed="false">
      <c r="A450" s="0" t="n">
        <v>433</v>
      </c>
      <c r="B450" s="0" t="n">
        <v>480.128649799547</v>
      </c>
      <c r="C450" s="0" t="n">
        <v>482.51668458169</v>
      </c>
    </row>
    <row r="451" customFormat="false" ht="12" hidden="false" customHeight="false" outlineLevel="0" collapsed="false">
      <c r="A451" s="0" t="n">
        <v>434</v>
      </c>
      <c r="B451" s="0" t="n">
        <v>480.192452038904</v>
      </c>
      <c r="C451" s="0" t="n">
        <v>483.055350719461</v>
      </c>
    </row>
    <row r="452" customFormat="false" ht="12" hidden="false" customHeight="false" outlineLevel="0" collapsed="false">
      <c r="A452" s="0" t="n">
        <v>435</v>
      </c>
      <c r="B452" s="0" t="n">
        <v>480.663516139202</v>
      </c>
      <c r="C452" s="0" t="n">
        <v>484.613017201815</v>
      </c>
    </row>
    <row r="453" customFormat="false" ht="12" hidden="false" customHeight="false" outlineLevel="0" collapsed="false">
      <c r="A453" s="0" t="n">
        <v>436</v>
      </c>
      <c r="B453" s="0" t="n">
        <v>481.937960515271</v>
      </c>
      <c r="C453" s="0" t="n">
        <v>484.956507087015</v>
      </c>
    </row>
    <row r="454" customFormat="false" ht="12" hidden="false" customHeight="false" outlineLevel="0" collapsed="false">
      <c r="A454" s="0" t="n">
        <v>437</v>
      </c>
      <c r="B454" s="0" t="n">
        <v>482.1654666797</v>
      </c>
      <c r="C454" s="0" t="n">
        <v>486.585987041186</v>
      </c>
    </row>
    <row r="455" customFormat="false" ht="12" hidden="false" customHeight="false" outlineLevel="0" collapsed="false">
      <c r="A455" s="0" t="n">
        <v>438</v>
      </c>
      <c r="B455" s="0" t="n">
        <v>482.376453921592</v>
      </c>
      <c r="C455" s="0" t="n">
        <v>486.861942998261</v>
      </c>
    </row>
    <row r="456" customFormat="false" ht="12" hidden="false" customHeight="false" outlineLevel="0" collapsed="false">
      <c r="A456" s="0" t="n">
        <v>439</v>
      </c>
      <c r="B456" s="0" t="n">
        <v>483.187015377545</v>
      </c>
      <c r="C456" s="0" t="n">
        <v>488.762054294095</v>
      </c>
    </row>
    <row r="457" customFormat="false" ht="12" hidden="false" customHeight="false" outlineLevel="0" collapsed="false">
      <c r="A457" s="0" t="n">
        <v>440</v>
      </c>
      <c r="B457" s="0" t="n">
        <v>485.086795680035</v>
      </c>
      <c r="C457" s="0" t="n">
        <v>488.758577055599</v>
      </c>
    </row>
    <row r="458" customFormat="false" ht="12" hidden="false" customHeight="false" outlineLevel="0" collapsed="false">
      <c r="A458" s="0" t="n">
        <v>441</v>
      </c>
      <c r="B458" s="0" t="n">
        <v>485.14461666471</v>
      </c>
      <c r="C458" s="0" t="n">
        <v>490.514016804491</v>
      </c>
    </row>
    <row r="459" customFormat="false" ht="12" hidden="false" customHeight="false" outlineLevel="0" collapsed="false">
      <c r="A459" s="0" t="n">
        <v>442</v>
      </c>
      <c r="B459" s="0" t="n">
        <v>493.417487139757</v>
      </c>
      <c r="C459" s="0" t="n">
        <v>495.33985922504</v>
      </c>
    </row>
    <row r="460" customFormat="false" ht="12" hidden="false" customHeight="false" outlineLevel="0" collapsed="false">
      <c r="A460" s="0" t="n">
        <v>443</v>
      </c>
      <c r="B460" s="0" t="n">
        <v>497.644197677862</v>
      </c>
      <c r="C460" s="0" t="n">
        <v>499.794644585067</v>
      </c>
    </row>
    <row r="461" customFormat="false" ht="12" hidden="false" customHeight="false" outlineLevel="0" collapsed="false">
      <c r="A461" s="0" t="n">
        <v>444</v>
      </c>
      <c r="B461" s="0" t="n">
        <v>497.796556001305</v>
      </c>
      <c r="C461" s="0" t="n">
        <v>501.678377274151</v>
      </c>
    </row>
    <row r="462" customFormat="false" ht="12" hidden="false" customHeight="false" outlineLevel="0" collapsed="false">
      <c r="A462" s="0" t="n">
        <v>445</v>
      </c>
      <c r="B462" s="0" t="n">
        <v>502.51470590082</v>
      </c>
      <c r="C462" s="0" t="n">
        <v>504.673233831043</v>
      </c>
    </row>
    <row r="463" customFormat="false" ht="12" hidden="false" customHeight="false" outlineLevel="0" collapsed="false">
      <c r="A463" s="0" t="n">
        <v>446</v>
      </c>
      <c r="B463" s="0" t="n">
        <v>505.874537212797</v>
      </c>
      <c r="C463" s="0" t="n">
        <v>508.073522993186</v>
      </c>
    </row>
    <row r="464" customFormat="false" ht="12" hidden="false" customHeight="false" outlineLevel="0" collapsed="false">
      <c r="A464" s="0" t="n">
        <v>447</v>
      </c>
      <c r="B464" s="0" t="n">
        <v>506.67139414309</v>
      </c>
      <c r="C464" s="0" t="n">
        <v>508.85711068837</v>
      </c>
    </row>
    <row r="465" customFormat="false" ht="12" hidden="false" customHeight="false" outlineLevel="0" collapsed="false">
      <c r="A465" s="0" t="n">
        <v>448</v>
      </c>
      <c r="B465" s="0" t="n">
        <v>507.509974878266</v>
      </c>
      <c r="C465" s="0" t="n">
        <v>510.26294497196</v>
      </c>
    </row>
    <row r="466" customFormat="false" ht="12" hidden="false" customHeight="false" outlineLevel="0" collapsed="false">
      <c r="A466" s="0" t="n">
        <v>449</v>
      </c>
      <c r="B466" s="0" t="n">
        <v>507.86390599146</v>
      </c>
      <c r="C466" s="0" t="n">
        <v>510.824780049971</v>
      </c>
    </row>
    <row r="467" customFormat="false" ht="12" hidden="false" customHeight="false" outlineLevel="0" collapsed="false">
      <c r="A467" s="0" t="n">
        <v>450</v>
      </c>
      <c r="B467" s="0" t="n">
        <v>507.879212534805</v>
      </c>
      <c r="C467" s="0" t="n">
        <v>512.081508637169</v>
      </c>
    </row>
    <row r="468" customFormat="false" ht="12" hidden="false" customHeight="false" outlineLevel="0" collapsed="false">
      <c r="A468" s="0" t="n">
        <v>451</v>
      </c>
      <c r="B468" s="0" t="n">
        <v>507.900440723319</v>
      </c>
      <c r="C468" s="0" t="n">
        <v>512.939895695518</v>
      </c>
    </row>
    <row r="469" customFormat="false" ht="12" hidden="false" customHeight="false" outlineLevel="0" collapsed="false">
      <c r="A469" s="0" t="n">
        <v>452</v>
      </c>
      <c r="B469" s="0" t="n">
        <v>508.530723725249</v>
      </c>
      <c r="C469" s="0" t="n">
        <v>513.849028139937</v>
      </c>
    </row>
    <row r="470" customFormat="false" ht="12" hidden="false" customHeight="false" outlineLevel="0" collapsed="false">
      <c r="A470" s="0" t="n">
        <v>453</v>
      </c>
      <c r="B470" s="0" t="n">
        <v>508.728877366632</v>
      </c>
      <c r="C470" s="0" t="n">
        <v>514.78693591447</v>
      </c>
    </row>
    <row r="471" customFormat="false" ht="12" hidden="false" customHeight="false" outlineLevel="0" collapsed="false">
      <c r="A471" s="0" t="n">
        <v>454</v>
      </c>
      <c r="B471" s="0" t="n">
        <v>509.554387189908</v>
      </c>
      <c r="C471" s="0" t="n">
        <v>516.674368475782</v>
      </c>
    </row>
    <row r="472" customFormat="false" ht="12" hidden="false" customHeight="false" outlineLevel="0" collapsed="false">
      <c r="A472" s="0" t="n">
        <v>455</v>
      </c>
      <c r="B472" s="0" t="n">
        <v>511.465023801436</v>
      </c>
      <c r="C472" s="0" t="n">
        <v>515.979832338218</v>
      </c>
    </row>
    <row r="473" customFormat="false" ht="12" hidden="false" customHeight="false" outlineLevel="0" collapsed="false">
      <c r="A473" s="0" t="n">
        <v>456</v>
      </c>
      <c r="B473" s="0" t="n">
        <v>511.795238690673</v>
      </c>
      <c r="C473" s="0" t="n">
        <v>518.155616046554</v>
      </c>
    </row>
    <row r="474" customFormat="false" ht="12" hidden="false" customHeight="false" outlineLevel="0" collapsed="false">
      <c r="A474" s="0" t="n">
        <v>457</v>
      </c>
      <c r="B474" s="0" t="n">
        <v>512.116676487174</v>
      </c>
      <c r="C474" s="0" t="n">
        <v>518.508694511446</v>
      </c>
    </row>
    <row r="475" customFormat="false" ht="12" hidden="false" customHeight="false" outlineLevel="0" collapsed="false">
      <c r="A475" s="0" t="n">
        <v>458</v>
      </c>
      <c r="B475" s="0" t="n">
        <v>513.217288633921</v>
      </c>
      <c r="C475" s="0" t="n">
        <v>519.921357068695</v>
      </c>
    </row>
    <row r="476" customFormat="false" ht="12" hidden="false" customHeight="false" outlineLevel="0" collapsed="false">
      <c r="A476" s="0" t="n">
        <v>459</v>
      </c>
      <c r="B476" s="0" t="n">
        <v>515.708881774306</v>
      </c>
      <c r="C476" s="0" t="n">
        <v>520.559620557257</v>
      </c>
    </row>
    <row r="477" customFormat="false" ht="12" hidden="false" customHeight="false" outlineLevel="0" collapsed="false">
      <c r="A477" s="0" t="n">
        <v>460</v>
      </c>
      <c r="B477" s="0" t="n">
        <v>518.373306166059</v>
      </c>
      <c r="C477" s="0" t="n">
        <v>521.727893639078</v>
      </c>
    </row>
    <row r="478" customFormat="false" ht="12" hidden="false" customHeight="false" outlineLevel="0" collapsed="false">
      <c r="A478" s="0" t="n">
        <v>461</v>
      </c>
      <c r="B478" s="0" t="n">
        <v>519.748289077222</v>
      </c>
      <c r="C478" s="0" t="n">
        <v>522.747534809137</v>
      </c>
    </row>
    <row r="479" customFormat="false" ht="12" hidden="false" customHeight="false" outlineLevel="0" collapsed="false">
      <c r="A479" s="0" t="n">
        <v>462</v>
      </c>
      <c r="B479" s="0" t="n">
        <v>519.903366859039</v>
      </c>
      <c r="C479" s="0" t="n">
        <v>523.809021925503</v>
      </c>
    </row>
    <row r="480" customFormat="false" ht="12" hidden="false" customHeight="false" outlineLevel="0" collapsed="false">
      <c r="A480" s="0" t="n">
        <v>463</v>
      </c>
      <c r="B480" s="0" t="n">
        <v>519.93365379257</v>
      </c>
      <c r="C480" s="0" t="n">
        <v>524.744164396672</v>
      </c>
    </row>
    <row r="481" customFormat="false" ht="12" hidden="false" customHeight="false" outlineLevel="0" collapsed="false">
      <c r="A481" s="0" t="n">
        <v>464</v>
      </c>
      <c r="B481" s="0" t="n">
        <v>521.213941150229</v>
      </c>
      <c r="C481" s="0" t="n">
        <v>525.916562490744</v>
      </c>
    </row>
    <row r="482" customFormat="false" ht="12" hidden="false" customHeight="false" outlineLevel="0" collapsed="false">
      <c r="A482" s="0" t="n">
        <v>465</v>
      </c>
      <c r="B482" s="0" t="n">
        <v>521.236857326034</v>
      </c>
      <c r="C482" s="0" t="n">
        <v>526.790399415272</v>
      </c>
    </row>
    <row r="483" customFormat="false" ht="12" hidden="false" customHeight="false" outlineLevel="0" collapsed="false">
      <c r="A483" s="0" t="n">
        <v>466</v>
      </c>
      <c r="B483" s="0" t="n">
        <v>522.349607452508</v>
      </c>
      <c r="C483" s="0" t="n">
        <v>527.857165705393</v>
      </c>
    </row>
    <row r="484" customFormat="false" ht="12" hidden="false" customHeight="false" outlineLevel="0" collapsed="false">
      <c r="A484" s="0" t="n">
        <v>467</v>
      </c>
      <c r="B484" s="0" t="n">
        <v>522.378271983726</v>
      </c>
      <c r="C484" s="0" t="n">
        <v>528.959124003802</v>
      </c>
    </row>
    <row r="485" customFormat="false" ht="12" hidden="false" customHeight="false" outlineLevel="0" collapsed="false">
      <c r="A485" s="0" t="n">
        <v>468</v>
      </c>
      <c r="B485" s="0" t="n">
        <v>525.243595827052</v>
      </c>
      <c r="C485" s="0" t="n">
        <v>529.792235899102</v>
      </c>
    </row>
    <row r="486" customFormat="false" ht="12" hidden="false" customHeight="false" outlineLevel="0" collapsed="false">
      <c r="A486" s="0" t="n">
        <v>469</v>
      </c>
      <c r="B486" s="0" t="n">
        <v>525.55655582523</v>
      </c>
      <c r="C486" s="0" t="n">
        <v>531.121119184166</v>
      </c>
    </row>
    <row r="487" customFormat="false" ht="12" hidden="false" customHeight="false" outlineLevel="0" collapsed="false">
      <c r="A487" s="0" t="n">
        <v>470</v>
      </c>
      <c r="B487" s="0" t="n">
        <v>526.335980247777</v>
      </c>
      <c r="C487" s="0" t="n">
        <v>531.821717198312</v>
      </c>
    </row>
    <row r="488" customFormat="false" ht="12" hidden="false" customHeight="false" outlineLevel="0" collapsed="false">
      <c r="A488" s="0" t="n">
        <v>471</v>
      </c>
      <c r="B488" s="0" t="n">
        <v>526.695826669375</v>
      </c>
      <c r="C488" s="0" t="n">
        <v>533.990447566065</v>
      </c>
    </row>
    <row r="489" customFormat="false" ht="12" hidden="false" customHeight="false" outlineLevel="0" collapsed="false">
      <c r="A489" s="0" t="n">
        <v>472</v>
      </c>
      <c r="B489" s="0" t="n">
        <v>528.382269004281</v>
      </c>
      <c r="C489" s="0" t="n">
        <v>532.909024549704</v>
      </c>
    </row>
    <row r="490" customFormat="false" ht="12" hidden="false" customHeight="false" outlineLevel="0" collapsed="false">
      <c r="A490" s="0" t="n">
        <v>473</v>
      </c>
      <c r="B490" s="0" t="n">
        <v>528.552331451073</v>
      </c>
      <c r="C490" s="0" t="n">
        <v>536.060335067238</v>
      </c>
    </row>
    <row r="491" customFormat="false" ht="12" hidden="false" customHeight="false" outlineLevel="0" collapsed="false">
      <c r="A491" s="0" t="n">
        <v>474</v>
      </c>
      <c r="B491" s="0" t="n">
        <v>530.607863798989</v>
      </c>
      <c r="C491" s="0" t="n">
        <v>534.90812076581</v>
      </c>
    </row>
    <row r="492" customFormat="false" ht="12" hidden="false" customHeight="false" outlineLevel="0" collapsed="false">
      <c r="A492" s="0" t="n">
        <v>475</v>
      </c>
      <c r="B492" s="0" t="n">
        <v>531.544644122436</v>
      </c>
      <c r="C492" s="0" t="n">
        <v>536.704944172268</v>
      </c>
    </row>
    <row r="493" customFormat="false" ht="12" hidden="false" customHeight="false" outlineLevel="0" collapsed="false">
      <c r="A493" s="0" t="n">
        <v>476</v>
      </c>
      <c r="B493" s="0" t="n">
        <v>532.17154569664</v>
      </c>
      <c r="C493" s="0" t="n">
        <v>538.014099266348</v>
      </c>
    </row>
    <row r="494" customFormat="false" ht="12" hidden="false" customHeight="false" outlineLevel="0" collapsed="false">
      <c r="A494" s="0" t="n">
        <v>477</v>
      </c>
      <c r="B494" s="0" t="n">
        <v>532.776071650128</v>
      </c>
      <c r="C494" s="0" t="n">
        <v>539.822020073189</v>
      </c>
    </row>
    <row r="495" customFormat="false" ht="12" hidden="false" customHeight="false" outlineLevel="0" collapsed="false">
      <c r="A495" s="0" t="n">
        <v>478</v>
      </c>
      <c r="B495" s="0" t="n">
        <v>532.867741947487</v>
      </c>
      <c r="C495" s="0" t="n">
        <v>538.787775334295</v>
      </c>
    </row>
    <row r="496" customFormat="false" ht="12" hidden="false" customHeight="false" outlineLevel="0" collapsed="false">
      <c r="A496" s="0" t="n">
        <v>479</v>
      </c>
      <c r="B496" s="0" t="n">
        <v>533.204592223751</v>
      </c>
      <c r="C496" s="0" t="n">
        <v>542.018562579145</v>
      </c>
    </row>
    <row r="497" customFormat="false" ht="12" hidden="false" customHeight="false" outlineLevel="0" collapsed="false">
      <c r="A497" s="0" t="n">
        <v>480</v>
      </c>
      <c r="B497" s="0" t="n">
        <v>534.834559283242</v>
      </c>
      <c r="C497" s="0" t="n">
        <v>540.615014934049</v>
      </c>
    </row>
    <row r="498" customFormat="false" ht="12" hidden="false" customHeight="false" outlineLevel="0" collapsed="false">
      <c r="A498" s="0" t="n">
        <v>481</v>
      </c>
      <c r="B498" s="0" t="n">
        <v>535.019071719678</v>
      </c>
      <c r="C498" s="0" t="n">
        <v>542.583672371253</v>
      </c>
    </row>
    <row r="499" customFormat="false" ht="12" hidden="false" customHeight="false" outlineLevel="0" collapsed="false">
      <c r="A499" s="0" t="n">
        <v>482</v>
      </c>
      <c r="B499" s="0" t="n">
        <v>535.338099736974</v>
      </c>
      <c r="C499" s="0" t="n">
        <v>544.599767876361</v>
      </c>
    </row>
    <row r="500" customFormat="false" ht="12" hidden="false" customHeight="false" outlineLevel="0" collapsed="false">
      <c r="A500" s="0" t="n">
        <v>483</v>
      </c>
      <c r="B500" s="0" t="n">
        <v>535.5016998343</v>
      </c>
      <c r="C500" s="0" t="n">
        <v>544.193958173749</v>
      </c>
    </row>
    <row r="501" customFormat="false" ht="12" hidden="false" customHeight="false" outlineLevel="0" collapsed="false">
      <c r="A501" s="0" t="n">
        <v>484</v>
      </c>
      <c r="B501" s="0" t="n">
        <v>539.949038560658</v>
      </c>
      <c r="C501" s="0" t="n">
        <v>545.975886113399</v>
      </c>
    </row>
    <row r="502" customFormat="false" ht="12" hidden="false" customHeight="false" outlineLevel="0" collapsed="false">
      <c r="A502" s="0" t="n">
        <v>485</v>
      </c>
      <c r="B502" s="0" t="n">
        <v>540.070242033956</v>
      </c>
      <c r="C502" s="0" t="n">
        <v>546.528294914294</v>
      </c>
    </row>
    <row r="503" customFormat="false" ht="12" hidden="false" customHeight="false" outlineLevel="0" collapsed="false">
      <c r="A503" s="0" t="n">
        <v>486</v>
      </c>
      <c r="B503" s="0" t="n">
        <v>544.244714016379</v>
      </c>
      <c r="C503" s="0" t="n">
        <v>548.103010596333</v>
      </c>
    </row>
    <row r="504" customFormat="false" ht="12" hidden="false" customHeight="false" outlineLevel="0" collapsed="false">
      <c r="A504" s="0" t="n">
        <v>487</v>
      </c>
      <c r="B504" s="0" t="n">
        <v>544.768416764034</v>
      </c>
      <c r="C504" s="0" t="n">
        <v>548.288995454302</v>
      </c>
    </row>
    <row r="505" customFormat="false" ht="12" hidden="false" customHeight="false" outlineLevel="0" collapsed="false">
      <c r="A505" s="0" t="n">
        <v>488</v>
      </c>
      <c r="B505" s="0" t="n">
        <v>544.959608598305</v>
      </c>
      <c r="C505" s="0" t="n">
        <v>550.483711603221</v>
      </c>
    </row>
    <row r="506" customFormat="false" ht="12" hidden="false" customHeight="false" outlineLevel="0" collapsed="false">
      <c r="A506" s="0" t="n">
        <v>489</v>
      </c>
      <c r="B506" s="0" t="n">
        <v>545.046289040514</v>
      </c>
      <c r="C506" s="0" t="n">
        <v>552.645620519903</v>
      </c>
    </row>
    <row r="507" customFormat="false" ht="12" hidden="false" customHeight="false" outlineLevel="0" collapsed="false">
      <c r="A507" s="0" t="n">
        <v>490</v>
      </c>
      <c r="B507" s="0" t="n">
        <v>549.686311098081</v>
      </c>
      <c r="C507" s="0" t="n">
        <v>551.480732246188</v>
      </c>
    </row>
    <row r="508" customFormat="false" ht="12" hidden="false" customHeight="false" outlineLevel="0" collapsed="false">
      <c r="A508" s="0" t="n">
        <v>491</v>
      </c>
      <c r="B508" s="0" t="n">
        <v>552.17555499943</v>
      </c>
      <c r="C508" s="0" t="n">
        <v>554.04003001237</v>
      </c>
    </row>
    <row r="509" customFormat="false" ht="12" hidden="false" customHeight="false" outlineLevel="0" collapsed="false">
      <c r="A509" s="0" t="n">
        <v>492</v>
      </c>
      <c r="B509" s="0" t="n">
        <v>552.513651305831</v>
      </c>
      <c r="C509" s="0" t="n">
        <v>556.112791048086</v>
      </c>
    </row>
    <row r="510" customFormat="false" ht="12" hidden="false" customHeight="false" outlineLevel="0" collapsed="false">
      <c r="A510" s="0" t="n">
        <v>493</v>
      </c>
      <c r="B510" s="0" t="n">
        <v>553.367130562546</v>
      </c>
      <c r="C510" s="0" t="n">
        <v>558.136111446305</v>
      </c>
    </row>
    <row r="511" customFormat="false" ht="12" hidden="false" customHeight="false" outlineLevel="0" collapsed="false">
      <c r="A511" s="0" t="n">
        <v>494</v>
      </c>
      <c r="B511" s="0" t="n">
        <v>555.370416374529</v>
      </c>
      <c r="C511" s="0" t="n">
        <v>560.214567927742</v>
      </c>
    </row>
    <row r="512" customFormat="false" ht="12" hidden="false" customHeight="false" outlineLevel="0" collapsed="false">
      <c r="A512" s="0" t="n">
        <v>495</v>
      </c>
      <c r="B512" s="0" t="n">
        <v>555.746821775248</v>
      </c>
      <c r="C512" s="0" t="n">
        <v>557.815174959801</v>
      </c>
    </row>
    <row r="513" customFormat="false" ht="12" hidden="false" customHeight="false" outlineLevel="0" collapsed="false">
      <c r="A513" s="0" t="n">
        <v>496</v>
      </c>
      <c r="B513" s="0" t="n">
        <v>556.148983346156</v>
      </c>
      <c r="C513" s="0" t="n">
        <v>559.614960002977</v>
      </c>
    </row>
    <row r="514" customFormat="false" ht="12" hidden="false" customHeight="false" outlineLevel="0" collapsed="false">
      <c r="A514" s="0" t="n">
        <v>497</v>
      </c>
      <c r="B514" s="0" t="n">
        <v>556.318035483374</v>
      </c>
      <c r="C514" s="0" t="n">
        <v>561.465158491761</v>
      </c>
    </row>
    <row r="515" customFormat="false" ht="12" hidden="false" customHeight="false" outlineLevel="0" collapsed="false">
      <c r="A515" s="0" t="n">
        <v>498</v>
      </c>
      <c r="B515" s="0" t="n">
        <v>557.031394025813</v>
      </c>
      <c r="C515" s="0" t="n">
        <v>563.605492228062</v>
      </c>
    </row>
    <row r="516" customFormat="false" ht="12" hidden="false" customHeight="false" outlineLevel="0" collapsed="false">
      <c r="A516" s="0" t="n">
        <v>499</v>
      </c>
      <c r="B516" s="0" t="n">
        <v>557.607309258494</v>
      </c>
      <c r="C516" s="0" t="n">
        <v>562.123505584857</v>
      </c>
    </row>
    <row r="517" customFormat="false" ht="12" hidden="false" customHeight="false" outlineLevel="0" collapsed="false">
      <c r="A517" s="0" t="n">
        <v>500</v>
      </c>
      <c r="B517" s="0" t="n">
        <v>557.940674148841</v>
      </c>
      <c r="C517" s="0" t="n">
        <v>565.591525071927</v>
      </c>
    </row>
    <row r="518" customFormat="false" ht="12" hidden="false" customHeight="false" outlineLevel="0" collapsed="false">
      <c r="A518" s="0" t="n">
        <v>501</v>
      </c>
      <c r="B518" s="0" t="n">
        <v>562.820316758712</v>
      </c>
      <c r="C518" s="0" t="n">
        <v>564.789641745393</v>
      </c>
    </row>
    <row r="519" customFormat="false" ht="12" hidden="false" customHeight="false" outlineLevel="0" collapsed="false">
      <c r="A519" s="0" t="n">
        <v>502</v>
      </c>
      <c r="B519" s="0" t="n">
        <v>563.16401254023</v>
      </c>
      <c r="C519" s="0" t="n">
        <v>566.726523179669</v>
      </c>
    </row>
    <row r="520" customFormat="false" ht="12" hidden="false" customHeight="false" outlineLevel="0" collapsed="false">
      <c r="A520" s="0" t="n">
        <v>503</v>
      </c>
      <c r="B520" s="0" t="n">
        <v>563.311603494809</v>
      </c>
      <c r="C520" s="0" t="n">
        <v>568.804413872877</v>
      </c>
    </row>
    <row r="521" customFormat="false" ht="12" hidden="false" customHeight="false" outlineLevel="0" collapsed="false">
      <c r="A521" s="0" t="n">
        <v>504</v>
      </c>
      <c r="B521" s="0" t="n">
        <v>564.236147739856</v>
      </c>
      <c r="C521" s="0" t="n">
        <v>567.669770587619</v>
      </c>
    </row>
    <row r="522" customFormat="false" ht="12" hidden="false" customHeight="false" outlineLevel="0" collapsed="false">
      <c r="A522" s="0" t="n">
        <v>505</v>
      </c>
      <c r="B522" s="0" t="n">
        <v>564.440579393232</v>
      </c>
      <c r="C522" s="0" t="n">
        <v>570.738822048451</v>
      </c>
    </row>
    <row r="523" customFormat="false" ht="12" hidden="false" customHeight="false" outlineLevel="0" collapsed="false">
      <c r="A523" s="0" t="n">
        <v>506</v>
      </c>
      <c r="B523" s="0" t="n">
        <v>566.804908521368</v>
      </c>
      <c r="C523" s="0" t="n">
        <v>569.57129919209</v>
      </c>
    </row>
    <row r="524" customFormat="false" ht="12" hidden="false" customHeight="false" outlineLevel="0" collapsed="false">
      <c r="A524" s="0" t="n">
        <v>507</v>
      </c>
      <c r="B524" s="0" t="n">
        <v>567.278769976602</v>
      </c>
      <c r="C524" s="0" t="n">
        <v>572.765124627346</v>
      </c>
    </row>
    <row r="525" customFormat="false" ht="12" hidden="false" customHeight="false" outlineLevel="0" collapsed="false">
      <c r="A525" s="0" t="n">
        <v>508</v>
      </c>
      <c r="B525" s="0" t="n">
        <v>567.410064860196</v>
      </c>
      <c r="C525" s="0" t="n">
        <v>571.665556471994</v>
      </c>
    </row>
    <row r="526" customFormat="false" ht="12" hidden="false" customHeight="false" outlineLevel="0" collapsed="false">
      <c r="A526" s="0" t="n">
        <v>509</v>
      </c>
      <c r="B526" s="0" t="n">
        <v>567.698027041818</v>
      </c>
      <c r="C526" s="0" t="n">
        <v>573.749504045374</v>
      </c>
    </row>
    <row r="527" customFormat="false" ht="12" hidden="false" customHeight="false" outlineLevel="0" collapsed="false">
      <c r="A527" s="0" t="n">
        <v>510</v>
      </c>
      <c r="B527" s="0" t="n">
        <v>568.09080254548</v>
      </c>
      <c r="C527" s="0" t="n">
        <v>574.614755296124</v>
      </c>
    </row>
    <row r="528" customFormat="false" ht="12" hidden="false" customHeight="false" outlineLevel="0" collapsed="false">
      <c r="A528" s="0" t="n">
        <v>511</v>
      </c>
      <c r="B528" s="0" t="n">
        <v>569.437637729583</v>
      </c>
      <c r="C528" s="0" t="n">
        <v>575.95604483626</v>
      </c>
    </row>
    <row r="529" customFormat="false" ht="12" hidden="false" customHeight="false" outlineLevel="0" collapsed="false">
      <c r="A529" s="0" t="n">
        <v>512</v>
      </c>
      <c r="B529" s="0" t="n">
        <v>571.302772392495</v>
      </c>
      <c r="C529" s="0" t="n">
        <v>576.72005495209</v>
      </c>
    </row>
    <row r="530" customFormat="false" ht="12" hidden="false" customHeight="false" outlineLevel="0" collapsed="false">
      <c r="A530" s="0" t="n">
        <v>513</v>
      </c>
      <c r="B530" s="0" t="n">
        <v>571.51766127518</v>
      </c>
      <c r="C530" s="0" t="n">
        <v>577.752116104686</v>
      </c>
    </row>
    <row r="531" customFormat="false" ht="12" hidden="false" customHeight="false" outlineLevel="0" collapsed="false">
      <c r="A531" s="0" t="n">
        <v>514</v>
      </c>
      <c r="B531" s="0" t="n">
        <v>574.334778619429</v>
      </c>
      <c r="C531" s="0" t="n">
        <v>579.510058232392</v>
      </c>
    </row>
    <row r="532" customFormat="false" ht="12" hidden="false" customHeight="false" outlineLevel="0" collapsed="false">
      <c r="A532" s="0" t="n">
        <v>515</v>
      </c>
      <c r="B532" s="0" t="n">
        <v>575.014933253527</v>
      </c>
      <c r="C532" s="0" t="n">
        <v>578.64133538991</v>
      </c>
    </row>
    <row r="533" customFormat="false" ht="12" hidden="false" customHeight="false" outlineLevel="0" collapsed="false">
      <c r="A533" s="0" t="n">
        <v>516</v>
      </c>
      <c r="B533" s="0" t="n">
        <v>575.727417849242</v>
      </c>
      <c r="C533" s="0" t="n">
        <v>580.850611152079</v>
      </c>
    </row>
    <row r="534" customFormat="false" ht="12" hidden="false" customHeight="false" outlineLevel="0" collapsed="false">
      <c r="A534" s="0" t="n">
        <v>517</v>
      </c>
      <c r="B534" s="0" t="n">
        <v>577.082484565948</v>
      </c>
      <c r="C534" s="0" t="n">
        <v>581.718873431573</v>
      </c>
    </row>
    <row r="535" customFormat="false" ht="12" hidden="false" customHeight="false" outlineLevel="0" collapsed="false">
      <c r="A535" s="0" t="n">
        <v>518</v>
      </c>
      <c r="B535" s="0" t="n">
        <v>577.562819345993</v>
      </c>
      <c r="C535" s="0" t="n">
        <v>583.536155540355</v>
      </c>
    </row>
    <row r="536" customFormat="false" ht="12" hidden="false" customHeight="false" outlineLevel="0" collapsed="false">
      <c r="A536" s="0" t="n">
        <v>519</v>
      </c>
      <c r="B536" s="0" t="n">
        <v>581.242232366061</v>
      </c>
      <c r="C536" s="0" t="n">
        <v>583.021432187376</v>
      </c>
    </row>
    <row r="537" customFormat="false" ht="12" hidden="false" customHeight="false" outlineLevel="0" collapsed="false">
      <c r="A537" s="0" t="n">
        <v>520</v>
      </c>
      <c r="B537" s="0" t="n">
        <v>583.856085421924</v>
      </c>
      <c r="C537" s="0" t="n">
        <v>586.059748617252</v>
      </c>
    </row>
    <row r="538" customFormat="false" ht="12" hidden="false" customHeight="false" outlineLevel="0" collapsed="false">
      <c r="A538" s="0" t="n">
        <v>521</v>
      </c>
      <c r="B538" s="0" t="n">
        <v>584.756592168283</v>
      </c>
      <c r="C538" s="0" t="n">
        <v>586.666586912942</v>
      </c>
    </row>
    <row r="539" customFormat="false" ht="12" hidden="false" customHeight="false" outlineLevel="0" collapsed="false">
      <c r="A539" s="0" t="n">
        <v>522</v>
      </c>
      <c r="B539" s="0" t="n">
        <v>584.884278886547</v>
      </c>
      <c r="C539" s="0" t="n">
        <v>587.856997813239</v>
      </c>
    </row>
    <row r="540" customFormat="false" ht="12" hidden="false" customHeight="false" outlineLevel="0" collapsed="false">
      <c r="A540" s="0" t="n">
        <v>523</v>
      </c>
      <c r="B540" s="0" t="n">
        <v>584.933326795811</v>
      </c>
      <c r="C540" s="0" t="n">
        <v>588.62007542991</v>
      </c>
    </row>
    <row r="541" customFormat="false" ht="12" hidden="false" customHeight="false" outlineLevel="0" collapsed="false">
      <c r="A541" s="0" t="n">
        <v>524</v>
      </c>
      <c r="B541" s="0" t="n">
        <v>585.16762599263</v>
      </c>
      <c r="C541" s="0" t="n">
        <v>590.660614959901</v>
      </c>
    </row>
    <row r="542" customFormat="false" ht="12" hidden="false" customHeight="false" outlineLevel="0" collapsed="false">
      <c r="A542" s="0" t="n">
        <v>525</v>
      </c>
      <c r="B542" s="0" t="n">
        <v>587.668923773007</v>
      </c>
      <c r="C542" s="0" t="n">
        <v>590.10587853315</v>
      </c>
    </row>
    <row r="543" customFormat="false" ht="12" hidden="false" customHeight="false" outlineLevel="0" collapsed="false">
      <c r="A543" s="0" t="n">
        <v>526</v>
      </c>
      <c r="B543" s="0" t="n">
        <v>587.699504669105</v>
      </c>
      <c r="C543" s="0" t="n">
        <v>592.889759225045</v>
      </c>
    </row>
    <row r="544" customFormat="false" ht="12" hidden="false" customHeight="false" outlineLevel="0" collapsed="false">
      <c r="A544" s="0" t="n">
        <v>527</v>
      </c>
      <c r="B544" s="0" t="n">
        <v>590.230787365982</v>
      </c>
      <c r="C544" s="0" t="n">
        <v>592.355514050376</v>
      </c>
    </row>
    <row r="545" customFormat="false" ht="12" hidden="false" customHeight="false" outlineLevel="0" collapsed="false">
      <c r="A545" s="0" t="n">
        <v>528</v>
      </c>
      <c r="B545" s="0" t="n">
        <v>590.344717879036</v>
      </c>
      <c r="C545" s="0" t="n">
        <v>594.473971295369</v>
      </c>
    </row>
    <row r="546" customFormat="false" ht="12" hidden="false" customHeight="false" outlineLevel="0" collapsed="false">
      <c r="A546" s="0" t="n">
        <v>529</v>
      </c>
      <c r="B546" s="0" t="n">
        <v>590.708618583625</v>
      </c>
      <c r="C546" s="0" t="n">
        <v>595.113451886535</v>
      </c>
    </row>
    <row r="547" customFormat="false" ht="12" hidden="false" customHeight="false" outlineLevel="0" collapsed="false">
      <c r="A547" s="0" t="n">
        <v>530</v>
      </c>
      <c r="B547" s="0" t="n">
        <v>591.258161698745</v>
      </c>
      <c r="C547" s="0" t="n">
        <v>597.233624655607</v>
      </c>
    </row>
    <row r="548" customFormat="false" ht="12" hidden="false" customHeight="false" outlineLevel="0" collapsed="false">
      <c r="A548" s="0" t="n">
        <v>531</v>
      </c>
      <c r="B548" s="0" t="n">
        <v>593.725226458123</v>
      </c>
      <c r="C548" s="0" t="n">
        <v>599.277721274518</v>
      </c>
    </row>
    <row r="549" customFormat="false" ht="12" hidden="false" customHeight="false" outlineLevel="0" collapsed="false">
      <c r="A549" s="0" t="n">
        <v>532</v>
      </c>
      <c r="B549" s="0" t="n">
        <v>594.444429457216</v>
      </c>
      <c r="C549" s="0" t="n">
        <v>596.688666283157</v>
      </c>
    </row>
    <row r="550" customFormat="false" ht="12" hidden="false" customHeight="false" outlineLevel="0" collapsed="false">
      <c r="A550" s="0" t="n">
        <v>533</v>
      </c>
      <c r="B550" s="0" t="n">
        <v>594.84106277185</v>
      </c>
      <c r="C550" s="0" t="n">
        <v>598.558972214328</v>
      </c>
    </row>
    <row r="551" customFormat="false" ht="12" hidden="false" customHeight="false" outlineLevel="0" collapsed="false">
      <c r="A551" s="0" t="n">
        <v>534</v>
      </c>
      <c r="B551" s="0" t="n">
        <v>596.242036612387</v>
      </c>
      <c r="C551" s="0" t="n">
        <v>601.380121629314</v>
      </c>
    </row>
    <row r="552" customFormat="false" ht="12" hidden="false" customHeight="false" outlineLevel="0" collapsed="false">
      <c r="A552" s="0" t="n">
        <v>535</v>
      </c>
      <c r="B552" s="0" t="n">
        <v>596.319814929665</v>
      </c>
      <c r="C552" s="0" t="n">
        <v>603.506859621267</v>
      </c>
    </row>
    <row r="553" customFormat="false" ht="12" hidden="false" customHeight="false" outlineLevel="0" collapsed="false">
      <c r="A553" s="0" t="n">
        <v>536</v>
      </c>
      <c r="B553" s="0" t="n">
        <v>596.530761894491</v>
      </c>
      <c r="C553" s="0" t="n">
        <v>605.623782008715</v>
      </c>
    </row>
    <row r="554" customFormat="false" ht="12" hidden="false" customHeight="false" outlineLevel="0" collapsed="false">
      <c r="A554" s="0" t="n">
        <v>537</v>
      </c>
      <c r="B554" s="0" t="n">
        <v>596.574026924834</v>
      </c>
      <c r="C554" s="0" t="n">
        <v>600.593580308552</v>
      </c>
    </row>
    <row r="555" customFormat="false" ht="12" hidden="false" customHeight="false" outlineLevel="0" collapsed="false">
      <c r="A555" s="0" t="n">
        <v>538</v>
      </c>
      <c r="B555" s="0" t="n">
        <v>596.606422129161</v>
      </c>
      <c r="C555" s="0" t="n">
        <v>602.569276824405</v>
      </c>
    </row>
    <row r="556" customFormat="false" ht="12" hidden="false" customHeight="false" outlineLevel="0" collapsed="false">
      <c r="A556" s="0" t="n">
        <v>539</v>
      </c>
      <c r="B556" s="0" t="n">
        <v>596.841519094152</v>
      </c>
      <c r="C556" s="0" t="n">
        <v>604.536335304718</v>
      </c>
    </row>
    <row r="557" customFormat="false" ht="12" hidden="false" customHeight="false" outlineLevel="0" collapsed="false">
      <c r="A557" s="0" t="n">
        <v>540</v>
      </c>
      <c r="B557" s="0" t="n">
        <v>597.006258925031</v>
      </c>
      <c r="C557" s="0" t="n">
        <v>606.420413757205</v>
      </c>
    </row>
    <row r="558" customFormat="false" ht="12" hidden="false" customHeight="false" outlineLevel="0" collapsed="false">
      <c r="A558" s="0" t="n">
        <v>541</v>
      </c>
      <c r="B558" s="0" t="n">
        <v>597.657117835713</v>
      </c>
      <c r="C558" s="0" t="n">
        <v>608.282636014976</v>
      </c>
    </row>
    <row r="559" customFormat="false" ht="12" hidden="false" customHeight="false" outlineLevel="0" collapsed="false">
      <c r="A559" s="0" t="n">
        <v>542</v>
      </c>
      <c r="B559" s="0" t="n">
        <v>597.88144618022</v>
      </c>
      <c r="C559" s="0" t="n">
        <v>607.871014672658</v>
      </c>
    </row>
    <row r="560" customFormat="false" ht="12" hidden="false" customHeight="false" outlineLevel="0" collapsed="false">
      <c r="A560" s="0" t="n">
        <v>543</v>
      </c>
      <c r="B560" s="0" t="n">
        <v>599.26282728743</v>
      </c>
      <c r="C560" s="0" t="n">
        <v>610.368356065156</v>
      </c>
    </row>
    <row r="561" customFormat="false" ht="12" hidden="false" customHeight="false" outlineLevel="0" collapsed="false">
      <c r="A561" s="0" t="n">
        <v>544</v>
      </c>
      <c r="B561" s="0" t="n">
        <v>600.402737714547</v>
      </c>
      <c r="C561" s="0" t="n">
        <v>609.765095917127</v>
      </c>
    </row>
    <row r="562" customFormat="false" ht="12" hidden="false" customHeight="false" outlineLevel="0" collapsed="false">
      <c r="A562" s="0" t="n">
        <v>545</v>
      </c>
      <c r="B562" s="0" t="n">
        <v>600.715709541529</v>
      </c>
      <c r="C562" s="0" t="n">
        <v>611.860458200695</v>
      </c>
    </row>
    <row r="563" customFormat="false" ht="12" hidden="false" customHeight="false" outlineLevel="0" collapsed="false">
      <c r="A563" s="0" t="n">
        <v>546</v>
      </c>
      <c r="B563" s="0" t="n">
        <v>602.139460964414</v>
      </c>
      <c r="C563" s="0" t="n">
        <v>612.500227786697</v>
      </c>
    </row>
    <row r="564" customFormat="false" ht="12" hidden="false" customHeight="false" outlineLevel="0" collapsed="false">
      <c r="A564" s="0" t="n">
        <v>547</v>
      </c>
      <c r="B564" s="0" t="n">
        <v>602.329786565817</v>
      </c>
      <c r="C564" s="0" t="n">
        <v>614.51153342405</v>
      </c>
    </row>
    <row r="565" customFormat="false" ht="12" hidden="false" customHeight="false" outlineLevel="0" collapsed="false">
      <c r="A565" s="0" t="n">
        <v>548</v>
      </c>
      <c r="B565" s="0" t="n">
        <v>603.144009287755</v>
      </c>
      <c r="C565" s="0" t="n">
        <v>616.368739127951</v>
      </c>
    </row>
    <row r="566" customFormat="false" ht="12" hidden="false" customHeight="false" outlineLevel="0" collapsed="false">
      <c r="A566" s="0" t="n">
        <v>549</v>
      </c>
      <c r="B566" s="0" t="n">
        <v>603.443514682425</v>
      </c>
      <c r="C566" s="0" t="n">
        <v>618.477915236493</v>
      </c>
    </row>
    <row r="567" customFormat="false" ht="12" hidden="false" customHeight="false" outlineLevel="0" collapsed="false">
      <c r="A567" s="0" t="n">
        <v>550</v>
      </c>
      <c r="B567" s="0" t="n">
        <v>608.298623945837</v>
      </c>
      <c r="C567" s="0" t="n">
        <v>614.003802910034</v>
      </c>
    </row>
    <row r="568" customFormat="false" ht="12" hidden="false" customHeight="false" outlineLevel="0" collapsed="false">
      <c r="A568" s="0" t="n">
        <v>551</v>
      </c>
      <c r="B568" s="0" t="n">
        <v>608.369950158648</v>
      </c>
      <c r="C568" s="0" t="n">
        <v>616.026193727983</v>
      </c>
    </row>
    <row r="569" customFormat="false" ht="12" hidden="false" customHeight="false" outlineLevel="0" collapsed="false">
      <c r="A569" s="0" t="n">
        <v>552</v>
      </c>
      <c r="B569" s="0" t="n">
        <v>608.718096580731</v>
      </c>
      <c r="C569" s="0" t="n">
        <v>617.975039096745</v>
      </c>
    </row>
    <row r="570" customFormat="false" ht="12" hidden="false" customHeight="false" outlineLevel="0" collapsed="false">
      <c r="A570" s="0" t="n">
        <v>553</v>
      </c>
      <c r="B570" s="0" t="n">
        <v>609.867633658904</v>
      </c>
      <c r="C570" s="0" t="n">
        <v>620.441637219353</v>
      </c>
    </row>
    <row r="571" customFormat="false" ht="12" hidden="false" customHeight="false" outlineLevel="0" collapsed="false">
      <c r="A571" s="0" t="n">
        <v>554</v>
      </c>
      <c r="B571" s="0" t="n">
        <v>611.408441376732</v>
      </c>
      <c r="C571" s="0" t="n">
        <v>620.105894532219</v>
      </c>
    </row>
    <row r="572" customFormat="false" ht="12" hidden="false" customHeight="false" outlineLevel="0" collapsed="false">
      <c r="A572" s="0" t="n">
        <v>555</v>
      </c>
      <c r="B572" s="0" t="n">
        <v>612.911781545927</v>
      </c>
      <c r="C572" s="0" t="n">
        <v>622.524798385266</v>
      </c>
    </row>
    <row r="573" customFormat="false" ht="12" hidden="false" customHeight="false" outlineLevel="0" collapsed="false">
      <c r="A573" s="0" t="n">
        <v>556</v>
      </c>
      <c r="B573" s="0" t="n">
        <v>613.32308710238</v>
      </c>
      <c r="C573" s="0" t="n">
        <v>622.229824856176</v>
      </c>
    </row>
    <row r="574" customFormat="false" ht="12" hidden="false" customHeight="false" outlineLevel="0" collapsed="false">
      <c r="A574" s="0" t="n">
        <v>557</v>
      </c>
      <c r="B574" s="0" t="n">
        <v>614.601114635542</v>
      </c>
      <c r="C574" s="0" t="n">
        <v>624.374202449208</v>
      </c>
    </row>
    <row r="575" customFormat="false" ht="12" hidden="false" customHeight="false" outlineLevel="0" collapsed="false">
      <c r="A575" s="0" t="n">
        <v>558</v>
      </c>
      <c r="B575" s="0" t="n">
        <v>616.344750895202</v>
      </c>
      <c r="C575" s="0" t="n">
        <v>626.263541714002</v>
      </c>
    </row>
    <row r="576" customFormat="false" ht="12" hidden="false" customHeight="false" outlineLevel="0" collapsed="false">
      <c r="A576" s="0" t="n">
        <v>559</v>
      </c>
      <c r="B576" s="0" t="n">
        <v>617.303744066442</v>
      </c>
      <c r="C576" s="0" t="n">
        <v>624.256489265202</v>
      </c>
    </row>
    <row r="577" customFormat="false" ht="12" hidden="false" customHeight="false" outlineLevel="0" collapsed="false">
      <c r="A577" s="0" t="n">
        <v>560</v>
      </c>
      <c r="B577" s="0" t="n">
        <v>617.814691773834</v>
      </c>
      <c r="C577" s="0" t="n">
        <v>626.338057036063</v>
      </c>
    </row>
    <row r="578" customFormat="false" ht="12" hidden="false" customHeight="false" outlineLevel="0" collapsed="false">
      <c r="A578" s="0" t="n">
        <v>561</v>
      </c>
      <c r="B578" s="0" t="n">
        <v>618.546047038162</v>
      </c>
      <c r="C578" s="0" t="n">
        <v>628.321096610535</v>
      </c>
    </row>
    <row r="579" customFormat="false" ht="12" hidden="false" customHeight="false" outlineLevel="0" collapsed="false">
      <c r="A579" s="0" t="n">
        <v>562</v>
      </c>
      <c r="B579" s="0" t="n">
        <v>619.332509060909</v>
      </c>
      <c r="C579" s="0" t="n">
        <v>628.166369663466</v>
      </c>
    </row>
    <row r="580" customFormat="false" ht="12" hidden="false" customHeight="false" outlineLevel="0" collapsed="false">
      <c r="A580" s="0" t="n">
        <v>563</v>
      </c>
      <c r="B580" s="0" t="n">
        <v>619.811957986633</v>
      </c>
      <c r="C580" s="0" t="n">
        <v>629.996408525142</v>
      </c>
    </row>
    <row r="581" customFormat="false" ht="12" hidden="false" customHeight="false" outlineLevel="0" collapsed="false">
      <c r="A581" s="0" t="n">
        <v>564</v>
      </c>
      <c r="B581" s="0" t="n">
        <v>621.923718745798</v>
      </c>
      <c r="C581" s="0" t="n">
        <v>630.304193257084</v>
      </c>
    </row>
    <row r="582" customFormat="false" ht="12" hidden="false" customHeight="false" outlineLevel="0" collapsed="false">
      <c r="A582" s="0" t="n">
        <v>565</v>
      </c>
      <c r="B582" s="0" t="n">
        <v>622.172164380327</v>
      </c>
      <c r="C582" s="0" t="n">
        <v>632.060659762181</v>
      </c>
    </row>
    <row r="583" customFormat="false" ht="12" hidden="false" customHeight="false" outlineLevel="0" collapsed="false">
      <c r="A583" s="0" t="n">
        <v>566</v>
      </c>
      <c r="B583" s="0" t="n">
        <v>622.289053415944</v>
      </c>
      <c r="C583" s="0" t="n">
        <v>631.894058040117</v>
      </c>
    </row>
    <row r="584" customFormat="false" ht="12" hidden="false" customHeight="false" outlineLevel="0" collapsed="false">
      <c r="A584" s="0" t="n">
        <v>567</v>
      </c>
      <c r="B584" s="0" t="n">
        <v>622.419772599018</v>
      </c>
      <c r="C584" s="0" t="n">
        <v>633.968630325517</v>
      </c>
    </row>
    <row r="585" customFormat="false" ht="12" hidden="false" customHeight="false" outlineLevel="0" collapsed="false">
      <c r="A585" s="0" t="n">
        <v>568</v>
      </c>
      <c r="B585" s="0" t="n">
        <v>622.657526489769</v>
      </c>
      <c r="C585" s="0" t="n">
        <v>634.030651724595</v>
      </c>
    </row>
    <row r="586" customFormat="false" ht="12" hidden="false" customHeight="false" outlineLevel="0" collapsed="false">
      <c r="A586" s="0" t="n">
        <v>569</v>
      </c>
      <c r="B586" s="0" t="n">
        <v>623.59223615444</v>
      </c>
      <c r="C586" s="0" t="n">
        <v>636.215766934359</v>
      </c>
    </row>
    <row r="587" customFormat="false" ht="12" hidden="false" customHeight="false" outlineLevel="0" collapsed="false">
      <c r="A587" s="0" t="n">
        <v>570</v>
      </c>
      <c r="B587" s="0" t="n">
        <v>626.116377985147</v>
      </c>
      <c r="C587" s="0" t="n">
        <v>636.206874466627</v>
      </c>
    </row>
    <row r="588" customFormat="false" ht="12" hidden="false" customHeight="false" outlineLevel="0" collapsed="false">
      <c r="A588" s="0" t="n">
        <v>571</v>
      </c>
      <c r="B588" s="0" t="n">
        <v>626.336783793663</v>
      </c>
      <c r="C588" s="0" t="n">
        <v>638.447530551339</v>
      </c>
    </row>
    <row r="589" customFormat="false" ht="12" hidden="false" customHeight="false" outlineLevel="0" collapsed="false">
      <c r="A589" s="0" t="n">
        <v>572</v>
      </c>
      <c r="B589" s="0" t="n">
        <v>628.512778018641</v>
      </c>
      <c r="C589" s="0" t="n">
        <v>638.049103852115</v>
      </c>
    </row>
    <row r="590" customFormat="false" ht="12" hidden="false" customHeight="false" outlineLevel="0" collapsed="false">
      <c r="A590" s="0" t="n">
        <v>573</v>
      </c>
      <c r="B590" s="0" t="n">
        <v>628.591078118245</v>
      </c>
      <c r="C590" s="0" t="n">
        <v>639.87035435104</v>
      </c>
    </row>
    <row r="591" customFormat="false" ht="12" hidden="false" customHeight="false" outlineLevel="0" collapsed="false">
      <c r="A591" s="0" t="n">
        <v>574</v>
      </c>
      <c r="B591" s="0" t="n">
        <v>629.106810320976</v>
      </c>
      <c r="C591" s="0" t="n">
        <v>641.659235740907</v>
      </c>
    </row>
    <row r="592" customFormat="false" ht="12" hidden="false" customHeight="false" outlineLevel="0" collapsed="false">
      <c r="A592" s="0" t="n">
        <v>575</v>
      </c>
      <c r="B592" s="0" t="n">
        <v>629.584921286725</v>
      </c>
      <c r="C592" s="0" t="n">
        <v>643.449341186442</v>
      </c>
    </row>
    <row r="593" customFormat="false" ht="12" hidden="false" customHeight="false" outlineLevel="0" collapsed="false">
      <c r="A593" s="0" t="n">
        <v>576</v>
      </c>
      <c r="B593" s="0" t="n">
        <v>632.251397519545</v>
      </c>
      <c r="C593" s="0" t="n">
        <v>640.481215291616</v>
      </c>
    </row>
    <row r="594" customFormat="false" ht="12" hidden="false" customHeight="false" outlineLevel="0" collapsed="false">
      <c r="A594" s="0" t="n">
        <v>577</v>
      </c>
      <c r="B594" s="0" t="n">
        <v>632.475945681184</v>
      </c>
      <c r="C594" s="0" t="n">
        <v>642.532271366227</v>
      </c>
    </row>
    <row r="595" customFormat="false" ht="12" hidden="false" customHeight="false" outlineLevel="0" collapsed="false">
      <c r="A595" s="0" t="n">
        <v>578</v>
      </c>
      <c r="B595" s="0" t="n">
        <v>633.542819153467</v>
      </c>
      <c r="C595" s="0" t="n">
        <v>644.395886981857</v>
      </c>
    </row>
    <row r="596" customFormat="false" ht="12" hidden="false" customHeight="false" outlineLevel="0" collapsed="false">
      <c r="A596" s="0" t="n">
        <v>579</v>
      </c>
      <c r="B596" s="0" t="n">
        <v>634.62647425028</v>
      </c>
      <c r="C596" s="0" t="n">
        <v>645.499891076535</v>
      </c>
    </row>
    <row r="597" customFormat="false" ht="12" hidden="false" customHeight="false" outlineLevel="0" collapsed="false">
      <c r="A597" s="0" t="n">
        <v>580</v>
      </c>
      <c r="B597" s="0" t="n">
        <v>634.894351199684</v>
      </c>
      <c r="C597" s="0" t="n">
        <v>647.25937743285</v>
      </c>
    </row>
    <row r="598" customFormat="false" ht="12" hidden="false" customHeight="false" outlineLevel="0" collapsed="false">
      <c r="A598" s="0" t="n">
        <v>581</v>
      </c>
      <c r="B598" s="0" t="n">
        <v>634.908290140869</v>
      </c>
      <c r="C598" s="0" t="n">
        <v>646.469751755363</v>
      </c>
    </row>
    <row r="599" customFormat="false" ht="12" hidden="false" customHeight="false" outlineLevel="0" collapsed="false">
      <c r="A599" s="0" t="n">
        <v>582</v>
      </c>
      <c r="B599" s="0" t="n">
        <v>635.616501055686</v>
      </c>
      <c r="C599" s="0" t="n">
        <v>649.289316419885</v>
      </c>
    </row>
    <row r="600" customFormat="false" ht="12" hidden="false" customHeight="false" outlineLevel="0" collapsed="false">
      <c r="A600" s="0" t="n">
        <v>583</v>
      </c>
      <c r="B600" s="0" t="n">
        <v>636.974039896017</v>
      </c>
      <c r="C600" s="0" t="n">
        <v>648.312998487106</v>
      </c>
    </row>
    <row r="601" customFormat="false" ht="12" hidden="false" customHeight="false" outlineLevel="0" collapsed="false">
      <c r="A601" s="0" t="n">
        <v>584</v>
      </c>
      <c r="B601" s="0" t="n">
        <v>637.012908095218</v>
      </c>
      <c r="C601" s="0" t="n">
        <v>651.073447486001</v>
      </c>
    </row>
    <row r="602" customFormat="false" ht="12" hidden="false" customHeight="false" outlineLevel="0" collapsed="false">
      <c r="A602" s="0" t="n">
        <v>585</v>
      </c>
      <c r="B602" s="0" t="n">
        <v>637.457626603373</v>
      </c>
      <c r="C602" s="0" t="n">
        <v>653.254479873415</v>
      </c>
    </row>
    <row r="603" customFormat="false" ht="12" hidden="false" customHeight="false" outlineLevel="0" collapsed="false">
      <c r="A603" s="0" t="n">
        <v>586</v>
      </c>
      <c r="B603" s="0" t="n">
        <v>637.633780376333</v>
      </c>
      <c r="C603" s="0" t="n">
        <v>655.220506074331</v>
      </c>
    </row>
    <row r="604" customFormat="false" ht="12" hidden="false" customHeight="false" outlineLevel="0" collapsed="false">
      <c r="A604" s="0" t="n">
        <v>587</v>
      </c>
      <c r="B604" s="0" t="n">
        <v>638.415993550386</v>
      </c>
      <c r="C604" s="0" t="n">
        <v>650.329749645163</v>
      </c>
    </row>
    <row r="605" customFormat="false" ht="12" hidden="false" customHeight="false" outlineLevel="0" collapsed="false">
      <c r="A605" s="0" t="n">
        <v>588</v>
      </c>
      <c r="B605" s="0" t="n">
        <v>639.962791554916</v>
      </c>
      <c r="C605" s="0" t="n">
        <v>657.104465034389</v>
      </c>
    </row>
    <row r="606" customFormat="false" ht="12" hidden="false" customHeight="false" outlineLevel="0" collapsed="false">
      <c r="A606" s="0" t="n">
        <v>589</v>
      </c>
      <c r="B606" s="0" t="n">
        <v>640.482006470175</v>
      </c>
      <c r="C606" s="0" t="n">
        <v>652.456563475153</v>
      </c>
    </row>
    <row r="607" customFormat="false" ht="12" hidden="false" customHeight="false" outlineLevel="0" collapsed="false">
      <c r="A607" s="0" t="n">
        <v>590</v>
      </c>
      <c r="B607" s="0" t="n">
        <v>644.413208860627</v>
      </c>
      <c r="C607" s="0" t="n">
        <v>659.082063246048</v>
      </c>
    </row>
    <row r="608" customFormat="false" ht="12" hidden="false" customHeight="false" outlineLevel="0" collapsed="false">
      <c r="A608" s="0" t="n">
        <v>591</v>
      </c>
      <c r="B608" s="0" t="n">
        <v>645.026901984627</v>
      </c>
      <c r="C608" s="0" t="n">
        <v>660.963118277219</v>
      </c>
    </row>
    <row r="609" customFormat="false" ht="12" hidden="false" customHeight="false" outlineLevel="0" collapsed="false">
      <c r="A609" s="0" t="n">
        <v>592</v>
      </c>
      <c r="B609" s="0" t="n">
        <v>646.103667722807</v>
      </c>
      <c r="C609" s="0" t="n">
        <v>654.412801532807</v>
      </c>
    </row>
    <row r="610" customFormat="false" ht="12" hidden="false" customHeight="false" outlineLevel="0" collapsed="false">
      <c r="A610" s="0" t="n">
        <v>593</v>
      </c>
      <c r="B610" s="0" t="n">
        <v>647.705516029983</v>
      </c>
      <c r="C610" s="0" t="n">
        <v>656.253142860513</v>
      </c>
    </row>
    <row r="611" customFormat="false" ht="12" hidden="false" customHeight="false" outlineLevel="0" collapsed="false">
      <c r="A611" s="0" t="n">
        <v>594</v>
      </c>
      <c r="B611" s="0" t="n">
        <v>647.890152843587</v>
      </c>
      <c r="C611" s="0" t="n">
        <v>658.272230003814</v>
      </c>
    </row>
    <row r="612" customFormat="false" ht="12" hidden="false" customHeight="false" outlineLevel="0" collapsed="false">
      <c r="A612" s="0" t="n">
        <v>595</v>
      </c>
      <c r="B612" s="0" t="n">
        <v>648.535997312449</v>
      </c>
      <c r="C612" s="0" t="n">
        <v>662.992518109034</v>
      </c>
    </row>
    <row r="613" customFormat="false" ht="12" hidden="false" customHeight="false" outlineLevel="0" collapsed="false">
      <c r="A613" s="0" t="n">
        <v>596</v>
      </c>
      <c r="B613" s="0" t="n">
        <v>648.561013974686</v>
      </c>
      <c r="C613" s="0" t="n">
        <v>660.040154119057</v>
      </c>
    </row>
    <row r="614" customFormat="false" ht="12" hidden="false" customHeight="false" outlineLevel="0" collapsed="false">
      <c r="A614" s="0" t="n">
        <v>597</v>
      </c>
      <c r="B614" s="0" t="n">
        <v>648.905215421981</v>
      </c>
      <c r="C614" s="0" t="n">
        <v>662.157350463045</v>
      </c>
    </row>
    <row r="615" customFormat="false" ht="12" hidden="false" customHeight="false" outlineLevel="0" collapsed="false">
      <c r="A615" s="0" t="n">
        <v>598</v>
      </c>
      <c r="B615" s="0" t="n">
        <v>649.357867885803</v>
      </c>
      <c r="C615" s="0" t="n">
        <v>664.753344255468</v>
      </c>
    </row>
    <row r="616" customFormat="false" ht="12" hidden="false" customHeight="false" outlineLevel="0" collapsed="false">
      <c r="A616" s="0" t="n">
        <v>599</v>
      </c>
      <c r="B616" s="0" t="n">
        <v>650.025214728927</v>
      </c>
      <c r="C616" s="0" t="n">
        <v>664.391082290081</v>
      </c>
    </row>
    <row r="617" customFormat="false" ht="12" hidden="false" customHeight="false" outlineLevel="0" collapsed="false">
      <c r="A617" s="0" t="n">
        <v>600</v>
      </c>
      <c r="B617" s="0" t="n">
        <v>650.769031612181</v>
      </c>
      <c r="C617" s="0" t="n">
        <v>666.867428781725</v>
      </c>
    </row>
    <row r="618" customFormat="false" ht="12" hidden="false" customHeight="false" outlineLevel="0" collapsed="false">
      <c r="A618" s="0" t="n">
        <v>601</v>
      </c>
      <c r="B618" s="0" t="n">
        <v>651.208748150071</v>
      </c>
      <c r="C618" s="0" t="n">
        <v>668.65478478392</v>
      </c>
    </row>
    <row r="619" customFormat="false" ht="12" hidden="false" customHeight="false" outlineLevel="0" collapsed="false">
      <c r="A619" s="0" t="n">
        <v>602</v>
      </c>
      <c r="B619" s="0" t="n">
        <v>651.333081767342</v>
      </c>
      <c r="C619" s="0" t="n">
        <v>670.798808073774</v>
      </c>
    </row>
    <row r="620" customFormat="false" ht="12" hidden="false" customHeight="false" outlineLevel="0" collapsed="false">
      <c r="A620" s="0" t="n">
        <v>603</v>
      </c>
      <c r="B620" s="0" t="n">
        <v>651.506966652693</v>
      </c>
      <c r="C620" s="0" t="n">
        <v>672.707135697023</v>
      </c>
    </row>
    <row r="621" customFormat="false" ht="12" hidden="false" customHeight="false" outlineLevel="0" collapsed="false">
      <c r="A621" s="0" t="n">
        <v>604</v>
      </c>
      <c r="B621" s="0" t="n">
        <v>652.685351961168</v>
      </c>
      <c r="C621" s="0" t="n">
        <v>666.541425702269</v>
      </c>
    </row>
    <row r="622" customFormat="false" ht="12" hidden="false" customHeight="false" outlineLevel="0" collapsed="false">
      <c r="A622" s="0" t="n">
        <v>605</v>
      </c>
      <c r="B622" s="0" t="n">
        <v>653.811073368411</v>
      </c>
      <c r="C622" s="0" t="n">
        <v>668.506260305344</v>
      </c>
    </row>
    <row r="623" customFormat="false" ht="12" hidden="false" customHeight="false" outlineLevel="0" collapsed="false">
      <c r="A623" s="0" t="n">
        <v>606</v>
      </c>
      <c r="B623" s="0" t="n">
        <v>656.659267744057</v>
      </c>
      <c r="C623" s="0" t="n">
        <v>674.802778709859</v>
      </c>
    </row>
    <row r="624" customFormat="false" ht="12" hidden="false" customHeight="false" outlineLevel="0" collapsed="false">
      <c r="A624" s="0" t="n">
        <v>607</v>
      </c>
      <c r="B624" s="0" t="n">
        <v>657.493147023793</v>
      </c>
      <c r="C624" s="0" t="n">
        <v>670.5763679437</v>
      </c>
    </row>
    <row r="625" customFormat="false" ht="12" hidden="false" customHeight="false" outlineLevel="0" collapsed="false">
      <c r="A625" s="0" t="n">
        <v>608</v>
      </c>
      <c r="B625" s="0" t="n">
        <v>660.909710714506</v>
      </c>
      <c r="C625" s="0" t="n">
        <v>676.827142828131</v>
      </c>
    </row>
    <row r="626" customFormat="false" ht="12" hidden="false" customHeight="false" outlineLevel="0" collapsed="false">
      <c r="A626" s="0" t="n">
        <v>609</v>
      </c>
      <c r="B626" s="0" t="n">
        <v>660.942660987507</v>
      </c>
      <c r="C626" s="0" t="n">
        <v>672.676530456543</v>
      </c>
    </row>
    <row r="627" customFormat="false" ht="12" hidden="false" customHeight="false" outlineLevel="0" collapsed="false">
      <c r="A627" s="0" t="n">
        <v>610</v>
      </c>
      <c r="B627" s="0" t="n">
        <v>660.991191816733</v>
      </c>
      <c r="C627" s="0" t="n">
        <v>674.555132689626</v>
      </c>
    </row>
    <row r="628" customFormat="false" ht="12" hidden="false" customHeight="false" outlineLevel="0" collapsed="false">
      <c r="A628" s="0" t="n">
        <v>611</v>
      </c>
      <c r="B628" s="0" t="n">
        <v>661.301574017252</v>
      </c>
      <c r="C628" s="0" t="n">
        <v>676.327122589631</v>
      </c>
    </row>
    <row r="629" customFormat="false" ht="12" hidden="false" customHeight="false" outlineLevel="0" collapsed="false">
      <c r="A629" s="0" t="n">
        <v>612</v>
      </c>
      <c r="B629" s="0" t="n">
        <v>662.348716718588</v>
      </c>
      <c r="C629" s="0" t="n">
        <v>678.313122825068</v>
      </c>
    </row>
    <row r="630" customFormat="false" ht="12" hidden="false" customHeight="false" outlineLevel="0" collapsed="false">
      <c r="A630" s="0" t="n">
        <v>613</v>
      </c>
      <c r="B630" s="0" t="n">
        <v>664.515847514817</v>
      </c>
      <c r="C630" s="0" t="n">
        <v>678.655205561326</v>
      </c>
    </row>
    <row r="631" customFormat="false" ht="12" hidden="false" customHeight="false" outlineLevel="0" collapsed="false">
      <c r="A631" s="0" t="n">
        <v>614</v>
      </c>
      <c r="B631" s="0" t="n">
        <v>665.062466498093</v>
      </c>
      <c r="C631" s="0" t="n">
        <v>680.694861938645</v>
      </c>
    </row>
    <row r="632" customFormat="false" ht="12" hidden="false" customHeight="false" outlineLevel="0" collapsed="false">
      <c r="A632" s="0" t="n">
        <v>615</v>
      </c>
      <c r="B632" s="0" t="n">
        <v>666.384407529844</v>
      </c>
      <c r="C632" s="0" t="n">
        <v>682.556156802581</v>
      </c>
    </row>
    <row r="633" customFormat="false" ht="12" hidden="false" customHeight="false" outlineLevel="0" collapsed="false">
      <c r="A633" s="0" t="n">
        <v>616</v>
      </c>
      <c r="B633" s="0" t="n">
        <v>667.090818869742</v>
      </c>
      <c r="C633" s="0" t="n">
        <v>680.173852237886</v>
      </c>
    </row>
    <row r="634" customFormat="false" ht="12" hidden="false" customHeight="false" outlineLevel="0" collapsed="false">
      <c r="A634" s="0" t="n">
        <v>617</v>
      </c>
      <c r="B634" s="0" t="n">
        <v>668.720620372648</v>
      </c>
      <c r="C634" s="0" t="n">
        <v>682.296786242691</v>
      </c>
    </row>
    <row r="635" customFormat="false" ht="12" hidden="false" customHeight="false" outlineLevel="0" collapsed="false">
      <c r="A635" s="0" t="n">
        <v>618</v>
      </c>
      <c r="B635" s="0" t="n">
        <v>669.728031942625</v>
      </c>
      <c r="C635" s="0" t="n">
        <v>684.515368173737</v>
      </c>
    </row>
    <row r="636" customFormat="false" ht="12" hidden="false" customHeight="false" outlineLevel="0" collapsed="false">
      <c r="A636" s="0" t="n">
        <v>619</v>
      </c>
      <c r="B636" s="0" t="n">
        <v>670.271093305642</v>
      </c>
      <c r="C636" s="0" t="n">
        <v>684.643395037889</v>
      </c>
    </row>
    <row r="637" customFormat="false" ht="12" hidden="false" customHeight="false" outlineLevel="0" collapsed="false">
      <c r="A637" s="0" t="n">
        <v>620</v>
      </c>
      <c r="B637" s="0" t="n">
        <v>670.377179464736</v>
      </c>
      <c r="C637" s="0" t="n">
        <v>686.655974835839</v>
      </c>
    </row>
    <row r="638" customFormat="false" ht="12" hidden="false" customHeight="false" outlineLevel="0" collapsed="false">
      <c r="A638" s="0" t="n">
        <v>621</v>
      </c>
      <c r="B638" s="0" t="n">
        <v>673.021351424611</v>
      </c>
      <c r="C638" s="0" t="n">
        <v>686.498026416093</v>
      </c>
    </row>
    <row r="639" customFormat="false" ht="12" hidden="false" customHeight="false" outlineLevel="0" collapsed="false">
      <c r="A639" s="0" t="n">
        <v>622</v>
      </c>
      <c r="B639" s="0" t="n">
        <v>674.443645398792</v>
      </c>
      <c r="C639" s="0" t="n">
        <v>688.872201452298</v>
      </c>
    </row>
    <row r="640" customFormat="false" ht="12" hidden="false" customHeight="false" outlineLevel="0" collapsed="false">
      <c r="A640" s="0" t="n">
        <v>623</v>
      </c>
      <c r="B640" s="0" t="n">
        <v>675.531899951879</v>
      </c>
      <c r="C640" s="0" t="n">
        <v>688.625491535319</v>
      </c>
    </row>
    <row r="641" customFormat="false" ht="12" hidden="false" customHeight="false" outlineLevel="0" collapsed="false">
      <c r="A641" s="0" t="n">
        <v>624</v>
      </c>
      <c r="B641" s="0" t="n">
        <v>677.174108635532</v>
      </c>
      <c r="C641" s="0" t="n">
        <v>690.768978994268</v>
      </c>
    </row>
    <row r="642" customFormat="false" ht="12" hidden="false" customHeight="false" outlineLevel="0" collapsed="false">
      <c r="A642" s="0" t="n">
        <v>625</v>
      </c>
      <c r="B642" s="0" t="n">
        <v>677.20498795933</v>
      </c>
      <c r="C642" s="0" t="n">
        <v>692.616870133269</v>
      </c>
    </row>
    <row r="643" customFormat="false" ht="12" hidden="false" customHeight="false" outlineLevel="0" collapsed="false">
      <c r="A643" s="0" t="n">
        <v>626</v>
      </c>
      <c r="B643" s="0" t="n">
        <v>679.21357121408</v>
      </c>
      <c r="C643" s="0" t="n">
        <v>690.599234802373</v>
      </c>
    </row>
    <row r="644" customFormat="false" ht="12" hidden="false" customHeight="false" outlineLevel="0" collapsed="false">
      <c r="A644" s="0" t="n">
        <v>627</v>
      </c>
      <c r="B644" s="0" t="n">
        <v>681.43324729907</v>
      </c>
      <c r="C644" s="0" t="n">
        <v>692.578448460157</v>
      </c>
    </row>
    <row r="645" customFormat="false" ht="12" hidden="false" customHeight="false" outlineLevel="0" collapsed="false">
      <c r="A645" s="0" t="n">
        <v>628</v>
      </c>
      <c r="B645" s="0" t="n">
        <v>681.496157389684</v>
      </c>
      <c r="C645" s="0" t="n">
        <v>694.464744965902</v>
      </c>
    </row>
    <row r="646" customFormat="false" ht="12" hidden="false" customHeight="false" outlineLevel="0" collapsed="false">
      <c r="A646" s="0" t="n">
        <v>629</v>
      </c>
      <c r="B646" s="0" t="n">
        <v>682.006993224429</v>
      </c>
      <c r="C646" s="0" t="n">
        <v>694.725427649277</v>
      </c>
    </row>
    <row r="647" customFormat="false" ht="12" hidden="false" customHeight="false" outlineLevel="0" collapsed="false">
      <c r="A647" s="0" t="n">
        <v>630</v>
      </c>
      <c r="B647" s="0" t="n">
        <v>684.542038923863</v>
      </c>
      <c r="C647" s="0" t="n">
        <v>696.534464150567</v>
      </c>
    </row>
    <row r="648" customFormat="false" ht="12" hidden="false" customHeight="false" outlineLevel="0" collapsed="false">
      <c r="A648" s="0" t="n">
        <v>631</v>
      </c>
      <c r="B648" s="0" t="n">
        <v>684.911268478007</v>
      </c>
      <c r="C648" s="0" t="n">
        <v>698.436516876899</v>
      </c>
    </row>
    <row r="649" customFormat="false" ht="12" hidden="false" customHeight="false" outlineLevel="0" collapsed="false">
      <c r="A649" s="0" t="n">
        <v>632</v>
      </c>
      <c r="B649" s="0" t="n">
        <v>685.201965579975</v>
      </c>
      <c r="C649" s="0" t="n">
        <v>696.87391651717</v>
      </c>
    </row>
    <row r="650" customFormat="false" ht="12" hidden="false" customHeight="false" outlineLevel="0" collapsed="false">
      <c r="A650" s="0" t="n">
        <v>633</v>
      </c>
      <c r="B650" s="0" t="n">
        <v>686.693288153161</v>
      </c>
      <c r="C650" s="0" t="n">
        <v>700.447555672951</v>
      </c>
    </row>
    <row r="651" customFormat="false" ht="12" hidden="false" customHeight="false" outlineLevel="0" collapsed="false">
      <c r="A651" s="0" t="n">
        <v>634</v>
      </c>
      <c r="B651" s="0" t="n">
        <v>687.379492251201</v>
      </c>
      <c r="C651" s="0" t="n">
        <v>698.912737025615</v>
      </c>
    </row>
    <row r="652" customFormat="false" ht="12" hidden="false" customHeight="false" outlineLevel="0" collapsed="false">
      <c r="A652" s="0" t="n">
        <v>635</v>
      </c>
      <c r="B652" s="0" t="n">
        <v>689.063946683783</v>
      </c>
      <c r="C652" s="0" t="n">
        <v>702.69541048153</v>
      </c>
    </row>
    <row r="653" customFormat="false" ht="12" hidden="false" customHeight="false" outlineLevel="0" collapsed="false">
      <c r="A653" s="0" t="n">
        <v>636</v>
      </c>
      <c r="B653" s="0" t="n">
        <v>693.251857201978</v>
      </c>
      <c r="C653" s="0" t="n">
        <v>704.467741067549</v>
      </c>
    </row>
    <row r="654" customFormat="false" ht="12" hidden="false" customHeight="false" outlineLevel="0" collapsed="false">
      <c r="A654" s="0" t="n">
        <v>637</v>
      </c>
      <c r="B654" s="0" t="n">
        <v>693.530929794584</v>
      </c>
      <c r="C654" s="0" t="n">
        <v>701.061796525043</v>
      </c>
    </row>
    <row r="655" customFormat="false" ht="12" hidden="false" customHeight="false" outlineLevel="0" collapsed="false">
      <c r="A655" s="0" t="n">
        <v>638</v>
      </c>
      <c r="B655" s="0" t="n">
        <v>693.701657309627</v>
      </c>
      <c r="C655" s="0" t="n">
        <v>703.265405141711</v>
      </c>
    </row>
    <row r="656" customFormat="false" ht="12" hidden="false" customHeight="false" outlineLevel="0" collapsed="false">
      <c r="A656" s="0" t="n">
        <v>639</v>
      </c>
      <c r="B656" s="0" t="n">
        <v>695.477397568061</v>
      </c>
      <c r="C656" s="0" t="n">
        <v>705.434908806374</v>
      </c>
    </row>
    <row r="657" customFormat="false" ht="12" hidden="false" customHeight="false" outlineLevel="0" collapsed="false">
      <c r="A657" s="0" t="n">
        <v>640</v>
      </c>
      <c r="B657" s="0" t="n">
        <v>696.343199583154</v>
      </c>
      <c r="C657" s="0" t="n">
        <v>706.50166447983</v>
      </c>
    </row>
    <row r="658" customFormat="false" ht="12" hidden="false" customHeight="false" outlineLevel="0" collapsed="false">
      <c r="A658" s="0" t="n">
        <v>641</v>
      </c>
      <c r="B658" s="0" t="n">
        <v>696.494596221423</v>
      </c>
      <c r="C658" s="0" t="n">
        <v>708.483986158035</v>
      </c>
    </row>
    <row r="659" customFormat="false" ht="12" hidden="false" customHeight="false" outlineLevel="0" collapsed="false">
      <c r="A659" s="0" t="n">
        <v>642</v>
      </c>
      <c r="B659" s="0" t="n">
        <v>699.716176435651</v>
      </c>
      <c r="C659" s="0" t="n">
        <v>710.360012998286</v>
      </c>
    </row>
    <row r="660" customFormat="false" ht="12" hidden="false" customHeight="false" outlineLevel="0" collapsed="false">
      <c r="A660" s="0" t="n">
        <v>643</v>
      </c>
      <c r="B660" s="0" t="n">
        <v>700.061237928585</v>
      </c>
      <c r="C660" s="0" t="n">
        <v>707.604048210816</v>
      </c>
    </row>
    <row r="661" customFormat="false" ht="12" hidden="false" customHeight="false" outlineLevel="0" collapsed="false">
      <c r="A661" s="0" t="n">
        <v>644</v>
      </c>
      <c r="B661" s="0" t="n">
        <v>701.742373216528</v>
      </c>
      <c r="C661" s="0" t="n">
        <v>709.678679867258</v>
      </c>
    </row>
    <row r="662" customFormat="false" ht="12" hidden="false" customHeight="false" outlineLevel="0" collapsed="false">
      <c r="A662" s="0" t="n">
        <v>645</v>
      </c>
      <c r="B662" s="0" t="n">
        <v>701.926311751646</v>
      </c>
      <c r="C662" s="0" t="n">
        <v>711.906851405922</v>
      </c>
    </row>
    <row r="663" customFormat="false" ht="12" hidden="false" customHeight="false" outlineLevel="0" collapsed="false">
      <c r="A663" s="0" t="n">
        <v>646</v>
      </c>
      <c r="B663" s="0" t="n">
        <v>705.473666497618</v>
      </c>
      <c r="C663" s="0" t="n">
        <v>712.385317752511</v>
      </c>
    </row>
    <row r="664" customFormat="false" ht="12" hidden="false" customHeight="false" outlineLevel="0" collapsed="false">
      <c r="A664" s="0" t="n">
        <v>647</v>
      </c>
      <c r="B664" s="0" t="n">
        <v>709.220878202679</v>
      </c>
      <c r="C664" s="0" t="n">
        <v>713.783557586219</v>
      </c>
    </row>
    <row r="665" customFormat="false" ht="12" hidden="false" customHeight="false" outlineLevel="0" collapsed="false">
      <c r="A665" s="0" t="n">
        <v>648</v>
      </c>
      <c r="B665" s="0" t="n">
        <v>709.46097167603</v>
      </c>
      <c r="C665" s="0" t="n">
        <v>716.015944087764</v>
      </c>
    </row>
    <row r="666" customFormat="false" ht="12" hidden="false" customHeight="false" outlineLevel="0" collapsed="false">
      <c r="A666" s="0" t="n">
        <v>649</v>
      </c>
      <c r="B666" s="0" t="n">
        <v>712.40739257906</v>
      </c>
      <c r="C666" s="0" t="n">
        <v>714.551636080446</v>
      </c>
    </row>
    <row r="667" customFormat="false" ht="12" hidden="false" customHeight="false" outlineLevel="0" collapsed="false">
      <c r="A667" s="0" t="n">
        <v>650</v>
      </c>
      <c r="B667" s="0" t="n">
        <v>712.514176734498</v>
      </c>
      <c r="C667" s="0" t="n">
        <v>716.605529766106</v>
      </c>
    </row>
    <row r="668" customFormat="false" ht="12" hidden="false" customHeight="false" outlineLevel="0" collapsed="false">
      <c r="A668" s="0" t="n">
        <v>651</v>
      </c>
      <c r="B668" s="0" t="n">
        <v>713.551923371306</v>
      </c>
      <c r="C668" s="0" t="n">
        <v>718.69943937766</v>
      </c>
    </row>
    <row r="669" customFormat="false" ht="12" hidden="false" customHeight="false" outlineLevel="0" collapsed="false">
      <c r="A669" s="0" t="n">
        <v>652</v>
      </c>
      <c r="B669" s="0" t="n">
        <v>714.862595303076</v>
      </c>
      <c r="C669" s="0" t="n">
        <v>718.117803576507</v>
      </c>
    </row>
    <row r="670" customFormat="false" ht="12" hidden="false" customHeight="false" outlineLevel="0" collapsed="false">
      <c r="A670" s="0" t="n">
        <v>653</v>
      </c>
      <c r="B670" s="0" t="n">
        <v>715.470114611552</v>
      </c>
      <c r="C670" s="0" t="n">
        <v>720.59860159598</v>
      </c>
    </row>
    <row r="671" customFormat="false" ht="12" hidden="false" customHeight="false" outlineLevel="0" collapsed="false">
      <c r="A671" s="0" t="n">
        <v>654</v>
      </c>
      <c r="B671" s="0" t="n">
        <v>719.181220461187</v>
      </c>
      <c r="C671" s="0" t="n">
        <v>721.26022274719</v>
      </c>
    </row>
    <row r="672" customFormat="false" ht="12" hidden="false" customHeight="false" outlineLevel="0" collapsed="false">
      <c r="A672" s="0" t="n">
        <v>655</v>
      </c>
      <c r="B672" s="0" t="n">
        <v>720.026769407929</v>
      </c>
      <c r="C672" s="0" t="n">
        <v>722.705572947806</v>
      </c>
    </row>
    <row r="673" customFormat="false" ht="12" hidden="false" customHeight="false" outlineLevel="0" collapsed="false">
      <c r="A673" s="0" t="n">
        <v>656</v>
      </c>
      <c r="B673" s="0" t="n">
        <v>720.362579843199</v>
      </c>
      <c r="C673" s="0" t="n">
        <v>723.473086129843</v>
      </c>
    </row>
    <row r="674" customFormat="false" ht="12" hidden="false" customHeight="false" outlineLevel="0" collapsed="false">
      <c r="A674" s="0" t="n">
        <v>657</v>
      </c>
      <c r="B674" s="0" t="n">
        <v>721.838489336405</v>
      </c>
      <c r="C674" s="0" t="n">
        <v>725.354452496165</v>
      </c>
    </row>
    <row r="675" customFormat="false" ht="12" hidden="false" customHeight="false" outlineLevel="0" collapsed="false">
      <c r="A675" s="0" t="n">
        <v>658</v>
      </c>
      <c r="B675" s="0" t="n">
        <v>722.359461875398</v>
      </c>
      <c r="C675" s="0" t="n">
        <v>727.358389525816</v>
      </c>
    </row>
    <row r="676" customFormat="false" ht="12" hidden="false" customHeight="false" outlineLevel="0" collapsed="false">
      <c r="A676" s="0" t="n">
        <v>659</v>
      </c>
      <c r="B676" s="0" t="n">
        <v>722.481935593506</v>
      </c>
      <c r="C676" s="0" t="n">
        <v>724.661442297936</v>
      </c>
    </row>
    <row r="677" customFormat="false" ht="12" hidden="false" customHeight="false" outlineLevel="0" collapsed="false">
      <c r="A677" s="0" t="n">
        <v>660</v>
      </c>
      <c r="B677" s="0" t="n">
        <v>725.187836386356</v>
      </c>
      <c r="C677" s="0" t="n">
        <v>727.07180097397</v>
      </c>
    </row>
    <row r="678" customFormat="false" ht="12" hidden="false" customHeight="false" outlineLevel="0" collapsed="false">
      <c r="A678" s="0" t="n">
        <v>661</v>
      </c>
      <c r="B678" s="0" t="n">
        <v>725.637275236251</v>
      </c>
      <c r="C678" s="0" t="n">
        <v>729.114211217626</v>
      </c>
    </row>
    <row r="679" customFormat="false" ht="12" hidden="false" customHeight="false" outlineLevel="0" collapsed="false">
      <c r="A679" s="0" t="n">
        <v>662</v>
      </c>
      <c r="B679" s="0" t="n">
        <v>726.262444293734</v>
      </c>
      <c r="C679" s="0" t="n">
        <v>729.168163039595</v>
      </c>
    </row>
    <row r="680" customFormat="false" ht="12" hidden="false" customHeight="false" outlineLevel="0" collapsed="false">
      <c r="A680" s="0" t="n">
        <v>663</v>
      </c>
      <c r="B680" s="0" t="n">
        <v>726.540309266928</v>
      </c>
      <c r="C680" s="0" t="n">
        <v>731.361687450337</v>
      </c>
    </row>
    <row r="681" customFormat="false" ht="12" hidden="false" customHeight="false" outlineLevel="0" collapsed="false">
      <c r="A681" s="0" t="n">
        <v>664</v>
      </c>
      <c r="B681" s="0" t="n">
        <v>727.198830299627</v>
      </c>
      <c r="C681" s="0" t="n">
        <v>731.294708833733</v>
      </c>
    </row>
    <row r="682" customFormat="false" ht="12" hidden="false" customHeight="false" outlineLevel="0" collapsed="false">
      <c r="A682" s="0" t="n">
        <v>665</v>
      </c>
      <c r="B682" s="0" t="n">
        <v>727.450076066949</v>
      </c>
      <c r="C682" s="0" t="n">
        <v>733.128200359479</v>
      </c>
    </row>
    <row r="683" customFormat="false" ht="12" hidden="false" customHeight="false" outlineLevel="0" collapsed="false">
      <c r="A683" s="0" t="n">
        <v>666</v>
      </c>
      <c r="B683" s="0" t="n">
        <v>730.414133499102</v>
      </c>
      <c r="C683" s="0" t="n">
        <v>733.179309972252</v>
      </c>
    </row>
    <row r="684" customFormat="false" ht="12" hidden="false" customHeight="false" outlineLevel="0" collapsed="false">
      <c r="A684" s="0" t="n">
        <v>667</v>
      </c>
      <c r="B684" s="0" t="n">
        <v>731.947627795775</v>
      </c>
      <c r="C684" s="0" t="n">
        <v>735.015142545169</v>
      </c>
    </row>
    <row r="685" customFormat="false" ht="12" hidden="false" customHeight="false" outlineLevel="0" collapsed="false">
      <c r="A685" s="0" t="n">
        <v>668</v>
      </c>
      <c r="B685" s="0" t="n">
        <v>732.625482442689</v>
      </c>
      <c r="C685" s="0" t="n">
        <v>737.150873786168</v>
      </c>
    </row>
    <row r="686" customFormat="false" ht="12" hidden="false" customHeight="false" outlineLevel="0" collapsed="false">
      <c r="A686" s="0" t="n">
        <v>669</v>
      </c>
      <c r="B686" s="0" t="n">
        <v>732.944461967601</v>
      </c>
      <c r="C686" s="0" t="n">
        <v>735.162917988552</v>
      </c>
    </row>
    <row r="687" customFormat="false" ht="12" hidden="false" customHeight="false" outlineLevel="0" collapsed="false">
      <c r="A687" s="0" t="n">
        <v>670</v>
      </c>
      <c r="B687" s="0" t="n">
        <v>733.486889713038</v>
      </c>
      <c r="C687" s="0" t="n">
        <v>737.147419522165</v>
      </c>
    </row>
    <row r="688" customFormat="false" ht="12" hidden="false" customHeight="false" outlineLevel="0" collapsed="false">
      <c r="A688" s="0" t="n">
        <v>671</v>
      </c>
      <c r="B688" s="0" t="n">
        <v>734.879287630308</v>
      </c>
      <c r="C688" s="0" t="n">
        <v>739.191692307345</v>
      </c>
    </row>
    <row r="689" customFormat="false" ht="12" hidden="false" customHeight="false" outlineLevel="0" collapsed="false">
      <c r="A689" s="0" t="n">
        <v>672</v>
      </c>
      <c r="B689" s="0" t="n">
        <v>737.6176756752</v>
      </c>
      <c r="C689" s="0" t="n">
        <v>741.328832827793</v>
      </c>
    </row>
    <row r="690" customFormat="false" ht="12" hidden="false" customHeight="false" outlineLevel="0" collapsed="false">
      <c r="A690" s="0" t="n">
        <v>673</v>
      </c>
      <c r="B690" s="0" t="n">
        <v>740.829445306065</v>
      </c>
      <c r="C690" s="0" t="n">
        <v>743.498567940329</v>
      </c>
    </row>
    <row r="691" customFormat="false" ht="12" hidden="false" customHeight="false" outlineLevel="0" collapsed="false">
      <c r="A691" s="0" t="n">
        <v>674</v>
      </c>
      <c r="B691" s="0" t="n">
        <v>740.85640863164</v>
      </c>
      <c r="C691" s="0" t="n">
        <v>742.761731272784</v>
      </c>
    </row>
    <row r="692" customFormat="false" ht="12" hidden="false" customHeight="false" outlineLevel="0" collapsed="false">
      <c r="A692" s="0" t="n">
        <v>675</v>
      </c>
      <c r="B692" s="0" t="n">
        <v>742.447075364814</v>
      </c>
      <c r="C692" s="0" t="n">
        <v>745.501083699934</v>
      </c>
    </row>
    <row r="693" customFormat="false" ht="12" hidden="false" customHeight="false" outlineLevel="0" collapsed="false">
      <c r="A693" s="0" t="n">
        <v>676</v>
      </c>
      <c r="B693" s="0" t="n">
        <v>742.502384224976</v>
      </c>
      <c r="C693" s="0" t="n">
        <v>744.655025877593</v>
      </c>
    </row>
    <row r="694" customFormat="false" ht="12" hidden="false" customHeight="false" outlineLevel="0" collapsed="false">
      <c r="A694" s="0" t="n">
        <v>677</v>
      </c>
      <c r="B694" s="0" t="n">
        <v>743.340866265595</v>
      </c>
      <c r="C694" s="0" t="n">
        <v>746.550076869617</v>
      </c>
    </row>
    <row r="695" customFormat="false" ht="12" hidden="false" customHeight="false" outlineLevel="0" collapsed="false">
      <c r="A695" s="0" t="n">
        <v>678</v>
      </c>
      <c r="B695" s="0" t="n">
        <v>743.511909975716</v>
      </c>
      <c r="C695" s="0" t="n">
        <v>747.639879782295</v>
      </c>
    </row>
    <row r="696" customFormat="false" ht="12" hidden="false" customHeight="false" outlineLevel="0" collapsed="false">
      <c r="A696" s="0" t="n">
        <v>679</v>
      </c>
      <c r="B696" s="0" t="n">
        <v>744.336578704797</v>
      </c>
      <c r="C696" s="0" t="n">
        <v>748.689800965154</v>
      </c>
    </row>
    <row r="697" customFormat="false" ht="12" hidden="false" customHeight="false" outlineLevel="0" collapsed="false">
      <c r="A697" s="0" t="n">
        <v>680</v>
      </c>
      <c r="B697" s="0" t="n">
        <v>746.262796632241</v>
      </c>
      <c r="C697" s="0" t="n">
        <v>749.449361987141</v>
      </c>
    </row>
    <row r="698" customFormat="false" ht="12" hidden="false" customHeight="false" outlineLevel="0" collapsed="false">
      <c r="A698" s="0" t="n">
        <v>681</v>
      </c>
      <c r="B698" s="0" t="n">
        <v>746.91787071144</v>
      </c>
      <c r="C698" s="0" t="n">
        <v>750.472864280222</v>
      </c>
    </row>
    <row r="699" customFormat="false" ht="12" hidden="false" customHeight="false" outlineLevel="0" collapsed="false">
      <c r="A699" s="0" t="n">
        <v>682</v>
      </c>
      <c r="B699" s="0" t="n">
        <v>747.186236457515</v>
      </c>
      <c r="C699" s="0" t="n">
        <v>752.307920362459</v>
      </c>
    </row>
    <row r="700" customFormat="false" ht="12" hidden="false" customHeight="false" outlineLevel="0" collapsed="false">
      <c r="A700" s="0" t="n">
        <v>683</v>
      </c>
      <c r="B700" s="0" t="n">
        <v>747.485178476949</v>
      </c>
      <c r="C700" s="0" t="n">
        <v>751.333789482151</v>
      </c>
    </row>
    <row r="701" customFormat="false" ht="12" hidden="false" customHeight="false" outlineLevel="0" collapsed="false">
      <c r="A701" s="0" t="n">
        <v>684</v>
      </c>
      <c r="B701" s="0" t="n">
        <v>749.751038962891</v>
      </c>
      <c r="C701" s="0" t="n">
        <v>754.120754688796</v>
      </c>
    </row>
    <row r="702" customFormat="false" ht="12" hidden="false" customHeight="false" outlineLevel="0" collapsed="false">
      <c r="A702" s="0" t="n">
        <v>685</v>
      </c>
      <c r="B702" s="0" t="n">
        <v>749.983502797389</v>
      </c>
      <c r="C702" s="0" t="n">
        <v>753.155155640259</v>
      </c>
    </row>
    <row r="703" customFormat="false" ht="12" hidden="false" customHeight="false" outlineLevel="0" collapsed="false">
      <c r="A703" s="0" t="n">
        <v>686</v>
      </c>
      <c r="B703" s="0" t="n">
        <v>750.368296163405</v>
      </c>
      <c r="C703" s="0" t="n">
        <v>755.075452119853</v>
      </c>
    </row>
    <row r="704" customFormat="false" ht="12" hidden="false" customHeight="false" outlineLevel="0" collapsed="false">
      <c r="A704" s="0" t="n">
        <v>687</v>
      </c>
      <c r="B704" s="0" t="n">
        <v>750.515521328735</v>
      </c>
      <c r="C704" s="0" t="n">
        <v>756.893181005058</v>
      </c>
    </row>
    <row r="705" customFormat="false" ht="12" hidden="false" customHeight="false" outlineLevel="0" collapsed="false">
      <c r="A705" s="0" t="n">
        <v>688</v>
      </c>
      <c r="B705" s="0" t="n">
        <v>750.590484086966</v>
      </c>
      <c r="C705" s="0" t="n">
        <v>755.940293789899</v>
      </c>
    </row>
    <row r="706" customFormat="false" ht="12" hidden="false" customHeight="false" outlineLevel="0" collapsed="false">
      <c r="A706" s="0" t="n">
        <v>689</v>
      </c>
      <c r="B706" s="0" t="n">
        <v>750.876271446891</v>
      </c>
      <c r="C706" s="0" t="n">
        <v>757.785701963584</v>
      </c>
    </row>
    <row r="707" customFormat="false" ht="12" hidden="false" customHeight="false" outlineLevel="0" collapsed="false">
      <c r="A707" s="0" t="n">
        <v>690</v>
      </c>
      <c r="B707" s="0" t="n">
        <v>753.150539962164</v>
      </c>
      <c r="C707" s="0" t="n">
        <v>759.030139277786</v>
      </c>
    </row>
    <row r="708" customFormat="false" ht="12" hidden="false" customHeight="false" outlineLevel="0" collapsed="false">
      <c r="A708" s="0" t="n">
        <v>691</v>
      </c>
      <c r="B708" s="0" t="n">
        <v>755.424266390186</v>
      </c>
      <c r="C708" s="0" t="n">
        <v>759.55915436552</v>
      </c>
    </row>
    <row r="709" customFormat="false" ht="12" hidden="false" customHeight="false" outlineLevel="0" collapsed="false">
      <c r="A709" s="0" t="n">
        <v>692</v>
      </c>
      <c r="B709" s="0" t="n">
        <v>755.444848453266</v>
      </c>
      <c r="C709" s="0" t="n">
        <v>761.265846738358</v>
      </c>
    </row>
    <row r="710" customFormat="false" ht="12" hidden="false" customHeight="false" outlineLevel="0" collapsed="false">
      <c r="A710" s="0" t="n">
        <v>693</v>
      </c>
      <c r="B710" s="0" t="n">
        <v>755.790695787104</v>
      </c>
      <c r="C710" s="0" t="n">
        <v>763.032341312062</v>
      </c>
    </row>
    <row r="711" customFormat="false" ht="12" hidden="false" customHeight="false" outlineLevel="0" collapsed="false">
      <c r="A711" s="0" t="n">
        <v>694</v>
      </c>
      <c r="B711" s="0" t="n">
        <v>757.241595379156</v>
      </c>
      <c r="C711" s="0" t="n">
        <v>761.547698802917</v>
      </c>
    </row>
    <row r="712" customFormat="false" ht="12" hidden="false" customHeight="false" outlineLevel="0" collapsed="false">
      <c r="A712" s="0" t="n">
        <v>695</v>
      </c>
      <c r="B712" s="0" t="n">
        <v>758.691455919776</v>
      </c>
      <c r="C712" s="0" t="n">
        <v>763.309129450354</v>
      </c>
    </row>
    <row r="713" customFormat="false" ht="12" hidden="false" customHeight="false" outlineLevel="0" collapsed="false">
      <c r="A713" s="0" t="n">
        <v>696</v>
      </c>
      <c r="B713" s="0" t="n">
        <v>759.749383693222</v>
      </c>
      <c r="C713" s="0" t="n">
        <v>765.437508753878</v>
      </c>
    </row>
    <row r="714" customFormat="false" ht="12" hidden="false" customHeight="false" outlineLevel="0" collapsed="false">
      <c r="A714" s="0" t="n">
        <v>697</v>
      </c>
      <c r="B714" s="0" t="n">
        <v>763.091269622232</v>
      </c>
      <c r="C714" s="0" t="n">
        <v>765.160171250029</v>
      </c>
    </row>
    <row r="715" customFormat="false" ht="12" hidden="false" customHeight="false" outlineLevel="0" collapsed="false">
      <c r="A715" s="0" t="n">
        <v>698</v>
      </c>
      <c r="B715" s="0" t="n">
        <v>763.264794264599</v>
      </c>
      <c r="C715" s="0" t="n">
        <v>766.955658000448</v>
      </c>
    </row>
    <row r="716" customFormat="false" ht="12" hidden="false" customHeight="false" outlineLevel="0" collapsed="false">
      <c r="A716" s="0" t="n">
        <v>699</v>
      </c>
      <c r="B716" s="0" t="n">
        <v>764.197512935989</v>
      </c>
      <c r="C716" s="0" t="n">
        <v>767.238171558661</v>
      </c>
    </row>
    <row r="717" customFormat="false" ht="12" hidden="false" customHeight="false" outlineLevel="0" collapsed="false">
      <c r="A717" s="0" t="n">
        <v>700</v>
      </c>
      <c r="B717" s="0" t="n">
        <v>764.955518637863</v>
      </c>
      <c r="C717" s="0" t="n">
        <v>768.816326808728</v>
      </c>
    </row>
    <row r="718" customFormat="false" ht="12" hidden="false" customHeight="false" outlineLevel="0" collapsed="false">
      <c r="A718" s="0" t="n">
        <v>701</v>
      </c>
      <c r="B718" s="0" t="n">
        <v>765.029321221806</v>
      </c>
      <c r="C718" s="0" t="n">
        <v>769.463145396793</v>
      </c>
    </row>
    <row r="719" customFormat="false" ht="12" hidden="false" customHeight="false" outlineLevel="0" collapsed="false">
      <c r="A719" s="0" t="n">
        <v>702</v>
      </c>
      <c r="B719" s="0" t="n">
        <v>766.362090806318</v>
      </c>
      <c r="C719" s="0" t="n">
        <v>771.488729663581</v>
      </c>
    </row>
    <row r="720" customFormat="false" ht="12" hidden="false" customHeight="false" outlineLevel="0" collapsed="false">
      <c r="A720" s="0" t="n">
        <v>703</v>
      </c>
      <c r="B720" s="0" t="n">
        <v>767.694631840778</v>
      </c>
      <c r="C720" s="0" t="n">
        <v>770.784811091536</v>
      </c>
    </row>
    <row r="721" customFormat="false" ht="12" hidden="false" customHeight="false" outlineLevel="0" collapsed="false">
      <c r="A721" s="0" t="n">
        <v>704</v>
      </c>
      <c r="B721" s="0" t="n">
        <v>769.514406299889</v>
      </c>
      <c r="C721" s="0" t="n">
        <v>773.559918922494</v>
      </c>
    </row>
    <row r="722" customFormat="false" ht="12" hidden="false" customHeight="false" outlineLevel="0" collapsed="false">
      <c r="A722" s="0" t="n">
        <v>705</v>
      </c>
      <c r="B722" s="0" t="n">
        <v>769.728384354727</v>
      </c>
      <c r="C722" s="0" t="n">
        <v>772.607083230381</v>
      </c>
    </row>
    <row r="723" customFormat="false" ht="12" hidden="false" customHeight="false" outlineLevel="0" collapsed="false">
      <c r="A723" s="0" t="n">
        <v>706</v>
      </c>
      <c r="B723" s="0" t="n">
        <v>769.752897808304</v>
      </c>
      <c r="C723" s="0" t="n">
        <v>775.688636006067</v>
      </c>
    </row>
    <row r="724" customFormat="false" ht="12" hidden="false" customHeight="false" outlineLevel="0" collapsed="false">
      <c r="A724" s="0" t="n">
        <v>707</v>
      </c>
      <c r="B724" s="0" t="n">
        <v>769.874980330118</v>
      </c>
      <c r="C724" s="0" t="n">
        <v>774.733065477185</v>
      </c>
    </row>
    <row r="725" customFormat="false" ht="12" hidden="false" customHeight="false" outlineLevel="0" collapsed="false">
      <c r="A725" s="0" t="n">
        <v>708</v>
      </c>
      <c r="B725" s="0" t="n">
        <v>769.87696069788</v>
      </c>
      <c r="C725" s="0" t="n">
        <v>776.870229193739</v>
      </c>
    </row>
    <row r="726" customFormat="false" ht="12" hidden="false" customHeight="false" outlineLevel="0" collapsed="false">
      <c r="A726" s="0" t="n">
        <v>709</v>
      </c>
      <c r="B726" s="0" t="n">
        <v>771.846136894661</v>
      </c>
      <c r="C726" s="0" t="n">
        <v>777.873128124094</v>
      </c>
    </row>
    <row r="727" customFormat="false" ht="12" hidden="false" customHeight="false" outlineLevel="0" collapsed="false">
      <c r="A727" s="0" t="n">
        <v>710</v>
      </c>
      <c r="B727" s="0" t="n">
        <v>773.516198539286</v>
      </c>
      <c r="C727" s="0" t="n">
        <v>779.690022266235</v>
      </c>
    </row>
    <row r="728" customFormat="false" ht="12" hidden="false" customHeight="false" outlineLevel="0" collapsed="false">
      <c r="A728" s="0" t="n">
        <v>711</v>
      </c>
      <c r="B728" s="0" t="n">
        <v>773.711496869758</v>
      </c>
      <c r="C728" s="0" t="n">
        <v>778.848818278159</v>
      </c>
    </row>
    <row r="729" customFormat="false" ht="12" hidden="false" customHeight="false" outlineLevel="0" collapsed="false">
      <c r="A729" s="0" t="n">
        <v>712</v>
      </c>
      <c r="B729" s="0" t="n">
        <v>773.938583391759</v>
      </c>
      <c r="C729" s="0" t="n">
        <v>780.615995563476</v>
      </c>
    </row>
    <row r="730" customFormat="false" ht="12" hidden="false" customHeight="false" outlineLevel="0" collapsed="false">
      <c r="A730" s="0" t="n">
        <v>713</v>
      </c>
      <c r="B730" s="0" t="n">
        <v>774.466121785787</v>
      </c>
      <c r="C730" s="0" t="n">
        <v>781.853184209291</v>
      </c>
    </row>
    <row r="731" customFormat="false" ht="12" hidden="false" customHeight="false" outlineLevel="0" collapsed="false">
      <c r="A731" s="0" t="n">
        <v>714</v>
      </c>
      <c r="B731" s="0" t="n">
        <v>776.79905831565</v>
      </c>
      <c r="C731" s="0" t="n">
        <v>784.036330550616</v>
      </c>
    </row>
    <row r="732" customFormat="false" ht="12" hidden="false" customHeight="false" outlineLevel="0" collapsed="false">
      <c r="A732" s="0" t="n">
        <v>715</v>
      </c>
      <c r="B732" s="0" t="n">
        <v>777.352779436279</v>
      </c>
      <c r="C732" s="0" t="n">
        <v>782.444619421704</v>
      </c>
    </row>
    <row r="733" customFormat="false" ht="12" hidden="false" customHeight="false" outlineLevel="0" collapsed="false">
      <c r="A733" s="0" t="n">
        <v>716</v>
      </c>
      <c r="B733" s="0" t="n">
        <v>777.535632514089</v>
      </c>
      <c r="C733" s="0" t="n">
        <v>785.957416990568</v>
      </c>
    </row>
    <row r="734" customFormat="false" ht="12" hidden="false" customHeight="false" outlineLevel="0" collapsed="false">
      <c r="A734" s="0" t="n">
        <v>717</v>
      </c>
      <c r="B734" s="0" t="n">
        <v>783.325246163151</v>
      </c>
      <c r="C734" s="0" t="n">
        <v>787.919405452468</v>
      </c>
    </row>
    <row r="735" customFormat="false" ht="12" hidden="false" customHeight="false" outlineLevel="0" collapsed="false">
      <c r="A735" s="0" t="n">
        <v>718</v>
      </c>
      <c r="B735" s="0" t="n">
        <v>783.498166053771</v>
      </c>
      <c r="C735" s="0" t="n">
        <v>785.63369414236</v>
      </c>
    </row>
    <row r="736" customFormat="false" ht="12" hidden="false" customHeight="false" outlineLevel="0" collapsed="false">
      <c r="A736" s="0" t="n">
        <v>719</v>
      </c>
      <c r="B736" s="0" t="n">
        <v>784.796593037971</v>
      </c>
      <c r="C736" s="0" t="n">
        <v>787.724171094124</v>
      </c>
    </row>
    <row r="737" customFormat="false" ht="12" hidden="false" customHeight="false" outlineLevel="0" collapsed="false">
      <c r="A737" s="0" t="n">
        <v>720</v>
      </c>
      <c r="B737" s="0" t="n">
        <v>785.220807333236</v>
      </c>
      <c r="C737" s="0" t="n">
        <v>790.109516924192</v>
      </c>
    </row>
    <row r="738" customFormat="false" ht="12" hidden="false" customHeight="false" outlineLevel="0" collapsed="false">
      <c r="A738" s="0" t="n">
        <v>721</v>
      </c>
      <c r="B738" s="0" t="n">
        <v>785.809751127701</v>
      </c>
      <c r="C738" s="0" t="n">
        <v>789.752512143549</v>
      </c>
    </row>
    <row r="739" customFormat="false" ht="12" hidden="false" customHeight="false" outlineLevel="0" collapsed="false">
      <c r="A739" s="0" t="n">
        <v>722</v>
      </c>
      <c r="B739" s="0" t="n">
        <v>788.412749092124</v>
      </c>
      <c r="C739" s="0" t="n">
        <v>791.924295183964</v>
      </c>
    </row>
    <row r="740" customFormat="false" ht="12" hidden="false" customHeight="false" outlineLevel="0" collapsed="false">
      <c r="A740" s="0" t="n">
        <v>723</v>
      </c>
      <c r="B740" s="0" t="n">
        <v>788.759360091222</v>
      </c>
      <c r="C740" s="0" t="n">
        <v>792.034253116654</v>
      </c>
    </row>
    <row r="741" customFormat="false" ht="12" hidden="false" customHeight="false" outlineLevel="0" collapsed="false">
      <c r="A741" s="0" t="n">
        <v>724</v>
      </c>
      <c r="B741" s="0" t="n">
        <v>788.908311377959</v>
      </c>
      <c r="C741" s="0" t="n">
        <v>794.070703845177</v>
      </c>
    </row>
    <row r="742" customFormat="false" ht="12" hidden="false" customHeight="false" outlineLevel="0" collapsed="false">
      <c r="A742" s="0" t="n">
        <v>725</v>
      </c>
      <c r="B742" s="0" t="n">
        <v>789.295943304304</v>
      </c>
      <c r="C742" s="0" t="n">
        <v>794.147798815057</v>
      </c>
    </row>
    <row r="743" customFormat="false" ht="12" hidden="false" customHeight="false" outlineLevel="0" collapsed="false">
      <c r="A743" s="0" t="n">
        <v>726</v>
      </c>
      <c r="B743" s="0" t="n">
        <v>789.940563311802</v>
      </c>
      <c r="C743" s="0" t="n">
        <v>796.183897450782</v>
      </c>
    </row>
    <row r="744" customFormat="false" ht="12" hidden="false" customHeight="false" outlineLevel="0" collapsed="false">
      <c r="A744" s="0" t="n">
        <v>727</v>
      </c>
      <c r="B744" s="0" t="n">
        <v>790.087987481563</v>
      </c>
      <c r="C744" s="0" t="n">
        <v>798.413258556673</v>
      </c>
    </row>
    <row r="745" customFormat="false" ht="12" hidden="false" customHeight="false" outlineLevel="0" collapsed="false">
      <c r="A745" s="0" t="n">
        <v>728</v>
      </c>
      <c r="B745" s="0" t="n">
        <v>790.583307531284</v>
      </c>
      <c r="C745" s="0" t="n">
        <v>796.059198261283</v>
      </c>
    </row>
    <row r="746" customFormat="false" ht="12" hidden="false" customHeight="false" outlineLevel="0" collapsed="false">
      <c r="A746" s="0" t="n">
        <v>729</v>
      </c>
      <c r="B746" s="0" t="n">
        <v>790.914467266756</v>
      </c>
      <c r="C746" s="0" t="n">
        <v>800.647600582048</v>
      </c>
    </row>
    <row r="747" customFormat="false" ht="12" hidden="false" customHeight="false" outlineLevel="0" collapsed="false">
      <c r="A747" s="0" t="n">
        <v>730</v>
      </c>
      <c r="B747" s="0" t="n">
        <v>791.02063709858</v>
      </c>
      <c r="C747" s="0" t="n">
        <v>798.255222221515</v>
      </c>
    </row>
    <row r="748" customFormat="false" ht="12" hidden="false" customHeight="false" outlineLevel="0" collapsed="false">
      <c r="A748" s="0" t="n">
        <v>731</v>
      </c>
      <c r="B748" s="0" t="n">
        <v>791.200976691456</v>
      </c>
      <c r="C748" s="0" t="n">
        <v>800.467942281328</v>
      </c>
    </row>
    <row r="749" customFormat="false" ht="12" hidden="false" customHeight="false" outlineLevel="0" collapsed="false">
      <c r="A749" s="0" t="n">
        <v>732</v>
      </c>
      <c r="B749" s="0" t="n">
        <v>792.650646737385</v>
      </c>
      <c r="C749" s="0" t="n">
        <v>802.488891246018</v>
      </c>
    </row>
    <row r="750" customFormat="false" ht="12" hidden="false" customHeight="false" outlineLevel="0" collapsed="false">
      <c r="A750" s="0" t="n">
        <v>733</v>
      </c>
      <c r="B750" s="0" t="n">
        <v>792.838947997606</v>
      </c>
      <c r="C750" s="0" t="n">
        <v>802.47414358471</v>
      </c>
    </row>
    <row r="751" customFormat="false" ht="12" hidden="false" customHeight="false" outlineLevel="0" collapsed="false">
      <c r="A751" s="0" t="n">
        <v>734</v>
      </c>
      <c r="B751" s="0" t="n">
        <v>792.886082069354</v>
      </c>
      <c r="C751" s="0" t="n">
        <v>804.441549317805</v>
      </c>
    </row>
    <row r="752" customFormat="false" ht="12" hidden="false" customHeight="false" outlineLevel="0" collapsed="false">
      <c r="A752" s="0" t="n">
        <v>735</v>
      </c>
      <c r="B752" s="0" t="n">
        <v>796.805450388548</v>
      </c>
      <c r="C752" s="0" t="n">
        <v>804.38282532198</v>
      </c>
    </row>
    <row r="753" customFormat="false" ht="12" hidden="false" customHeight="false" outlineLevel="0" collapsed="false">
      <c r="A753" s="0" t="n">
        <v>736</v>
      </c>
      <c r="B753" s="0" t="n">
        <v>796.857509514443</v>
      </c>
      <c r="C753" s="0" t="n">
        <v>806.554321479348</v>
      </c>
    </row>
    <row r="754" customFormat="false" ht="12" hidden="false" customHeight="false" outlineLevel="0" collapsed="false">
      <c r="A754" s="0" t="n">
        <v>737</v>
      </c>
      <c r="B754" s="0" t="n">
        <v>797.747744786722</v>
      </c>
      <c r="C754" s="0" t="n">
        <v>808.495099067323</v>
      </c>
    </row>
    <row r="755" customFormat="false" ht="12" hidden="false" customHeight="false" outlineLevel="0" collapsed="false">
      <c r="A755" s="0" t="n">
        <v>738</v>
      </c>
      <c r="B755" s="0" t="n">
        <v>797.835415852892</v>
      </c>
      <c r="C755" s="0" t="n">
        <v>810.626848864342</v>
      </c>
    </row>
    <row r="756" customFormat="false" ht="12" hidden="false" customHeight="false" outlineLevel="0" collapsed="false">
      <c r="A756" s="0" t="n">
        <v>739</v>
      </c>
      <c r="B756" s="0" t="n">
        <v>800.125072111616</v>
      </c>
      <c r="C756" s="0" t="n">
        <v>806.554437228362</v>
      </c>
    </row>
    <row r="757" customFormat="false" ht="12" hidden="false" customHeight="false" outlineLevel="0" collapsed="false">
      <c r="A757" s="0" t="n">
        <v>740</v>
      </c>
      <c r="B757" s="0" t="n">
        <v>800.358124239558</v>
      </c>
      <c r="C757" s="0" t="n">
        <v>812.462223921802</v>
      </c>
    </row>
    <row r="758" customFormat="false" ht="12" hidden="false" customHeight="false" outlineLevel="0" collapsed="false">
      <c r="A758" s="0" t="n">
        <v>741</v>
      </c>
      <c r="B758" s="0" t="n">
        <v>800.378692766673</v>
      </c>
      <c r="C758" s="0" t="n">
        <v>814.627862262494</v>
      </c>
    </row>
    <row r="759" customFormat="false" ht="12" hidden="false" customHeight="false" outlineLevel="0" collapsed="false">
      <c r="A759" s="0" t="n">
        <v>742</v>
      </c>
      <c r="B759" s="0" t="n">
        <v>802.843424926889</v>
      </c>
      <c r="C759" s="0" t="n">
        <v>816.840731550398</v>
      </c>
    </row>
    <row r="760" customFormat="false" ht="12" hidden="false" customHeight="false" outlineLevel="0" collapsed="false">
      <c r="A760" s="0" t="n">
        <v>743</v>
      </c>
      <c r="B760" s="0" t="n">
        <v>803.087609699157</v>
      </c>
      <c r="C760" s="0" t="n">
        <v>808.792285295415</v>
      </c>
    </row>
    <row r="761" customFormat="false" ht="12" hidden="false" customHeight="false" outlineLevel="0" collapsed="false">
      <c r="A761" s="0" t="n">
        <v>744</v>
      </c>
      <c r="B761" s="0" t="n">
        <v>803.428999714208</v>
      </c>
      <c r="C761" s="0" t="n">
        <v>810.834277416264</v>
      </c>
    </row>
    <row r="762" customFormat="false" ht="12" hidden="false" customHeight="false" outlineLevel="0" collapsed="false">
      <c r="A762" s="0" t="n">
        <v>745</v>
      </c>
      <c r="B762" s="0" t="n">
        <v>803.777289493732</v>
      </c>
      <c r="C762" s="0" t="n">
        <v>812.753259896974</v>
      </c>
    </row>
    <row r="763" customFormat="false" ht="12" hidden="false" customHeight="false" outlineLevel="0" collapsed="false">
      <c r="A763" s="0" t="n">
        <v>746</v>
      </c>
      <c r="B763" s="0" t="n">
        <v>804.187222162029</v>
      </c>
      <c r="C763" s="0" t="n">
        <v>818.793448441411</v>
      </c>
    </row>
    <row r="764" customFormat="false" ht="12" hidden="false" customHeight="false" outlineLevel="0" collapsed="false">
      <c r="A764" s="0" t="n">
        <v>747</v>
      </c>
      <c r="B764" s="0" t="n">
        <v>807.361966890505</v>
      </c>
      <c r="C764" s="0" t="n">
        <v>814.716545858858</v>
      </c>
    </row>
    <row r="765" customFormat="false" ht="12" hidden="false" customHeight="false" outlineLevel="0" collapsed="false">
      <c r="A765" s="0" t="n">
        <v>748</v>
      </c>
      <c r="B765" s="0" t="n">
        <v>808.256560003015</v>
      </c>
      <c r="C765" s="0" t="n">
        <v>816.935497702072</v>
      </c>
    </row>
    <row r="766" customFormat="false" ht="12" hidden="false" customHeight="false" outlineLevel="0" collapsed="false">
      <c r="A766" s="0" t="n">
        <v>749</v>
      </c>
      <c r="B766" s="0" t="n">
        <v>809.409764235944</v>
      </c>
      <c r="C766" s="0" t="n">
        <v>820.96969593016</v>
      </c>
    </row>
    <row r="767" customFormat="false" ht="12" hidden="false" customHeight="false" outlineLevel="0" collapsed="false">
      <c r="A767" s="0" t="n">
        <v>750</v>
      </c>
      <c r="B767" s="0" t="n">
        <v>810.201161720639</v>
      </c>
      <c r="C767" s="0" t="n">
        <v>819.022010275377</v>
      </c>
    </row>
    <row r="768" customFormat="false" ht="12" hidden="false" customHeight="false" outlineLevel="0" collapsed="false">
      <c r="A768" s="0" t="n">
        <v>751</v>
      </c>
      <c r="B768" s="0" t="n">
        <v>812.032328044258</v>
      </c>
      <c r="C768" s="0" t="n">
        <v>820.796515621292</v>
      </c>
    </row>
    <row r="769" customFormat="false" ht="12" hidden="false" customHeight="false" outlineLevel="0" collapsed="false">
      <c r="A769" s="0" t="n">
        <v>752</v>
      </c>
      <c r="B769" s="0" t="n">
        <v>812.675303823459</v>
      </c>
      <c r="C769" s="0" t="n">
        <v>822.919731402029</v>
      </c>
    </row>
    <row r="770" customFormat="false" ht="12" hidden="false" customHeight="false" outlineLevel="0" collapsed="false">
      <c r="A770" s="0" t="n">
        <v>753</v>
      </c>
      <c r="B770" s="0" t="n">
        <v>813.409220901712</v>
      </c>
      <c r="C770" s="0" t="n">
        <v>824.748579122036</v>
      </c>
    </row>
    <row r="771" customFormat="false" ht="12" hidden="false" customHeight="false" outlineLevel="0" collapsed="false">
      <c r="A771" s="0" t="n">
        <v>754</v>
      </c>
      <c r="B771" s="0" t="n">
        <v>814.084449563205</v>
      </c>
      <c r="C771" s="0" t="n">
        <v>823.01331701757</v>
      </c>
    </row>
    <row r="772" customFormat="false" ht="12" hidden="false" customHeight="false" outlineLevel="0" collapsed="false">
      <c r="A772" s="0" t="n">
        <v>755</v>
      </c>
      <c r="B772" s="0" t="n">
        <v>814.460559170649</v>
      </c>
      <c r="C772" s="0" t="n">
        <v>826.953387242329</v>
      </c>
    </row>
    <row r="773" customFormat="false" ht="12" hidden="false" customHeight="false" outlineLevel="0" collapsed="false">
      <c r="A773" s="0" t="n">
        <v>756</v>
      </c>
      <c r="B773" s="0" t="n">
        <v>815.302225966557</v>
      </c>
      <c r="C773" s="0" t="n">
        <v>828.760292112913</v>
      </c>
    </row>
    <row r="774" customFormat="false" ht="12" hidden="false" customHeight="false" outlineLevel="0" collapsed="false">
      <c r="A774" s="0" t="n">
        <v>757</v>
      </c>
      <c r="B774" s="0" t="n">
        <v>816.227168068952</v>
      </c>
      <c r="C774" s="0" t="n">
        <v>830.783196500082</v>
      </c>
    </row>
    <row r="775" customFormat="false" ht="12" hidden="false" customHeight="false" outlineLevel="0" collapsed="false">
      <c r="A775" s="0" t="n">
        <v>758</v>
      </c>
      <c r="B775" s="0" t="n">
        <v>816.693784427236</v>
      </c>
      <c r="C775" s="0" t="n">
        <v>824.866160072374</v>
      </c>
    </row>
    <row r="776" customFormat="false" ht="12" hidden="false" customHeight="false" outlineLevel="0" collapsed="false">
      <c r="A776" s="0" t="n">
        <v>759</v>
      </c>
      <c r="B776" s="0" t="n">
        <v>816.765177280937</v>
      </c>
      <c r="C776" s="0" t="n">
        <v>826.838097775932</v>
      </c>
    </row>
    <row r="777" customFormat="false" ht="12" hidden="false" customHeight="false" outlineLevel="0" collapsed="false">
      <c r="A777" s="0" t="n">
        <v>760</v>
      </c>
      <c r="B777" s="0" t="n">
        <v>817.043495762376</v>
      </c>
      <c r="C777" s="0" t="n">
        <v>832.618830089868</v>
      </c>
    </row>
    <row r="778" customFormat="false" ht="12" hidden="false" customHeight="false" outlineLevel="0" collapsed="false">
      <c r="A778" s="0" t="n">
        <v>761</v>
      </c>
      <c r="B778" s="0" t="n">
        <v>817.478269107528</v>
      </c>
      <c r="C778" s="0" t="n">
        <v>828.928157703659</v>
      </c>
    </row>
    <row r="779" customFormat="false" ht="12" hidden="false" customHeight="false" outlineLevel="0" collapsed="false">
      <c r="A779" s="0" t="n">
        <v>762</v>
      </c>
      <c r="B779" s="0" t="n">
        <v>819.287084842019</v>
      </c>
      <c r="C779" s="0" t="n">
        <v>834.653088594055</v>
      </c>
    </row>
    <row r="780" customFormat="false" ht="12" hidden="false" customHeight="false" outlineLevel="0" collapsed="false">
      <c r="A780" s="0" t="n">
        <v>763</v>
      </c>
      <c r="B780" s="0" t="n">
        <v>819.297711001854</v>
      </c>
      <c r="C780" s="0" t="n">
        <v>836.450304212845</v>
      </c>
    </row>
    <row r="781" customFormat="false" ht="12" hidden="false" customHeight="false" outlineLevel="0" collapsed="false">
      <c r="A781" s="0" t="n">
        <v>764</v>
      </c>
      <c r="B781" s="0" t="n">
        <v>819.350471161465</v>
      </c>
      <c r="C781" s="0" t="n">
        <v>831.04698620015</v>
      </c>
    </row>
    <row r="782" customFormat="false" ht="12" hidden="false" customHeight="false" outlineLevel="0" collapsed="false">
      <c r="A782" s="0" t="n">
        <v>765</v>
      </c>
      <c r="B782" s="0" t="n">
        <v>820.79937158695</v>
      </c>
      <c r="C782" s="0" t="n">
        <v>838.260155102977</v>
      </c>
    </row>
    <row r="783" customFormat="false" ht="12" hidden="false" customHeight="false" outlineLevel="0" collapsed="false">
      <c r="A783" s="0" t="n">
        <v>766</v>
      </c>
      <c r="B783" s="0" t="n">
        <v>822.00847085099</v>
      </c>
      <c r="C783" s="0" t="n">
        <v>833.185767301342</v>
      </c>
    </row>
    <row r="784" customFormat="false" ht="12" hidden="false" customHeight="false" outlineLevel="0" collapsed="false">
      <c r="A784" s="0" t="n">
        <v>767</v>
      </c>
      <c r="B784" s="0" t="n">
        <v>822.42755012408</v>
      </c>
      <c r="C784" s="0" t="n">
        <v>840.36690982804</v>
      </c>
    </row>
    <row r="785" customFormat="false" ht="12" hidden="false" customHeight="false" outlineLevel="0" collapsed="false">
      <c r="A785" s="0" t="n">
        <v>768</v>
      </c>
      <c r="B785" s="0" t="n">
        <v>822.610204773474</v>
      </c>
      <c r="C785" s="0" t="n">
        <v>835.138901190452</v>
      </c>
    </row>
    <row r="786" customFormat="false" ht="12" hidden="false" customHeight="false" outlineLevel="0" collapsed="false">
      <c r="A786" s="0" t="n">
        <v>769</v>
      </c>
      <c r="B786" s="0" t="n">
        <v>823.597529770686</v>
      </c>
      <c r="C786" s="0" t="n">
        <v>837.28061784564</v>
      </c>
    </row>
    <row r="787" customFormat="false" ht="12" hidden="false" customHeight="false" outlineLevel="0" collapsed="false">
      <c r="A787" s="0" t="n">
        <v>770</v>
      </c>
      <c r="B787" s="0" t="n">
        <v>823.900235525054</v>
      </c>
      <c r="C787" s="0" t="n">
        <v>839.085923149613</v>
      </c>
    </row>
    <row r="788" customFormat="false" ht="12" hidden="false" customHeight="false" outlineLevel="0" collapsed="false">
      <c r="A788" s="0" t="n">
        <v>771</v>
      </c>
      <c r="B788" s="0" t="n">
        <v>824.795911348616</v>
      </c>
      <c r="C788" s="0" t="n">
        <v>842.366789855278</v>
      </c>
    </row>
    <row r="789" customFormat="false" ht="12" hidden="false" customHeight="false" outlineLevel="0" collapsed="false">
      <c r="A789" s="0" t="n">
        <v>772</v>
      </c>
      <c r="B789" s="0" t="n">
        <v>826.173514676349</v>
      </c>
      <c r="C789" s="0" t="n">
        <v>840.855508148158</v>
      </c>
    </row>
    <row r="790" customFormat="false" ht="12" hidden="false" customHeight="false" outlineLevel="0" collapsed="false">
      <c r="A790" s="0" t="n">
        <v>773</v>
      </c>
      <c r="B790" s="0" t="n">
        <v>826.367406805261</v>
      </c>
      <c r="C790" s="0" t="n">
        <v>844.603945577904</v>
      </c>
    </row>
    <row r="791" customFormat="false" ht="12" hidden="false" customHeight="false" outlineLevel="0" collapsed="false">
      <c r="A791" s="0" t="n">
        <v>774</v>
      </c>
      <c r="B791" s="0" t="n">
        <v>826.907771758392</v>
      </c>
      <c r="C791" s="0" t="n">
        <v>846.482598945553</v>
      </c>
    </row>
    <row r="792" customFormat="false" ht="12" hidden="false" customHeight="false" outlineLevel="0" collapsed="false">
      <c r="A792" s="0" t="n">
        <v>775</v>
      </c>
      <c r="B792" s="0" t="n">
        <v>827.093293277037</v>
      </c>
      <c r="C792" s="0" t="n">
        <v>842.968764826263</v>
      </c>
    </row>
    <row r="793" customFormat="false" ht="12" hidden="false" customHeight="false" outlineLevel="0" collapsed="false">
      <c r="A793" s="0" t="n">
        <v>776</v>
      </c>
      <c r="B793" s="0" t="n">
        <v>827.966221882474</v>
      </c>
      <c r="C793" s="0" t="n">
        <v>845.132386259158</v>
      </c>
    </row>
    <row r="794" customFormat="false" ht="12" hidden="false" customHeight="false" outlineLevel="0" collapsed="false">
      <c r="A794" s="0" t="n">
        <v>777</v>
      </c>
      <c r="B794" s="0" t="n">
        <v>828.381310878162</v>
      </c>
      <c r="C794" s="0" t="n">
        <v>847.040006432708</v>
      </c>
    </row>
    <row r="795" customFormat="false" ht="12" hidden="false" customHeight="false" outlineLevel="0" collapsed="false">
      <c r="A795" s="0" t="n">
        <v>778</v>
      </c>
      <c r="B795" s="0" t="n">
        <v>829.194420852295</v>
      </c>
      <c r="C795" s="0" t="n">
        <v>848.986376589714</v>
      </c>
    </row>
    <row r="796" customFormat="false" ht="12" hidden="false" customHeight="false" outlineLevel="0" collapsed="false">
      <c r="A796" s="0" t="n">
        <v>779</v>
      </c>
      <c r="B796" s="0" t="n">
        <v>829.205824214394</v>
      </c>
      <c r="C796" s="0" t="n">
        <v>850.788037055111</v>
      </c>
    </row>
    <row r="797" customFormat="false" ht="12" hidden="false" customHeight="false" outlineLevel="0" collapsed="false">
      <c r="A797" s="0" t="n">
        <v>780</v>
      </c>
      <c r="B797" s="0" t="n">
        <v>831.858857908695</v>
      </c>
      <c r="C797" s="0" t="n">
        <v>848.671504776387</v>
      </c>
    </row>
    <row r="798" customFormat="false" ht="12" hidden="false" customHeight="false" outlineLevel="0" collapsed="false">
      <c r="A798" s="0" t="n">
        <v>781</v>
      </c>
      <c r="B798" s="0" t="n">
        <v>832.20755157236</v>
      </c>
      <c r="C798" s="0" t="n">
        <v>850.798267160038</v>
      </c>
    </row>
    <row r="799" customFormat="false" ht="12" hidden="false" customHeight="false" outlineLevel="0" collapsed="false">
      <c r="A799" s="0" t="n">
        <v>782</v>
      </c>
      <c r="B799" s="0" t="n">
        <v>835.730881528199</v>
      </c>
      <c r="C799" s="0" t="n">
        <v>852.556768046641</v>
      </c>
    </row>
    <row r="800" customFormat="false" ht="12" hidden="false" customHeight="false" outlineLevel="0" collapsed="false">
      <c r="A800" s="0" t="n">
        <v>783</v>
      </c>
      <c r="B800" s="0" t="n">
        <v>835.852932808395</v>
      </c>
      <c r="C800" s="0" t="n">
        <v>852.989696180307</v>
      </c>
    </row>
    <row r="801" customFormat="false" ht="12" hidden="false" customHeight="false" outlineLevel="0" collapsed="false">
      <c r="A801" s="0" t="n">
        <v>784</v>
      </c>
      <c r="B801" s="0" t="n">
        <v>836.870959541103</v>
      </c>
      <c r="C801" s="0" t="n">
        <v>854.40436501743</v>
      </c>
    </row>
    <row r="802" customFormat="false" ht="12" hidden="false" customHeight="false" outlineLevel="0" collapsed="false">
      <c r="A802" s="0" t="n">
        <v>785</v>
      </c>
      <c r="B802" s="0" t="n">
        <v>837.450323164407</v>
      </c>
      <c r="C802" s="0" t="n">
        <v>855.132369457748</v>
      </c>
    </row>
    <row r="803" customFormat="false" ht="12" hidden="false" customHeight="false" outlineLevel="0" collapsed="false">
      <c r="A803" s="0" t="n">
        <v>786</v>
      </c>
      <c r="B803" s="0" t="n">
        <v>839.551281896742</v>
      </c>
      <c r="C803" s="0" t="n">
        <v>857.058438297365</v>
      </c>
    </row>
    <row r="804" customFormat="false" ht="12" hidden="false" customHeight="false" outlineLevel="0" collapsed="false">
      <c r="A804" s="0" t="n">
        <v>787</v>
      </c>
      <c r="B804" s="0" t="n">
        <v>839.717160677053</v>
      </c>
      <c r="C804" s="0" t="n">
        <v>856.156903947084</v>
      </c>
    </row>
    <row r="805" customFormat="false" ht="12" hidden="false" customHeight="false" outlineLevel="0" collapsed="false">
      <c r="A805" s="0" t="n">
        <v>788</v>
      </c>
      <c r="B805" s="0" t="n">
        <v>841.243897403447</v>
      </c>
      <c r="C805" s="0" t="n">
        <v>858.819658372246</v>
      </c>
    </row>
    <row r="806" customFormat="false" ht="12" hidden="false" customHeight="false" outlineLevel="0" collapsed="false">
      <c r="A806" s="0" t="n">
        <v>789</v>
      </c>
      <c r="B806" s="0" t="n">
        <v>842.175594464312</v>
      </c>
      <c r="C806" s="0" t="n">
        <v>858.252647922582</v>
      </c>
    </row>
    <row r="807" customFormat="false" ht="12" hidden="false" customHeight="false" outlineLevel="0" collapsed="false">
      <c r="A807" s="0" t="n">
        <v>790</v>
      </c>
      <c r="B807" s="0" t="n">
        <v>842.38223653817</v>
      </c>
      <c r="C807" s="0" t="n">
        <v>860.645183403608</v>
      </c>
    </row>
    <row r="808" customFormat="false" ht="12" hidden="false" customHeight="false" outlineLevel="0" collapsed="false">
      <c r="A808" s="0" t="n">
        <v>791</v>
      </c>
      <c r="B808" s="0" t="n">
        <v>843.959946077366</v>
      </c>
      <c r="C808" s="0" t="n">
        <v>860.443705247552</v>
      </c>
    </row>
    <row r="809" customFormat="false" ht="12" hidden="false" customHeight="false" outlineLevel="0" collapsed="false">
      <c r="A809" s="0" t="n">
        <v>792</v>
      </c>
      <c r="B809" s="0" t="n">
        <v>846.672213291911</v>
      </c>
      <c r="C809" s="0" t="n">
        <v>862.606795328312</v>
      </c>
    </row>
    <row r="810" customFormat="false" ht="12" hidden="false" customHeight="false" outlineLevel="0" collapsed="false">
      <c r="A810" s="0" t="n">
        <v>793</v>
      </c>
      <c r="B810" s="0" t="n">
        <v>850.159393977211</v>
      </c>
      <c r="C810" s="0" t="n">
        <v>862.559021293648</v>
      </c>
    </row>
    <row r="811" customFormat="false" ht="12" hidden="false" customHeight="false" outlineLevel="0" collapsed="false">
      <c r="A811" s="0" t="n">
        <v>794</v>
      </c>
      <c r="B811" s="0" t="n">
        <v>850.962799571112</v>
      </c>
      <c r="C811" s="0" t="n">
        <v>864.341213545972</v>
      </c>
    </row>
    <row r="812" customFormat="false" ht="12" hidden="false" customHeight="false" outlineLevel="0" collapsed="false">
      <c r="A812" s="0" t="n">
        <v>795</v>
      </c>
      <c r="B812" s="0" t="n">
        <v>851.748255402386</v>
      </c>
      <c r="C812" s="0" t="n">
        <v>864.488657011342</v>
      </c>
    </row>
    <row r="813" customFormat="false" ht="12" hidden="false" customHeight="false" outlineLevel="0" collapsed="false">
      <c r="A813" s="0" t="n">
        <v>796</v>
      </c>
      <c r="B813" s="0" t="n">
        <v>852.404899390013</v>
      </c>
      <c r="C813" s="0" t="n">
        <v>866.207034331531</v>
      </c>
    </row>
    <row r="814" customFormat="false" ht="12" hidden="false" customHeight="false" outlineLevel="0" collapsed="false">
      <c r="A814" s="0" t="n">
        <v>797</v>
      </c>
      <c r="B814" s="0" t="n">
        <v>852.579740091714</v>
      </c>
      <c r="C814" s="0" t="n">
        <v>868.272161423852</v>
      </c>
    </row>
    <row r="815" customFormat="false" ht="12" hidden="false" customHeight="false" outlineLevel="0" collapsed="false">
      <c r="A815" s="0" t="n">
        <v>798</v>
      </c>
      <c r="B815" s="0" t="n">
        <v>852.838665424768</v>
      </c>
      <c r="C815" s="0" t="n">
        <v>866.644926405329</v>
      </c>
    </row>
    <row r="816" customFormat="false" ht="12" hidden="false" customHeight="false" outlineLevel="0" collapsed="false">
      <c r="A816" s="0" t="n">
        <v>799</v>
      </c>
      <c r="B816" s="0" t="n">
        <v>855.597142885623</v>
      </c>
      <c r="C816" s="0" t="n">
        <v>868.456711255689</v>
      </c>
    </row>
    <row r="817" customFormat="false" ht="12" hidden="false" customHeight="false" outlineLevel="0" collapsed="false">
      <c r="A817" s="0" t="n">
        <v>800</v>
      </c>
      <c r="B817" s="0" t="n">
        <v>857.624733177557</v>
      </c>
      <c r="C817" s="0" t="n">
        <v>870.333686935508</v>
      </c>
    </row>
    <row r="818" customFormat="false" ht="12" hidden="false" customHeight="false" outlineLevel="0" collapsed="false">
      <c r="A818" s="0" t="n">
        <v>801</v>
      </c>
      <c r="B818" s="0" t="n">
        <v>859.299843132992</v>
      </c>
      <c r="C818" s="0" t="n">
        <v>870.388285791292</v>
      </c>
    </row>
    <row r="819" customFormat="false" ht="12" hidden="false" customHeight="false" outlineLevel="0" collapsed="false">
      <c r="A819" s="0" t="n">
        <v>802</v>
      </c>
      <c r="B819" s="0" t="n">
        <v>859.827611918363</v>
      </c>
      <c r="C819" s="0" t="n">
        <v>872.282524386842</v>
      </c>
    </row>
    <row r="820" customFormat="false" ht="12" hidden="false" customHeight="false" outlineLevel="0" collapsed="false">
      <c r="A820" s="0" t="n">
        <v>803</v>
      </c>
      <c r="B820" s="0" t="n">
        <v>861.669376492489</v>
      </c>
      <c r="C820" s="0" t="n">
        <v>874.163818571904</v>
      </c>
    </row>
    <row r="821" customFormat="false" ht="12" hidden="false" customHeight="false" outlineLevel="0" collapsed="false">
      <c r="A821" s="0" t="n">
        <v>804</v>
      </c>
      <c r="B821" s="0" t="n">
        <v>862.308762605909</v>
      </c>
      <c r="C821" s="0" t="n">
        <v>872.623178444642</v>
      </c>
    </row>
    <row r="822" customFormat="false" ht="12" hidden="false" customHeight="false" outlineLevel="0" collapsed="false">
      <c r="A822" s="0" t="n">
        <v>805</v>
      </c>
      <c r="B822" s="0" t="n">
        <v>864.032495424576</v>
      </c>
      <c r="C822" s="0" t="n">
        <v>874.415594503487</v>
      </c>
    </row>
    <row r="823" customFormat="false" ht="12" hidden="false" customHeight="false" outlineLevel="0" collapsed="false">
      <c r="A823" s="0" t="n">
        <v>806</v>
      </c>
      <c r="B823" s="0" t="n">
        <v>864.598582687655</v>
      </c>
      <c r="C823" s="0" t="n">
        <v>876.428305332836</v>
      </c>
    </row>
    <row r="824" customFormat="false" ht="12" hidden="false" customHeight="false" outlineLevel="0" collapsed="false">
      <c r="A824" s="0" t="n">
        <v>807</v>
      </c>
      <c r="B824" s="0" t="n">
        <v>864.992626397455</v>
      </c>
      <c r="C824" s="0" t="n">
        <v>878.620059738387</v>
      </c>
    </row>
    <row r="825" customFormat="false" ht="12" hidden="false" customHeight="false" outlineLevel="0" collapsed="false">
      <c r="A825" s="0" t="n">
        <v>808</v>
      </c>
      <c r="B825" s="0" t="n">
        <v>865.942700032933</v>
      </c>
      <c r="C825" s="0" t="n">
        <v>876.157602849707</v>
      </c>
    </row>
    <row r="826" customFormat="false" ht="12" hidden="false" customHeight="false" outlineLevel="0" collapsed="false">
      <c r="A826" s="0" t="n">
        <v>809</v>
      </c>
      <c r="B826" s="0" t="n">
        <v>866.279724214979</v>
      </c>
      <c r="C826" s="0" t="n">
        <v>878.069573719426</v>
      </c>
    </row>
    <row r="827" customFormat="false" ht="12" hidden="false" customHeight="false" outlineLevel="0" collapsed="false">
      <c r="A827" s="0" t="n">
        <v>810</v>
      </c>
      <c r="B827" s="0" t="n">
        <v>866.495847751282</v>
      </c>
      <c r="C827" s="0" t="n">
        <v>880.21267676188</v>
      </c>
    </row>
    <row r="828" customFormat="false" ht="12" hidden="false" customHeight="false" outlineLevel="0" collapsed="false">
      <c r="A828" s="0" t="n">
        <v>811</v>
      </c>
      <c r="B828" s="0" t="n">
        <v>867.130223990895</v>
      </c>
      <c r="C828" s="0" t="n">
        <v>882.385732706705</v>
      </c>
    </row>
    <row r="829" customFormat="false" ht="12" hidden="false" customHeight="false" outlineLevel="0" collapsed="false">
      <c r="A829" s="0" t="n">
        <v>812</v>
      </c>
      <c r="B829" s="0" t="n">
        <v>868.066913516136</v>
      </c>
      <c r="C829" s="0" t="n">
        <v>880.586969006214</v>
      </c>
    </row>
    <row r="830" customFormat="false" ht="12" hidden="false" customHeight="false" outlineLevel="0" collapsed="false">
      <c r="A830" s="0" t="n">
        <v>813</v>
      </c>
      <c r="B830" s="0" t="n">
        <v>869.250196548351</v>
      </c>
      <c r="C830" s="0" t="n">
        <v>884.546432254707</v>
      </c>
    </row>
    <row r="831" customFormat="false" ht="12" hidden="false" customHeight="false" outlineLevel="0" collapsed="false">
      <c r="A831" s="0" t="n">
        <v>814</v>
      </c>
      <c r="B831" s="0" t="n">
        <v>870.455010839507</v>
      </c>
      <c r="C831" s="0" t="n">
        <v>882.698199620171</v>
      </c>
    </row>
    <row r="832" customFormat="false" ht="12" hidden="false" customHeight="false" outlineLevel="0" collapsed="false">
      <c r="A832" s="0" t="n">
        <v>815</v>
      </c>
      <c r="B832" s="0" t="n">
        <v>872.902182055191</v>
      </c>
      <c r="C832" s="0" t="n">
        <v>886.701662272149</v>
      </c>
    </row>
    <row r="833" customFormat="false" ht="12" hidden="false" customHeight="false" outlineLevel="0" collapsed="false">
      <c r="A833" s="0" t="n">
        <v>816</v>
      </c>
      <c r="B833" s="0" t="n">
        <v>874.890292373821</v>
      </c>
      <c r="C833" s="0" t="n">
        <v>888.516631486957</v>
      </c>
    </row>
    <row r="834" customFormat="false" ht="12" hidden="false" customHeight="false" outlineLevel="0" collapsed="false">
      <c r="A834" s="0" t="n">
        <v>817</v>
      </c>
      <c r="B834" s="0" t="n">
        <v>875.868694778426</v>
      </c>
      <c r="C834" s="0" t="n">
        <v>884.710829130163</v>
      </c>
    </row>
    <row r="835" customFormat="false" ht="12" hidden="false" customHeight="false" outlineLevel="0" collapsed="false">
      <c r="A835" s="0" t="n">
        <v>818</v>
      </c>
      <c r="B835" s="0" t="n">
        <v>876.847532963623</v>
      </c>
      <c r="C835" s="0" t="n">
        <v>886.66612630354</v>
      </c>
    </row>
    <row r="836" customFormat="false" ht="12" hidden="false" customHeight="false" outlineLevel="0" collapsed="false">
      <c r="A836" s="0" t="n">
        <v>819</v>
      </c>
      <c r="B836" s="0" t="n">
        <v>878.624140276571</v>
      </c>
      <c r="C836" s="0" t="n">
        <v>890.556221451033</v>
      </c>
    </row>
    <row r="837" customFormat="false" ht="12" hidden="false" customHeight="false" outlineLevel="0" collapsed="false">
      <c r="A837" s="0" t="n">
        <v>820</v>
      </c>
      <c r="B837" s="0" t="n">
        <v>881.676801447509</v>
      </c>
      <c r="C837" s="0" t="n">
        <v>888.497246231952</v>
      </c>
    </row>
    <row r="838" customFormat="false" ht="12" hidden="false" customHeight="false" outlineLevel="0" collapsed="false">
      <c r="A838" s="0" t="n">
        <v>821</v>
      </c>
      <c r="B838" s="0" t="n">
        <v>881.872612358882</v>
      </c>
      <c r="C838" s="0" t="n">
        <v>890.708484228684</v>
      </c>
    </row>
    <row r="839" customFormat="false" ht="12" hidden="false" customHeight="false" outlineLevel="0" collapsed="false">
      <c r="A839" s="0" t="n">
        <v>822</v>
      </c>
      <c r="B839" s="0" t="n">
        <v>881.898357672708</v>
      </c>
      <c r="C839" s="0" t="n">
        <v>892.57469432117</v>
      </c>
    </row>
    <row r="840" customFormat="false" ht="12" hidden="false" customHeight="false" outlineLevel="0" collapsed="false">
      <c r="A840" s="0" t="n">
        <v>823</v>
      </c>
      <c r="B840" s="0" t="n">
        <v>883.610814774936</v>
      </c>
      <c r="C840" s="0" t="n">
        <v>894.336697998132</v>
      </c>
    </row>
    <row r="841" customFormat="false" ht="12" hidden="false" customHeight="false" outlineLevel="0" collapsed="false">
      <c r="A841" s="0" t="n">
        <v>824</v>
      </c>
      <c r="B841" s="0" t="n">
        <v>885.299287829369</v>
      </c>
      <c r="C841" s="0" t="n">
        <v>892.518523530593</v>
      </c>
    </row>
    <row r="842" customFormat="false" ht="12" hidden="false" customHeight="false" outlineLevel="0" collapsed="false">
      <c r="A842" s="0" t="n">
        <v>825</v>
      </c>
      <c r="B842" s="0" t="n">
        <v>885.365883909654</v>
      </c>
      <c r="C842" s="0" t="n">
        <v>896.277170260516</v>
      </c>
    </row>
    <row r="843" customFormat="false" ht="12" hidden="false" customHeight="false" outlineLevel="0" collapsed="false">
      <c r="A843" s="0" t="n">
        <v>826</v>
      </c>
      <c r="B843" s="0" t="n">
        <v>886.135564242609</v>
      </c>
      <c r="C843" s="0" t="n">
        <v>894.558840931121</v>
      </c>
    </row>
    <row r="844" customFormat="false" ht="12" hidden="false" customHeight="false" outlineLevel="0" collapsed="false">
      <c r="A844" s="0" t="n">
        <v>827</v>
      </c>
      <c r="B844" s="0" t="n">
        <v>886.717088607246</v>
      </c>
      <c r="C844" s="0" t="n">
        <v>896.687844457356</v>
      </c>
    </row>
    <row r="845" customFormat="false" ht="12" hidden="false" customHeight="false" outlineLevel="0" collapsed="false">
      <c r="A845" s="0" t="n">
        <v>828</v>
      </c>
      <c r="B845" s="0" t="n">
        <v>888.015152474931</v>
      </c>
      <c r="C845" s="0" t="n">
        <v>898.238621876286</v>
      </c>
    </row>
    <row r="846" customFormat="false" ht="12" hidden="false" customHeight="false" outlineLevel="0" collapsed="false">
      <c r="A846" s="0" t="n">
        <v>829</v>
      </c>
      <c r="B846" s="0" t="n">
        <v>888.281534454262</v>
      </c>
      <c r="C846" s="0" t="n">
        <v>900.017071089854</v>
      </c>
    </row>
    <row r="847" customFormat="false" ht="12" hidden="false" customHeight="false" outlineLevel="0" collapsed="false">
      <c r="A847" s="0" t="n">
        <v>830</v>
      </c>
      <c r="B847" s="0" t="n">
        <v>888.994923286176</v>
      </c>
      <c r="C847" s="0" t="n">
        <v>898.811819152288</v>
      </c>
    </row>
    <row r="848" customFormat="false" ht="12" hidden="false" customHeight="false" outlineLevel="0" collapsed="false">
      <c r="A848" s="0" t="n">
        <v>831</v>
      </c>
      <c r="B848" s="0" t="n">
        <v>891.645767582287</v>
      </c>
      <c r="C848" s="0" t="n">
        <v>900.699377423931</v>
      </c>
    </row>
    <row r="849" customFormat="false" ht="12" hidden="false" customHeight="false" outlineLevel="0" collapsed="false">
      <c r="A849" s="0" t="n">
        <v>832</v>
      </c>
      <c r="B849" s="0" t="n">
        <v>891.791276417504</v>
      </c>
      <c r="C849" s="0" t="n">
        <v>902.799178370698</v>
      </c>
    </row>
    <row r="850" customFormat="false" ht="12" hidden="false" customHeight="false" outlineLevel="0" collapsed="false">
      <c r="A850" s="0" t="n">
        <v>833</v>
      </c>
      <c r="B850" s="0" t="n">
        <v>892.270971634447</v>
      </c>
      <c r="C850" s="0" t="n">
        <v>904.982398518174</v>
      </c>
    </row>
    <row r="851" customFormat="false" ht="12" hidden="false" customHeight="false" outlineLevel="0" collapsed="false">
      <c r="A851" s="0" t="n">
        <v>834</v>
      </c>
      <c r="B851" s="0" t="n">
        <v>895.899579550852</v>
      </c>
      <c r="C851" s="0" t="n">
        <v>901.885073122923</v>
      </c>
    </row>
    <row r="852" customFormat="false" ht="12" hidden="false" customHeight="false" outlineLevel="0" collapsed="false">
      <c r="A852" s="0" t="n">
        <v>835</v>
      </c>
      <c r="B852" s="0" t="n">
        <v>896.615678123057</v>
      </c>
      <c r="C852" s="0" t="n">
        <v>907.016247384472</v>
      </c>
    </row>
    <row r="853" customFormat="false" ht="12" hidden="false" customHeight="false" outlineLevel="0" collapsed="false">
      <c r="A853" s="0" t="n">
        <v>836</v>
      </c>
      <c r="B853" s="0" t="n">
        <v>896.750741933926</v>
      </c>
      <c r="C853" s="0" t="n">
        <v>904.041772023803</v>
      </c>
    </row>
    <row r="854" customFormat="false" ht="12" hidden="false" customHeight="false" outlineLevel="0" collapsed="false">
      <c r="A854" s="0" t="n">
        <v>837</v>
      </c>
      <c r="B854" s="0" t="n">
        <v>897.974240541847</v>
      </c>
      <c r="C854" s="0" t="n">
        <v>905.961185462568</v>
      </c>
    </row>
    <row r="855" customFormat="false" ht="12" hidden="false" customHeight="false" outlineLevel="0" collapsed="false">
      <c r="A855" s="0" t="n">
        <v>838</v>
      </c>
      <c r="B855" s="0" t="n">
        <v>901.670735869875</v>
      </c>
      <c r="C855" s="0" t="n">
        <v>907.777307834781</v>
      </c>
    </row>
    <row r="856" customFormat="false" ht="12" hidden="false" customHeight="false" outlineLevel="0" collapsed="false">
      <c r="A856" s="0" t="n">
        <v>839</v>
      </c>
      <c r="B856" s="0" t="n">
        <v>902.139928974494</v>
      </c>
      <c r="C856" s="0" t="n">
        <v>909.905604070586</v>
      </c>
    </row>
    <row r="857" customFormat="false" ht="12" hidden="false" customHeight="false" outlineLevel="0" collapsed="false">
      <c r="A857" s="0" t="n">
        <v>840</v>
      </c>
      <c r="B857" s="0" t="n">
        <v>903.14622174999</v>
      </c>
      <c r="C857" s="0" t="n">
        <v>908.906698546262</v>
      </c>
    </row>
    <row r="858" customFormat="false" ht="12" hidden="false" customHeight="false" outlineLevel="0" collapsed="false">
      <c r="A858" s="0" t="n">
        <v>841</v>
      </c>
      <c r="B858" s="0" t="n">
        <v>903.455018406594</v>
      </c>
      <c r="C858" s="0" t="n">
        <v>911.679684681372</v>
      </c>
    </row>
    <row r="859" customFormat="false" ht="12" hidden="false" customHeight="false" outlineLevel="0" collapsed="false">
      <c r="A859" s="0" t="n">
        <v>842</v>
      </c>
      <c r="B859" s="0" t="n">
        <v>903.545294330219</v>
      </c>
      <c r="C859" s="0" t="n">
        <v>911.092416116876</v>
      </c>
    </row>
    <row r="860" customFormat="false" ht="12" hidden="false" customHeight="false" outlineLevel="0" collapsed="false">
      <c r="A860" s="0" t="n">
        <v>843</v>
      </c>
      <c r="B860" s="0" t="n">
        <v>903.818261162887</v>
      </c>
      <c r="C860" s="0" t="n">
        <v>913.213799569601</v>
      </c>
    </row>
    <row r="861" customFormat="false" ht="12" hidden="false" customHeight="false" outlineLevel="0" collapsed="false">
      <c r="A861" s="0" t="n">
        <v>844</v>
      </c>
      <c r="B861" s="0" t="n">
        <v>904.314133167481</v>
      </c>
      <c r="C861" s="0" t="n">
        <v>913.922302418177</v>
      </c>
    </row>
    <row r="862" customFormat="false" ht="12" hidden="false" customHeight="false" outlineLevel="0" collapsed="false">
      <c r="A862" s="0" t="n">
        <v>845</v>
      </c>
      <c r="B862" s="0" t="n">
        <v>904.75984691501</v>
      </c>
      <c r="C862" s="0" t="n">
        <v>915.062521352357</v>
      </c>
    </row>
    <row r="863" customFormat="false" ht="12" hidden="false" customHeight="false" outlineLevel="0" collapsed="false">
      <c r="A863" s="0" t="n">
        <v>846</v>
      </c>
      <c r="B863" s="0" t="n">
        <v>906.505170413157</v>
      </c>
      <c r="C863" s="0" t="n">
        <v>917.130556428022</v>
      </c>
    </row>
    <row r="864" customFormat="false" ht="12" hidden="false" customHeight="false" outlineLevel="0" collapsed="false">
      <c r="A864" s="0" t="n">
        <v>847</v>
      </c>
      <c r="B864" s="0" t="n">
        <v>907.11882880863</v>
      </c>
      <c r="C864" s="0" t="n">
        <v>919.151230453875</v>
      </c>
    </row>
    <row r="865" customFormat="false" ht="12" hidden="false" customHeight="false" outlineLevel="0" collapsed="false">
      <c r="A865" s="0" t="n">
        <v>848</v>
      </c>
      <c r="B865" s="0" t="n">
        <v>908.408180034643</v>
      </c>
      <c r="C865" s="0" t="n">
        <v>915.919125266533</v>
      </c>
    </row>
    <row r="866" customFormat="false" ht="12" hidden="false" customHeight="false" outlineLevel="0" collapsed="false">
      <c r="A866" s="0" t="n">
        <v>849</v>
      </c>
      <c r="B866" s="0" t="n">
        <v>909.688105620651</v>
      </c>
      <c r="C866" s="0" t="n">
        <v>918.016132392085</v>
      </c>
    </row>
    <row r="867" customFormat="false" ht="12" hidden="false" customHeight="false" outlineLevel="0" collapsed="false">
      <c r="A867" s="0" t="n">
        <v>850</v>
      </c>
      <c r="B867" s="0" t="n">
        <v>910.170171247512</v>
      </c>
      <c r="C867" s="0" t="n">
        <v>920.188019924146</v>
      </c>
    </row>
    <row r="868" customFormat="false" ht="12" hidden="false" customHeight="false" outlineLevel="0" collapsed="false">
      <c r="A868" s="0" t="n">
        <v>851</v>
      </c>
      <c r="B868" s="0" t="n">
        <v>910.614272519786</v>
      </c>
      <c r="C868" s="0" t="n">
        <v>922.394476163271</v>
      </c>
    </row>
    <row r="869" customFormat="false" ht="12" hidden="false" customHeight="false" outlineLevel="0" collapsed="false">
      <c r="A869" s="0" t="n">
        <v>852</v>
      </c>
      <c r="B869" s="0" t="n">
        <v>913.509233949242</v>
      </c>
      <c r="C869" s="0" t="n">
        <v>924.257020019024</v>
      </c>
    </row>
    <row r="870" customFormat="false" ht="12" hidden="false" customHeight="false" outlineLevel="0" collapsed="false">
      <c r="A870" s="0" t="n">
        <v>853</v>
      </c>
      <c r="B870" s="0" t="n">
        <v>914.244771156626</v>
      </c>
      <c r="C870" s="0" t="n">
        <v>921.044803496249</v>
      </c>
    </row>
    <row r="871" customFormat="false" ht="12" hidden="false" customHeight="false" outlineLevel="0" collapsed="false">
      <c r="A871" s="0" t="n">
        <v>854</v>
      </c>
      <c r="B871" s="0" t="n">
        <v>914.437729728611</v>
      </c>
      <c r="C871" s="0" t="n">
        <v>922.917875728538</v>
      </c>
    </row>
    <row r="872" customFormat="false" ht="12" hidden="false" customHeight="false" outlineLevel="0" collapsed="false">
      <c r="A872" s="0" t="n">
        <v>855</v>
      </c>
      <c r="B872" s="0" t="n">
        <v>914.927524263782</v>
      </c>
      <c r="C872" s="0" t="n">
        <v>926.37531717251</v>
      </c>
    </row>
    <row r="873" customFormat="false" ht="12" hidden="false" customHeight="false" outlineLevel="0" collapsed="false">
      <c r="A873" s="0" t="n">
        <v>856</v>
      </c>
      <c r="B873" s="0" t="n">
        <v>915.160976251802</v>
      </c>
      <c r="C873" s="0" t="n">
        <v>925.138358866205</v>
      </c>
    </row>
    <row r="874" customFormat="false" ht="12" hidden="false" customHeight="false" outlineLevel="0" collapsed="false">
      <c r="A874" s="0" t="n">
        <v>857</v>
      </c>
      <c r="B874" s="0" t="n">
        <v>915.944653170428</v>
      </c>
      <c r="C874" s="0" t="n">
        <v>927.270084291153</v>
      </c>
    </row>
    <row r="875" customFormat="false" ht="12" hidden="false" customHeight="false" outlineLevel="0" collapsed="false">
      <c r="A875" s="0" t="n">
        <v>858</v>
      </c>
      <c r="B875" s="0" t="n">
        <v>917.744493668715</v>
      </c>
      <c r="C875" s="0" t="n">
        <v>929.074510098257</v>
      </c>
    </row>
    <row r="876" customFormat="false" ht="12" hidden="false" customHeight="false" outlineLevel="0" collapsed="false">
      <c r="A876" s="0" t="n">
        <v>859</v>
      </c>
      <c r="B876" s="0" t="n">
        <v>917.749123633213</v>
      </c>
      <c r="C876" s="0" t="n">
        <v>928.615990500637</v>
      </c>
    </row>
    <row r="877" customFormat="false" ht="12" hidden="false" customHeight="false" outlineLevel="0" collapsed="false">
      <c r="A877" s="0" t="n">
        <v>860</v>
      </c>
      <c r="B877" s="0" t="n">
        <v>922.569583993008</v>
      </c>
      <c r="C877" s="0" t="n">
        <v>930.731136918971</v>
      </c>
    </row>
    <row r="878" customFormat="false" ht="12" hidden="false" customHeight="false" outlineLevel="0" collapsed="false">
      <c r="A878" s="0" t="n">
        <v>861</v>
      </c>
      <c r="B878" s="0" t="n">
        <v>923.146620586107</v>
      </c>
      <c r="C878" s="0" t="n">
        <v>931.218967872163</v>
      </c>
    </row>
    <row r="879" customFormat="false" ht="12" hidden="false" customHeight="false" outlineLevel="0" collapsed="false">
      <c r="A879" s="0" t="n">
        <v>862</v>
      </c>
      <c r="B879" s="0" t="n">
        <v>924.493999315012</v>
      </c>
      <c r="C879" s="0" t="n">
        <v>932.844663163949</v>
      </c>
    </row>
    <row r="880" customFormat="false" ht="12" hidden="false" customHeight="false" outlineLevel="0" collapsed="false">
      <c r="A880" s="0" t="n">
        <v>863</v>
      </c>
      <c r="B880" s="0" t="n">
        <v>925.414919841136</v>
      </c>
      <c r="C880" s="0" t="n">
        <v>933.115120751652</v>
      </c>
    </row>
    <row r="881" customFormat="false" ht="12" hidden="false" customHeight="false" outlineLevel="0" collapsed="false">
      <c r="A881" s="0" t="n">
        <v>864</v>
      </c>
      <c r="B881" s="0" t="n">
        <v>926.988252603904</v>
      </c>
      <c r="C881" s="0" t="n">
        <v>935.056078193847</v>
      </c>
    </row>
    <row r="882" customFormat="false" ht="12" hidden="false" customHeight="false" outlineLevel="0" collapsed="false">
      <c r="A882" s="0" t="n">
        <v>865</v>
      </c>
      <c r="B882" s="0" t="n">
        <v>928.583977173246</v>
      </c>
      <c r="C882" s="0" t="n">
        <v>935.307449832828</v>
      </c>
    </row>
    <row r="883" customFormat="false" ht="12" hidden="false" customHeight="false" outlineLevel="0" collapsed="false">
      <c r="A883" s="0" t="n">
        <v>866</v>
      </c>
      <c r="B883" s="0" t="n">
        <v>929.464261337433</v>
      </c>
      <c r="C883" s="0" t="n">
        <v>937.359875186165</v>
      </c>
    </row>
    <row r="884" customFormat="false" ht="12" hidden="false" customHeight="false" outlineLevel="0" collapsed="false">
      <c r="A884" s="0" t="n">
        <v>867</v>
      </c>
      <c r="B884" s="0" t="n">
        <v>930.962765071403</v>
      </c>
      <c r="C884" s="0" t="n">
        <v>939.491897105904</v>
      </c>
    </row>
    <row r="885" customFormat="false" ht="12" hidden="false" customHeight="false" outlineLevel="0" collapsed="false">
      <c r="A885" s="0" t="n">
        <v>868</v>
      </c>
      <c r="B885" s="0" t="n">
        <v>931.953282822243</v>
      </c>
      <c r="C885" s="0" t="n">
        <v>936.99062590514</v>
      </c>
    </row>
    <row r="886" customFormat="false" ht="12" hidden="false" customHeight="false" outlineLevel="0" collapsed="false">
      <c r="A886" s="0" t="n">
        <v>869</v>
      </c>
      <c r="B886" s="0" t="n">
        <v>934.310544680847</v>
      </c>
      <c r="C886" s="0" t="n">
        <v>939.199340218703</v>
      </c>
    </row>
    <row r="887" customFormat="false" ht="12" hidden="false" customHeight="false" outlineLevel="0" collapsed="false">
      <c r="A887" s="0" t="n">
        <v>870</v>
      </c>
      <c r="B887" s="0" t="n">
        <v>935.070354192351</v>
      </c>
      <c r="C887" s="0" t="n">
        <v>941.09394476285</v>
      </c>
    </row>
    <row r="888" customFormat="false" ht="12" hidden="false" customHeight="false" outlineLevel="0" collapsed="false">
      <c r="A888" s="0" t="n">
        <v>871</v>
      </c>
      <c r="B888" s="0" t="n">
        <v>936.70315058534</v>
      </c>
      <c r="C888" s="0" t="n">
        <v>941.438867407359</v>
      </c>
    </row>
    <row r="889" customFormat="false" ht="12" hidden="false" customHeight="false" outlineLevel="0" collapsed="false">
      <c r="A889" s="0" t="n">
        <v>872</v>
      </c>
      <c r="B889" s="0" t="n">
        <v>937.442322351692</v>
      </c>
      <c r="C889" s="0" t="n">
        <v>943.436240005698</v>
      </c>
    </row>
    <row r="890" customFormat="false" ht="12" hidden="false" customHeight="false" outlineLevel="0" collapsed="false">
      <c r="A890" s="0" t="n">
        <v>873</v>
      </c>
      <c r="B890" s="0" t="n">
        <v>939.260854973171</v>
      </c>
      <c r="C890" s="0" t="n">
        <v>945.67917438798</v>
      </c>
    </row>
    <row r="891" customFormat="false" ht="12" hidden="false" customHeight="false" outlineLevel="0" collapsed="false">
      <c r="A891" s="0" t="n">
        <v>874</v>
      </c>
      <c r="B891" s="0" t="n">
        <v>941.113410591465</v>
      </c>
      <c r="C891" s="0" t="n">
        <v>947.5311603542</v>
      </c>
    </row>
    <row r="892" customFormat="false" ht="12" hidden="false" customHeight="false" outlineLevel="0" collapsed="false">
      <c r="A892" s="0" t="n">
        <v>875</v>
      </c>
      <c r="B892" s="0" t="n">
        <v>941.381065979282</v>
      </c>
      <c r="C892" s="0" t="n">
        <v>943.372223125785</v>
      </c>
    </row>
    <row r="893" customFormat="false" ht="12" hidden="false" customHeight="false" outlineLevel="0" collapsed="false">
      <c r="A893" s="0" t="n">
        <v>876</v>
      </c>
      <c r="B893" s="0" t="n">
        <v>941.559170269351</v>
      </c>
      <c r="C893" s="0" t="n">
        <v>945.344867793756</v>
      </c>
    </row>
    <row r="894" customFormat="false" ht="12" hidden="false" customHeight="false" outlineLevel="0" collapsed="false">
      <c r="A894" s="0" t="n">
        <v>877</v>
      </c>
      <c r="B894" s="0" t="n">
        <v>942.066312345345</v>
      </c>
      <c r="C894" s="0" t="n">
        <v>947.591061127787</v>
      </c>
    </row>
    <row r="895" customFormat="false" ht="12" hidden="false" customHeight="false" outlineLevel="0" collapsed="false">
      <c r="A895" s="0" t="n">
        <v>878</v>
      </c>
      <c r="B895" s="0" t="n">
        <v>942.130527881812</v>
      </c>
      <c r="C895" s="0" t="n">
        <v>949.422397035365</v>
      </c>
    </row>
    <row r="896" customFormat="false" ht="12" hidden="false" customHeight="false" outlineLevel="0" collapsed="false">
      <c r="A896" s="0" t="n">
        <v>879</v>
      </c>
      <c r="B896" s="0" t="n">
        <v>942.202026636393</v>
      </c>
      <c r="C896" s="0" t="n">
        <v>949.785567065935</v>
      </c>
    </row>
    <row r="897" customFormat="false" ht="12" hidden="false" customHeight="false" outlineLevel="0" collapsed="false">
      <c r="A897" s="0" t="n">
        <v>880</v>
      </c>
      <c r="B897" s="0" t="n">
        <v>942.224595195069</v>
      </c>
      <c r="C897" s="0" t="n">
        <v>951.221126495148</v>
      </c>
    </row>
    <row r="898" customFormat="false" ht="12" hidden="false" customHeight="false" outlineLevel="0" collapsed="false">
      <c r="A898" s="0" t="n">
        <v>881</v>
      </c>
      <c r="B898" s="0" t="n">
        <v>942.752476316846</v>
      </c>
      <c r="C898" s="0" t="n">
        <v>953.08965507188</v>
      </c>
    </row>
    <row r="899" customFormat="false" ht="12" hidden="false" customHeight="false" outlineLevel="0" collapsed="false">
      <c r="A899" s="0" t="n">
        <v>882</v>
      </c>
      <c r="B899" s="0" t="n">
        <v>942.801845148759</v>
      </c>
      <c r="C899" s="0" t="n">
        <v>951.723589977371</v>
      </c>
    </row>
    <row r="900" customFormat="false" ht="12" hidden="false" customHeight="false" outlineLevel="0" collapsed="false">
      <c r="A900" s="0" t="n">
        <v>883</v>
      </c>
      <c r="B900" s="0" t="n">
        <v>942.867955387191</v>
      </c>
      <c r="C900" s="0" t="n">
        <v>953.475774767135</v>
      </c>
    </row>
    <row r="901" customFormat="false" ht="12" hidden="false" customHeight="false" outlineLevel="0" collapsed="false">
      <c r="A901" s="0" t="n">
        <v>884</v>
      </c>
      <c r="B901" s="0" t="n">
        <v>943.130536719155</v>
      </c>
      <c r="C901" s="0" t="n">
        <v>955.258248701542</v>
      </c>
    </row>
    <row r="902" customFormat="false" ht="12" hidden="false" customHeight="false" outlineLevel="0" collapsed="false">
      <c r="A902" s="0" t="n">
        <v>885</v>
      </c>
      <c r="B902" s="0" t="n">
        <v>943.20059624603</v>
      </c>
      <c r="C902" s="0" t="n">
        <v>957.448073687243</v>
      </c>
    </row>
    <row r="903" customFormat="false" ht="12" hidden="false" customHeight="false" outlineLevel="0" collapsed="false">
      <c r="A903" s="0" t="n">
        <v>886</v>
      </c>
      <c r="B903" s="0" t="n">
        <v>944.570932912168</v>
      </c>
      <c r="C903" s="0" t="n">
        <v>959.202591587716</v>
      </c>
    </row>
    <row r="904" customFormat="false" ht="12" hidden="false" customHeight="false" outlineLevel="0" collapsed="false">
      <c r="A904" s="0" t="n">
        <v>887</v>
      </c>
      <c r="B904" s="0" t="n">
        <v>944.941629379252</v>
      </c>
      <c r="C904" s="0" t="n">
        <v>955.641399499404</v>
      </c>
    </row>
    <row r="905" customFormat="false" ht="12" hidden="false" customHeight="false" outlineLevel="0" collapsed="false">
      <c r="A905" s="0" t="n">
        <v>888</v>
      </c>
      <c r="B905" s="0" t="n">
        <v>945.928290568421</v>
      </c>
      <c r="C905" s="0" t="n">
        <v>957.565785899619</v>
      </c>
    </row>
    <row r="906" customFormat="false" ht="12" hidden="false" customHeight="false" outlineLevel="0" collapsed="false">
      <c r="A906" s="0" t="n">
        <v>889</v>
      </c>
      <c r="B906" s="0" t="n">
        <v>948.480687358864</v>
      </c>
      <c r="C906" s="0" t="n">
        <v>959.668193273095</v>
      </c>
    </row>
    <row r="907" customFormat="false" ht="12" hidden="false" customHeight="false" outlineLevel="0" collapsed="false">
      <c r="A907" s="0" t="n">
        <v>890</v>
      </c>
      <c r="B907" s="0" t="n">
        <v>950.349743199387</v>
      </c>
      <c r="C907" s="0" t="n">
        <v>961.09420857075</v>
      </c>
    </row>
    <row r="908" customFormat="false" ht="12" hidden="false" customHeight="false" outlineLevel="0" collapsed="false">
      <c r="A908" s="0" t="n">
        <v>891</v>
      </c>
      <c r="B908" s="0" t="n">
        <v>951.877724845525</v>
      </c>
      <c r="C908" s="0" t="n">
        <v>961.807443615981</v>
      </c>
    </row>
    <row r="909" customFormat="false" ht="12" hidden="false" customHeight="false" outlineLevel="0" collapsed="false">
      <c r="A909" s="0" t="n">
        <v>892</v>
      </c>
      <c r="B909" s="0" t="n">
        <v>951.989861915748</v>
      </c>
      <c r="C909" s="0" t="n">
        <v>963.643680072805</v>
      </c>
    </row>
    <row r="910" customFormat="false" ht="12" hidden="false" customHeight="false" outlineLevel="0" collapsed="false">
      <c r="A910" s="0" t="n">
        <v>893</v>
      </c>
      <c r="B910" s="0" t="n">
        <v>952.45320631023</v>
      </c>
      <c r="C910" s="0" t="n">
        <v>963.148029702633</v>
      </c>
    </row>
    <row r="911" customFormat="false" ht="12" hidden="false" customHeight="false" outlineLevel="0" collapsed="false">
      <c r="A911" s="0" t="n">
        <v>894</v>
      </c>
      <c r="B911" s="0" t="n">
        <v>953.006974344341</v>
      </c>
      <c r="C911" s="0" t="n">
        <v>965.682606696006</v>
      </c>
    </row>
    <row r="912" customFormat="false" ht="12" hidden="false" customHeight="false" outlineLevel="0" collapsed="false">
      <c r="A912" s="0" t="n">
        <v>895</v>
      </c>
      <c r="B912" s="0" t="n">
        <v>953.319183180349</v>
      </c>
      <c r="C912" s="0" t="n">
        <v>965.307657689604</v>
      </c>
    </row>
    <row r="913" customFormat="false" ht="12" hidden="false" customHeight="false" outlineLevel="0" collapsed="false">
      <c r="A913" s="0" t="n">
        <v>896</v>
      </c>
      <c r="B913" s="0" t="n">
        <v>953.744337978972</v>
      </c>
      <c r="C913" s="0" t="n">
        <v>967.535894632111</v>
      </c>
    </row>
    <row r="914" customFormat="false" ht="12" hidden="false" customHeight="false" outlineLevel="0" collapsed="false">
      <c r="A914" s="0" t="n">
        <v>897</v>
      </c>
      <c r="B914" s="0" t="n">
        <v>954.520815035081</v>
      </c>
      <c r="C914" s="0" t="n">
        <v>967.656139539832</v>
      </c>
    </row>
    <row r="915" customFormat="false" ht="12" hidden="false" customHeight="false" outlineLevel="0" collapsed="false">
      <c r="A915" s="0" t="n">
        <v>898</v>
      </c>
      <c r="B915" s="0" t="n">
        <v>958.334535418197</v>
      </c>
      <c r="C915" s="0" t="n">
        <v>969.752007923197</v>
      </c>
    </row>
    <row r="916" customFormat="false" ht="12" hidden="false" customHeight="false" outlineLevel="0" collapsed="false">
      <c r="A916" s="0" t="n">
        <v>899</v>
      </c>
      <c r="B916" s="0" t="n">
        <v>959.074941383883</v>
      </c>
      <c r="C916" s="0" t="n">
        <v>971.628488008903</v>
      </c>
    </row>
    <row r="917" customFormat="false" ht="12" hidden="false" customHeight="false" outlineLevel="0" collapsed="false">
      <c r="A917" s="0" t="n">
        <v>900</v>
      </c>
      <c r="B917" s="0" t="n">
        <v>959.582463948336</v>
      </c>
      <c r="C917" s="0" t="n">
        <v>973.810945934228</v>
      </c>
    </row>
    <row r="918" customFormat="false" ht="12" hidden="false" customHeight="false" outlineLevel="0" collapsed="false">
      <c r="A918" s="0" t="n">
        <v>901</v>
      </c>
      <c r="B918" s="0" t="n">
        <v>960.811097875748</v>
      </c>
      <c r="C918" s="0" t="n">
        <v>969.483235918668</v>
      </c>
    </row>
    <row r="919" customFormat="false" ht="12" hidden="false" customHeight="false" outlineLevel="0" collapsed="false">
      <c r="A919" s="0" t="n">
        <v>902</v>
      </c>
      <c r="B919" s="0" t="n">
        <v>961.124920436785</v>
      </c>
      <c r="C919" s="0" t="n">
        <v>971.571896553346</v>
      </c>
    </row>
    <row r="920" customFormat="false" ht="12" hidden="false" customHeight="false" outlineLevel="0" collapsed="false">
      <c r="A920" s="0" t="n">
        <v>903</v>
      </c>
      <c r="B920" s="0" t="n">
        <v>961.554763543244</v>
      </c>
      <c r="C920" s="0" t="n">
        <v>973.488047008005</v>
      </c>
    </row>
    <row r="921" customFormat="false" ht="12" hidden="false" customHeight="false" outlineLevel="0" collapsed="false">
      <c r="A921" s="0" t="n">
        <v>904</v>
      </c>
      <c r="B921" s="0" t="n">
        <v>962.293299888026</v>
      </c>
      <c r="C921" s="0" t="n">
        <v>975.740757695758</v>
      </c>
    </row>
    <row r="922" customFormat="false" ht="12" hidden="false" customHeight="false" outlineLevel="0" collapsed="false">
      <c r="A922" s="0" t="n">
        <v>905</v>
      </c>
      <c r="B922" s="0" t="n">
        <v>962.945334708873</v>
      </c>
      <c r="C922" s="0" t="n">
        <v>975.351330504227</v>
      </c>
    </row>
    <row r="923" customFormat="false" ht="12" hidden="false" customHeight="false" outlineLevel="0" collapsed="false">
      <c r="A923" s="0" t="n">
        <v>906</v>
      </c>
      <c r="B923" s="0" t="n">
        <v>964.612071593584</v>
      </c>
      <c r="C923" s="0" t="n">
        <v>977.534625804849</v>
      </c>
    </row>
    <row r="924" customFormat="false" ht="12" hidden="false" customHeight="false" outlineLevel="0" collapsed="false">
      <c r="A924" s="0" t="n">
        <v>907</v>
      </c>
      <c r="B924" s="0" t="n">
        <v>964.892847089999</v>
      </c>
      <c r="C924" s="0" t="n">
        <v>977.90474631868</v>
      </c>
    </row>
    <row r="925" customFormat="false" ht="12" hidden="false" customHeight="false" outlineLevel="0" collapsed="false">
      <c r="A925" s="0" t="n">
        <v>908</v>
      </c>
      <c r="B925" s="0" t="n">
        <v>965.057662897052</v>
      </c>
      <c r="C925" s="0" t="n">
        <v>979.971996615803</v>
      </c>
    </row>
    <row r="926" customFormat="false" ht="12" hidden="false" customHeight="false" outlineLevel="0" collapsed="false">
      <c r="A926" s="0" t="n">
        <v>909</v>
      </c>
      <c r="B926" s="0" t="n">
        <v>968.460568856749</v>
      </c>
      <c r="C926" s="0" t="n">
        <v>981.82530277182</v>
      </c>
    </row>
    <row r="927" customFormat="false" ht="12" hidden="false" customHeight="false" outlineLevel="0" collapsed="false">
      <c r="A927" s="0" t="n">
        <v>910</v>
      </c>
      <c r="B927" s="0" t="n">
        <v>973.84459064455</v>
      </c>
      <c r="C927" s="0" t="n">
        <v>979.647656909861</v>
      </c>
    </row>
    <row r="928" customFormat="false" ht="12" hidden="false" customHeight="false" outlineLevel="0" collapsed="false">
      <c r="A928" s="0" t="n">
        <v>911</v>
      </c>
      <c r="B928" s="0" t="n">
        <v>974.6148623246</v>
      </c>
      <c r="C928" s="0" t="n">
        <v>984.065511853822</v>
      </c>
    </row>
    <row r="929" customFormat="false" ht="12" hidden="false" customHeight="false" outlineLevel="0" collapsed="false">
      <c r="A929" s="0" t="n">
        <v>912</v>
      </c>
      <c r="B929" s="0" t="n">
        <v>974.625010919891</v>
      </c>
      <c r="C929" s="0" t="n">
        <v>986.285247970768</v>
      </c>
    </row>
    <row r="930" customFormat="false" ht="12" hidden="false" customHeight="false" outlineLevel="0" collapsed="false">
      <c r="A930" s="0" t="n">
        <v>913</v>
      </c>
      <c r="B930" s="0" t="n">
        <v>975.433114777327</v>
      </c>
      <c r="C930" s="0" t="n">
        <v>988.245819145599</v>
      </c>
    </row>
    <row r="931" customFormat="false" ht="12" hidden="false" customHeight="false" outlineLevel="0" collapsed="false">
      <c r="A931" s="0" t="n">
        <v>914</v>
      </c>
      <c r="B931" s="0" t="n">
        <v>975.867038016712</v>
      </c>
      <c r="C931" s="0" t="n">
        <v>981.635666776753</v>
      </c>
    </row>
    <row r="932" customFormat="false" ht="12" hidden="false" customHeight="false" outlineLevel="0" collapsed="false">
      <c r="A932" s="0" t="n">
        <v>915</v>
      </c>
      <c r="B932" s="0" t="n">
        <v>976.063066632622</v>
      </c>
      <c r="C932" s="0" t="n">
        <v>983.389017697744</v>
      </c>
    </row>
    <row r="933" customFormat="false" ht="12" hidden="false" customHeight="false" outlineLevel="0" collapsed="false">
      <c r="A933" s="0" t="n">
        <v>916</v>
      </c>
      <c r="B933" s="0" t="n">
        <v>976.724372425472</v>
      </c>
      <c r="C933" s="0" t="n">
        <v>985.459338875043</v>
      </c>
    </row>
    <row r="934" customFormat="false" ht="12" hidden="false" customHeight="false" outlineLevel="0" collapsed="false">
      <c r="A934" s="0" t="n">
        <v>917</v>
      </c>
      <c r="B934" s="0" t="n">
        <v>976.733476109474</v>
      </c>
      <c r="C934" s="0" t="n">
        <v>987.51254814235</v>
      </c>
    </row>
    <row r="935" customFormat="false" ht="12" hidden="false" customHeight="false" outlineLevel="0" collapsed="false">
      <c r="A935" s="0" t="n">
        <v>918</v>
      </c>
      <c r="B935" s="0" t="n">
        <v>977.980262112743</v>
      </c>
      <c r="C935" s="0" t="n">
        <v>990.342259767062</v>
      </c>
    </row>
    <row r="936" customFormat="false" ht="12" hidden="false" customHeight="false" outlineLevel="0" collapsed="false">
      <c r="A936" s="0" t="n">
        <v>919</v>
      </c>
      <c r="B936" s="0" t="n">
        <v>978.683225498214</v>
      </c>
      <c r="C936" s="0" t="n">
        <v>989.561409078848</v>
      </c>
    </row>
    <row r="937" customFormat="false" ht="12" hidden="false" customHeight="false" outlineLevel="0" collapsed="false">
      <c r="A937" s="0" t="n">
        <v>920</v>
      </c>
      <c r="B937" s="0" t="n">
        <v>979.051548502986</v>
      </c>
      <c r="C937" s="0" t="n">
        <v>991.530973458688</v>
      </c>
    </row>
    <row r="938" customFormat="false" ht="12" hidden="false" customHeight="false" outlineLevel="0" collapsed="false">
      <c r="A938" s="0" t="n">
        <v>921</v>
      </c>
      <c r="B938" s="0" t="n">
        <v>979.357738648643</v>
      </c>
      <c r="C938" s="0" t="n">
        <v>992.26671128322</v>
      </c>
    </row>
    <row r="939" customFormat="false" ht="12" hidden="false" customHeight="false" outlineLevel="0" collapsed="false">
      <c r="A939" s="0" t="n">
        <v>922</v>
      </c>
      <c r="B939" s="0" t="n">
        <v>979.610279574117</v>
      </c>
      <c r="C939" s="0" t="n">
        <v>994.043596970083</v>
      </c>
    </row>
    <row r="940" customFormat="false" ht="12" hidden="false" customHeight="false" outlineLevel="0" collapsed="false">
      <c r="A940" s="0" t="n">
        <v>923</v>
      </c>
      <c r="B940" s="0" t="n">
        <v>979.904124730347</v>
      </c>
      <c r="C940" s="0" t="n">
        <v>993.449849291745</v>
      </c>
    </row>
    <row r="941" customFormat="false" ht="12" hidden="false" customHeight="false" outlineLevel="0" collapsed="false">
      <c r="A941" s="0" t="n">
        <v>924</v>
      </c>
      <c r="B941" s="0" t="n">
        <v>980.876514641721</v>
      </c>
      <c r="C941" s="0" t="n">
        <v>995.352632994116</v>
      </c>
    </row>
    <row r="942" customFormat="false" ht="12" hidden="false" customHeight="false" outlineLevel="0" collapsed="false">
      <c r="A942" s="0" t="n">
        <v>925</v>
      </c>
      <c r="B942" s="0" t="n">
        <v>980.954339032023</v>
      </c>
      <c r="C942" s="0" t="n">
        <v>995.899218523592</v>
      </c>
    </row>
    <row r="943" customFormat="false" ht="12" hidden="false" customHeight="false" outlineLevel="0" collapsed="false">
      <c r="A943" s="0" t="n">
        <v>926</v>
      </c>
      <c r="B943" s="0" t="n">
        <v>981.674896414662</v>
      </c>
      <c r="C943" s="0" t="n">
        <v>997.353335882571</v>
      </c>
    </row>
    <row r="944" customFormat="false" ht="12" hidden="false" customHeight="false" outlineLevel="0" collapsed="false">
      <c r="A944" s="0" t="n">
        <v>927</v>
      </c>
      <c r="B944" s="0" t="n">
        <v>982.463195809568</v>
      </c>
      <c r="C944" s="0" t="n">
        <v>998.131446345965</v>
      </c>
    </row>
    <row r="945" customFormat="false" ht="12" hidden="false" customHeight="false" outlineLevel="0" collapsed="false">
      <c r="A945" s="0" t="n">
        <v>928</v>
      </c>
      <c r="B945" s="0" t="n">
        <v>983.3199791445</v>
      </c>
      <c r="C945" s="0" t="n">
        <v>999.379679280477</v>
      </c>
    </row>
    <row r="946" customFormat="false" ht="12" hidden="false" customHeight="false" outlineLevel="0" collapsed="false">
      <c r="A946" s="0" t="n">
        <v>929</v>
      </c>
      <c r="B946" s="0" t="n">
        <v>983.627157040476</v>
      </c>
      <c r="C946" s="0" t="n">
        <v>1001.18053198004</v>
      </c>
    </row>
    <row r="947" customFormat="false" ht="12" hidden="false" customHeight="false" outlineLevel="0" collapsed="false">
      <c r="A947" s="0" t="n">
        <v>930</v>
      </c>
      <c r="B947" s="0" t="n">
        <v>984.400915628216</v>
      </c>
      <c r="C947" s="0" t="n">
        <v>1000.28042661107</v>
      </c>
    </row>
    <row r="948" customFormat="false" ht="12" hidden="false" customHeight="false" outlineLevel="0" collapsed="false">
      <c r="A948" s="0" t="n">
        <v>931</v>
      </c>
      <c r="B948" s="0" t="n">
        <v>984.421087788028</v>
      </c>
      <c r="C948" s="0" t="n">
        <v>1002.52990434082</v>
      </c>
    </row>
    <row r="949" customFormat="false" ht="12" hidden="false" customHeight="false" outlineLevel="0" collapsed="false">
      <c r="A949" s="0" t="n">
        <v>932</v>
      </c>
      <c r="B949" s="0" t="n">
        <v>985.309039320747</v>
      </c>
      <c r="C949" s="0" t="n">
        <v>1004.28747640015</v>
      </c>
    </row>
    <row r="950" customFormat="false" ht="12" hidden="false" customHeight="false" outlineLevel="0" collapsed="false">
      <c r="A950" s="0" t="n">
        <v>933</v>
      </c>
      <c r="B950" s="0" t="n">
        <v>987.21853096431</v>
      </c>
      <c r="C950" s="0" t="n">
        <v>1006.07217681493</v>
      </c>
    </row>
    <row r="951" customFormat="false" ht="12" hidden="false" customHeight="false" outlineLevel="0" collapsed="false">
      <c r="A951" s="0" t="n">
        <v>934</v>
      </c>
      <c r="B951" s="0" t="n">
        <v>987.84874781075</v>
      </c>
      <c r="C951" s="0" t="n">
        <v>1007.97355913732</v>
      </c>
    </row>
    <row r="952" customFormat="false" ht="12" hidden="false" customHeight="false" outlineLevel="0" collapsed="false">
      <c r="A952" s="0" t="n">
        <v>935</v>
      </c>
      <c r="B952" s="0" t="n">
        <v>988.649174303793</v>
      </c>
      <c r="C952" s="0" t="n">
        <v>1003.13382396578</v>
      </c>
    </row>
    <row r="953" customFormat="false" ht="12" hidden="false" customHeight="false" outlineLevel="0" collapsed="false">
      <c r="A953" s="0" t="n">
        <v>936</v>
      </c>
      <c r="B953" s="0" t="n">
        <v>989.215569599378</v>
      </c>
      <c r="C953" s="0" t="n">
        <v>1004.97745038442</v>
      </c>
    </row>
    <row r="954" customFormat="false" ht="12" hidden="false" customHeight="false" outlineLevel="0" collapsed="false">
      <c r="A954" s="0" t="n">
        <v>937</v>
      </c>
      <c r="B954" s="0" t="n">
        <v>989.345695293439</v>
      </c>
      <c r="C954" s="0" t="n">
        <v>1007.09159540344</v>
      </c>
    </row>
    <row r="955" customFormat="false" ht="12" hidden="false" customHeight="false" outlineLevel="0" collapsed="false">
      <c r="A955" s="0" t="n">
        <v>938</v>
      </c>
      <c r="B955" s="0" t="n">
        <v>989.86062554121</v>
      </c>
      <c r="C955" s="0" t="n">
        <v>1009.77649440122</v>
      </c>
    </row>
    <row r="956" customFormat="false" ht="12" hidden="false" customHeight="false" outlineLevel="0" collapsed="false">
      <c r="A956" s="0" t="n">
        <v>939</v>
      </c>
      <c r="B956" s="0" t="n">
        <v>990.118663624073</v>
      </c>
      <c r="C956" s="0" t="n">
        <v>1009.15120809353</v>
      </c>
    </row>
    <row r="957" customFormat="false" ht="12" hidden="false" customHeight="false" outlineLevel="0" collapsed="false">
      <c r="A957" s="0" t="n">
        <v>940</v>
      </c>
      <c r="B957" s="0" t="n">
        <v>992.173456329978</v>
      </c>
      <c r="C957" s="0" t="n">
        <v>1011.96419783537</v>
      </c>
    </row>
    <row r="958" customFormat="false" ht="12" hidden="false" customHeight="false" outlineLevel="0" collapsed="false">
      <c r="A958" s="0" t="n">
        <v>941</v>
      </c>
      <c r="B958" s="0" t="n">
        <v>993.124325315751</v>
      </c>
      <c r="C958" s="0" t="n">
        <v>1011.0760770728</v>
      </c>
    </row>
    <row r="959" customFormat="false" ht="12" hidden="false" customHeight="false" outlineLevel="0" collapsed="false">
      <c r="A959" s="0" t="n">
        <v>942</v>
      </c>
      <c r="B959" s="0" t="n">
        <v>993.349433169002</v>
      </c>
      <c r="C959" s="0" t="n">
        <v>1014.0071341356</v>
      </c>
    </row>
    <row r="960" customFormat="false" ht="12" hidden="false" customHeight="false" outlineLevel="0" collapsed="false">
      <c r="A960" s="0" t="n">
        <v>943</v>
      </c>
      <c r="B960" s="0" t="n">
        <v>994.657540175498</v>
      </c>
      <c r="C960" s="0" t="n">
        <v>1013.19705636885</v>
      </c>
    </row>
    <row r="961" customFormat="false" ht="12" hidden="false" customHeight="false" outlineLevel="0" collapsed="false">
      <c r="A961" s="0" t="n">
        <v>944</v>
      </c>
      <c r="B961" s="0" t="n">
        <v>1001.85542430661</v>
      </c>
      <c r="C961" s="0" t="n">
        <v>1016.21411439266</v>
      </c>
    </row>
    <row r="962" customFormat="false" ht="12" hidden="false" customHeight="false" outlineLevel="0" collapsed="false">
      <c r="A962" s="0" t="n">
        <v>945</v>
      </c>
      <c r="B962" s="0" t="n">
        <v>1002.69756705015</v>
      </c>
      <c r="C962" s="0" t="n">
        <v>1015.23480059123</v>
      </c>
    </row>
    <row r="963" customFormat="false" ht="12" hidden="false" customHeight="false" outlineLevel="0" collapsed="false">
      <c r="A963" s="0" t="n">
        <v>946</v>
      </c>
      <c r="B963" s="0" t="n">
        <v>1003.17559400177</v>
      </c>
      <c r="C963" s="0" t="n">
        <v>1017.3103292916</v>
      </c>
    </row>
    <row r="964" customFormat="false" ht="12" hidden="false" customHeight="false" outlineLevel="0" collapsed="false">
      <c r="A964" s="0" t="n">
        <v>947</v>
      </c>
      <c r="B964" s="0" t="n">
        <v>1003.51896114367</v>
      </c>
      <c r="C964" s="0" t="n">
        <v>1019.23780495493</v>
      </c>
    </row>
    <row r="965" customFormat="false" ht="12" hidden="false" customHeight="false" outlineLevel="0" collapsed="false">
      <c r="A965" s="0" t="n">
        <v>948</v>
      </c>
      <c r="B965" s="0" t="n">
        <v>1004.01112939686</v>
      </c>
      <c r="C965" s="0" t="n">
        <v>1021.25539125832</v>
      </c>
    </row>
    <row r="966" customFormat="false" ht="12" hidden="false" customHeight="false" outlineLevel="0" collapsed="false">
      <c r="A966" s="0" t="n">
        <v>949</v>
      </c>
      <c r="B966" s="0" t="n">
        <v>1005.44535995626</v>
      </c>
      <c r="C966" s="0" t="n">
        <v>1023.30103513881</v>
      </c>
    </row>
    <row r="967" customFormat="false" ht="12" hidden="false" customHeight="false" outlineLevel="0" collapsed="false">
      <c r="A967" s="0" t="n">
        <v>950</v>
      </c>
      <c r="B967" s="0" t="n">
        <v>1005.80580512799</v>
      </c>
      <c r="C967" s="0" t="n">
        <v>1025.1977664872</v>
      </c>
    </row>
    <row r="968" customFormat="false" ht="12" hidden="false" customHeight="false" outlineLevel="0" collapsed="false">
      <c r="A968" s="0" t="n">
        <v>951</v>
      </c>
      <c r="B968" s="0" t="n">
        <v>1006.46645084475</v>
      </c>
      <c r="C968" s="0" t="n">
        <v>1018.4197780809</v>
      </c>
    </row>
    <row r="969" customFormat="false" ht="12" hidden="false" customHeight="false" outlineLevel="0" collapsed="false">
      <c r="A969" s="0" t="n">
        <v>952</v>
      </c>
      <c r="B969" s="0" t="n">
        <v>1006.8209773281</v>
      </c>
      <c r="C969" s="0" t="n">
        <v>1020.66573455281</v>
      </c>
    </row>
    <row r="970" customFormat="false" ht="12" hidden="false" customHeight="false" outlineLevel="0" collapsed="false">
      <c r="A970" s="0" t="n">
        <v>953</v>
      </c>
      <c r="B970" s="0" t="n">
        <v>1008.93127935404</v>
      </c>
      <c r="C970" s="0" t="n">
        <v>1022.50819046711</v>
      </c>
    </row>
    <row r="971" customFormat="false" ht="12" hidden="false" customHeight="false" outlineLevel="0" collapsed="false">
      <c r="A971" s="0" t="n">
        <v>954</v>
      </c>
      <c r="B971" s="0" t="n">
        <v>1009.50452973969</v>
      </c>
      <c r="C971" s="0" t="n">
        <v>1027.32438646831</v>
      </c>
    </row>
    <row r="972" customFormat="false" ht="12" hidden="false" customHeight="false" outlineLevel="0" collapsed="false">
      <c r="A972" s="0" t="n">
        <v>955</v>
      </c>
      <c r="B972" s="0" t="n">
        <v>1012.26309455333</v>
      </c>
      <c r="C972" s="0" t="n">
        <v>1024.757187235</v>
      </c>
    </row>
    <row r="973" customFormat="false" ht="12" hidden="false" customHeight="false" outlineLevel="0" collapsed="false">
      <c r="A973" s="0" t="n">
        <v>956</v>
      </c>
      <c r="B973" s="0" t="n">
        <v>1013.1633263286</v>
      </c>
      <c r="C973" s="0" t="n">
        <v>1026.81798909548</v>
      </c>
    </row>
    <row r="974" customFormat="false" ht="12" hidden="false" customHeight="false" outlineLevel="0" collapsed="false">
      <c r="A974" s="0" t="n">
        <v>957</v>
      </c>
      <c r="B974" s="0" t="n">
        <v>1015.75110320427</v>
      </c>
      <c r="C974" s="0" t="n">
        <v>1028.80333792192</v>
      </c>
    </row>
    <row r="975" customFormat="false" ht="12" hidden="false" customHeight="false" outlineLevel="0" collapsed="false">
      <c r="A975" s="0" t="n">
        <v>958</v>
      </c>
      <c r="B975" s="0" t="n">
        <v>1016.5814902854</v>
      </c>
      <c r="C975" s="0" t="n">
        <v>1030.71629061004</v>
      </c>
    </row>
    <row r="976" customFormat="false" ht="12" hidden="false" customHeight="false" outlineLevel="0" collapsed="false">
      <c r="A976" s="0" t="n">
        <v>959</v>
      </c>
      <c r="B976" s="0" t="n">
        <v>1017.72786061095</v>
      </c>
      <c r="C976" s="0" t="n">
        <v>1032.95579882854</v>
      </c>
    </row>
    <row r="977" customFormat="false" ht="12" hidden="false" customHeight="false" outlineLevel="0" collapsed="false">
      <c r="A977" s="0" t="n">
        <v>960</v>
      </c>
      <c r="B977" s="0" t="n">
        <v>1018.15106532422</v>
      </c>
      <c r="C977" s="0" t="n">
        <v>1029.54287527286</v>
      </c>
    </row>
    <row r="978" customFormat="false" ht="12" hidden="false" customHeight="false" outlineLevel="0" collapsed="false">
      <c r="A978" s="0" t="n">
        <v>961</v>
      </c>
      <c r="B978" s="0" t="n">
        <v>1019.98390308955</v>
      </c>
      <c r="C978" s="0" t="n">
        <v>1031.59635611979</v>
      </c>
    </row>
    <row r="979" customFormat="false" ht="12" hidden="false" customHeight="false" outlineLevel="0" collapsed="false">
      <c r="A979" s="0" t="n">
        <v>962</v>
      </c>
      <c r="B979" s="0" t="n">
        <v>1020.89080862295</v>
      </c>
      <c r="C979" s="0" t="n">
        <v>1033.82074403555</v>
      </c>
    </row>
    <row r="980" customFormat="false" ht="12" hidden="false" customHeight="false" outlineLevel="0" collapsed="false">
      <c r="A980" s="0" t="n">
        <v>963</v>
      </c>
      <c r="B980" s="0" t="n">
        <v>1021.25528318362</v>
      </c>
      <c r="C980" s="0" t="n">
        <v>1035.77329314982</v>
      </c>
    </row>
    <row r="981" customFormat="false" ht="12" hidden="false" customHeight="false" outlineLevel="0" collapsed="false">
      <c r="A981" s="0" t="n">
        <v>964</v>
      </c>
      <c r="B981" s="0" t="n">
        <v>1021.75327539316</v>
      </c>
      <c r="C981" s="0" t="n">
        <v>1034.90730019519</v>
      </c>
    </row>
    <row r="982" customFormat="false" ht="12" hidden="false" customHeight="false" outlineLevel="0" collapsed="false">
      <c r="A982" s="0" t="n">
        <v>965</v>
      </c>
      <c r="B982" s="0" t="n">
        <v>1022.28980972238</v>
      </c>
      <c r="C982" s="0" t="n">
        <v>1037.98963757513</v>
      </c>
    </row>
    <row r="983" customFormat="false" ht="12" hidden="false" customHeight="false" outlineLevel="0" collapsed="false">
      <c r="A983" s="0" t="n">
        <v>966</v>
      </c>
      <c r="B983" s="0" t="n">
        <v>1023.3291878471</v>
      </c>
      <c r="C983" s="0" t="n">
        <v>1040.11782954129</v>
      </c>
    </row>
    <row r="984" customFormat="false" ht="12" hidden="false" customHeight="false" outlineLevel="0" collapsed="false">
      <c r="A984" s="0" t="n">
        <v>967</v>
      </c>
      <c r="B984" s="0" t="n">
        <v>1024.17136818054</v>
      </c>
      <c r="C984" s="0" t="n">
        <v>1036.66804488207</v>
      </c>
    </row>
    <row r="985" customFormat="false" ht="12" hidden="false" customHeight="false" outlineLevel="0" collapsed="false">
      <c r="A985" s="0" t="n">
        <v>968</v>
      </c>
      <c r="B985" s="0" t="n">
        <v>1024.21471276893</v>
      </c>
      <c r="C985" s="0" t="n">
        <v>1042.00575563829</v>
      </c>
    </row>
    <row r="986" customFormat="false" ht="12" hidden="false" customHeight="false" outlineLevel="0" collapsed="false">
      <c r="A986" s="0" t="n">
        <v>969</v>
      </c>
      <c r="B986" s="0" t="n">
        <v>1024.85922427423</v>
      </c>
      <c r="C986" s="0" t="n">
        <v>1043.85846447316</v>
      </c>
    </row>
    <row r="987" customFormat="false" ht="12" hidden="false" customHeight="false" outlineLevel="0" collapsed="false">
      <c r="A987" s="0" t="n">
        <v>970</v>
      </c>
      <c r="B987" s="0" t="n">
        <v>1025.93035797032</v>
      </c>
      <c r="C987" s="0" t="n">
        <v>1038.63100527524</v>
      </c>
    </row>
    <row r="988" customFormat="false" ht="12" hidden="false" customHeight="false" outlineLevel="0" collapsed="false">
      <c r="A988" s="0" t="n">
        <v>971</v>
      </c>
      <c r="B988" s="0" t="n">
        <v>1027.3215668658</v>
      </c>
      <c r="C988" s="0" t="n">
        <v>1040.81217390887</v>
      </c>
    </row>
    <row r="989" customFormat="false" ht="12" hidden="false" customHeight="false" outlineLevel="0" collapsed="false">
      <c r="A989" s="0" t="n">
        <v>972</v>
      </c>
      <c r="B989" s="0" t="n">
        <v>1027.55433328093</v>
      </c>
      <c r="C989" s="0" t="n">
        <v>1042.99903985505</v>
      </c>
    </row>
    <row r="990" customFormat="false" ht="12" hidden="false" customHeight="false" outlineLevel="0" collapsed="false">
      <c r="A990" s="0" t="n">
        <v>973</v>
      </c>
      <c r="B990" s="0" t="n">
        <v>1029.86967344827</v>
      </c>
      <c r="C990" s="0" t="n">
        <v>1045.92758731525</v>
      </c>
    </row>
    <row r="991" customFormat="false" ht="12" hidden="false" customHeight="false" outlineLevel="0" collapsed="false">
      <c r="A991" s="0" t="n">
        <v>974</v>
      </c>
      <c r="B991" s="0" t="n">
        <v>1030.13768351336</v>
      </c>
      <c r="C991" s="0" t="n">
        <v>1047.86567788635</v>
      </c>
    </row>
    <row r="992" customFormat="false" ht="12" hidden="false" customHeight="false" outlineLevel="0" collapsed="false">
      <c r="A992" s="0" t="n">
        <v>975</v>
      </c>
      <c r="B992" s="0" t="n">
        <v>1031.4612073459</v>
      </c>
      <c r="C992" s="0" t="n">
        <v>1045.07591388288</v>
      </c>
    </row>
    <row r="993" customFormat="false" ht="12" hidden="false" customHeight="false" outlineLevel="0" collapsed="false">
      <c r="A993" s="0" t="n">
        <v>976</v>
      </c>
      <c r="B993" s="0" t="n">
        <v>1033.51899783553</v>
      </c>
      <c r="C993" s="0" t="n">
        <v>1046.86696137625</v>
      </c>
    </row>
    <row r="994" customFormat="false" ht="12" hidden="false" customHeight="false" outlineLevel="0" collapsed="false">
      <c r="A994" s="0" t="n">
        <v>977</v>
      </c>
      <c r="B994" s="0" t="n">
        <v>1033.56602777972</v>
      </c>
      <c r="C994" s="0" t="n">
        <v>1049.89452264981</v>
      </c>
    </row>
    <row r="995" customFormat="false" ht="12" hidden="false" customHeight="false" outlineLevel="0" collapsed="false">
      <c r="A995" s="0" t="n">
        <v>978</v>
      </c>
      <c r="B995" s="0" t="n">
        <v>1033.70145844069</v>
      </c>
      <c r="C995" s="0" t="n">
        <v>1051.99023461927</v>
      </c>
    </row>
    <row r="996" customFormat="false" ht="12" hidden="false" customHeight="false" outlineLevel="0" collapsed="false">
      <c r="A996" s="0" t="n">
        <v>979</v>
      </c>
      <c r="B996" s="0" t="n">
        <v>1035.29534526813</v>
      </c>
      <c r="C996" s="0" t="n">
        <v>1048.98651438315</v>
      </c>
    </row>
    <row r="997" customFormat="false" ht="12" hidden="false" customHeight="false" outlineLevel="0" collapsed="false">
      <c r="A997" s="0" t="n">
        <v>980</v>
      </c>
      <c r="B997" s="0" t="n">
        <v>1036.89998243826</v>
      </c>
      <c r="C997" s="0" t="n">
        <v>1051.05719368822</v>
      </c>
    </row>
    <row r="998" customFormat="false" ht="12" hidden="false" customHeight="false" outlineLevel="0" collapsed="false">
      <c r="A998" s="0" t="n">
        <v>981</v>
      </c>
      <c r="B998" s="0" t="n">
        <v>1037.23698391677</v>
      </c>
      <c r="C998" s="0" t="n">
        <v>1052.907142648</v>
      </c>
    </row>
    <row r="999" customFormat="false" ht="12" hidden="false" customHeight="false" outlineLevel="0" collapsed="false">
      <c r="A999" s="0" t="n">
        <v>982</v>
      </c>
      <c r="B999" s="0" t="n">
        <v>1037.75113276529</v>
      </c>
      <c r="C999" s="0" t="n">
        <v>1054.19675396579</v>
      </c>
    </row>
    <row r="1000" customFormat="false" ht="12" hidden="false" customHeight="false" outlineLevel="0" collapsed="false">
      <c r="A1000" s="0" t="n">
        <v>983</v>
      </c>
      <c r="B1000" s="0" t="n">
        <v>1038.1926110113</v>
      </c>
      <c r="C1000" s="0" t="n">
        <v>1056.33908140344</v>
      </c>
    </row>
    <row r="1001" customFormat="false" ht="12" hidden="false" customHeight="false" outlineLevel="0" collapsed="false">
      <c r="A1001" s="0" t="n">
        <v>984</v>
      </c>
      <c r="B1001" s="0" t="n">
        <v>1039.50884586483</v>
      </c>
      <c r="C1001" s="0" t="n">
        <v>1054.71785012691</v>
      </c>
    </row>
    <row r="1002" customFormat="false" ht="12" hidden="false" customHeight="false" outlineLevel="0" collapsed="false">
      <c r="A1002" s="0" t="n">
        <v>985</v>
      </c>
      <c r="B1002" s="0" t="n">
        <v>1039.67024601856</v>
      </c>
      <c r="C1002" s="0" t="n">
        <v>1056.70090628796</v>
      </c>
    </row>
    <row r="1003" customFormat="false" ht="12" hidden="false" customHeight="false" outlineLevel="0" collapsed="false">
      <c r="A1003" s="0" t="n">
        <v>986</v>
      </c>
      <c r="B1003" s="0" t="n">
        <v>1041.71763148173</v>
      </c>
      <c r="C1003" s="0" t="n">
        <v>1058.52807370314</v>
      </c>
    </row>
    <row r="1004" customFormat="false" ht="12" hidden="false" customHeight="false" outlineLevel="0" collapsed="false">
      <c r="A1004" s="0" t="n">
        <v>987</v>
      </c>
      <c r="B1004" s="0" t="n">
        <v>1041.71956864243</v>
      </c>
      <c r="C1004" s="0" t="n">
        <v>1058.25854069491</v>
      </c>
    </row>
    <row r="1005" customFormat="false" ht="12" hidden="false" customHeight="false" outlineLevel="0" collapsed="false">
      <c r="A1005" s="0" t="n">
        <v>988</v>
      </c>
      <c r="B1005" s="0" t="n">
        <v>1045.14525856609</v>
      </c>
      <c r="C1005" s="0" t="n">
        <v>1060.28879504335</v>
      </c>
    </row>
    <row r="1006" customFormat="false" ht="12" hidden="false" customHeight="false" outlineLevel="0" collapsed="false">
      <c r="A1006" s="0" t="n">
        <v>989</v>
      </c>
      <c r="B1006" s="0" t="n">
        <v>1046.1624065797</v>
      </c>
      <c r="C1006" s="0" t="n">
        <v>1062.51073424842</v>
      </c>
    </row>
    <row r="1007" customFormat="false" ht="12" hidden="false" customHeight="false" outlineLevel="0" collapsed="false">
      <c r="A1007" s="0" t="n">
        <v>990</v>
      </c>
      <c r="B1007" s="0" t="n">
        <v>1047.00788711364</v>
      </c>
      <c r="C1007" s="0" t="n">
        <v>1060.07424492958</v>
      </c>
    </row>
    <row r="1008" customFormat="false" ht="12" hidden="false" customHeight="false" outlineLevel="0" collapsed="false">
      <c r="A1008" s="0" t="n">
        <v>991</v>
      </c>
      <c r="B1008" s="0" t="n">
        <v>1047.21368956453</v>
      </c>
      <c r="C1008" s="0" t="n">
        <v>1064.30678786846</v>
      </c>
    </row>
    <row r="1009" customFormat="false" ht="12" hidden="false" customHeight="false" outlineLevel="0" collapsed="false">
      <c r="A1009" s="0" t="n">
        <v>992</v>
      </c>
      <c r="B1009" s="0" t="n">
        <v>1048.11037448037</v>
      </c>
      <c r="C1009" s="0" t="n">
        <v>1066.209575256</v>
      </c>
    </row>
    <row r="1010" customFormat="false" ht="12" hidden="false" customHeight="false" outlineLevel="0" collapsed="false">
      <c r="A1010" s="0" t="n">
        <v>993</v>
      </c>
      <c r="B1010" s="0" t="n">
        <v>1048.57953857363</v>
      </c>
      <c r="C1010" s="0" t="n">
        <v>1061.86006491293</v>
      </c>
    </row>
    <row r="1011" customFormat="false" ht="12" hidden="false" customHeight="false" outlineLevel="0" collapsed="false">
      <c r="A1011" s="0" t="n">
        <v>994</v>
      </c>
      <c r="B1011" s="0" t="n">
        <v>1049.01141614964</v>
      </c>
      <c r="C1011" s="0" t="n">
        <v>1063.92152898484</v>
      </c>
    </row>
    <row r="1012" customFormat="false" ht="12" hidden="false" customHeight="false" outlineLevel="0" collapsed="false">
      <c r="A1012" s="0" t="n">
        <v>995</v>
      </c>
      <c r="B1012" s="0" t="n">
        <v>1049.44822421775</v>
      </c>
      <c r="C1012" s="0" t="n">
        <v>1068.04520148344</v>
      </c>
    </row>
    <row r="1013" customFormat="false" ht="12" hidden="false" customHeight="false" outlineLevel="0" collapsed="false">
      <c r="A1013" s="0" t="n">
        <v>996</v>
      </c>
      <c r="B1013" s="0" t="n">
        <v>1049.74944667106</v>
      </c>
      <c r="C1013" s="0" t="n">
        <v>1065.69635458541</v>
      </c>
    </row>
    <row r="1014" customFormat="false" ht="12" hidden="false" customHeight="false" outlineLevel="0" collapsed="false">
      <c r="A1014" s="0" t="n">
        <v>997</v>
      </c>
      <c r="B1014" s="0" t="n">
        <v>1049.92659079167</v>
      </c>
      <c r="C1014" s="0" t="n">
        <v>1067.61941000361</v>
      </c>
    </row>
    <row r="1015" customFormat="false" ht="12" hidden="false" customHeight="false" outlineLevel="0" collapsed="false">
      <c r="A1015" s="0" t="n">
        <v>998</v>
      </c>
      <c r="B1015" s="0" t="n">
        <v>1051.06060652808</v>
      </c>
      <c r="C1015" s="0" t="n">
        <v>1069.76159201578</v>
      </c>
    </row>
    <row r="1016" customFormat="false" ht="12" hidden="false" customHeight="false" outlineLevel="0" collapsed="false">
      <c r="A1016" s="0" t="n">
        <v>999</v>
      </c>
      <c r="B1016" s="0" t="n">
        <v>1052.29410063228</v>
      </c>
      <c r="C1016" s="0" t="n">
        <v>1071.73667537532</v>
      </c>
    </row>
    <row r="1017" customFormat="false" ht="12" hidden="false" customHeight="false" outlineLevel="0" collapsed="false">
      <c r="A1017" s="0" t="n">
        <v>1000</v>
      </c>
      <c r="B1017" s="0" t="n">
        <v>1052.77181120581</v>
      </c>
      <c r="C1017" s="0" t="n">
        <v>1073.50175199071</v>
      </c>
    </row>
    <row r="1019" customFormat="false" ht="12" hidden="false" customHeight="false" outlineLevel="0" collapsed="false">
      <c r="A1019" s="0" t="s">
        <v>82</v>
      </c>
      <c r="B1019" s="0" t="n">
        <v>537307.010644784</v>
      </c>
      <c r="C1019" s="0" t="n">
        <v>10436</v>
      </c>
    </row>
    <row r="1020" customFormat="false" ht="12" hidden="false" customHeight="false" outlineLevel="0" collapsed="false">
      <c r="A1020" s="0" t="s">
        <v>83</v>
      </c>
      <c r="C1020" s="0" t="n">
        <v>21.0403225806452</v>
      </c>
    </row>
    <row r="1022" customFormat="false" ht="12" hidden="false" customHeight="false" outlineLevel="0" collapsed="false">
      <c r="A1022" s="0" t="s">
        <v>84</v>
      </c>
      <c r="B1022" s="0" t="n">
        <v>17196046.0520788</v>
      </c>
      <c r="C1022" s="0" t="n">
        <v>1170836</v>
      </c>
    </row>
    <row r="1023" customFormat="false" ht="12" hidden="false" customHeight="false" outlineLevel="0" collapsed="false">
      <c r="A1023" s="0" t="s">
        <v>85</v>
      </c>
    </row>
    <row r="1026" customFormat="false" ht="12" hidden="false" customHeight="false" outlineLevel="0" collapsed="false">
      <c r="A1026" s="0" t="s">
        <v>12</v>
      </c>
      <c r="B1026" s="0" t="s">
        <v>16</v>
      </c>
      <c r="C1026" s="0" t="s">
        <v>16</v>
      </c>
    </row>
    <row r="1027" customFormat="false" ht="12" hidden="false" customHeight="false" outlineLevel="0" collapsed="false">
      <c r="B1027" s="0" t="s">
        <v>16</v>
      </c>
      <c r="C1027" s="0" t="s">
        <v>19</v>
      </c>
    </row>
    <row r="1028" customFormat="false" ht="12" hidden="false" customHeight="false" outlineLevel="0" collapsed="false">
      <c r="A1028" s="0" t="s">
        <v>86</v>
      </c>
      <c r="B1028" s="0" t="n">
        <v>9027.74791386331</v>
      </c>
      <c r="C1028" s="0" t="n">
        <v>4125.42823108837</v>
      </c>
    </row>
    <row r="1029" customFormat="false" ht="12" hidden="false" customHeight="false" outlineLevel="0" collapsed="false">
      <c r="A1029" s="0" t="s">
        <v>55</v>
      </c>
      <c r="B1029" s="0" t="n">
        <v>1000</v>
      </c>
      <c r="C1029" s="0" t="n">
        <v>489</v>
      </c>
    </row>
    <row r="1030" customFormat="false" ht="12" hidden="false" customHeight="false" outlineLevel="0" collapsed="false">
      <c r="A1030" s="0" t="s">
        <v>87</v>
      </c>
      <c r="B1030" s="0" t="n">
        <v>9.02774791386331</v>
      </c>
      <c r="C1030" s="0" t="n">
        <v>8.43645855028296</v>
      </c>
    </row>
    <row r="1031" customFormat="false" ht="12" hidden="false" customHeight="false" outlineLevel="0" collapsed="false">
      <c r="A1031" s="0" t="s">
        <v>13</v>
      </c>
      <c r="B1031" s="0" t="n">
        <v>1119511.39161777</v>
      </c>
      <c r="C1031" s="0" t="n">
        <v>1114609.071935</v>
      </c>
    </row>
    <row r="1032" customFormat="false" ht="12" hidden="false" customHeight="false" outlineLevel="0" collapsed="false">
      <c r="A1032" s="0" t="s">
        <v>14</v>
      </c>
      <c r="B1032" s="0" t="n">
        <v>36000</v>
      </c>
      <c r="C1032" s="0" t="n">
        <v>35489</v>
      </c>
    </row>
    <row r="1033" customFormat="false" ht="12" hidden="false" customHeight="false" outlineLevel="0" collapsed="false">
      <c r="A1033" s="0" t="s">
        <v>15</v>
      </c>
      <c r="B1033" s="0" t="n">
        <v>31.0975386560493</v>
      </c>
      <c r="C1033" s="0" t="n">
        <v>31.4071704453492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40" t="s">
        <v>88</v>
      </c>
      <c r="B1" s="40" t="n">
        <v>0.95</v>
      </c>
      <c r="C1" s="40" t="s">
        <v>76</v>
      </c>
      <c r="E1" s="40" t="s">
        <v>88</v>
      </c>
      <c r="F1" s="40" t="n">
        <v>1.05</v>
      </c>
      <c r="G1" s="40" t="s">
        <v>76</v>
      </c>
    </row>
    <row r="2" customFormat="false" ht="12" hidden="false" customHeight="false" outlineLevel="0" collapsed="false">
      <c r="A2" s="41" t="n">
        <v>0</v>
      </c>
      <c r="B2" s="42" t="n">
        <v>357</v>
      </c>
      <c r="C2" s="44" t="n">
        <v>0.357</v>
      </c>
      <c r="E2" s="41" t="n">
        <v>0</v>
      </c>
      <c r="F2" s="42" t="n">
        <v>309</v>
      </c>
      <c r="G2" s="44" t="n">
        <v>0.309</v>
      </c>
    </row>
    <row r="3" customFormat="false" ht="12" hidden="false" customHeight="false" outlineLevel="0" collapsed="false">
      <c r="A3" s="41" t="n">
        <v>1</v>
      </c>
      <c r="B3" s="42" t="n">
        <v>430</v>
      </c>
      <c r="C3" s="44" t="n">
        <v>0.787</v>
      </c>
      <c r="E3" s="41" t="n">
        <v>1</v>
      </c>
      <c r="F3" s="42" t="n">
        <v>454</v>
      </c>
      <c r="G3" s="44" t="n">
        <v>0.763</v>
      </c>
    </row>
    <row r="4" customFormat="false" ht="12" hidden="false" customHeight="false" outlineLevel="0" collapsed="false">
      <c r="A4" s="41" t="n">
        <v>2</v>
      </c>
      <c r="B4" s="42" t="n">
        <v>144</v>
      </c>
      <c r="C4" s="44" t="n">
        <v>0.931</v>
      </c>
      <c r="E4" s="41" t="n">
        <v>2</v>
      </c>
      <c r="F4" s="42" t="n">
        <v>187</v>
      </c>
      <c r="G4" s="44" t="n">
        <v>0.95</v>
      </c>
    </row>
    <row r="5" customFormat="false" ht="12" hidden="false" customHeight="false" outlineLevel="0" collapsed="false">
      <c r="A5" s="41" t="n">
        <v>3</v>
      </c>
      <c r="B5" s="42" t="n">
        <v>57</v>
      </c>
      <c r="C5" s="44" t="n">
        <v>0.988</v>
      </c>
      <c r="E5" s="41" t="n">
        <v>3</v>
      </c>
      <c r="F5" s="42" t="n">
        <v>42</v>
      </c>
      <c r="G5" s="44" t="n">
        <v>0.992</v>
      </c>
    </row>
    <row r="6" customFormat="false" ht="12" hidden="false" customHeight="false" outlineLevel="0" collapsed="false">
      <c r="A6" s="41" t="n">
        <v>4</v>
      </c>
      <c r="B6" s="42" t="n">
        <v>7</v>
      </c>
      <c r="C6" s="44" t="n">
        <v>0.995</v>
      </c>
      <c r="E6" s="41" t="n">
        <v>4</v>
      </c>
      <c r="F6" s="42" t="n">
        <v>8</v>
      </c>
      <c r="G6" s="44" t="n">
        <v>1</v>
      </c>
    </row>
    <row r="7" customFormat="false" ht="12" hidden="false" customHeight="false" outlineLevel="0" collapsed="false">
      <c r="A7" s="41" t="n">
        <v>5</v>
      </c>
      <c r="B7" s="42" t="n">
        <v>5</v>
      </c>
      <c r="C7" s="44" t="n">
        <v>1</v>
      </c>
      <c r="E7" s="41" t="n">
        <v>5</v>
      </c>
      <c r="F7" s="42" t="n">
        <v>0</v>
      </c>
      <c r="G7" s="44" t="n">
        <v>1</v>
      </c>
    </row>
    <row r="8" customFormat="false" ht="12.75" hidden="false" customHeight="false" outlineLevel="0" collapsed="false">
      <c r="A8" s="43" t="s">
        <v>74</v>
      </c>
      <c r="B8" s="43" t="n">
        <v>0</v>
      </c>
      <c r="C8" s="45" t="n">
        <v>1</v>
      </c>
      <c r="E8" s="43" t="s">
        <v>74</v>
      </c>
      <c r="F8" s="43" t="n">
        <v>0</v>
      </c>
      <c r="G8" s="45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33"/>
  <sheetViews>
    <sheetView showFormulas="false" showGridLines="true" showRowColHeaders="true" showZeros="true" rightToLeft="false" tabSelected="false" showOutlineSymbols="true" defaultGridColor="true" view="normal" topLeftCell="AA17" colorId="64" zoomScale="100" zoomScaleNormal="100" zoomScalePageLayoutView="100" workbookViewId="0">
      <selection pane="topLeft" activeCell="AJ44" activeCellId="0" sqref="AJ44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0" t="s">
        <v>0</v>
      </c>
      <c r="F1" s="0" t="s">
        <v>1</v>
      </c>
      <c r="G1" s="0" t="n">
        <v>0</v>
      </c>
    </row>
    <row r="2" customFormat="false" ht="12" hidden="false" customHeight="false" outlineLevel="0" collapsed="false">
      <c r="A2" s="0" t="s">
        <v>2</v>
      </c>
      <c r="D2" s="0" t="n">
        <v>0.95</v>
      </c>
      <c r="F2" s="0" t="s">
        <v>3</v>
      </c>
      <c r="G2" s="0" t="n">
        <v>48</v>
      </c>
    </row>
    <row r="3" customFormat="false" ht="12" hidden="false" customHeight="false" outlineLevel="0" collapsed="false">
      <c r="A3" s="0" t="s">
        <v>4</v>
      </c>
      <c r="D3" s="0" t="n">
        <v>2</v>
      </c>
    </row>
    <row r="4" customFormat="false" ht="12" hidden="false" customHeight="false" outlineLevel="0" collapsed="false">
      <c r="A4" s="0" t="s">
        <v>5</v>
      </c>
      <c r="D4" s="0" t="n">
        <v>2</v>
      </c>
    </row>
    <row r="5" customFormat="false" ht="12" hidden="false" customHeight="false" outlineLevel="0" collapsed="false">
      <c r="A5" s="0" t="s">
        <v>6</v>
      </c>
      <c r="D5" s="0" t="n">
        <v>0.5</v>
      </c>
    </row>
    <row r="6" customFormat="false" ht="12" hidden="false" customHeight="false" outlineLevel="0" collapsed="false">
      <c r="A6" s="0" t="s">
        <v>7</v>
      </c>
      <c r="D6" s="0" t="n">
        <v>-0.15</v>
      </c>
    </row>
    <row r="7" customFormat="false" ht="12" hidden="false" customHeight="false" outlineLevel="0" collapsed="false">
      <c r="A7" s="0" t="s">
        <v>8</v>
      </c>
      <c r="D7" s="0" t="n">
        <v>0</v>
      </c>
    </row>
    <row r="8" customFormat="false" ht="12" hidden="false" customHeight="false" outlineLevel="0" collapsed="false">
      <c r="A8" s="0" t="s">
        <v>9</v>
      </c>
      <c r="D8" s="0" t="n">
        <v>0.5</v>
      </c>
    </row>
    <row r="10" customFormat="false" ht="12" hidden="false" customHeight="false" outlineLevel="0" collapsed="false">
      <c r="A10" s="0" t="s">
        <v>10</v>
      </c>
      <c r="D10" s="0" t="n">
        <v>0.497</v>
      </c>
    </row>
    <row r="11" customFormat="false" ht="12" hidden="false" customHeight="false" outlineLevel="0" collapsed="false">
      <c r="A11" s="0" t="s">
        <v>11</v>
      </c>
      <c r="D11" s="0" t="n">
        <v>0.495</v>
      </c>
    </row>
    <row r="14" customFormat="false" ht="12" hidden="false" customHeight="false" outlineLevel="0" collapsed="false">
      <c r="E14" s="0" t="s">
        <v>89</v>
      </c>
      <c r="F14" s="0" t="s">
        <v>89</v>
      </c>
      <c r="G14" s="0" t="s">
        <v>90</v>
      </c>
      <c r="I14" s="0" t="s">
        <v>17</v>
      </c>
      <c r="J14" s="0" t="s">
        <v>17</v>
      </c>
      <c r="K14" s="0" t="s">
        <v>17</v>
      </c>
      <c r="L14" s="0" t="s">
        <v>18</v>
      </c>
      <c r="M14" s="0" t="s">
        <v>18</v>
      </c>
      <c r="N14" s="0" t="s">
        <v>18</v>
      </c>
      <c r="R14" s="0" t="s">
        <v>91</v>
      </c>
      <c r="S14" s="0" t="s">
        <v>91</v>
      </c>
      <c r="T14" s="0" t="s">
        <v>91</v>
      </c>
      <c r="U14" s="0" t="s">
        <v>91</v>
      </c>
      <c r="V14" s="0" t="s">
        <v>92</v>
      </c>
      <c r="W14" s="0" t="s">
        <v>93</v>
      </c>
      <c r="X14" s="0" t="s">
        <v>19</v>
      </c>
      <c r="Y14" s="0" t="s">
        <v>20</v>
      </c>
      <c r="Z14" s="0" t="s">
        <v>19</v>
      </c>
      <c r="AA14" s="0" t="s">
        <v>20</v>
      </c>
      <c r="AB14" s="0" t="s">
        <v>19</v>
      </c>
      <c r="AC14" s="0" t="s">
        <v>20</v>
      </c>
      <c r="AD14" s="0" t="s">
        <v>19</v>
      </c>
      <c r="AE14" s="0" t="s">
        <v>20</v>
      </c>
      <c r="AF14" s="0" t="s">
        <v>94</v>
      </c>
      <c r="AG14" s="0" t="s">
        <v>94</v>
      </c>
      <c r="AH14" s="0" t="s">
        <v>94</v>
      </c>
      <c r="AI14" s="0" t="s">
        <v>94</v>
      </c>
    </row>
    <row r="15" customFormat="false" ht="12" hidden="false" customHeight="false" outlineLevel="0" collapsed="false">
      <c r="A15" s="0" t="s">
        <v>77</v>
      </c>
      <c r="B15" s="0" t="s">
        <v>95</v>
      </c>
      <c r="C15" s="0" t="s">
        <v>78</v>
      </c>
      <c r="D15" s="0" t="s">
        <v>78</v>
      </c>
      <c r="E15" s="0" t="s">
        <v>17</v>
      </c>
      <c r="F15" s="0" t="s">
        <v>18</v>
      </c>
      <c r="G15" s="0" t="s">
        <v>96</v>
      </c>
      <c r="H15" s="0" t="s">
        <v>97</v>
      </c>
      <c r="I15" s="0" t="s">
        <v>98</v>
      </c>
      <c r="J15" s="0" t="s">
        <v>79</v>
      </c>
      <c r="K15" s="0" t="s">
        <v>99</v>
      </c>
      <c r="L15" s="0" t="s">
        <v>98</v>
      </c>
      <c r="M15" s="0" t="s">
        <v>79</v>
      </c>
      <c r="N15" s="0" t="s">
        <v>99</v>
      </c>
      <c r="O15" s="0" t="s">
        <v>77</v>
      </c>
      <c r="P15" s="0" t="s">
        <v>48</v>
      </c>
      <c r="Q15" s="0" t="s">
        <v>100</v>
      </c>
      <c r="R15" s="0" t="s">
        <v>101</v>
      </c>
      <c r="S15" s="0" t="s">
        <v>101</v>
      </c>
      <c r="T15" s="0" t="s">
        <v>101</v>
      </c>
      <c r="U15" s="0" t="s">
        <v>101</v>
      </c>
      <c r="V15" s="0" t="s">
        <v>17</v>
      </c>
      <c r="W15" s="0" t="s">
        <v>18</v>
      </c>
      <c r="X15" s="0" t="s">
        <v>17</v>
      </c>
      <c r="Y15" s="0" t="s">
        <v>17</v>
      </c>
      <c r="Z15" s="0" t="s">
        <v>18</v>
      </c>
      <c r="AA15" s="0" t="s">
        <v>18</v>
      </c>
      <c r="AB15" s="0" t="s">
        <v>17</v>
      </c>
      <c r="AC15" s="0" t="s">
        <v>17</v>
      </c>
      <c r="AD15" s="0" t="s">
        <v>18</v>
      </c>
      <c r="AE15" s="0" t="s">
        <v>18</v>
      </c>
      <c r="AF15" s="0" t="s">
        <v>17</v>
      </c>
      <c r="AG15" s="0" t="s">
        <v>17</v>
      </c>
      <c r="AH15" s="0" t="s">
        <v>18</v>
      </c>
      <c r="AI15" s="0" t="s">
        <v>18</v>
      </c>
      <c r="AO15" s="0" t="s">
        <v>77</v>
      </c>
      <c r="AP15" s="0" t="s">
        <v>95</v>
      </c>
      <c r="AQ15" s="0" t="s">
        <v>78</v>
      </c>
      <c r="AR15" s="0" t="s">
        <v>78</v>
      </c>
      <c r="AS15" s="0" t="s">
        <v>17</v>
      </c>
      <c r="AT15" s="0" t="s">
        <v>18</v>
      </c>
    </row>
    <row r="16" customFormat="false" ht="12" hidden="false" customHeight="false" outlineLevel="0" collapsed="false">
      <c r="A16" s="0" t="s">
        <v>80</v>
      </c>
      <c r="C16" s="0" t="s">
        <v>102</v>
      </c>
      <c r="D16" s="0" t="s">
        <v>81</v>
      </c>
      <c r="E16" s="0" t="s">
        <v>99</v>
      </c>
      <c r="F16" s="0" t="s">
        <v>99</v>
      </c>
      <c r="G16" s="0" t="s">
        <v>103</v>
      </c>
      <c r="H16" s="0" t="s">
        <v>104</v>
      </c>
      <c r="I16" s="0" t="s">
        <v>81</v>
      </c>
      <c r="J16" s="0" t="s">
        <v>81</v>
      </c>
      <c r="K16" s="0" t="s">
        <v>81</v>
      </c>
      <c r="L16" s="0" t="s">
        <v>81</v>
      </c>
      <c r="M16" s="0" t="s">
        <v>81</v>
      </c>
      <c r="N16" s="0" t="s">
        <v>81</v>
      </c>
      <c r="O16" s="0" t="s">
        <v>80</v>
      </c>
      <c r="P16" s="0" t="s">
        <v>80</v>
      </c>
      <c r="Q16" s="0" t="s">
        <v>80</v>
      </c>
      <c r="R16" s="0" t="s">
        <v>105</v>
      </c>
      <c r="S16" s="0" t="s">
        <v>106</v>
      </c>
      <c r="T16" s="0" t="s">
        <v>107</v>
      </c>
      <c r="U16" s="0" t="s">
        <v>108</v>
      </c>
      <c r="V16" s="0" t="s">
        <v>99</v>
      </c>
      <c r="W16" s="0" t="s">
        <v>99</v>
      </c>
      <c r="X16" s="0" t="s">
        <v>99</v>
      </c>
      <c r="Y16" s="0" t="s">
        <v>99</v>
      </c>
      <c r="Z16" s="0" t="s">
        <v>99</v>
      </c>
      <c r="AA16" s="0" t="s">
        <v>99</v>
      </c>
      <c r="AB16" s="0" t="s">
        <v>109</v>
      </c>
      <c r="AC16" s="0" t="s">
        <v>109</v>
      </c>
      <c r="AD16" s="0" t="s">
        <v>109</v>
      </c>
      <c r="AE16" s="0" t="s">
        <v>109</v>
      </c>
      <c r="AF16" s="0" t="s">
        <v>19</v>
      </c>
      <c r="AG16" s="0" t="s">
        <v>20</v>
      </c>
      <c r="AH16" s="0" t="s">
        <v>19</v>
      </c>
      <c r="AI16" s="0" t="s">
        <v>20</v>
      </c>
      <c r="AO16" s="0" t="s">
        <v>80</v>
      </c>
      <c r="AQ16" s="0" t="s">
        <v>102</v>
      </c>
      <c r="AR16" s="0" t="s">
        <v>81</v>
      </c>
      <c r="AS16" s="0" t="s">
        <v>99</v>
      </c>
      <c r="AT16" s="0" t="s">
        <v>99</v>
      </c>
    </row>
    <row r="17" customFormat="false" ht="12" hidden="false" customHeight="false" outlineLevel="0" collapsed="false">
      <c r="B17" s="0" t="s">
        <v>61</v>
      </c>
      <c r="H17" s="0" t="s">
        <v>100</v>
      </c>
      <c r="AJ17" s="0" t="n">
        <v>-1</v>
      </c>
      <c r="AK17" s="0" t="s">
        <v>110</v>
      </c>
      <c r="AL17" s="0" t="s">
        <v>111</v>
      </c>
      <c r="AM17" s="0" t="s">
        <v>112</v>
      </c>
      <c r="AP17" s="0" t="s">
        <v>61</v>
      </c>
    </row>
    <row r="18" customFormat="false" ht="12" hidden="false" customHeight="false" outlineLevel="0" collapsed="false">
      <c r="A18" s="0" t="n">
        <v>1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0.5</v>
      </c>
      <c r="H18" s="0" t="n">
        <v>0</v>
      </c>
      <c r="I18" s="0" t="n">
        <v>1.84511697674755</v>
      </c>
      <c r="J18" s="0" t="n">
        <v>1.84511697674755</v>
      </c>
      <c r="K18" s="0" t="n">
        <v>1.84511697674755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95.3345049460899</v>
      </c>
      <c r="S18" s="0" t="n">
        <v>0</v>
      </c>
      <c r="T18" s="0" t="n">
        <v>48</v>
      </c>
      <c r="U18" s="0" t="n">
        <v>0</v>
      </c>
      <c r="V18" s="0" t="n">
        <v>1.98613510593206</v>
      </c>
      <c r="W18" s="0" t="n">
        <v>0</v>
      </c>
      <c r="X18" s="0" t="n">
        <v>1.84511697674755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  <c r="AF18" s="0" t="n">
        <v>31.1636716727995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f aca="false">A18</f>
        <v>1</v>
      </c>
      <c r="AL18" s="0" t="n">
        <v>0</v>
      </c>
      <c r="AM18" s="0" t="n">
        <v>0</v>
      </c>
      <c r="AO18" s="0" t="n">
        <v>1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 customFormat="false" ht="12" hidden="false" customHeight="false" outlineLevel="0" collapsed="false">
      <c r="A19" s="0" t="n">
        <v>2</v>
      </c>
      <c r="B19" s="0" t="n">
        <v>1</v>
      </c>
      <c r="C19" s="0" t="n">
        <v>1.48292585179817</v>
      </c>
      <c r="D19" s="0" t="n">
        <v>1.48292585179817</v>
      </c>
      <c r="E19" s="0" t="n">
        <v>0</v>
      </c>
      <c r="F19" s="0" t="n">
        <v>0</v>
      </c>
      <c r="G19" s="0" t="n">
        <v>0.5</v>
      </c>
      <c r="H19" s="0" t="n">
        <v>1</v>
      </c>
      <c r="I19" s="0" t="n">
        <v>0</v>
      </c>
      <c r="J19" s="0" t="n">
        <v>1.84511697674755</v>
      </c>
      <c r="K19" s="0" t="n">
        <v>0</v>
      </c>
      <c r="L19" s="0" t="n">
        <v>2.21681099612136</v>
      </c>
      <c r="M19" s="0" t="n">
        <v>3.69973684791953</v>
      </c>
      <c r="N19" s="0" t="n">
        <v>2.21681099612136</v>
      </c>
      <c r="O19" s="0" t="n">
        <v>2</v>
      </c>
      <c r="P19" s="0" t="n">
        <v>1</v>
      </c>
      <c r="Q19" s="0" t="n">
        <v>1</v>
      </c>
      <c r="R19" s="0" t="n">
        <v>63.6072553179482</v>
      </c>
      <c r="S19" s="0" t="n">
        <v>53.7406028937331</v>
      </c>
      <c r="T19" s="0" t="n">
        <v>22</v>
      </c>
      <c r="U19" s="0" t="n">
        <v>26</v>
      </c>
      <c r="V19" s="0" t="n">
        <v>2.89123756388966</v>
      </c>
      <c r="W19" s="0" t="n">
        <v>2.06693831538083</v>
      </c>
      <c r="X19" s="0" t="n">
        <v>0</v>
      </c>
      <c r="Y19" s="0" t="n">
        <v>0</v>
      </c>
      <c r="Z19" s="0" t="n">
        <v>2.21681099612136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0</v>
      </c>
      <c r="AF19" s="0" t="n">
        <v>0</v>
      </c>
      <c r="AG19" s="0" t="n">
        <v>0</v>
      </c>
      <c r="AH19" s="0" t="n">
        <v>30.7924251586825</v>
      </c>
      <c r="AI19" s="0" t="n">
        <v>0</v>
      </c>
      <c r="AJ19" s="0" t="n">
        <v>1</v>
      </c>
      <c r="AK19" s="0" t="n">
        <f aca="false">A19</f>
        <v>2</v>
      </c>
      <c r="AL19" s="0" t="n">
        <v>0</v>
      </c>
      <c r="AM19" s="0" t="n">
        <v>0</v>
      </c>
      <c r="AO19" s="0" t="n">
        <v>2</v>
      </c>
      <c r="AP19" s="0" t="n">
        <v>1</v>
      </c>
      <c r="AQ19" s="0" t="n">
        <v>0.612974428166263</v>
      </c>
      <c r="AR19" s="0" t="n">
        <v>0.612974428166263</v>
      </c>
      <c r="AS19" s="0" t="n">
        <v>0</v>
      </c>
      <c r="AT19" s="0" t="n">
        <v>0</v>
      </c>
    </row>
    <row r="20" customFormat="false" ht="12" hidden="false" customHeight="false" outlineLevel="0" collapsed="false">
      <c r="A20" s="0" t="n">
        <v>3</v>
      </c>
      <c r="B20" s="0" t="n">
        <v>1</v>
      </c>
      <c r="C20" s="0" t="n">
        <v>0.145882630142506</v>
      </c>
      <c r="D20" s="0" t="n">
        <v>1.62880848194067</v>
      </c>
      <c r="E20" s="0" t="n">
        <v>0</v>
      </c>
      <c r="F20" s="0" t="n">
        <v>0</v>
      </c>
      <c r="G20" s="0" t="n">
        <v>0.5</v>
      </c>
      <c r="H20" s="0" t="n">
        <v>0</v>
      </c>
      <c r="I20" s="0" t="n">
        <v>1.99949213767478</v>
      </c>
      <c r="J20" s="0" t="n">
        <v>3.84460911442233</v>
      </c>
      <c r="K20" s="0" t="n">
        <v>2.21580063248166</v>
      </c>
      <c r="L20" s="0" t="n">
        <v>0</v>
      </c>
      <c r="M20" s="0" t="n">
        <v>3.69973684791953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74.0923035839656</v>
      </c>
      <c r="S20" s="0" t="n">
        <v>63.6217360955477</v>
      </c>
      <c r="T20" s="0" t="n">
        <v>25</v>
      </c>
      <c r="U20" s="0" t="n">
        <v>23</v>
      </c>
      <c r="V20" s="0" t="n">
        <v>2.96369095788224</v>
      </c>
      <c r="W20" s="0" t="n">
        <v>2.76615041219594</v>
      </c>
      <c r="X20" s="0" t="n">
        <v>2.21580063248166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  <c r="AF20" s="0" t="n">
        <v>27.16243716594</v>
      </c>
      <c r="AG20" s="0" t="n">
        <v>0</v>
      </c>
      <c r="AH20" s="0" t="n">
        <v>0</v>
      </c>
      <c r="AI20" s="0" t="n">
        <v>0</v>
      </c>
      <c r="AJ20" s="0" t="n">
        <v>2</v>
      </c>
      <c r="AK20" s="0" t="n">
        <f aca="false">A20</f>
        <v>3</v>
      </c>
      <c r="AL20" s="0" t="n">
        <v>0</v>
      </c>
      <c r="AM20" s="0" t="n">
        <v>0</v>
      </c>
      <c r="AO20" s="0" t="n">
        <v>3</v>
      </c>
      <c r="AP20" s="0" t="n">
        <v>1</v>
      </c>
      <c r="AQ20" s="0" t="n">
        <v>3.65458501407954</v>
      </c>
      <c r="AR20" s="0" t="n">
        <v>4.2675594422458</v>
      </c>
      <c r="AS20" s="0" t="n">
        <v>0</v>
      </c>
      <c r="AT20" s="0" t="n">
        <v>0</v>
      </c>
    </row>
    <row r="21" customFormat="false" ht="12" hidden="false" customHeight="false" outlineLevel="0" collapsed="false">
      <c r="A21" s="0" t="n">
        <v>4</v>
      </c>
      <c r="B21" s="0" t="n">
        <v>0</v>
      </c>
      <c r="C21" s="0" t="n">
        <v>1.50918709678685</v>
      </c>
      <c r="D21" s="0" t="n">
        <v>3.13799557872753</v>
      </c>
      <c r="E21" s="0" t="n">
        <v>0</v>
      </c>
      <c r="F21" s="0" t="n">
        <v>0</v>
      </c>
      <c r="G21" s="0" t="n">
        <v>0.5</v>
      </c>
      <c r="H21" s="0" t="n">
        <v>1</v>
      </c>
      <c r="I21" s="0" t="n">
        <v>0</v>
      </c>
      <c r="J21" s="0" t="n">
        <v>3.84460911442233</v>
      </c>
      <c r="K21" s="0" t="n">
        <v>0</v>
      </c>
      <c r="L21" s="0" t="n">
        <v>1.90645640787885</v>
      </c>
      <c r="M21" s="0" t="n">
        <v>5.60619325579838</v>
      </c>
      <c r="N21" s="0" t="n">
        <v>2.46819767707085</v>
      </c>
      <c r="O21" s="0" t="n">
        <v>4</v>
      </c>
      <c r="P21" s="0" t="n">
        <v>2</v>
      </c>
      <c r="Q21" s="0" t="n">
        <v>2</v>
      </c>
      <c r="R21" s="0" t="n">
        <v>71.9292086184986</v>
      </c>
      <c r="S21" s="0" t="n">
        <v>89.1296382392254</v>
      </c>
      <c r="T21" s="0" t="n">
        <v>21</v>
      </c>
      <c r="U21" s="0" t="n">
        <v>27</v>
      </c>
      <c r="V21" s="0" t="n">
        <v>3.42519877935766</v>
      </c>
      <c r="W21" s="0" t="n">
        <v>3.30108548632136</v>
      </c>
      <c r="X21" s="0" t="n">
        <v>0</v>
      </c>
      <c r="Y21" s="0" t="n">
        <v>0</v>
      </c>
      <c r="Z21" s="0" t="n">
        <v>0</v>
      </c>
      <c r="AA21" s="0" t="n">
        <v>2.46819767707085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27.701306713745</v>
      </c>
      <c r="AJ21" s="0" t="n">
        <v>3</v>
      </c>
      <c r="AK21" s="0" t="n">
        <f aca="false">A21</f>
        <v>4</v>
      </c>
      <c r="AL21" s="0" t="n">
        <v>0</v>
      </c>
      <c r="AM21" s="0" t="n">
        <v>0</v>
      </c>
      <c r="AO21" s="0" t="n">
        <v>4</v>
      </c>
      <c r="AP21" s="0" t="n">
        <v>1</v>
      </c>
      <c r="AQ21" s="0" t="n">
        <v>0.135177954587254</v>
      </c>
      <c r="AR21" s="0" t="n">
        <v>4.40273739683305</v>
      </c>
      <c r="AS21" s="0" t="n">
        <v>0</v>
      </c>
      <c r="AT21" s="0" t="n">
        <v>0</v>
      </c>
    </row>
    <row r="22" customFormat="false" ht="12" hidden="false" customHeight="false" outlineLevel="0" collapsed="false">
      <c r="A22" s="0" t="n">
        <v>5</v>
      </c>
      <c r="B22" s="0" t="n">
        <v>1</v>
      </c>
      <c r="C22" s="0" t="n">
        <v>0.346634302667537</v>
      </c>
      <c r="D22" s="0" t="n">
        <v>3.48462988139506</v>
      </c>
      <c r="E22" s="0" t="n">
        <v>0</v>
      </c>
      <c r="F22" s="0" t="n">
        <v>0</v>
      </c>
      <c r="G22" s="0" t="n">
        <v>0.5</v>
      </c>
      <c r="H22" s="0" t="n">
        <v>0</v>
      </c>
      <c r="I22" s="0" t="n">
        <v>2.11794760405539</v>
      </c>
      <c r="J22" s="0" t="n">
        <v>5.96255671847772</v>
      </c>
      <c r="K22" s="0" t="n">
        <v>2.47792683708266</v>
      </c>
      <c r="L22" s="0" t="n">
        <v>0</v>
      </c>
      <c r="M22" s="0" t="n">
        <v>5.60619325579838</v>
      </c>
      <c r="N22" s="0" t="n">
        <v>0</v>
      </c>
      <c r="O22" s="0" t="n">
        <v>5</v>
      </c>
      <c r="P22" s="0" t="n">
        <v>3</v>
      </c>
      <c r="Q22" s="0" t="n">
        <v>2</v>
      </c>
      <c r="R22" s="0" t="n">
        <v>95.0459948667633</v>
      </c>
      <c r="S22" s="0" t="n">
        <v>75.9134579993433</v>
      </c>
      <c r="T22" s="0" t="n">
        <v>25</v>
      </c>
      <c r="U22" s="0" t="n">
        <v>23</v>
      </c>
      <c r="V22" s="0" t="n">
        <v>3.80183827393522</v>
      </c>
      <c r="W22" s="0" t="n">
        <v>3.30057078009849</v>
      </c>
      <c r="X22" s="0" t="n">
        <v>2.47792683708266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24.4988698349936</v>
      </c>
      <c r="AG22" s="0" t="n">
        <v>0</v>
      </c>
      <c r="AH22" s="0" t="n">
        <v>0</v>
      </c>
      <c r="AI22" s="0" t="n">
        <v>0</v>
      </c>
      <c r="AJ22" s="0" t="n">
        <v>4</v>
      </c>
      <c r="AK22" s="0" t="n">
        <f aca="false">A22</f>
        <v>5</v>
      </c>
      <c r="AL22" s="0" t="n">
        <v>0</v>
      </c>
      <c r="AM22" s="0" t="n">
        <v>0</v>
      </c>
      <c r="AO22" s="0" t="n">
        <v>5</v>
      </c>
      <c r="AP22" s="0" t="n">
        <v>1</v>
      </c>
      <c r="AQ22" s="0" t="n">
        <v>0.398938492985755</v>
      </c>
      <c r="AR22" s="0" t="n">
        <v>4.80167588981881</v>
      </c>
      <c r="AS22" s="0" t="n">
        <v>0</v>
      </c>
      <c r="AT22" s="0" t="n">
        <v>0</v>
      </c>
    </row>
    <row r="23" customFormat="false" ht="12" hidden="false" customHeight="false" outlineLevel="0" collapsed="false">
      <c r="A23" s="0" t="n">
        <v>6</v>
      </c>
      <c r="B23" s="0" t="n">
        <v>1</v>
      </c>
      <c r="C23" s="0" t="n">
        <v>0.394956184035308</v>
      </c>
      <c r="D23" s="0" t="n">
        <v>3.87958606543037</v>
      </c>
      <c r="E23" s="0" t="n">
        <v>0</v>
      </c>
      <c r="F23" s="0" t="n">
        <v>0</v>
      </c>
      <c r="G23" s="0" t="n">
        <v>0.5</v>
      </c>
      <c r="H23" s="0" t="n">
        <v>1</v>
      </c>
      <c r="I23" s="0" t="n">
        <v>0</v>
      </c>
      <c r="J23" s="0" t="n">
        <v>5.96255671847772</v>
      </c>
      <c r="K23" s="0" t="n">
        <v>0</v>
      </c>
      <c r="L23" s="0" t="n">
        <v>1.91404527819197</v>
      </c>
      <c r="M23" s="0" t="n">
        <v>7.52023853399034</v>
      </c>
      <c r="N23" s="0" t="n">
        <v>3.64065246855997</v>
      </c>
      <c r="O23" s="0" t="n">
        <v>6</v>
      </c>
      <c r="P23" s="0" t="n">
        <v>3</v>
      </c>
      <c r="Q23" s="0" t="n">
        <v>3</v>
      </c>
      <c r="R23" s="0" t="n">
        <v>75.6147092556926</v>
      </c>
      <c r="S23" s="0" t="n">
        <v>102.702281254657</v>
      </c>
      <c r="T23" s="0" t="n">
        <v>21</v>
      </c>
      <c r="U23" s="0" t="n">
        <v>27</v>
      </c>
      <c r="V23" s="0" t="n">
        <v>3.60069872612882</v>
      </c>
      <c r="W23" s="0" t="n">
        <v>3.80377410656469</v>
      </c>
      <c r="X23" s="0" t="n">
        <v>0</v>
      </c>
      <c r="Y23" s="0" t="n">
        <v>0</v>
      </c>
      <c r="Z23" s="0" t="n">
        <v>3.64065246855997</v>
      </c>
      <c r="AA23" s="0" t="n">
        <v>0</v>
      </c>
      <c r="AB23" s="0" t="n">
        <v>0</v>
      </c>
      <c r="AC23" s="0" t="n">
        <v>0</v>
      </c>
      <c r="AD23" s="0" t="n">
        <v>1</v>
      </c>
      <c r="AE23" s="0" t="n">
        <v>0</v>
      </c>
      <c r="AF23" s="0" t="n">
        <v>0</v>
      </c>
      <c r="AG23" s="0" t="n">
        <v>0</v>
      </c>
      <c r="AH23" s="0" t="n">
        <v>17.017694245155</v>
      </c>
      <c r="AI23" s="0" t="n">
        <v>0</v>
      </c>
      <c r="AJ23" s="0" t="n">
        <v>5</v>
      </c>
      <c r="AK23" s="0" t="n">
        <f aca="false">A23</f>
        <v>6</v>
      </c>
      <c r="AL23" s="0" t="n">
        <v>0</v>
      </c>
      <c r="AM23" s="0" t="n">
        <v>0</v>
      </c>
      <c r="AO23" s="0" t="n">
        <v>6</v>
      </c>
      <c r="AP23" s="0" t="n">
        <v>1</v>
      </c>
      <c r="AQ23" s="0" t="n">
        <v>1.2669648166624</v>
      </c>
      <c r="AR23" s="0" t="n">
        <v>6.0686407064812</v>
      </c>
      <c r="AS23" s="0" t="n">
        <v>0</v>
      </c>
      <c r="AT23" s="0" t="n">
        <v>0</v>
      </c>
    </row>
    <row r="24" customFormat="false" ht="12" hidden="false" customHeight="false" outlineLevel="0" collapsed="false">
      <c r="A24" s="0" t="n">
        <v>7</v>
      </c>
      <c r="B24" s="0" t="n">
        <v>1</v>
      </c>
      <c r="C24" s="0" t="n">
        <v>0.416887124154916</v>
      </c>
      <c r="D24" s="0" t="n">
        <v>4.29647318958529</v>
      </c>
      <c r="E24" s="0" t="n">
        <v>0</v>
      </c>
      <c r="F24" s="0" t="n">
        <v>0</v>
      </c>
      <c r="G24" s="0" t="n">
        <v>0.5</v>
      </c>
      <c r="H24" s="0" t="n">
        <v>0</v>
      </c>
      <c r="I24" s="0" t="n">
        <v>1.9690829279782</v>
      </c>
      <c r="J24" s="0" t="n">
        <v>7.93163964645592</v>
      </c>
      <c r="K24" s="0" t="n">
        <v>3.63516645687063</v>
      </c>
      <c r="L24" s="0" t="n">
        <v>0</v>
      </c>
      <c r="M24" s="0" t="n">
        <v>7.52023853399034</v>
      </c>
      <c r="N24" s="0" t="n">
        <v>0</v>
      </c>
      <c r="O24" s="0" t="n">
        <v>7</v>
      </c>
      <c r="P24" s="0" t="n">
        <v>4</v>
      </c>
      <c r="Q24" s="0" t="n">
        <v>3</v>
      </c>
      <c r="R24" s="0" t="n">
        <v>118.968985334324</v>
      </c>
      <c r="S24" s="0" t="n">
        <v>97.1066716449257</v>
      </c>
      <c r="T24" s="0" t="n">
        <v>26</v>
      </c>
      <c r="U24" s="0" t="n">
        <v>22</v>
      </c>
      <c r="V24" s="0" t="n">
        <v>4.57572844527077</v>
      </c>
      <c r="W24" s="0" t="n">
        <v>4.41391955695318</v>
      </c>
      <c r="X24" s="0" t="n">
        <v>3.63516645687063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14.3822498491</v>
      </c>
      <c r="AG24" s="0" t="n">
        <v>0</v>
      </c>
      <c r="AH24" s="0" t="n">
        <v>0</v>
      </c>
      <c r="AI24" s="0" t="n">
        <v>0</v>
      </c>
      <c r="AK24" s="0" t="n">
        <f aca="false">A24</f>
        <v>7</v>
      </c>
      <c r="AL24" s="0" t="n">
        <v>0</v>
      </c>
      <c r="AM24" s="0" t="n">
        <v>0</v>
      </c>
      <c r="AO24" s="0" t="n">
        <v>7</v>
      </c>
      <c r="AP24" s="0" t="n">
        <v>0</v>
      </c>
      <c r="AQ24" s="0" t="n">
        <v>0.178039602296103</v>
      </c>
      <c r="AR24" s="0" t="n">
        <v>6.24668030877731</v>
      </c>
      <c r="AS24" s="0" t="n">
        <v>0</v>
      </c>
      <c r="AT24" s="0" t="n">
        <v>0</v>
      </c>
    </row>
    <row r="25" customFormat="false" ht="12" hidden="false" customHeight="false" outlineLevel="0" collapsed="false">
      <c r="A25" s="0" t="n">
        <v>8</v>
      </c>
      <c r="B25" s="0" t="n">
        <v>1</v>
      </c>
      <c r="C25" s="0" t="n">
        <v>0.673439790256436</v>
      </c>
      <c r="D25" s="0" t="n">
        <v>4.96991297984172</v>
      </c>
      <c r="E25" s="0" t="n">
        <v>0</v>
      </c>
      <c r="F25" s="0" t="n">
        <v>0</v>
      </c>
      <c r="G25" s="0" t="n">
        <v>0.5</v>
      </c>
      <c r="H25" s="0" t="n">
        <v>0</v>
      </c>
      <c r="I25" s="0" t="n">
        <v>1.96909917387007</v>
      </c>
      <c r="J25" s="0" t="n">
        <v>9.90073882032599</v>
      </c>
      <c r="K25" s="0" t="n">
        <v>4.93082584048427</v>
      </c>
      <c r="L25" s="0" t="n">
        <v>0</v>
      </c>
      <c r="M25" s="0" t="n">
        <v>7.52023853399034</v>
      </c>
      <c r="N25" s="0" t="n">
        <v>0</v>
      </c>
      <c r="O25" s="0" t="n">
        <v>8</v>
      </c>
      <c r="P25" s="0" t="n">
        <v>5</v>
      </c>
      <c r="Q25" s="0" t="n">
        <v>3</v>
      </c>
      <c r="R25" s="0" t="n">
        <v>92.8926671980481</v>
      </c>
      <c r="S25" s="0" t="n">
        <v>117.561759072088</v>
      </c>
      <c r="T25" s="0" t="n">
        <v>22</v>
      </c>
      <c r="U25" s="0" t="n">
        <v>26</v>
      </c>
      <c r="V25" s="0" t="n">
        <v>4.22239204427853</v>
      </c>
      <c r="W25" s="0" t="n">
        <v>4.52158872743136</v>
      </c>
      <c r="X25" s="0" t="n">
        <v>4.93082584048427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6.23368216320816</v>
      </c>
      <c r="AG25" s="0" t="n">
        <v>0</v>
      </c>
      <c r="AH25" s="0" t="n">
        <v>0</v>
      </c>
      <c r="AI25" s="0" t="n">
        <v>0</v>
      </c>
      <c r="AK25" s="0" t="n">
        <f aca="false">A25</f>
        <v>8</v>
      </c>
      <c r="AL25" s="0" t="n">
        <v>0</v>
      </c>
      <c r="AM25" s="0" t="n">
        <v>0</v>
      </c>
      <c r="AO25" s="0" t="n">
        <v>8</v>
      </c>
      <c r="AP25" s="0" t="n">
        <v>0</v>
      </c>
      <c r="AQ25" s="0" t="n">
        <v>0.404217373488169</v>
      </c>
      <c r="AR25" s="0" t="n">
        <v>6.65089768226548</v>
      </c>
      <c r="AS25" s="0" t="n">
        <v>0</v>
      </c>
      <c r="AT25" s="0" t="n">
        <v>0</v>
      </c>
    </row>
    <row r="26" customFormat="false" ht="12" hidden="false" customHeight="false" outlineLevel="0" collapsed="false">
      <c r="A26" s="0" t="n">
        <v>9</v>
      </c>
      <c r="B26" s="0" t="n">
        <v>1</v>
      </c>
      <c r="C26" s="0" t="n">
        <v>0.0508773099803891</v>
      </c>
      <c r="D26" s="0" t="n">
        <v>5.02079028982211</v>
      </c>
      <c r="E26" s="0" t="n">
        <v>0</v>
      </c>
      <c r="F26" s="0" t="n">
        <v>0</v>
      </c>
      <c r="G26" s="0" t="n">
        <v>0.5</v>
      </c>
      <c r="H26" s="0" t="n">
        <v>1</v>
      </c>
      <c r="I26" s="0" t="n">
        <v>0</v>
      </c>
      <c r="J26" s="0" t="n">
        <v>9.90073882032599</v>
      </c>
      <c r="K26" s="0" t="n">
        <v>0</v>
      </c>
      <c r="L26" s="0" t="n">
        <v>1.94434062331786</v>
      </c>
      <c r="M26" s="0" t="n">
        <v>9.46457915730821</v>
      </c>
      <c r="N26" s="0" t="n">
        <v>4.44378886748609</v>
      </c>
      <c r="O26" s="0" t="n">
        <v>9</v>
      </c>
      <c r="P26" s="0" t="n">
        <v>5</v>
      </c>
      <c r="Q26" s="0" t="n">
        <v>4</v>
      </c>
      <c r="R26" s="0" t="n">
        <v>116.155767312914</v>
      </c>
      <c r="S26" s="0" t="n">
        <v>108.157956458489</v>
      </c>
      <c r="T26" s="0" t="n">
        <v>25</v>
      </c>
      <c r="U26" s="0" t="n">
        <v>23</v>
      </c>
      <c r="V26" s="0" t="n">
        <v>4.64622883402504</v>
      </c>
      <c r="W26" s="0" t="n">
        <v>4.70249940037168</v>
      </c>
      <c r="X26" s="0" t="n">
        <v>0</v>
      </c>
      <c r="Y26" s="0" t="n">
        <v>0</v>
      </c>
      <c r="Z26" s="0" t="n">
        <v>4.44378886748609</v>
      </c>
      <c r="AA26" s="0" t="n">
        <v>0</v>
      </c>
      <c r="AB26" s="0" t="n">
        <v>0</v>
      </c>
      <c r="AC26" s="0" t="n">
        <v>0</v>
      </c>
      <c r="AD26" s="0" t="n">
        <v>1</v>
      </c>
      <c r="AE26" s="0" t="n">
        <v>0</v>
      </c>
      <c r="AF26" s="0" t="n">
        <v>0</v>
      </c>
      <c r="AG26" s="0" t="n">
        <v>0</v>
      </c>
      <c r="AH26" s="0" t="n">
        <v>11.0364441600629</v>
      </c>
      <c r="AI26" s="0" t="n">
        <v>0</v>
      </c>
      <c r="AK26" s="0" t="n">
        <f aca="false">A26</f>
        <v>9</v>
      </c>
      <c r="AL26" s="0" t="n">
        <v>0</v>
      </c>
      <c r="AM26" s="0" t="n">
        <v>0</v>
      </c>
      <c r="AO26" s="0" t="n">
        <v>9</v>
      </c>
      <c r="AP26" s="0" t="n">
        <v>0</v>
      </c>
      <c r="AQ26" s="0" t="n">
        <v>0.558167880895304</v>
      </c>
      <c r="AR26" s="0" t="n">
        <v>7.20906556316078</v>
      </c>
      <c r="AS26" s="0" t="n">
        <v>0</v>
      </c>
      <c r="AT26" s="0" t="n">
        <v>0</v>
      </c>
    </row>
    <row r="27" customFormat="false" ht="12" hidden="false" customHeight="false" outlineLevel="0" collapsed="false">
      <c r="A27" s="0" t="n">
        <v>10</v>
      </c>
      <c r="B27" s="0" t="n">
        <v>0</v>
      </c>
      <c r="C27" s="0" t="n">
        <v>0.212125986291345</v>
      </c>
      <c r="D27" s="0" t="n">
        <v>5.23291627611346</v>
      </c>
      <c r="E27" s="0" t="n">
        <v>0</v>
      </c>
      <c r="F27" s="0" t="n">
        <v>0</v>
      </c>
      <c r="G27" s="0" t="n">
        <v>0.5</v>
      </c>
      <c r="H27" s="0" t="n">
        <v>1</v>
      </c>
      <c r="I27" s="0" t="n">
        <v>0</v>
      </c>
      <c r="J27" s="0" t="n">
        <v>9.90073882032599</v>
      </c>
      <c r="K27" s="0" t="n">
        <v>0</v>
      </c>
      <c r="L27" s="0" t="n">
        <v>1.9749251047222</v>
      </c>
      <c r="M27" s="0" t="n">
        <v>11.4395042620304</v>
      </c>
      <c r="N27" s="0" t="n">
        <v>6.20658798591695</v>
      </c>
      <c r="O27" s="0" t="n">
        <v>10</v>
      </c>
      <c r="P27" s="0" t="n">
        <v>5</v>
      </c>
      <c r="Q27" s="0" t="n">
        <v>5</v>
      </c>
      <c r="R27" s="0" t="n">
        <v>129.917356277576</v>
      </c>
      <c r="S27" s="0" t="n">
        <v>101.836412961439</v>
      </c>
      <c r="T27" s="0" t="n">
        <v>25</v>
      </c>
      <c r="U27" s="0" t="n">
        <v>23</v>
      </c>
      <c r="V27" s="0" t="n">
        <v>5.19669217242617</v>
      </c>
      <c r="W27" s="0" t="n">
        <v>4.42765087810224</v>
      </c>
      <c r="X27" s="0" t="n">
        <v>0</v>
      </c>
      <c r="Y27" s="0" t="n">
        <v>0</v>
      </c>
      <c r="Z27" s="0" t="n">
        <v>0</v>
      </c>
      <c r="AA27" s="0" t="n">
        <v>6.20658798591695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0</v>
      </c>
      <c r="AH27" s="0" t="n">
        <v>0</v>
      </c>
      <c r="AI27" s="0" t="n">
        <v>2.32505400226175</v>
      </c>
      <c r="AK27" s="0" t="n">
        <f aca="false">A27</f>
        <v>10</v>
      </c>
      <c r="AL27" s="0" t="n">
        <v>0</v>
      </c>
      <c r="AM27" s="0" t="n">
        <v>0</v>
      </c>
      <c r="AO27" s="0" t="n">
        <v>10</v>
      </c>
      <c r="AP27" s="0" t="n">
        <v>1</v>
      </c>
      <c r="AQ27" s="0" t="n">
        <v>0.392126745526969</v>
      </c>
      <c r="AR27" s="0" t="n">
        <v>7.60119230868775</v>
      </c>
      <c r="AS27" s="0" t="n">
        <v>0</v>
      </c>
      <c r="AT27" s="0" t="n">
        <v>0</v>
      </c>
    </row>
    <row r="28" customFormat="false" ht="12" hidden="false" customHeight="false" outlineLevel="0" collapsed="false">
      <c r="A28" s="0" t="n">
        <v>11</v>
      </c>
      <c r="B28" s="0" t="n">
        <v>0</v>
      </c>
      <c r="C28" s="0" t="n">
        <v>0.294570907133808</v>
      </c>
      <c r="D28" s="0" t="n">
        <v>5.52748718324726</v>
      </c>
      <c r="E28" s="0" t="n">
        <v>8</v>
      </c>
      <c r="F28" s="0" t="n">
        <v>10</v>
      </c>
      <c r="G28" s="0" t="n">
        <v>0.5</v>
      </c>
      <c r="H28" s="0" t="n">
        <v>0</v>
      </c>
      <c r="I28" s="0" t="n">
        <v>2.04635212569854</v>
      </c>
      <c r="J28" s="0" t="n">
        <v>11.9470909460245</v>
      </c>
      <c r="K28" s="0" t="n">
        <v>6.41960376277726</v>
      </c>
      <c r="L28" s="0" t="n">
        <v>0</v>
      </c>
      <c r="M28" s="0" t="n">
        <v>11.4395042620304</v>
      </c>
      <c r="N28" s="0" t="n">
        <v>0</v>
      </c>
      <c r="O28" s="0" t="n">
        <v>11</v>
      </c>
      <c r="P28" s="0" t="n">
        <v>6</v>
      </c>
      <c r="Q28" s="0" t="n">
        <v>5</v>
      </c>
      <c r="R28" s="0" t="n">
        <v>69.0223787894886</v>
      </c>
      <c r="S28" s="0" t="n">
        <v>112.373506822405</v>
      </c>
      <c r="T28" s="0" t="n">
        <v>20</v>
      </c>
      <c r="U28" s="0" t="n">
        <v>28</v>
      </c>
      <c r="V28" s="0" t="n">
        <v>3.45111721391582</v>
      </c>
      <c r="W28" s="0" t="n">
        <v>4.01332519606735</v>
      </c>
      <c r="X28" s="0" t="n">
        <v>0</v>
      </c>
      <c r="Y28" s="0" t="n">
        <v>6.41960376277726</v>
      </c>
      <c r="Z28" s="0" t="n">
        <v>0</v>
      </c>
      <c r="AA28" s="0" t="n">
        <v>0</v>
      </c>
      <c r="AB28" s="0" t="n">
        <v>0</v>
      </c>
      <c r="AC28" s="0" t="n">
        <v>1</v>
      </c>
      <c r="AD28" s="0" t="n">
        <v>0</v>
      </c>
      <c r="AE28" s="0" t="n">
        <v>0</v>
      </c>
      <c r="AF28" s="0" t="n">
        <v>0</v>
      </c>
      <c r="AG28" s="0" t="n">
        <v>3.38211696381731</v>
      </c>
      <c r="AH28" s="0" t="n">
        <v>0</v>
      </c>
      <c r="AI28" s="0" t="n">
        <v>0</v>
      </c>
      <c r="AK28" s="0" t="n">
        <f aca="false">A28</f>
        <v>11</v>
      </c>
      <c r="AL28" s="0" t="n">
        <v>1</v>
      </c>
      <c r="AM28" s="0" t="n">
        <v>4</v>
      </c>
      <c r="AO28" s="0" t="n">
        <v>11</v>
      </c>
      <c r="AP28" s="0" t="n">
        <v>0</v>
      </c>
      <c r="AQ28" s="0" t="n">
        <v>0.433275367376309</v>
      </c>
      <c r="AR28" s="0" t="n">
        <v>8.03446767606406</v>
      </c>
      <c r="AS28" s="0" t="n">
        <v>4</v>
      </c>
      <c r="AT28" s="0" t="n">
        <v>12</v>
      </c>
    </row>
    <row r="29" customFormat="false" ht="12" hidden="false" customHeight="false" outlineLevel="0" collapsed="false">
      <c r="A29" s="0" t="n">
        <v>12</v>
      </c>
      <c r="B29" s="0" t="n">
        <v>0</v>
      </c>
      <c r="C29" s="0" t="n">
        <v>1.11676787681608</v>
      </c>
      <c r="D29" s="0" t="n">
        <v>6.64425506006335</v>
      </c>
      <c r="E29" s="0" t="n">
        <v>8</v>
      </c>
      <c r="F29" s="0" t="n">
        <v>8</v>
      </c>
      <c r="G29" s="0" t="n">
        <v>0.5</v>
      </c>
      <c r="H29" s="0" t="n">
        <v>1</v>
      </c>
      <c r="I29" s="0" t="n">
        <v>0</v>
      </c>
      <c r="J29" s="0" t="n">
        <v>11.9470909460245</v>
      </c>
      <c r="K29" s="0" t="n">
        <v>0</v>
      </c>
      <c r="L29" s="0" t="n">
        <v>2.12595790051023</v>
      </c>
      <c r="M29" s="0" t="n">
        <v>13.5654621625406</v>
      </c>
      <c r="N29" s="0" t="n">
        <v>6.92120710247729</v>
      </c>
      <c r="O29" s="0" t="n">
        <v>12</v>
      </c>
      <c r="P29" s="0" t="n">
        <v>6</v>
      </c>
      <c r="Q29" s="0" t="n">
        <v>6</v>
      </c>
      <c r="R29" s="0" t="n">
        <v>95.5854723318199</v>
      </c>
      <c r="S29" s="0" t="n">
        <v>116.843218512808</v>
      </c>
      <c r="T29" s="0" t="n">
        <v>24</v>
      </c>
      <c r="U29" s="0" t="n">
        <v>24</v>
      </c>
      <c r="V29" s="0" t="n">
        <v>3.98272635435652</v>
      </c>
      <c r="W29" s="0" t="n">
        <v>4.8684471528372</v>
      </c>
      <c r="X29" s="0" t="n">
        <v>0</v>
      </c>
      <c r="Y29" s="0" t="n">
        <v>0</v>
      </c>
      <c r="Z29" s="0" t="n">
        <v>0</v>
      </c>
      <c r="AA29" s="0" t="n">
        <v>6.92120710247729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0</v>
      </c>
      <c r="AH29" s="0" t="n">
        <v>0</v>
      </c>
      <c r="AI29" s="0" t="n">
        <v>0.656413766013513</v>
      </c>
      <c r="AK29" s="0" t="n">
        <f aca="false">A29</f>
        <v>12</v>
      </c>
      <c r="AL29" s="0" t="n">
        <v>0</v>
      </c>
      <c r="AM29" s="0" t="n">
        <v>4</v>
      </c>
      <c r="AO29" s="0" t="n">
        <v>12</v>
      </c>
      <c r="AP29" s="0" t="n">
        <v>1</v>
      </c>
      <c r="AQ29" s="0" t="n">
        <v>1.21588630317011</v>
      </c>
      <c r="AR29" s="0" t="n">
        <v>9.25035397923417</v>
      </c>
      <c r="AS29" s="0" t="n">
        <v>4</v>
      </c>
      <c r="AT29" s="0" t="n">
        <v>12</v>
      </c>
    </row>
    <row r="30" customFormat="false" ht="12" hidden="false" customHeight="false" outlineLevel="0" collapsed="false">
      <c r="A30" s="0" t="n">
        <v>13</v>
      </c>
      <c r="B30" s="0" t="n">
        <v>1</v>
      </c>
      <c r="C30" s="0" t="n">
        <v>0.0700692954570199</v>
      </c>
      <c r="D30" s="0" t="n">
        <v>6.71432435552037</v>
      </c>
      <c r="E30" s="0" t="n">
        <v>8</v>
      </c>
      <c r="F30" s="0" t="n">
        <v>10</v>
      </c>
      <c r="G30" s="0" t="n">
        <v>0.5</v>
      </c>
      <c r="H30" s="0" t="n">
        <v>0</v>
      </c>
      <c r="I30" s="0" t="n">
        <v>1.83671260103765</v>
      </c>
      <c r="J30" s="0" t="n">
        <v>13.7838035470622</v>
      </c>
      <c r="K30" s="0" t="n">
        <v>7.06947919154181</v>
      </c>
      <c r="L30" s="0" t="n">
        <v>0</v>
      </c>
      <c r="M30" s="0" t="n">
        <v>13.5654621625406</v>
      </c>
      <c r="N30" s="0" t="n">
        <v>0</v>
      </c>
      <c r="O30" s="0" t="n">
        <v>13</v>
      </c>
      <c r="P30" s="0" t="n">
        <v>7</v>
      </c>
      <c r="Q30" s="0" t="n">
        <v>6</v>
      </c>
      <c r="R30" s="0" t="n">
        <v>105.679358849097</v>
      </c>
      <c r="S30" s="0" t="n">
        <v>114.877993083887</v>
      </c>
      <c r="T30" s="0" t="n">
        <v>23</v>
      </c>
      <c r="U30" s="0" t="n">
        <v>25</v>
      </c>
      <c r="V30" s="0" t="n">
        <v>4.59475273485083</v>
      </c>
      <c r="W30" s="0" t="n">
        <v>4.59510134295009</v>
      </c>
      <c r="X30" s="0" t="n">
        <v>7.06947919154181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0.128221965767736</v>
      </c>
      <c r="AG30" s="0" t="n">
        <v>0</v>
      </c>
      <c r="AH30" s="0" t="n">
        <v>0</v>
      </c>
      <c r="AI30" s="0" t="n">
        <v>0</v>
      </c>
      <c r="AK30" s="0" t="n">
        <f aca="false">A30</f>
        <v>13</v>
      </c>
      <c r="AL30" s="0" t="n">
        <v>1</v>
      </c>
      <c r="AM30" s="0" t="n">
        <v>4</v>
      </c>
      <c r="AO30" s="0" t="n">
        <v>13</v>
      </c>
      <c r="AP30" s="0" t="n">
        <v>1</v>
      </c>
      <c r="AQ30" s="0" t="n">
        <v>0.732088923647424</v>
      </c>
      <c r="AR30" s="0" t="n">
        <v>9.98244290288159</v>
      </c>
      <c r="AS30" s="0" t="n">
        <v>4</v>
      </c>
      <c r="AT30" s="0" t="n">
        <v>12</v>
      </c>
    </row>
    <row r="31" customFormat="false" ht="12" hidden="false" customHeight="false" outlineLevel="0" collapsed="false">
      <c r="A31" s="0" t="n">
        <v>14</v>
      </c>
      <c r="B31" s="0" t="n">
        <v>0</v>
      </c>
      <c r="C31" s="0" t="n">
        <v>1.19164837926064</v>
      </c>
      <c r="D31" s="0" t="n">
        <v>7.90597273478101</v>
      </c>
      <c r="E31" s="0" t="n">
        <v>10</v>
      </c>
      <c r="F31" s="0" t="n">
        <v>8</v>
      </c>
      <c r="G31" s="0" t="n">
        <v>0.5</v>
      </c>
      <c r="H31" s="0" t="n">
        <v>1</v>
      </c>
      <c r="I31" s="0" t="n">
        <v>0</v>
      </c>
      <c r="J31" s="0" t="n">
        <v>13.7838035470622</v>
      </c>
      <c r="K31" s="0" t="n">
        <v>0</v>
      </c>
      <c r="L31" s="0" t="n">
        <v>1.87361168055818</v>
      </c>
      <c r="M31" s="0" t="n">
        <v>15.4390738430988</v>
      </c>
      <c r="N31" s="0" t="n">
        <v>7.5331011083178</v>
      </c>
      <c r="O31" s="0" t="n">
        <v>14</v>
      </c>
      <c r="P31" s="0" t="n">
        <v>7</v>
      </c>
      <c r="Q31" s="0" t="n">
        <v>7</v>
      </c>
      <c r="R31" s="0" t="n">
        <v>124.78476916487</v>
      </c>
      <c r="S31" s="0" t="n">
        <v>103.369543258469</v>
      </c>
      <c r="T31" s="0" t="n">
        <v>26</v>
      </c>
      <c r="U31" s="0" t="n">
        <v>22</v>
      </c>
      <c r="V31" s="0" t="n">
        <v>4.79941235272101</v>
      </c>
      <c r="W31" s="0" t="n">
        <v>4.69859424541113</v>
      </c>
      <c r="X31" s="0" t="n">
        <v>0</v>
      </c>
      <c r="Y31" s="0" t="n">
        <v>0</v>
      </c>
      <c r="Z31" s="0" t="n">
        <v>0</v>
      </c>
      <c r="AA31" s="0" t="n">
        <v>7.5331011083178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0</v>
      </c>
      <c r="AG31" s="0" t="n">
        <v>0</v>
      </c>
      <c r="AH31" s="0" t="n">
        <v>0</v>
      </c>
      <c r="AI31" s="0" t="n">
        <v>0.0393227526707227</v>
      </c>
      <c r="AK31" s="0" t="n">
        <f aca="false">A31</f>
        <v>14</v>
      </c>
      <c r="AL31" s="0" t="n">
        <v>1</v>
      </c>
      <c r="AM31" s="0" t="n">
        <v>2</v>
      </c>
      <c r="AO31" s="0" t="n">
        <v>14</v>
      </c>
      <c r="AP31" s="0" t="n">
        <v>1</v>
      </c>
      <c r="AQ31" s="0" t="n">
        <v>1.34841831877272</v>
      </c>
      <c r="AR31" s="0" t="n">
        <v>11.3308612216543</v>
      </c>
      <c r="AS31" s="0" t="n">
        <v>6</v>
      </c>
      <c r="AT31" s="0" t="n">
        <v>10</v>
      </c>
    </row>
    <row r="32" customFormat="false" ht="12" hidden="false" customHeight="false" outlineLevel="0" collapsed="false">
      <c r="A32" s="0" t="n">
        <v>15</v>
      </c>
      <c r="B32" s="0" t="n">
        <v>1</v>
      </c>
      <c r="C32" s="0" t="n">
        <v>0.469843575490513</v>
      </c>
      <c r="D32" s="0" t="n">
        <v>8.37581631027152</v>
      </c>
      <c r="E32" s="0" t="n">
        <v>8</v>
      </c>
      <c r="F32" s="0" t="n">
        <v>10</v>
      </c>
      <c r="G32" s="0" t="n">
        <v>0.5</v>
      </c>
      <c r="H32" s="0" t="n">
        <v>0</v>
      </c>
      <c r="I32" s="0" t="n">
        <v>1.82610198673841</v>
      </c>
      <c r="J32" s="0" t="n">
        <v>15.6099055338006</v>
      </c>
      <c r="K32" s="0" t="n">
        <v>7.23408922352907</v>
      </c>
      <c r="L32" s="0" t="n">
        <v>0</v>
      </c>
      <c r="M32" s="0" t="n">
        <v>15.4390738430988</v>
      </c>
      <c r="N32" s="0" t="n">
        <v>0</v>
      </c>
      <c r="O32" s="0" t="n">
        <v>15</v>
      </c>
      <c r="P32" s="0" t="n">
        <v>8</v>
      </c>
      <c r="Q32" s="0" t="n">
        <v>7</v>
      </c>
      <c r="R32" s="0" t="n">
        <v>139.761878493607</v>
      </c>
      <c r="S32" s="0" t="n">
        <v>116.120592038324</v>
      </c>
      <c r="T32" s="0" t="n">
        <v>27</v>
      </c>
      <c r="U32" s="0" t="n">
        <v>21</v>
      </c>
      <c r="V32" s="0" t="n">
        <v>5.17636395296175</v>
      </c>
      <c r="W32" s="0" t="n">
        <v>5.52952567075035</v>
      </c>
      <c r="X32" s="0" t="n">
        <v>7.23408922352907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  <c r="AF32" s="0" t="n">
        <v>0.0374309955844083</v>
      </c>
      <c r="AG32" s="0" t="n">
        <v>0</v>
      </c>
      <c r="AH32" s="0" t="n">
        <v>0</v>
      </c>
      <c r="AI32" s="0" t="n">
        <v>0</v>
      </c>
      <c r="AK32" s="0" t="n">
        <f aca="false">A32</f>
        <v>15</v>
      </c>
      <c r="AL32" s="0" t="n">
        <v>1</v>
      </c>
      <c r="AM32" s="0" t="n">
        <v>2</v>
      </c>
      <c r="AO32" s="0" t="n">
        <v>15</v>
      </c>
      <c r="AP32" s="0" t="n">
        <v>1</v>
      </c>
      <c r="AQ32" s="0" t="n">
        <v>0.599863940793867</v>
      </c>
      <c r="AR32" s="0" t="n">
        <v>11.9307251624482</v>
      </c>
      <c r="AS32" s="0" t="n">
        <v>6</v>
      </c>
      <c r="AT32" s="0" t="n">
        <v>10</v>
      </c>
    </row>
    <row r="33" customFormat="false" ht="12" hidden="false" customHeight="false" outlineLevel="0" collapsed="false">
      <c r="A33" s="0" t="n">
        <v>16</v>
      </c>
      <c r="B33" s="0" t="n">
        <v>1</v>
      </c>
      <c r="C33" s="0" t="n">
        <v>0.922354703095359</v>
      </c>
      <c r="D33" s="0" t="n">
        <v>9.29817101336688</v>
      </c>
      <c r="E33" s="0" t="n">
        <v>10</v>
      </c>
      <c r="F33" s="0" t="n">
        <v>10</v>
      </c>
      <c r="G33" s="0" t="n">
        <v>0.5</v>
      </c>
      <c r="H33" s="0" t="n">
        <v>1</v>
      </c>
      <c r="I33" s="0" t="n">
        <v>0</v>
      </c>
      <c r="J33" s="0" t="n">
        <v>15.6099055338006</v>
      </c>
      <c r="K33" s="0" t="n">
        <v>0</v>
      </c>
      <c r="L33" s="0" t="n">
        <v>2.09024992274572</v>
      </c>
      <c r="M33" s="0" t="n">
        <v>17.5293237658445</v>
      </c>
      <c r="N33" s="0" t="n">
        <v>8.23115275247766</v>
      </c>
      <c r="O33" s="0" t="n">
        <v>16</v>
      </c>
      <c r="P33" s="0" t="n">
        <v>8</v>
      </c>
      <c r="Q33" s="0" t="n">
        <v>8</v>
      </c>
      <c r="R33" s="0" t="n">
        <v>128.673177684565</v>
      </c>
      <c r="S33" s="0" t="n">
        <v>125.072454148549</v>
      </c>
      <c r="T33" s="0" t="n">
        <v>24</v>
      </c>
      <c r="U33" s="0" t="n">
        <v>24</v>
      </c>
      <c r="V33" s="0" t="n">
        <v>5.36138016961512</v>
      </c>
      <c r="W33" s="0" t="n">
        <v>5.2113305423123</v>
      </c>
      <c r="X33" s="0" t="n">
        <v>0</v>
      </c>
      <c r="Y33" s="0" t="n">
        <v>0</v>
      </c>
      <c r="Z33" s="0" t="n">
        <v>8.23115275247766</v>
      </c>
      <c r="AA33" s="0" t="n">
        <v>0</v>
      </c>
      <c r="AB33" s="0" t="n">
        <v>0</v>
      </c>
      <c r="AC33" s="0" t="n">
        <v>0</v>
      </c>
      <c r="AD33" s="0" t="n">
        <v>1</v>
      </c>
      <c r="AE33" s="0" t="n">
        <v>0</v>
      </c>
      <c r="AF33" s="0" t="n">
        <v>0</v>
      </c>
      <c r="AG33" s="0" t="n">
        <v>0</v>
      </c>
      <c r="AH33" s="0" t="n">
        <v>0.216457073008954</v>
      </c>
      <c r="AI33" s="0" t="n">
        <v>0</v>
      </c>
      <c r="AK33" s="0" t="n">
        <f aca="false">A33</f>
        <v>16</v>
      </c>
      <c r="AL33" s="0" t="n">
        <v>0</v>
      </c>
      <c r="AM33" s="0" t="n">
        <v>1</v>
      </c>
      <c r="AO33" s="0" t="n">
        <v>16</v>
      </c>
      <c r="AP33" s="0" t="n">
        <v>1</v>
      </c>
      <c r="AQ33" s="0" t="n">
        <v>0.351255153382777</v>
      </c>
      <c r="AR33" s="0" t="n">
        <v>12.281980315831</v>
      </c>
      <c r="AS33" s="0" t="n">
        <v>8</v>
      </c>
      <c r="AT33" s="0" t="n">
        <v>10</v>
      </c>
    </row>
    <row r="34" customFormat="false" ht="12" hidden="false" customHeight="false" outlineLevel="0" collapsed="false">
      <c r="A34" s="0" t="n">
        <v>17</v>
      </c>
      <c r="B34" s="0" t="n">
        <v>0</v>
      </c>
      <c r="C34" s="0" t="n">
        <v>1.32303240197438</v>
      </c>
      <c r="D34" s="0" t="n">
        <v>10.6212034153413</v>
      </c>
      <c r="E34" s="0" t="n">
        <v>8</v>
      </c>
      <c r="F34" s="0" t="n">
        <v>10</v>
      </c>
      <c r="G34" s="0" t="n">
        <v>0.5</v>
      </c>
      <c r="H34" s="0" t="n">
        <v>1</v>
      </c>
      <c r="I34" s="0" t="n">
        <v>0</v>
      </c>
      <c r="J34" s="0" t="n">
        <v>15.6099055338006</v>
      </c>
      <c r="K34" s="0" t="n">
        <v>0</v>
      </c>
      <c r="L34" s="0" t="n">
        <v>2.11836538907717</v>
      </c>
      <c r="M34" s="0" t="n">
        <v>19.6476891549217</v>
      </c>
      <c r="N34" s="0" t="n">
        <v>9.02648573958045</v>
      </c>
      <c r="O34" s="0" t="n">
        <v>17</v>
      </c>
      <c r="P34" s="0" t="n">
        <v>8</v>
      </c>
      <c r="Q34" s="0" t="n">
        <v>9</v>
      </c>
      <c r="R34" s="0" t="n">
        <v>98.8031719674583</v>
      </c>
      <c r="S34" s="0" t="n">
        <v>160.91798127998</v>
      </c>
      <c r="T34" s="0" t="n">
        <v>17</v>
      </c>
      <c r="U34" s="0" t="n">
        <v>31</v>
      </c>
      <c r="V34" s="0" t="n">
        <v>5.81194787341056</v>
      </c>
      <c r="W34" s="0" t="n">
        <v>5.19088587714169</v>
      </c>
      <c r="X34" s="0" t="n">
        <v>0</v>
      </c>
      <c r="Y34" s="0" t="n">
        <v>0</v>
      </c>
      <c r="Z34" s="0" t="n">
        <v>0</v>
      </c>
      <c r="AA34" s="0" t="n">
        <v>9.02648573958045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0</v>
      </c>
      <c r="AG34" s="0" t="n">
        <v>0</v>
      </c>
      <c r="AH34" s="0" t="n">
        <v>0</v>
      </c>
      <c r="AI34" s="0" t="n">
        <v>1.67724509902235</v>
      </c>
      <c r="AK34" s="0" t="n">
        <f aca="false">A34</f>
        <v>17</v>
      </c>
      <c r="AL34" s="0" t="n">
        <v>1</v>
      </c>
      <c r="AM34" s="0" t="n">
        <v>0</v>
      </c>
      <c r="AO34" s="0" t="n">
        <v>17</v>
      </c>
      <c r="AP34" s="0" t="n">
        <v>1</v>
      </c>
      <c r="AQ34" s="0" t="n">
        <v>0.35318656542279</v>
      </c>
      <c r="AR34" s="0" t="n">
        <v>12.6351668812537</v>
      </c>
      <c r="AS34" s="0" t="n">
        <v>10</v>
      </c>
      <c r="AT34" s="0" t="n">
        <v>10</v>
      </c>
    </row>
    <row r="35" customFormat="false" ht="12" hidden="false" customHeight="false" outlineLevel="0" collapsed="false">
      <c r="A35" s="0" t="n">
        <v>18</v>
      </c>
      <c r="B35" s="0" t="n">
        <v>0</v>
      </c>
      <c r="C35" s="0" t="n">
        <v>0.16044910486643</v>
      </c>
      <c r="D35" s="0" t="n">
        <v>10.7816525202077</v>
      </c>
      <c r="E35" s="0" t="n">
        <v>8</v>
      </c>
      <c r="F35" s="0" t="n">
        <v>12</v>
      </c>
      <c r="G35" s="0" t="n">
        <v>0.5</v>
      </c>
      <c r="H35" s="0" t="n">
        <v>0</v>
      </c>
      <c r="I35" s="0" t="n">
        <v>1.83290221639205</v>
      </c>
      <c r="J35" s="0" t="n">
        <v>17.4428077501926</v>
      </c>
      <c r="K35" s="0" t="n">
        <v>6.66115522998494</v>
      </c>
      <c r="L35" s="0" t="n">
        <v>0</v>
      </c>
      <c r="M35" s="0" t="n">
        <v>19.6476891549217</v>
      </c>
      <c r="N35" s="0" t="n">
        <v>0</v>
      </c>
      <c r="O35" s="0" t="n">
        <v>18</v>
      </c>
      <c r="P35" s="0" t="n">
        <v>9</v>
      </c>
      <c r="Q35" s="0" t="n">
        <v>9</v>
      </c>
      <c r="R35" s="0" t="n">
        <v>131.722284401175</v>
      </c>
      <c r="S35" s="0" t="n">
        <v>130.682697125512</v>
      </c>
      <c r="T35" s="0" t="n">
        <v>25</v>
      </c>
      <c r="U35" s="0" t="n">
        <v>23</v>
      </c>
      <c r="V35" s="0" t="n">
        <v>5.2688892684913</v>
      </c>
      <c r="W35" s="0" t="n">
        <v>5.68183169314533</v>
      </c>
      <c r="X35" s="0" t="n">
        <v>0</v>
      </c>
      <c r="Y35" s="0" t="n">
        <v>6.66115522998494</v>
      </c>
      <c r="Z35" s="0" t="n">
        <v>0</v>
      </c>
      <c r="AA35" s="0" t="n">
        <v>0</v>
      </c>
      <c r="AB35" s="0" t="n">
        <v>0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2.55201203938913</v>
      </c>
      <c r="AH35" s="0" t="n">
        <v>0</v>
      </c>
      <c r="AI35" s="0" t="n">
        <v>0</v>
      </c>
      <c r="AK35" s="0" t="n">
        <f aca="false">A35</f>
        <v>18</v>
      </c>
      <c r="AL35" s="0" t="n">
        <v>2</v>
      </c>
      <c r="AM35" s="0" t="n">
        <v>2</v>
      </c>
      <c r="AO35" s="0" t="n">
        <v>18</v>
      </c>
      <c r="AP35" s="0" t="n">
        <v>0</v>
      </c>
      <c r="AQ35" s="0" t="n">
        <v>0.629819899233514</v>
      </c>
      <c r="AR35" s="0" t="n">
        <v>13.2649867804873</v>
      </c>
      <c r="AS35" s="0" t="n">
        <v>12</v>
      </c>
      <c r="AT35" s="0" t="n">
        <v>8</v>
      </c>
    </row>
    <row r="36" customFormat="false" ht="12" hidden="false" customHeight="false" outlineLevel="0" collapsed="false">
      <c r="A36" s="0" t="n">
        <v>19</v>
      </c>
      <c r="B36" s="0" t="n">
        <v>0</v>
      </c>
      <c r="C36" s="0" t="n">
        <v>0.36945388717086</v>
      </c>
      <c r="D36" s="0" t="n">
        <v>11.1511064073786</v>
      </c>
      <c r="E36" s="0" t="n">
        <v>10</v>
      </c>
      <c r="F36" s="0" t="n">
        <v>12</v>
      </c>
      <c r="G36" s="0" t="n">
        <v>0.5</v>
      </c>
      <c r="H36" s="0" t="n">
        <v>0</v>
      </c>
      <c r="I36" s="0" t="n">
        <v>1.94705804159509</v>
      </c>
      <c r="J36" s="0" t="n">
        <v>19.3898657917877</v>
      </c>
      <c r="K36" s="0" t="n">
        <v>8.23875938440917</v>
      </c>
      <c r="L36" s="0" t="n">
        <v>0</v>
      </c>
      <c r="M36" s="0" t="n">
        <v>19.6476891549217</v>
      </c>
      <c r="N36" s="0" t="n">
        <v>0</v>
      </c>
      <c r="O36" s="0" t="n">
        <v>19</v>
      </c>
      <c r="P36" s="0" t="n">
        <v>10</v>
      </c>
      <c r="Q36" s="0" t="n">
        <v>9</v>
      </c>
      <c r="R36" s="0" t="n">
        <v>168.683207723894</v>
      </c>
      <c r="S36" s="0" t="n">
        <v>115.244970655484</v>
      </c>
      <c r="T36" s="0" t="n">
        <v>29</v>
      </c>
      <c r="U36" s="0" t="n">
        <v>19</v>
      </c>
      <c r="V36" s="0" t="n">
        <v>5.81666032956176</v>
      </c>
      <c r="W36" s="0" t="n">
        <v>6.06549284769472</v>
      </c>
      <c r="X36" s="0" t="n">
        <v>0</v>
      </c>
      <c r="Y36" s="0" t="n">
        <v>8.23875938440917</v>
      </c>
      <c r="Z36" s="0" t="n">
        <v>0</v>
      </c>
      <c r="AA36" s="0" t="n">
        <v>0</v>
      </c>
      <c r="AB36" s="0" t="n">
        <v>0</v>
      </c>
      <c r="AC36" s="0" t="n">
        <v>1</v>
      </c>
      <c r="AD36" s="0" t="n">
        <v>0</v>
      </c>
      <c r="AE36" s="0" t="n">
        <v>0</v>
      </c>
      <c r="AF36" s="0" t="n">
        <v>0</v>
      </c>
      <c r="AG36" s="0" t="n">
        <v>0.000395916777573853</v>
      </c>
      <c r="AH36" s="0" t="n">
        <v>0</v>
      </c>
      <c r="AI36" s="0" t="n">
        <v>0</v>
      </c>
      <c r="AK36" s="0" t="n">
        <f aca="false">A36</f>
        <v>19</v>
      </c>
      <c r="AL36" s="0" t="n">
        <v>1</v>
      </c>
      <c r="AM36" s="0" t="n">
        <v>2</v>
      </c>
      <c r="AO36" s="0" t="n">
        <v>19</v>
      </c>
      <c r="AP36" s="0" t="n">
        <v>0</v>
      </c>
      <c r="AQ36" s="0" t="n">
        <v>1.36402655088505</v>
      </c>
      <c r="AR36" s="0" t="n">
        <v>14.6290133313723</v>
      </c>
      <c r="AS36" s="0" t="n">
        <v>12</v>
      </c>
      <c r="AT36" s="0" t="n">
        <v>8</v>
      </c>
    </row>
    <row r="37" customFormat="false" ht="12" hidden="false" customHeight="false" outlineLevel="0" collapsed="false">
      <c r="A37" s="0" t="n">
        <v>20</v>
      </c>
      <c r="B37" s="0" t="n">
        <v>0</v>
      </c>
      <c r="C37" s="0" t="n">
        <v>4.73605767094409</v>
      </c>
      <c r="D37" s="0" t="n">
        <v>15.8871640783226</v>
      </c>
      <c r="E37" s="0" t="n">
        <v>6</v>
      </c>
      <c r="F37" s="0" t="n">
        <v>6</v>
      </c>
      <c r="G37" s="0" t="n">
        <v>0.5</v>
      </c>
      <c r="H37" s="0" t="n">
        <v>0</v>
      </c>
      <c r="I37" s="0" t="n">
        <v>2.24833636756992</v>
      </c>
      <c r="J37" s="0" t="n">
        <v>21.6382021593576</v>
      </c>
      <c r="K37" s="0" t="n">
        <v>5.75103808103499</v>
      </c>
      <c r="L37" s="0" t="n">
        <v>0</v>
      </c>
      <c r="M37" s="0" t="n">
        <v>19.6476891549217</v>
      </c>
      <c r="N37" s="0" t="n">
        <v>0</v>
      </c>
      <c r="O37" s="0" t="n">
        <v>20</v>
      </c>
      <c r="P37" s="0" t="n">
        <v>11</v>
      </c>
      <c r="Q37" s="0" t="n">
        <v>9</v>
      </c>
      <c r="R37" s="0" t="n">
        <v>110.823708831307</v>
      </c>
      <c r="S37" s="0" t="n">
        <v>168.4263913843</v>
      </c>
      <c r="T37" s="0" t="n">
        <v>18</v>
      </c>
      <c r="U37" s="0" t="n">
        <v>30</v>
      </c>
      <c r="V37" s="0" t="n">
        <v>6.15686929236746</v>
      </c>
      <c r="W37" s="0" t="n">
        <v>5.61419433216224</v>
      </c>
      <c r="X37" s="0" t="n">
        <v>0</v>
      </c>
      <c r="Y37" s="0" t="n">
        <v>5.75103808103499</v>
      </c>
      <c r="Z37" s="0" t="n">
        <v>0</v>
      </c>
      <c r="AA37" s="0" t="n">
        <v>0</v>
      </c>
      <c r="AB37" s="0" t="n">
        <v>0</v>
      </c>
      <c r="AC37" s="0" t="n">
        <v>1</v>
      </c>
      <c r="AD37" s="0" t="n">
        <v>0</v>
      </c>
      <c r="AE37" s="0" t="n">
        <v>0</v>
      </c>
      <c r="AF37" s="0" t="n">
        <v>0</v>
      </c>
      <c r="AG37" s="0" t="n">
        <v>6.28815285338769</v>
      </c>
      <c r="AH37" s="0" t="n">
        <v>0</v>
      </c>
      <c r="AI37" s="0" t="n">
        <v>0</v>
      </c>
      <c r="AK37" s="0" t="n">
        <f aca="false">A37</f>
        <v>20</v>
      </c>
      <c r="AL37" s="0" t="n">
        <v>0</v>
      </c>
      <c r="AM37" s="0" t="n">
        <v>2</v>
      </c>
      <c r="AO37" s="0" t="n">
        <v>20</v>
      </c>
      <c r="AP37" s="0" t="n">
        <v>1</v>
      </c>
      <c r="AQ37" s="0" t="n">
        <v>0.908959511184157</v>
      </c>
      <c r="AR37" s="0" t="n">
        <v>15.5379728425565</v>
      </c>
      <c r="AS37" s="0" t="n">
        <v>12</v>
      </c>
      <c r="AT37" s="0" t="n">
        <v>8</v>
      </c>
    </row>
    <row r="38" customFormat="false" ht="12" hidden="false" customHeight="false" outlineLevel="0" collapsed="false">
      <c r="A38" s="0" t="n">
        <v>21</v>
      </c>
      <c r="B38" s="0" t="n">
        <v>1</v>
      </c>
      <c r="C38" s="0" t="n">
        <v>1.32140782337866</v>
      </c>
      <c r="D38" s="0" t="n">
        <v>17.2085719017013</v>
      </c>
      <c r="E38" s="0" t="n">
        <v>8</v>
      </c>
      <c r="F38" s="0" t="n">
        <v>6</v>
      </c>
      <c r="G38" s="0" t="n">
        <v>0.5</v>
      </c>
      <c r="H38" s="0" t="n">
        <v>1</v>
      </c>
      <c r="I38" s="0" t="n">
        <v>0</v>
      </c>
      <c r="J38" s="0" t="n">
        <v>21.6382021593576</v>
      </c>
      <c r="K38" s="0" t="n">
        <v>0</v>
      </c>
      <c r="L38" s="0" t="n">
        <v>1.81838329831554</v>
      </c>
      <c r="M38" s="0" t="n">
        <v>21.4660724532373</v>
      </c>
      <c r="N38" s="0" t="n">
        <v>4.25750055153595</v>
      </c>
      <c r="O38" s="0" t="n">
        <v>21</v>
      </c>
      <c r="P38" s="0" t="n">
        <v>11</v>
      </c>
      <c r="Q38" s="0" t="n">
        <v>10</v>
      </c>
      <c r="R38" s="0" t="n">
        <v>166.513648342839</v>
      </c>
      <c r="S38" s="0" t="n">
        <v>123.279460127383</v>
      </c>
      <c r="T38" s="0" t="n">
        <v>28</v>
      </c>
      <c r="U38" s="0" t="n">
        <v>20</v>
      </c>
      <c r="V38" s="0" t="n">
        <v>5.94691388834644</v>
      </c>
      <c r="W38" s="0" t="n">
        <v>6.16394218665821</v>
      </c>
      <c r="X38" s="0" t="n">
        <v>0</v>
      </c>
      <c r="Y38" s="0" t="n">
        <v>0</v>
      </c>
      <c r="Z38" s="0" t="n">
        <v>4.25750055153595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0</v>
      </c>
      <c r="AF38" s="0" t="n">
        <v>0</v>
      </c>
      <c r="AG38" s="0" t="n">
        <v>0</v>
      </c>
      <c r="AH38" s="0" t="n">
        <v>12.3088896947764</v>
      </c>
      <c r="AI38" s="0" t="n">
        <v>0</v>
      </c>
      <c r="AK38" s="0" t="n">
        <f aca="false">A38</f>
        <v>21</v>
      </c>
      <c r="AL38" s="0" t="n">
        <v>1</v>
      </c>
      <c r="AM38" s="0" t="n">
        <v>0</v>
      </c>
      <c r="AO38" s="0" t="n">
        <v>21</v>
      </c>
      <c r="AP38" s="0" t="n">
        <v>0</v>
      </c>
      <c r="AQ38" s="0" t="n">
        <v>3.0892921258532</v>
      </c>
      <c r="AR38" s="0" t="n">
        <v>18.6272649684097</v>
      </c>
      <c r="AS38" s="0" t="n">
        <v>8</v>
      </c>
      <c r="AT38" s="0" t="n">
        <v>8</v>
      </c>
    </row>
    <row r="39" customFormat="false" ht="12" hidden="false" customHeight="false" outlineLevel="0" collapsed="false">
      <c r="A39" s="0" t="n">
        <v>22</v>
      </c>
      <c r="B39" s="0" t="n">
        <v>0</v>
      </c>
      <c r="C39" s="0" t="n">
        <v>1.88343428953228</v>
      </c>
      <c r="D39" s="0" t="n">
        <v>19.0920061912336</v>
      </c>
      <c r="E39" s="0" t="n">
        <v>6</v>
      </c>
      <c r="F39" s="0" t="n">
        <v>6</v>
      </c>
      <c r="G39" s="0" t="n">
        <v>0.5</v>
      </c>
      <c r="H39" s="0" t="n">
        <v>1</v>
      </c>
      <c r="I39" s="0" t="n">
        <v>0</v>
      </c>
      <c r="J39" s="0" t="n">
        <v>21.6382021593576</v>
      </c>
      <c r="K39" s="0" t="n">
        <v>0</v>
      </c>
      <c r="L39" s="0" t="n">
        <v>2.21290848441857</v>
      </c>
      <c r="M39" s="0" t="n">
        <v>23.6789809376558</v>
      </c>
      <c r="N39" s="0" t="n">
        <v>4.58697474642224</v>
      </c>
      <c r="O39" s="0" t="n">
        <v>22</v>
      </c>
      <c r="P39" s="0" t="n">
        <v>11</v>
      </c>
      <c r="Q39" s="0" t="n">
        <v>11</v>
      </c>
      <c r="R39" s="0" t="n">
        <v>115.039581005777</v>
      </c>
      <c r="S39" s="0" t="n">
        <v>176.62165892298</v>
      </c>
      <c r="T39" s="0" t="n">
        <v>21</v>
      </c>
      <c r="U39" s="0" t="n">
        <v>27</v>
      </c>
      <c r="V39" s="0" t="n">
        <v>5.47807267738334</v>
      </c>
      <c r="W39" s="0" t="n">
        <v>6.5415186952263</v>
      </c>
      <c r="X39" s="0" t="n">
        <v>0</v>
      </c>
      <c r="Y39" s="0" t="n">
        <v>0</v>
      </c>
      <c r="Z39" s="0" t="n">
        <v>0</v>
      </c>
      <c r="AA39" s="0" t="n">
        <v>4.58697474642224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0</v>
      </c>
      <c r="AG39" s="0" t="n">
        <v>0</v>
      </c>
      <c r="AH39" s="0" t="n">
        <v>0</v>
      </c>
      <c r="AI39" s="0" t="n">
        <v>9.8874149677632</v>
      </c>
      <c r="AK39" s="0" t="n">
        <f aca="false">A39</f>
        <v>22</v>
      </c>
      <c r="AL39" s="0" t="n">
        <v>0</v>
      </c>
      <c r="AM39" s="0" t="n">
        <v>0</v>
      </c>
      <c r="AO39" s="0" t="n">
        <v>22</v>
      </c>
      <c r="AP39" s="0" t="n">
        <v>1</v>
      </c>
      <c r="AQ39" s="0" t="n">
        <v>1.02835314128706</v>
      </c>
      <c r="AR39" s="0" t="n">
        <v>19.6556181096967</v>
      </c>
      <c r="AS39" s="0" t="n">
        <v>8</v>
      </c>
      <c r="AT39" s="0" t="n">
        <v>8</v>
      </c>
    </row>
    <row r="40" customFormat="false" ht="12" hidden="false" customHeight="false" outlineLevel="0" collapsed="false">
      <c r="A40" s="0" t="n">
        <v>23</v>
      </c>
      <c r="B40" s="0" t="n">
        <v>1</v>
      </c>
      <c r="C40" s="0" t="n">
        <v>6.53781508670678</v>
      </c>
      <c r="D40" s="0" t="n">
        <v>25.6298212779404</v>
      </c>
      <c r="E40" s="0" t="n">
        <v>2</v>
      </c>
      <c r="F40" s="0" t="n">
        <v>2</v>
      </c>
      <c r="G40" s="0" t="n">
        <v>0.5</v>
      </c>
      <c r="H40" s="0" t="n">
        <v>0</v>
      </c>
      <c r="I40" s="0" t="n">
        <v>1.89918296559405</v>
      </c>
      <c r="J40" s="0" t="n">
        <v>27.5290042435344</v>
      </c>
      <c r="K40" s="0" t="n">
        <v>1.89918296559405</v>
      </c>
      <c r="L40" s="0" t="n">
        <v>0</v>
      </c>
      <c r="M40" s="0" t="n">
        <v>25.6298212779404</v>
      </c>
      <c r="N40" s="0" t="n">
        <v>0</v>
      </c>
      <c r="O40" s="0" t="n">
        <v>23</v>
      </c>
      <c r="P40" s="0" t="n">
        <v>12</v>
      </c>
      <c r="Q40" s="0" t="n">
        <v>11</v>
      </c>
      <c r="R40" s="0" t="n">
        <v>143.66870352337</v>
      </c>
      <c r="S40" s="0" t="n">
        <v>152.718036570317</v>
      </c>
      <c r="T40" s="0" t="n">
        <v>22</v>
      </c>
      <c r="U40" s="0" t="n">
        <v>26</v>
      </c>
      <c r="V40" s="0" t="n">
        <v>6.53039264633833</v>
      </c>
      <c r="W40" s="0" t="n">
        <v>5.87374804598126</v>
      </c>
      <c r="X40" s="0" t="n">
        <v>1.89918296559405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  <c r="AF40" s="0" t="n">
        <v>30.5629541843302</v>
      </c>
      <c r="AG40" s="0" t="n">
        <v>0</v>
      </c>
      <c r="AH40" s="0" t="n">
        <v>0</v>
      </c>
      <c r="AI40" s="0" t="n">
        <v>0</v>
      </c>
      <c r="AK40" s="0" t="n">
        <f aca="false">A40</f>
        <v>23</v>
      </c>
      <c r="AL40" s="0" t="n">
        <v>0</v>
      </c>
      <c r="AM40" s="0" t="n">
        <v>0</v>
      </c>
      <c r="AO40" s="0" t="n">
        <v>23</v>
      </c>
      <c r="AP40" s="0" t="n">
        <v>1</v>
      </c>
      <c r="AQ40" s="0" t="n">
        <v>0.576925659962254</v>
      </c>
      <c r="AR40" s="0" t="n">
        <v>20.232543769659</v>
      </c>
      <c r="AS40" s="0" t="n">
        <v>8</v>
      </c>
      <c r="AT40" s="0" t="n">
        <v>8</v>
      </c>
    </row>
    <row r="41" customFormat="false" ht="12" hidden="false" customHeight="false" outlineLevel="0" collapsed="false">
      <c r="A41" s="0" t="n">
        <v>24</v>
      </c>
      <c r="B41" s="0" t="n">
        <v>0</v>
      </c>
      <c r="C41" s="0" t="n">
        <v>0.729931541869382</v>
      </c>
      <c r="D41" s="0" t="n">
        <v>26.3597528198098</v>
      </c>
      <c r="E41" s="0" t="n">
        <v>4</v>
      </c>
      <c r="F41" s="0" t="n">
        <v>2</v>
      </c>
      <c r="G41" s="0" t="n">
        <v>0.5</v>
      </c>
      <c r="H41" s="0" t="n">
        <v>1</v>
      </c>
      <c r="I41" s="0" t="n">
        <v>0</v>
      </c>
      <c r="J41" s="0" t="n">
        <v>27.5290042435344</v>
      </c>
      <c r="K41" s="0" t="n">
        <v>0</v>
      </c>
      <c r="L41" s="0" t="n">
        <v>2.01686699546193</v>
      </c>
      <c r="M41" s="0" t="n">
        <v>28.3766198152717</v>
      </c>
      <c r="N41" s="0" t="n">
        <v>2.01686699546193</v>
      </c>
      <c r="O41" s="0" t="n">
        <v>24</v>
      </c>
      <c r="P41" s="0" t="n">
        <v>12</v>
      </c>
      <c r="Q41" s="0" t="n">
        <v>12</v>
      </c>
      <c r="R41" s="0" t="n">
        <v>166.082050206847</v>
      </c>
      <c r="S41" s="0" t="n">
        <v>139.279335655724</v>
      </c>
      <c r="T41" s="0" t="n">
        <v>28</v>
      </c>
      <c r="U41" s="0" t="n">
        <v>20</v>
      </c>
      <c r="V41" s="0" t="n">
        <v>5.93149967470894</v>
      </c>
      <c r="W41" s="0" t="n">
        <v>6.96393196312641</v>
      </c>
      <c r="X41" s="0" t="n">
        <v>0</v>
      </c>
      <c r="Y41" s="0" t="n">
        <v>0</v>
      </c>
      <c r="Z41" s="0" t="n">
        <v>0</v>
      </c>
      <c r="AA41" s="0" t="n">
        <v>2.01686699546193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0</v>
      </c>
      <c r="AG41" s="0" t="n">
        <v>0</v>
      </c>
      <c r="AH41" s="0" t="n">
        <v>0</v>
      </c>
      <c r="AI41" s="0" t="n">
        <v>32.6558961694871</v>
      </c>
      <c r="AK41" s="0" t="n">
        <f aca="false">A41</f>
        <v>24</v>
      </c>
      <c r="AL41" s="0" t="n">
        <v>1</v>
      </c>
      <c r="AM41" s="0" t="n">
        <v>0</v>
      </c>
      <c r="AO41" s="0" t="n">
        <v>24</v>
      </c>
      <c r="AP41" s="0" t="n">
        <v>1</v>
      </c>
      <c r="AQ41" s="0" t="n">
        <v>1.43609896133413</v>
      </c>
      <c r="AR41" s="0" t="n">
        <v>21.6686427309931</v>
      </c>
      <c r="AS41" s="0" t="n">
        <v>8</v>
      </c>
      <c r="AT41" s="0" t="n">
        <v>8</v>
      </c>
    </row>
    <row r="42" customFormat="false" ht="12" hidden="false" customHeight="false" outlineLevel="0" collapsed="false">
      <c r="A42" s="0" t="n">
        <v>25</v>
      </c>
      <c r="B42" s="0" t="n">
        <v>0</v>
      </c>
      <c r="C42" s="0" t="n">
        <v>0.368636950952885</v>
      </c>
      <c r="D42" s="0" t="n">
        <v>26.7283897707626</v>
      </c>
      <c r="E42" s="0" t="n">
        <v>4</v>
      </c>
      <c r="F42" s="0" t="n">
        <v>4</v>
      </c>
      <c r="G42" s="0" t="n">
        <v>0.5</v>
      </c>
      <c r="H42" s="0" t="n">
        <v>1</v>
      </c>
      <c r="I42" s="0" t="n">
        <v>0</v>
      </c>
      <c r="J42" s="0" t="n">
        <v>27.5290042435344</v>
      </c>
      <c r="K42" s="0" t="n">
        <v>0</v>
      </c>
      <c r="L42" s="0" t="n">
        <v>1.91374857280599</v>
      </c>
      <c r="M42" s="0" t="n">
        <v>30.2903683880777</v>
      </c>
      <c r="N42" s="0" t="n">
        <v>3.56197861731503</v>
      </c>
      <c r="O42" s="0" t="n">
        <v>25</v>
      </c>
      <c r="P42" s="0" t="n">
        <v>12</v>
      </c>
      <c r="Q42" s="0" t="n">
        <v>13</v>
      </c>
      <c r="R42" s="0" t="n">
        <v>136.661523977282</v>
      </c>
      <c r="S42" s="0" t="n">
        <v>177.295260818925</v>
      </c>
      <c r="T42" s="0" t="n">
        <v>22</v>
      </c>
      <c r="U42" s="0" t="n">
        <v>26</v>
      </c>
      <c r="V42" s="0" t="n">
        <v>6.21188462992889</v>
      </c>
      <c r="W42" s="0" t="n">
        <v>6.81902226602688</v>
      </c>
      <c r="X42" s="0" t="n">
        <v>0</v>
      </c>
      <c r="Y42" s="0" t="n">
        <v>0</v>
      </c>
      <c r="Z42" s="0" t="n">
        <v>0</v>
      </c>
      <c r="AA42" s="0" t="n">
        <v>3.56197861731503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0</v>
      </c>
      <c r="AG42" s="0" t="n">
        <v>0</v>
      </c>
      <c r="AH42" s="0" t="n">
        <v>0</v>
      </c>
      <c r="AI42" s="0" t="n">
        <v>17.384081021015</v>
      </c>
      <c r="AK42" s="0" t="n">
        <f aca="false">A42</f>
        <v>25</v>
      </c>
      <c r="AL42" s="0" t="n">
        <v>0</v>
      </c>
      <c r="AM42" s="0" t="n">
        <v>1</v>
      </c>
      <c r="AO42" s="0" t="n">
        <v>25</v>
      </c>
      <c r="AP42" s="0" t="n">
        <v>0</v>
      </c>
      <c r="AQ42" s="0" t="n">
        <v>1.95229803524865</v>
      </c>
      <c r="AR42" s="0" t="n">
        <v>23.6209407662418</v>
      </c>
      <c r="AS42" s="0" t="n">
        <v>8</v>
      </c>
      <c r="AT42" s="0" t="n">
        <v>6</v>
      </c>
    </row>
    <row r="43" customFormat="false" ht="12" hidden="false" customHeight="false" outlineLevel="0" collapsed="false">
      <c r="A43" s="0" t="n">
        <v>26</v>
      </c>
      <c r="B43" s="0" t="n">
        <v>1</v>
      </c>
      <c r="C43" s="0" t="n">
        <v>2.50043696487272</v>
      </c>
      <c r="D43" s="0" t="n">
        <v>29.2288267356354</v>
      </c>
      <c r="E43" s="0" t="n">
        <v>2</v>
      </c>
      <c r="F43" s="0" t="n">
        <v>4</v>
      </c>
      <c r="G43" s="0" t="n">
        <v>0.5</v>
      </c>
      <c r="H43" s="0" t="n">
        <v>0</v>
      </c>
      <c r="I43" s="0" t="n">
        <v>2.18283020729934</v>
      </c>
      <c r="J43" s="0" t="n">
        <v>31.4116569429347</v>
      </c>
      <c r="K43" s="0" t="n">
        <v>2.18283020729934</v>
      </c>
      <c r="L43" s="0" t="n">
        <v>0</v>
      </c>
      <c r="M43" s="0" t="n">
        <v>30.2903683880777</v>
      </c>
      <c r="N43" s="0" t="n">
        <v>0</v>
      </c>
      <c r="O43" s="0" t="n">
        <v>26</v>
      </c>
      <c r="P43" s="0" t="n">
        <v>13</v>
      </c>
      <c r="Q43" s="0" t="n">
        <v>13</v>
      </c>
      <c r="R43" s="0" t="n">
        <v>157.93453282726</v>
      </c>
      <c r="S43" s="0" t="n">
        <v>148.16954235129</v>
      </c>
      <c r="T43" s="0" t="n">
        <v>23</v>
      </c>
      <c r="U43" s="0" t="n">
        <v>25</v>
      </c>
      <c r="V43" s="0" t="n">
        <v>6.86671583304791</v>
      </c>
      <c r="W43" s="0" t="n">
        <v>5.92675798701964</v>
      </c>
      <c r="X43" s="0" t="n">
        <v>2.18283020729934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  <c r="AF43" s="0" t="n">
        <v>27.5071920687094</v>
      </c>
      <c r="AG43" s="0" t="n">
        <v>0</v>
      </c>
      <c r="AH43" s="0" t="n">
        <v>0</v>
      </c>
      <c r="AI43" s="0" t="n">
        <v>0</v>
      </c>
      <c r="AK43" s="0" t="n">
        <f aca="false">A43</f>
        <v>26</v>
      </c>
      <c r="AL43" s="0" t="n">
        <v>1</v>
      </c>
      <c r="AM43" s="0" t="n">
        <v>1</v>
      </c>
      <c r="AO43" s="0" t="n">
        <v>26</v>
      </c>
      <c r="AP43" s="0" t="n">
        <v>1</v>
      </c>
      <c r="AQ43" s="0" t="n">
        <v>0.674219835260022</v>
      </c>
      <c r="AR43" s="0" t="n">
        <v>24.2951606015018</v>
      </c>
      <c r="AS43" s="0" t="n">
        <v>8</v>
      </c>
      <c r="AT43" s="0" t="n">
        <v>6</v>
      </c>
    </row>
    <row r="44" customFormat="false" ht="12" hidden="false" customHeight="false" outlineLevel="0" collapsed="false">
      <c r="A44" s="0" t="n">
        <v>27</v>
      </c>
      <c r="B44" s="0" t="n">
        <v>0</v>
      </c>
      <c r="C44" s="0" t="n">
        <v>0.275471035918774</v>
      </c>
      <c r="D44" s="0" t="n">
        <v>29.5042977715541</v>
      </c>
      <c r="E44" s="0" t="n">
        <v>4</v>
      </c>
      <c r="F44" s="0" t="n">
        <v>4</v>
      </c>
      <c r="G44" s="0" t="n">
        <v>0.5</v>
      </c>
      <c r="H44" s="0" t="n">
        <v>0</v>
      </c>
      <c r="I44" s="0" t="n">
        <v>2.07570695941894</v>
      </c>
      <c r="J44" s="0" t="n">
        <v>33.4873639023536</v>
      </c>
      <c r="K44" s="0" t="n">
        <v>3.98306613079951</v>
      </c>
      <c r="L44" s="0" t="n">
        <v>0</v>
      </c>
      <c r="M44" s="0" t="n">
        <v>30.2903683880777</v>
      </c>
      <c r="N44" s="0" t="n">
        <v>0</v>
      </c>
      <c r="O44" s="0" t="n">
        <v>27</v>
      </c>
      <c r="P44" s="0" t="n">
        <v>14</v>
      </c>
      <c r="Q44" s="0" t="n">
        <v>13</v>
      </c>
      <c r="R44" s="0" t="n">
        <v>204.181756332492</v>
      </c>
      <c r="S44" s="0" t="n">
        <v>128.264884226342</v>
      </c>
      <c r="T44" s="0" t="n">
        <v>31</v>
      </c>
      <c r="U44" s="0" t="n">
        <v>17</v>
      </c>
      <c r="V44" s="0" t="n">
        <v>6.58650614411067</v>
      </c>
      <c r="W44" s="0" t="n">
        <v>7.544948807733</v>
      </c>
      <c r="X44" s="0" t="n">
        <v>0</v>
      </c>
      <c r="Y44" s="0" t="n">
        <v>3.98306613079951</v>
      </c>
      <c r="Z44" s="0" t="n">
        <v>0</v>
      </c>
      <c r="AA44" s="0" t="n">
        <v>0</v>
      </c>
      <c r="AB44" s="0" t="n">
        <v>0</v>
      </c>
      <c r="AC44" s="0" t="n">
        <v>1</v>
      </c>
      <c r="AD44" s="0" t="n">
        <v>0</v>
      </c>
      <c r="AE44" s="0" t="n">
        <v>0</v>
      </c>
      <c r="AF44" s="0" t="n">
        <v>0</v>
      </c>
      <c r="AG44" s="0" t="n">
        <v>18.2806776399342</v>
      </c>
      <c r="AH44" s="0" t="n">
        <v>0</v>
      </c>
      <c r="AI44" s="0" t="n">
        <v>0</v>
      </c>
      <c r="AK44" s="0" t="n">
        <f aca="false">A44</f>
        <v>27</v>
      </c>
      <c r="AL44" s="0" t="n">
        <v>0</v>
      </c>
      <c r="AM44" s="0" t="n">
        <v>0</v>
      </c>
      <c r="AO44" s="0" t="n">
        <v>27</v>
      </c>
      <c r="AP44" s="0" t="n">
        <v>0</v>
      </c>
      <c r="AQ44" s="0" t="n">
        <v>0.271556694972735</v>
      </c>
      <c r="AR44" s="0" t="n">
        <v>24.5667172964745</v>
      </c>
      <c r="AS44" s="0" t="n">
        <v>8</v>
      </c>
      <c r="AT44" s="0" t="n">
        <v>8</v>
      </c>
    </row>
    <row r="45" customFormat="false" ht="12" hidden="false" customHeight="false" outlineLevel="0" collapsed="false">
      <c r="A45" s="0" t="n">
        <v>28</v>
      </c>
      <c r="B45" s="0" t="n">
        <v>1</v>
      </c>
      <c r="C45" s="0" t="n">
        <v>1.47559345811719</v>
      </c>
      <c r="D45" s="0" t="n">
        <v>30.9798912296713</v>
      </c>
      <c r="E45" s="0" t="n">
        <v>6</v>
      </c>
      <c r="F45" s="0" t="n">
        <v>2</v>
      </c>
      <c r="G45" s="0" t="n">
        <v>0.5</v>
      </c>
      <c r="H45" s="0" t="n">
        <v>1</v>
      </c>
      <c r="I45" s="0" t="n">
        <v>0</v>
      </c>
      <c r="J45" s="0" t="n">
        <v>33.4873639023536</v>
      </c>
      <c r="K45" s="0" t="n">
        <v>0</v>
      </c>
      <c r="L45" s="0" t="n">
        <v>2.2316882552906</v>
      </c>
      <c r="M45" s="0" t="n">
        <v>33.2115794849619</v>
      </c>
      <c r="N45" s="0" t="n">
        <v>2.2316882552906</v>
      </c>
      <c r="O45" s="0" t="n">
        <v>28</v>
      </c>
      <c r="P45" s="0" t="n">
        <v>14</v>
      </c>
      <c r="Q45" s="0" t="n">
        <v>14</v>
      </c>
      <c r="R45" s="0" t="n">
        <v>181.757258162882</v>
      </c>
      <c r="S45" s="0" t="n">
        <v>157.90440414714</v>
      </c>
      <c r="T45" s="0" t="n">
        <v>25</v>
      </c>
      <c r="U45" s="0" t="n">
        <v>23</v>
      </c>
      <c r="V45" s="0" t="n">
        <v>7.27028741840033</v>
      </c>
      <c r="W45" s="0" t="n">
        <v>6.86537902648857</v>
      </c>
      <c r="X45" s="0" t="n">
        <v>0</v>
      </c>
      <c r="Y45" s="0" t="n">
        <v>0</v>
      </c>
      <c r="Z45" s="0" t="n">
        <v>2.2316882552906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0</v>
      </c>
      <c r="AF45" s="0" t="n">
        <v>0</v>
      </c>
      <c r="AG45" s="0" t="n">
        <v>0</v>
      </c>
      <c r="AH45" s="0" t="n">
        <v>30.6275359234441</v>
      </c>
      <c r="AI45" s="0" t="n">
        <v>0</v>
      </c>
      <c r="AK45" s="0" t="n">
        <f aca="false">A45</f>
        <v>28</v>
      </c>
      <c r="AL45" s="0" t="n">
        <v>2</v>
      </c>
      <c r="AM45" s="0" t="n">
        <v>0</v>
      </c>
      <c r="AO45" s="0" t="n">
        <v>28</v>
      </c>
      <c r="AP45" s="0" t="n">
        <v>0</v>
      </c>
      <c r="AQ45" s="0" t="n">
        <v>2.5359856425169</v>
      </c>
      <c r="AR45" s="0" t="n">
        <v>27.1027029389914</v>
      </c>
      <c r="AS45" s="0" t="n">
        <v>6</v>
      </c>
      <c r="AT45" s="0" t="n">
        <v>6</v>
      </c>
    </row>
    <row r="46" customFormat="false" ht="12" hidden="false" customHeight="false" outlineLevel="0" collapsed="false">
      <c r="A46" s="0" t="n">
        <v>29</v>
      </c>
      <c r="B46" s="0" t="n">
        <v>0</v>
      </c>
      <c r="C46" s="0" t="n">
        <v>0.434969034577604</v>
      </c>
      <c r="D46" s="0" t="n">
        <v>31.4148602642489</v>
      </c>
      <c r="E46" s="0" t="n">
        <v>4</v>
      </c>
      <c r="F46" s="0" t="n">
        <v>4</v>
      </c>
      <c r="G46" s="0" t="n">
        <v>0.5</v>
      </c>
      <c r="H46" s="0" t="n">
        <v>0</v>
      </c>
      <c r="I46" s="0" t="n">
        <v>1.86595013031478</v>
      </c>
      <c r="J46" s="0" t="n">
        <v>35.3533140326684</v>
      </c>
      <c r="K46" s="0" t="n">
        <v>3.93845376841949</v>
      </c>
      <c r="L46" s="0" t="n">
        <v>0</v>
      </c>
      <c r="M46" s="0" t="n">
        <v>33.2115794849619</v>
      </c>
      <c r="N46" s="0" t="n">
        <v>0</v>
      </c>
      <c r="O46" s="0" t="n">
        <v>29</v>
      </c>
      <c r="P46" s="0" t="n">
        <v>15</v>
      </c>
      <c r="Q46" s="0" t="n">
        <v>14</v>
      </c>
      <c r="R46" s="0" t="n">
        <v>157.14008092929</v>
      </c>
      <c r="S46" s="0" t="n">
        <v>190.262427778253</v>
      </c>
      <c r="T46" s="0" t="n">
        <v>20</v>
      </c>
      <c r="U46" s="0" t="n">
        <v>28</v>
      </c>
      <c r="V46" s="0" t="n">
        <v>7.85700011796446</v>
      </c>
      <c r="W46" s="0" t="n">
        <v>6.79506243828603</v>
      </c>
      <c r="X46" s="0" t="n">
        <v>0</v>
      </c>
      <c r="Y46" s="0" t="n">
        <v>3.93845376841949</v>
      </c>
      <c r="Z46" s="0" t="n">
        <v>0</v>
      </c>
      <c r="AA46" s="0" t="n">
        <v>0</v>
      </c>
      <c r="AB46" s="0" t="n">
        <v>0</v>
      </c>
      <c r="AC46" s="0" t="n">
        <v>1</v>
      </c>
      <c r="AD46" s="0" t="n">
        <v>0</v>
      </c>
      <c r="AE46" s="0" t="n">
        <v>0</v>
      </c>
      <c r="AF46" s="0" t="n">
        <v>0</v>
      </c>
      <c r="AG46" s="0" t="n">
        <v>18.6641563250496</v>
      </c>
      <c r="AH46" s="0" t="n">
        <v>0</v>
      </c>
      <c r="AI46" s="0" t="n">
        <v>0</v>
      </c>
      <c r="AK46" s="0" t="n">
        <f aca="false">A46</f>
        <v>29</v>
      </c>
      <c r="AL46" s="0" t="n">
        <v>0</v>
      </c>
      <c r="AM46" s="0" t="n">
        <v>1</v>
      </c>
      <c r="AO46" s="0" t="n">
        <v>29</v>
      </c>
      <c r="AP46" s="0" t="n">
        <v>1</v>
      </c>
      <c r="AQ46" s="0" t="n">
        <v>0.231938447120382</v>
      </c>
      <c r="AR46" s="0" t="n">
        <v>27.3346413861118</v>
      </c>
      <c r="AS46" s="0" t="n">
        <v>8</v>
      </c>
      <c r="AT46" s="0" t="n">
        <v>6</v>
      </c>
    </row>
    <row r="47" customFormat="false" ht="12" hidden="false" customHeight="false" outlineLevel="0" collapsed="false">
      <c r="A47" s="0" t="n">
        <v>30</v>
      </c>
      <c r="B47" s="0" t="n">
        <v>1</v>
      </c>
      <c r="C47" s="0" t="n">
        <v>0.730374737306864</v>
      </c>
      <c r="D47" s="0" t="n">
        <v>32.1452350015558</v>
      </c>
      <c r="E47" s="0" t="n">
        <v>6</v>
      </c>
      <c r="F47" s="0" t="n">
        <v>4</v>
      </c>
      <c r="G47" s="0" t="n">
        <v>0.5</v>
      </c>
      <c r="H47" s="0" t="n">
        <v>1</v>
      </c>
      <c r="I47" s="0" t="n">
        <v>0</v>
      </c>
      <c r="J47" s="0" t="n">
        <v>35.3533140326684</v>
      </c>
      <c r="K47" s="0" t="n">
        <v>0</v>
      </c>
      <c r="L47" s="0" t="n">
        <v>2.14719520409137</v>
      </c>
      <c r="M47" s="0" t="n">
        <v>35.3587746890533</v>
      </c>
      <c r="N47" s="0" t="n">
        <v>3.2135396874975</v>
      </c>
      <c r="O47" s="0" t="n">
        <v>30</v>
      </c>
      <c r="P47" s="0" t="n">
        <v>15</v>
      </c>
      <c r="Q47" s="0" t="n">
        <v>15</v>
      </c>
      <c r="R47" s="0" t="n">
        <v>167.90419191973</v>
      </c>
      <c r="S47" s="0" t="n">
        <v>174.619417859958</v>
      </c>
      <c r="T47" s="0" t="n">
        <v>25</v>
      </c>
      <c r="U47" s="0" t="n">
        <v>23</v>
      </c>
      <c r="V47" s="0" t="n">
        <v>6.71616499032322</v>
      </c>
      <c r="W47" s="0" t="n">
        <v>7.59211559340866</v>
      </c>
      <c r="X47" s="0" t="n">
        <v>0</v>
      </c>
      <c r="Y47" s="0" t="n">
        <v>0</v>
      </c>
      <c r="Z47" s="0" t="n">
        <v>3.2135396874975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</v>
      </c>
      <c r="AG47" s="0" t="n">
        <v>0</v>
      </c>
      <c r="AH47" s="0" t="n">
        <v>20.7240142649545</v>
      </c>
      <c r="AI47" s="0" t="n">
        <v>0</v>
      </c>
      <c r="AK47" s="0" t="n">
        <f aca="false">A47</f>
        <v>30</v>
      </c>
      <c r="AL47" s="0" t="n">
        <v>1</v>
      </c>
      <c r="AM47" s="0" t="n">
        <v>1</v>
      </c>
      <c r="AO47" s="0" t="n">
        <v>30</v>
      </c>
      <c r="AP47" s="0" t="n">
        <v>0</v>
      </c>
      <c r="AQ47" s="0" t="n">
        <v>0.981361638539166</v>
      </c>
      <c r="AR47" s="0" t="n">
        <v>28.316003024651</v>
      </c>
      <c r="AS47" s="0" t="n">
        <v>6</v>
      </c>
      <c r="AT47" s="0" t="n">
        <v>8</v>
      </c>
    </row>
    <row r="48" customFormat="false" ht="12" hidden="false" customHeight="false" outlineLevel="0" collapsed="false">
      <c r="A48" s="0" t="n">
        <v>31</v>
      </c>
      <c r="B48" s="0" t="n">
        <v>0</v>
      </c>
      <c r="C48" s="0" t="n">
        <v>2.42432798944902</v>
      </c>
      <c r="D48" s="0" t="n">
        <v>34.5695629910048</v>
      </c>
      <c r="E48" s="0" t="n">
        <v>4</v>
      </c>
      <c r="F48" s="0" t="n">
        <v>4</v>
      </c>
      <c r="G48" s="0" t="n">
        <v>0.5</v>
      </c>
      <c r="H48" s="0" t="n">
        <v>0</v>
      </c>
      <c r="I48" s="0" t="n">
        <v>1.84783202064308</v>
      </c>
      <c r="J48" s="0" t="n">
        <v>37.2011460533115</v>
      </c>
      <c r="K48" s="0" t="n">
        <v>2.6315830623067</v>
      </c>
      <c r="L48" s="0" t="n">
        <v>0</v>
      </c>
      <c r="M48" s="0" t="n">
        <v>35.3587746890533</v>
      </c>
      <c r="N48" s="0" t="n">
        <v>0</v>
      </c>
      <c r="O48" s="0" t="n">
        <v>31</v>
      </c>
      <c r="P48" s="0" t="n">
        <v>16</v>
      </c>
      <c r="Q48" s="0" t="n">
        <v>15</v>
      </c>
      <c r="R48" s="0" t="n">
        <v>177.933428357535</v>
      </c>
      <c r="S48" s="0" t="n">
        <v>186.622955689776</v>
      </c>
      <c r="T48" s="0" t="n">
        <v>23</v>
      </c>
      <c r="U48" s="0" t="n">
        <v>25</v>
      </c>
      <c r="V48" s="0" t="n">
        <v>7.73623265196558</v>
      </c>
      <c r="W48" s="0" t="n">
        <v>7.46488836803759</v>
      </c>
      <c r="X48" s="0" t="n">
        <v>0</v>
      </c>
      <c r="Y48" s="0" t="n">
        <v>2.6315830623067</v>
      </c>
      <c r="Z48" s="0" t="n">
        <v>0</v>
      </c>
      <c r="AA48" s="0" t="n">
        <v>0</v>
      </c>
      <c r="AB48" s="0" t="n">
        <v>0</v>
      </c>
      <c r="AC48" s="0" t="n">
        <v>1</v>
      </c>
      <c r="AD48" s="0" t="n">
        <v>0</v>
      </c>
      <c r="AE48" s="0" t="n">
        <v>0</v>
      </c>
      <c r="AF48" s="0" t="n">
        <v>0</v>
      </c>
      <c r="AG48" s="0" t="n">
        <v>31.6639615729335</v>
      </c>
      <c r="AH48" s="0" t="n">
        <v>0</v>
      </c>
      <c r="AI48" s="0" t="n">
        <v>0</v>
      </c>
      <c r="AK48" s="0" t="n">
        <f aca="false">A48</f>
        <v>31</v>
      </c>
      <c r="AL48" s="0" t="n">
        <v>0</v>
      </c>
      <c r="AM48" s="0" t="n">
        <v>0</v>
      </c>
      <c r="AO48" s="0" t="n">
        <v>31</v>
      </c>
      <c r="AP48" s="0" t="n">
        <v>0</v>
      </c>
      <c r="AQ48" s="0" t="n">
        <v>1.72835218636111</v>
      </c>
      <c r="AR48" s="0" t="n">
        <v>30.0443552110121</v>
      </c>
      <c r="AS48" s="0" t="n">
        <v>6</v>
      </c>
      <c r="AT48" s="0" t="n">
        <v>6</v>
      </c>
    </row>
    <row r="49" customFormat="false" ht="12" hidden="false" customHeight="false" outlineLevel="0" collapsed="false">
      <c r="A49" s="0" t="n">
        <v>32</v>
      </c>
      <c r="B49" s="0" t="n">
        <v>0</v>
      </c>
      <c r="C49" s="0" t="n">
        <v>1.63486799478235</v>
      </c>
      <c r="D49" s="0" t="n">
        <v>36.2044309857872</v>
      </c>
      <c r="E49" s="0" t="n">
        <v>4</v>
      </c>
      <c r="F49" s="0" t="n">
        <v>2</v>
      </c>
      <c r="G49" s="0" t="n">
        <v>0.5</v>
      </c>
      <c r="H49" s="0" t="n">
        <v>0</v>
      </c>
      <c r="I49" s="0" t="n">
        <v>2.03457140300855</v>
      </c>
      <c r="J49" s="0" t="n">
        <v>39.23571745632</v>
      </c>
      <c r="K49" s="0" t="n">
        <v>3.03128647053289</v>
      </c>
      <c r="L49" s="0" t="n">
        <v>0</v>
      </c>
      <c r="M49" s="0" t="n">
        <v>36.2044309857872</v>
      </c>
      <c r="N49" s="0" t="n">
        <v>0</v>
      </c>
      <c r="O49" s="0" t="n">
        <v>32</v>
      </c>
      <c r="P49" s="0" t="n">
        <v>17</v>
      </c>
      <c r="Q49" s="0" t="n">
        <v>15</v>
      </c>
      <c r="R49" s="0" t="n">
        <v>146.290876780078</v>
      </c>
      <c r="S49" s="0" t="n">
        <v>207.528887198685</v>
      </c>
      <c r="T49" s="0" t="n">
        <v>22</v>
      </c>
      <c r="U49" s="0" t="n">
        <v>26</v>
      </c>
      <c r="V49" s="0" t="n">
        <v>6.64958228564795</v>
      </c>
      <c r="W49" s="0" t="n">
        <v>7.98184957745105</v>
      </c>
      <c r="X49" s="0" t="n">
        <v>0</v>
      </c>
      <c r="Y49" s="0" t="n">
        <v>3.03128647053289</v>
      </c>
      <c r="Z49" s="0" t="n">
        <v>0</v>
      </c>
      <c r="AA49" s="0" t="n">
        <v>0</v>
      </c>
      <c r="AB49" s="0" t="n">
        <v>0</v>
      </c>
      <c r="AC49" s="0" t="n">
        <v>1</v>
      </c>
      <c r="AD49" s="0" t="n">
        <v>0</v>
      </c>
      <c r="AE49" s="0" t="n">
        <v>0</v>
      </c>
      <c r="AF49" s="0" t="n">
        <v>0</v>
      </c>
      <c r="AG49" s="0" t="n">
        <v>27.325403091433</v>
      </c>
      <c r="AH49" s="0" t="n">
        <v>0</v>
      </c>
      <c r="AI49" s="0" t="n">
        <v>0</v>
      </c>
      <c r="AK49" s="0" t="n">
        <f aca="false">A49</f>
        <v>32</v>
      </c>
      <c r="AL49" s="0" t="n">
        <v>1</v>
      </c>
      <c r="AM49" s="0" t="n">
        <v>1</v>
      </c>
      <c r="AO49" s="0" t="n">
        <v>32</v>
      </c>
      <c r="AP49" s="0" t="n">
        <v>1</v>
      </c>
      <c r="AQ49" s="0" t="n">
        <v>0.292999769006339</v>
      </c>
      <c r="AR49" s="0" t="n">
        <v>30.3373549800184</v>
      </c>
      <c r="AS49" s="0" t="n">
        <v>6</v>
      </c>
      <c r="AT49" s="0" t="n">
        <v>8</v>
      </c>
    </row>
    <row r="50" customFormat="false" ht="12" hidden="false" customHeight="false" outlineLevel="0" collapsed="false">
      <c r="A50" s="0" t="n">
        <v>33</v>
      </c>
      <c r="B50" s="0" t="n">
        <v>0</v>
      </c>
      <c r="C50" s="0" t="n">
        <v>3.98263493519686</v>
      </c>
      <c r="D50" s="0" t="n">
        <v>40.187065920984</v>
      </c>
      <c r="E50" s="0" t="n">
        <v>2</v>
      </c>
      <c r="F50" s="0" t="n">
        <v>2</v>
      </c>
      <c r="G50" s="0" t="n">
        <v>0.5</v>
      </c>
      <c r="H50" s="0" t="n">
        <v>0</v>
      </c>
      <c r="I50" s="0" t="n">
        <v>1.7717569676904</v>
      </c>
      <c r="J50" s="0" t="n">
        <v>41.9588228886744</v>
      </c>
      <c r="K50" s="0" t="n">
        <v>1.7717569676904</v>
      </c>
      <c r="L50" s="0" t="n">
        <v>0</v>
      </c>
      <c r="M50" s="0" t="n">
        <v>40.187065920984</v>
      </c>
      <c r="N50" s="0" t="n">
        <v>0</v>
      </c>
      <c r="O50" s="0" t="n">
        <v>33</v>
      </c>
      <c r="P50" s="0" t="n">
        <v>18</v>
      </c>
      <c r="Q50" s="0" t="n">
        <v>15</v>
      </c>
      <c r="R50" s="0" t="n">
        <v>189.857859069427</v>
      </c>
      <c r="S50" s="0" t="n">
        <v>176.750743768322</v>
      </c>
      <c r="T50" s="0" t="n">
        <v>25</v>
      </c>
      <c r="U50" s="0" t="n">
        <v>23</v>
      </c>
      <c r="V50" s="0" t="n">
        <v>7.59431132505254</v>
      </c>
      <c r="W50" s="0" t="n">
        <v>7.68478153435514</v>
      </c>
      <c r="X50" s="0" t="n">
        <v>0</v>
      </c>
      <c r="Y50" s="0" t="n">
        <v>1.7717569676904</v>
      </c>
      <c r="Z50" s="0" t="n">
        <v>0</v>
      </c>
      <c r="AA50" s="0" t="n">
        <v>0</v>
      </c>
      <c r="AB50" s="0" t="n">
        <v>0</v>
      </c>
      <c r="AC50" s="0" t="n">
        <v>1</v>
      </c>
      <c r="AD50" s="0" t="n">
        <v>0</v>
      </c>
      <c r="AE50" s="0" t="n">
        <v>0</v>
      </c>
      <c r="AF50" s="0" t="n">
        <v>0</v>
      </c>
      <c r="AG50" s="0" t="n">
        <v>42.0798725740687</v>
      </c>
      <c r="AH50" s="0" t="n">
        <v>0</v>
      </c>
      <c r="AI50" s="0" t="n">
        <v>0</v>
      </c>
      <c r="AK50" s="0" t="n">
        <f aca="false">A50</f>
        <v>33</v>
      </c>
      <c r="AL50" s="0" t="n">
        <v>0</v>
      </c>
      <c r="AM50" s="0" t="n">
        <v>0</v>
      </c>
      <c r="AO50" s="0" t="n">
        <v>33</v>
      </c>
      <c r="AP50" s="0" t="n">
        <v>1</v>
      </c>
      <c r="AQ50" s="0" t="n">
        <v>0.0467689513541906</v>
      </c>
      <c r="AR50" s="0" t="n">
        <v>30.3841239313726</v>
      </c>
      <c r="AS50" s="0" t="n">
        <v>8</v>
      </c>
      <c r="AT50" s="0" t="n">
        <v>8</v>
      </c>
    </row>
    <row r="51" customFormat="false" ht="12" hidden="false" customHeight="false" outlineLevel="0" collapsed="false">
      <c r="A51" s="0" t="n">
        <v>34</v>
      </c>
      <c r="B51" s="0" t="n">
        <v>0</v>
      </c>
      <c r="C51" s="0" t="n">
        <v>0.543581035830008</v>
      </c>
      <c r="D51" s="0" t="n">
        <v>40.730646956814</v>
      </c>
      <c r="E51" s="0" t="n">
        <v>4</v>
      </c>
      <c r="F51" s="0" t="n">
        <v>2</v>
      </c>
      <c r="G51" s="0" t="n">
        <v>0.5</v>
      </c>
      <c r="H51" s="0" t="n">
        <v>0</v>
      </c>
      <c r="I51" s="0" t="n">
        <v>1.95091078170694</v>
      </c>
      <c r="J51" s="0" t="n">
        <v>43.9097336703814</v>
      </c>
      <c r="K51" s="0" t="n">
        <v>3.17908671356733</v>
      </c>
      <c r="L51" s="0" t="n">
        <v>0</v>
      </c>
      <c r="M51" s="0" t="n">
        <v>40.730646956814</v>
      </c>
      <c r="N51" s="0" t="n">
        <v>0</v>
      </c>
      <c r="O51" s="0" t="n">
        <v>34</v>
      </c>
      <c r="P51" s="0" t="n">
        <v>19</v>
      </c>
      <c r="Q51" s="0" t="n">
        <v>15</v>
      </c>
      <c r="R51" s="0" t="n">
        <v>198.865605285703</v>
      </c>
      <c r="S51" s="0" t="n">
        <v>153.631459075633</v>
      </c>
      <c r="T51" s="0" t="n">
        <v>25</v>
      </c>
      <c r="U51" s="0" t="n">
        <v>23</v>
      </c>
      <c r="V51" s="0" t="n">
        <v>7.95462102957971</v>
      </c>
      <c r="W51" s="0" t="n">
        <v>6.67959961372486</v>
      </c>
      <c r="X51" s="0" t="n">
        <v>0</v>
      </c>
      <c r="Y51" s="0" t="n">
        <v>3.17908671356733</v>
      </c>
      <c r="Z51" s="0" t="n">
        <v>0</v>
      </c>
      <c r="AA51" s="0" t="n">
        <v>0</v>
      </c>
      <c r="AB51" s="0" t="n">
        <v>0</v>
      </c>
      <c r="AC51" s="0" t="n">
        <v>1</v>
      </c>
      <c r="AD51" s="0" t="n">
        <v>0</v>
      </c>
      <c r="AE51" s="0" t="n">
        <v>0</v>
      </c>
      <c r="AF51" s="0" t="n">
        <v>0</v>
      </c>
      <c r="AG51" s="0" t="n">
        <v>25.8020347214864</v>
      </c>
      <c r="AH51" s="0" t="n">
        <v>0</v>
      </c>
      <c r="AI51" s="0" t="n">
        <v>0</v>
      </c>
      <c r="AK51" s="0" t="n">
        <f aca="false">A51</f>
        <v>34</v>
      </c>
      <c r="AL51" s="0" t="n">
        <v>1</v>
      </c>
      <c r="AM51" s="0" t="n">
        <v>1</v>
      </c>
      <c r="AO51" s="0" t="n">
        <v>34</v>
      </c>
      <c r="AP51" s="0" t="n">
        <v>0</v>
      </c>
      <c r="AQ51" s="0" t="n">
        <v>1.1951498540853</v>
      </c>
      <c r="AR51" s="0" t="n">
        <v>31.5792737854579</v>
      </c>
      <c r="AS51" s="0" t="n">
        <v>6</v>
      </c>
      <c r="AT51" s="0" t="n">
        <v>8</v>
      </c>
    </row>
    <row r="52" customFormat="false" ht="12" hidden="false" customHeight="false" outlineLevel="0" collapsed="false">
      <c r="A52" s="0" t="n">
        <v>35</v>
      </c>
      <c r="B52" s="0" t="n">
        <v>0</v>
      </c>
      <c r="C52" s="0" t="n">
        <v>0.0995005071061491</v>
      </c>
      <c r="D52" s="0" t="n">
        <v>40.8301474639202</v>
      </c>
      <c r="E52" s="0" t="n">
        <v>6</v>
      </c>
      <c r="F52" s="0" t="n">
        <v>2</v>
      </c>
      <c r="G52" s="0" t="n">
        <v>0.5</v>
      </c>
      <c r="H52" s="0" t="n">
        <v>0</v>
      </c>
      <c r="I52" s="0" t="n">
        <v>2.07809210482265</v>
      </c>
      <c r="J52" s="0" t="n">
        <v>45.987825775204</v>
      </c>
      <c r="K52" s="0" t="n">
        <v>5.15767831128382</v>
      </c>
      <c r="L52" s="0" t="n">
        <v>0</v>
      </c>
      <c r="M52" s="0" t="n">
        <v>40.8301474639202</v>
      </c>
      <c r="N52" s="0" t="n">
        <v>0</v>
      </c>
      <c r="O52" s="0" t="n">
        <v>35</v>
      </c>
      <c r="P52" s="0" t="n">
        <v>20</v>
      </c>
      <c r="Q52" s="0" t="n">
        <v>15</v>
      </c>
      <c r="R52" s="0" t="n">
        <v>162.641818854238</v>
      </c>
      <c r="S52" s="0" t="n">
        <v>191.870989402347</v>
      </c>
      <c r="T52" s="0" t="n">
        <v>24</v>
      </c>
      <c r="U52" s="0" t="n">
        <v>24</v>
      </c>
      <c r="V52" s="0" t="n">
        <v>6.77673962861842</v>
      </c>
      <c r="W52" s="0" t="n">
        <v>7.99459124763427</v>
      </c>
      <c r="X52" s="0" t="n">
        <v>0</v>
      </c>
      <c r="Y52" s="0" t="n">
        <v>5.15767831128382</v>
      </c>
      <c r="Z52" s="0" t="n">
        <v>0</v>
      </c>
      <c r="AA52" s="0" t="n">
        <v>0</v>
      </c>
      <c r="AB52" s="0" t="n">
        <v>0</v>
      </c>
      <c r="AC52" s="0" t="n">
        <v>1</v>
      </c>
      <c r="AD52" s="0" t="n">
        <v>0</v>
      </c>
      <c r="AE52" s="0" t="n">
        <v>0</v>
      </c>
      <c r="AF52" s="0" t="n">
        <v>0</v>
      </c>
      <c r="AG52" s="0" t="n">
        <v>9.61606908834973</v>
      </c>
      <c r="AH52" s="0" t="n">
        <v>0</v>
      </c>
      <c r="AI52" s="0" t="n">
        <v>0</v>
      </c>
      <c r="AK52" s="0" t="n">
        <f aca="false">A52</f>
        <v>35</v>
      </c>
      <c r="AL52" s="0" t="n">
        <v>2</v>
      </c>
      <c r="AM52" s="0" t="n">
        <v>0</v>
      </c>
      <c r="AO52" s="0" t="n">
        <v>35</v>
      </c>
      <c r="AP52" s="0" t="n">
        <v>0</v>
      </c>
      <c r="AQ52" s="0" t="n">
        <v>0.410111053267516</v>
      </c>
      <c r="AR52" s="0" t="n">
        <v>31.9893848387254</v>
      </c>
      <c r="AS52" s="0" t="n">
        <v>8</v>
      </c>
      <c r="AT52" s="0" t="n">
        <v>8</v>
      </c>
    </row>
    <row r="53" customFormat="false" ht="12" hidden="false" customHeight="false" outlineLevel="0" collapsed="false">
      <c r="A53" s="0" t="n">
        <v>36</v>
      </c>
      <c r="B53" s="0" t="n">
        <v>0</v>
      </c>
      <c r="C53" s="0" t="n">
        <v>1.73833734654852</v>
      </c>
      <c r="D53" s="0" t="n">
        <v>42.5684848104687</v>
      </c>
      <c r="E53" s="0" t="n">
        <v>6</v>
      </c>
      <c r="F53" s="0" t="n">
        <v>2</v>
      </c>
      <c r="G53" s="0" t="n">
        <v>0.5</v>
      </c>
      <c r="H53" s="0" t="n">
        <v>0</v>
      </c>
      <c r="I53" s="0" t="n">
        <v>2.04842613930647</v>
      </c>
      <c r="J53" s="0" t="n">
        <v>48.0362519145105</v>
      </c>
      <c r="K53" s="0" t="n">
        <v>5.46776710404177</v>
      </c>
      <c r="L53" s="0" t="n">
        <v>0</v>
      </c>
      <c r="M53" s="0" t="n">
        <v>42.5684848104687</v>
      </c>
      <c r="N53" s="0" t="n">
        <v>0</v>
      </c>
      <c r="O53" s="0" t="n">
        <v>36</v>
      </c>
      <c r="P53" s="0" t="n">
        <v>21</v>
      </c>
      <c r="Q53" s="0" t="n">
        <v>15</v>
      </c>
      <c r="R53" s="0" t="n">
        <v>182.332179237976</v>
      </c>
      <c r="S53" s="0" t="n">
        <v>176.715147906465</v>
      </c>
      <c r="T53" s="0" t="n">
        <v>21</v>
      </c>
      <c r="U53" s="0" t="n">
        <v>27</v>
      </c>
      <c r="V53" s="0" t="n">
        <v>8.68248059110333</v>
      </c>
      <c r="W53" s="0" t="n">
        <v>6.54498123734595</v>
      </c>
      <c r="X53" s="0" t="n">
        <v>0</v>
      </c>
      <c r="Y53" s="0" t="n">
        <v>5.46776710404177</v>
      </c>
      <c r="Z53" s="0" t="n">
        <v>0</v>
      </c>
      <c r="AA53" s="0" t="n">
        <v>0</v>
      </c>
      <c r="AB53" s="0" t="n">
        <v>0</v>
      </c>
      <c r="AC53" s="0" t="n">
        <v>1</v>
      </c>
      <c r="AD53" s="0" t="n">
        <v>0</v>
      </c>
      <c r="AE53" s="0" t="n">
        <v>0</v>
      </c>
      <c r="AF53" s="0" t="n">
        <v>0</v>
      </c>
      <c r="AG53" s="0" t="n">
        <v>7.78906664579256</v>
      </c>
      <c r="AH53" s="0" t="n">
        <v>0</v>
      </c>
      <c r="AI53" s="0" t="n">
        <v>0</v>
      </c>
      <c r="AK53" s="0" t="n">
        <f aca="false">A53</f>
        <v>36</v>
      </c>
      <c r="AL53" s="0" t="n">
        <v>2</v>
      </c>
      <c r="AM53" s="0" t="n">
        <v>1</v>
      </c>
      <c r="AO53" s="0" t="n">
        <v>36</v>
      </c>
      <c r="AP53" s="0" t="n">
        <v>0</v>
      </c>
      <c r="AQ53" s="0" t="n">
        <v>0.382704919489283</v>
      </c>
      <c r="AR53" s="0" t="n">
        <v>32.3720897582147</v>
      </c>
      <c r="AS53" s="0" t="n">
        <v>10</v>
      </c>
      <c r="AT53" s="0" t="n">
        <v>8</v>
      </c>
    </row>
    <row r="54" customFormat="false" ht="12" hidden="false" customHeight="false" outlineLevel="0" collapsed="false">
      <c r="A54" s="0" t="n">
        <v>37</v>
      </c>
      <c r="B54" s="0" t="n">
        <v>0</v>
      </c>
      <c r="C54" s="0" t="n">
        <v>0.93025022054687</v>
      </c>
      <c r="D54" s="0" t="n">
        <v>43.4987350310156</v>
      </c>
      <c r="E54" s="0" t="n">
        <v>8</v>
      </c>
      <c r="F54" s="0" t="n">
        <v>2</v>
      </c>
      <c r="G54" s="0" t="n">
        <v>0.5</v>
      </c>
      <c r="H54" s="0" t="n">
        <v>0</v>
      </c>
      <c r="I54" s="0" t="n">
        <v>2.19536905397843</v>
      </c>
      <c r="J54" s="0" t="n">
        <v>50.2316209684889</v>
      </c>
      <c r="K54" s="0" t="n">
        <v>6.73288593747333</v>
      </c>
      <c r="L54" s="0" t="n">
        <v>0</v>
      </c>
      <c r="M54" s="0" t="n">
        <v>43.4987350310156</v>
      </c>
      <c r="N54" s="0" t="n">
        <v>0</v>
      </c>
      <c r="O54" s="0" t="n">
        <v>37</v>
      </c>
      <c r="P54" s="0" t="n">
        <v>22</v>
      </c>
      <c r="Q54" s="0" t="n">
        <v>15</v>
      </c>
      <c r="R54" s="0" t="n">
        <v>173.895645118819</v>
      </c>
      <c r="S54" s="0" t="n">
        <v>195.9836628189</v>
      </c>
      <c r="T54" s="0" t="n">
        <v>23</v>
      </c>
      <c r="U54" s="0" t="n">
        <v>25</v>
      </c>
      <c r="V54" s="0" t="n">
        <v>7.5606769353065</v>
      </c>
      <c r="W54" s="0" t="n">
        <v>7.83931515549537</v>
      </c>
      <c r="X54" s="0" t="n">
        <v>0</v>
      </c>
      <c r="Y54" s="0" t="n">
        <v>6.73288593747333</v>
      </c>
      <c r="Z54" s="0" t="n">
        <v>0</v>
      </c>
      <c r="AA54" s="0" t="n">
        <v>0</v>
      </c>
      <c r="AB54" s="0" t="n">
        <v>0</v>
      </c>
      <c r="AC54" s="0" t="n">
        <v>1</v>
      </c>
      <c r="AD54" s="0" t="n">
        <v>0</v>
      </c>
      <c r="AE54" s="0" t="n">
        <v>0</v>
      </c>
      <c r="AF54" s="0" t="n">
        <v>0</v>
      </c>
      <c r="AG54" s="0" t="n">
        <v>2.32797746340637</v>
      </c>
      <c r="AH54" s="0" t="n">
        <v>0</v>
      </c>
      <c r="AI54" s="0" t="n">
        <v>0</v>
      </c>
      <c r="AK54" s="0" t="n">
        <f aca="false">A54</f>
        <v>37</v>
      </c>
      <c r="AL54" s="0" t="n">
        <v>3</v>
      </c>
      <c r="AM54" s="0" t="n">
        <v>0</v>
      </c>
      <c r="AO54" s="0" t="n">
        <v>37</v>
      </c>
      <c r="AP54" s="0" t="n">
        <v>0</v>
      </c>
      <c r="AQ54" s="0" t="n">
        <v>3.74798944686071</v>
      </c>
      <c r="AR54" s="0" t="n">
        <v>36.1200792050754</v>
      </c>
      <c r="AS54" s="0" t="n">
        <v>6</v>
      </c>
      <c r="AT54" s="0" t="n">
        <v>6</v>
      </c>
    </row>
    <row r="55" customFormat="false" ht="12" hidden="false" customHeight="false" outlineLevel="0" collapsed="false">
      <c r="A55" s="0" t="n">
        <v>38</v>
      </c>
      <c r="B55" s="0" t="n">
        <v>1</v>
      </c>
      <c r="C55" s="0" t="n">
        <v>1.87847193644632</v>
      </c>
      <c r="D55" s="0" t="n">
        <v>45.3772069674619</v>
      </c>
      <c r="E55" s="0" t="n">
        <v>8</v>
      </c>
      <c r="F55" s="0" t="n">
        <v>2</v>
      </c>
      <c r="G55" s="0" t="n">
        <v>0.5</v>
      </c>
      <c r="H55" s="0" t="n">
        <v>1</v>
      </c>
      <c r="I55" s="0" t="n">
        <v>0</v>
      </c>
      <c r="J55" s="0" t="n">
        <v>50.2316209684889</v>
      </c>
      <c r="K55" s="0" t="n">
        <v>0</v>
      </c>
      <c r="L55" s="0" t="n">
        <v>1.85459169566427</v>
      </c>
      <c r="M55" s="0" t="n">
        <v>47.2317986631262</v>
      </c>
      <c r="N55" s="0" t="n">
        <v>1.85459169566427</v>
      </c>
      <c r="O55" s="0" t="n">
        <v>38</v>
      </c>
      <c r="P55" s="0" t="n">
        <v>22</v>
      </c>
      <c r="Q55" s="0" t="n">
        <v>16</v>
      </c>
      <c r="R55" s="0" t="n">
        <v>212.462475450724</v>
      </c>
      <c r="S55" s="0" t="n">
        <v>171.100003486207</v>
      </c>
      <c r="T55" s="0" t="n">
        <v>27</v>
      </c>
      <c r="U55" s="0" t="n">
        <v>21</v>
      </c>
      <c r="V55" s="0" t="n">
        <v>7.86897765781285</v>
      </c>
      <c r="W55" s="0" t="n">
        <v>8.14758041562693</v>
      </c>
      <c r="X55" s="0" t="n">
        <v>0</v>
      </c>
      <c r="Y55" s="0" t="n">
        <v>0</v>
      </c>
      <c r="Z55" s="0" t="n">
        <v>1.85459169566427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0</v>
      </c>
      <c r="AF55" s="0" t="n">
        <v>0</v>
      </c>
      <c r="AG55" s="0" t="n">
        <v>0</v>
      </c>
      <c r="AH55" s="0" t="n">
        <v>34.9436046297177</v>
      </c>
      <c r="AI55" s="0" t="n">
        <v>0</v>
      </c>
      <c r="AK55" s="0" t="n">
        <f aca="false">A55</f>
        <v>38</v>
      </c>
      <c r="AL55" s="0" t="n">
        <v>3</v>
      </c>
      <c r="AM55" s="0" t="n">
        <v>1</v>
      </c>
      <c r="AO55" s="0" t="n">
        <v>38</v>
      </c>
      <c r="AP55" s="0" t="n">
        <v>1</v>
      </c>
      <c r="AQ55" s="0" t="n">
        <v>0.572293285684134</v>
      </c>
      <c r="AR55" s="0" t="n">
        <v>36.6923724907595</v>
      </c>
      <c r="AS55" s="0" t="n">
        <v>6</v>
      </c>
      <c r="AT55" s="0" t="n">
        <v>8</v>
      </c>
    </row>
    <row r="56" customFormat="false" ht="12" hidden="false" customHeight="false" outlineLevel="0" collapsed="false">
      <c r="A56" s="0" t="n">
        <v>39</v>
      </c>
      <c r="B56" s="0" t="n">
        <v>1</v>
      </c>
      <c r="C56" s="0" t="n">
        <v>1.91133836238386</v>
      </c>
      <c r="D56" s="0" t="n">
        <v>47.2885453298457</v>
      </c>
      <c r="E56" s="0" t="n">
        <v>6</v>
      </c>
      <c r="F56" s="0" t="n">
        <v>2</v>
      </c>
      <c r="G56" s="0" t="n">
        <v>0.5</v>
      </c>
      <c r="H56" s="0" t="n">
        <v>1</v>
      </c>
      <c r="I56" s="0" t="n">
        <v>0</v>
      </c>
      <c r="J56" s="0" t="n">
        <v>50.2316209684889</v>
      </c>
      <c r="K56" s="0" t="n">
        <v>0</v>
      </c>
      <c r="L56" s="0" t="n">
        <v>2.19864734795314</v>
      </c>
      <c r="M56" s="0" t="n">
        <v>49.4871926777989</v>
      </c>
      <c r="N56" s="0" t="n">
        <v>2.19864734795314</v>
      </c>
      <c r="O56" s="0" t="n">
        <v>39</v>
      </c>
      <c r="P56" s="0" t="n">
        <v>22</v>
      </c>
      <c r="Q56" s="0" t="n">
        <v>17</v>
      </c>
      <c r="R56" s="0" t="n">
        <v>185.706531867158</v>
      </c>
      <c r="S56" s="0" t="n">
        <v>197.86502683866</v>
      </c>
      <c r="T56" s="0" t="n">
        <v>21</v>
      </c>
      <c r="U56" s="0" t="n">
        <v>27</v>
      </c>
      <c r="V56" s="0" t="n">
        <v>8.84316397311994</v>
      </c>
      <c r="W56" s="0" t="n">
        <v>7.32830718547932</v>
      </c>
      <c r="X56" s="0" t="n">
        <v>0</v>
      </c>
      <c r="Y56" s="0" t="n">
        <v>0</v>
      </c>
      <c r="Z56" s="0" t="n">
        <v>2.19864734795314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0</v>
      </c>
      <c r="AF56" s="0" t="n">
        <v>0</v>
      </c>
      <c r="AG56" s="0" t="n">
        <v>0</v>
      </c>
      <c r="AH56" s="0" t="n">
        <v>30.9943385965386</v>
      </c>
      <c r="AI56" s="0" t="n">
        <v>0</v>
      </c>
      <c r="AK56" s="0" t="n">
        <f aca="false">A56</f>
        <v>39</v>
      </c>
      <c r="AL56" s="0" t="n">
        <v>2</v>
      </c>
      <c r="AM56" s="0" t="n">
        <v>1</v>
      </c>
      <c r="AO56" s="0" t="n">
        <v>39</v>
      </c>
      <c r="AP56" s="0" t="n">
        <v>1</v>
      </c>
      <c r="AQ56" s="0" t="n">
        <v>0.647879707351107</v>
      </c>
      <c r="AR56" s="0" t="n">
        <v>37.3402521981106</v>
      </c>
      <c r="AS56" s="0" t="n">
        <v>8</v>
      </c>
      <c r="AT56" s="0" t="n">
        <v>6</v>
      </c>
    </row>
    <row r="57" customFormat="false" ht="12" hidden="false" customHeight="false" outlineLevel="0" collapsed="false">
      <c r="A57" s="0" t="n">
        <v>40</v>
      </c>
      <c r="B57" s="0" t="n">
        <v>0</v>
      </c>
      <c r="C57" s="0" t="n">
        <v>0.389476150417496</v>
      </c>
      <c r="D57" s="0" t="n">
        <v>47.6780214802632</v>
      </c>
      <c r="E57" s="0" t="n">
        <v>6</v>
      </c>
      <c r="F57" s="0" t="n">
        <v>4</v>
      </c>
      <c r="G57" s="0" t="n">
        <v>0.5</v>
      </c>
      <c r="H57" s="0" t="n">
        <v>0</v>
      </c>
      <c r="I57" s="0" t="n">
        <v>1.92696611925925</v>
      </c>
      <c r="J57" s="0" t="n">
        <v>52.1585870877482</v>
      </c>
      <c r="K57" s="0" t="n">
        <v>4.48056560748491</v>
      </c>
      <c r="L57" s="0" t="n">
        <v>0</v>
      </c>
      <c r="M57" s="0" t="n">
        <v>49.4871926777989</v>
      </c>
      <c r="N57" s="0" t="n">
        <v>0</v>
      </c>
      <c r="O57" s="0" t="n">
        <v>40</v>
      </c>
      <c r="P57" s="0" t="n">
        <v>23</v>
      </c>
      <c r="Q57" s="0" t="n">
        <v>17</v>
      </c>
      <c r="R57" s="0" t="n">
        <v>182.735862337282</v>
      </c>
      <c r="S57" s="0" t="n">
        <v>189.550630816732</v>
      </c>
      <c r="T57" s="0" t="n">
        <v>25</v>
      </c>
      <c r="U57" s="0" t="n">
        <v>23</v>
      </c>
      <c r="V57" s="0" t="n">
        <v>7.30943156971864</v>
      </c>
      <c r="W57" s="0" t="n">
        <v>8.24129594291902</v>
      </c>
      <c r="X57" s="0" t="n">
        <v>0</v>
      </c>
      <c r="Y57" s="0" t="n">
        <v>4.48056560748491</v>
      </c>
      <c r="Z57" s="0" t="n">
        <v>0</v>
      </c>
      <c r="AA57" s="0" t="n">
        <v>0</v>
      </c>
      <c r="AB57" s="0" t="n">
        <v>0</v>
      </c>
      <c r="AC57" s="0" t="n">
        <v>1</v>
      </c>
      <c r="AD57" s="0" t="n">
        <v>0</v>
      </c>
      <c r="AE57" s="0" t="n">
        <v>0</v>
      </c>
      <c r="AF57" s="0" t="n">
        <v>0</v>
      </c>
      <c r="AG57" s="0" t="n">
        <v>14.2739748875509</v>
      </c>
      <c r="AH57" s="0" t="n">
        <v>0</v>
      </c>
      <c r="AI57" s="0" t="n">
        <v>0</v>
      </c>
      <c r="AK57" s="0" t="n">
        <f aca="false">A57</f>
        <v>40</v>
      </c>
      <c r="AL57" s="0" t="n">
        <v>1</v>
      </c>
      <c r="AM57" s="0" t="n">
        <v>1</v>
      </c>
      <c r="AO57" s="0" t="n">
        <v>40</v>
      </c>
      <c r="AP57" s="0" t="n">
        <v>0</v>
      </c>
      <c r="AQ57" s="0" t="n">
        <v>0.819464926901778</v>
      </c>
      <c r="AR57" s="0" t="n">
        <v>38.1597171250124</v>
      </c>
      <c r="AS57" s="0" t="n">
        <v>6</v>
      </c>
      <c r="AT57" s="0" t="n">
        <v>8</v>
      </c>
    </row>
    <row r="58" customFormat="false" ht="12" hidden="false" customHeight="false" outlineLevel="0" collapsed="false">
      <c r="A58" s="0" t="n">
        <v>41</v>
      </c>
      <c r="B58" s="0" t="n">
        <v>1</v>
      </c>
      <c r="C58" s="0" t="n">
        <v>0.703452342578179</v>
      </c>
      <c r="D58" s="0" t="n">
        <v>48.3814738228414</v>
      </c>
      <c r="E58" s="0" t="n">
        <v>6</v>
      </c>
      <c r="F58" s="0" t="n">
        <v>4</v>
      </c>
      <c r="G58" s="0" t="n">
        <v>0.5</v>
      </c>
      <c r="H58" s="0" t="n">
        <v>1</v>
      </c>
      <c r="I58" s="0" t="n">
        <v>0</v>
      </c>
      <c r="J58" s="0" t="n">
        <v>52.1585870877482</v>
      </c>
      <c r="K58" s="0" t="n">
        <v>0</v>
      </c>
      <c r="L58" s="0" t="n">
        <v>1.96589079249968</v>
      </c>
      <c r="M58" s="0" t="n">
        <v>51.4530834702986</v>
      </c>
      <c r="N58" s="0" t="n">
        <v>3.07160964745714</v>
      </c>
      <c r="O58" s="0" t="n">
        <v>41</v>
      </c>
      <c r="P58" s="0" t="n">
        <v>23</v>
      </c>
      <c r="Q58" s="0" t="n">
        <v>18</v>
      </c>
      <c r="R58" s="0" t="n">
        <v>238.455734876777</v>
      </c>
      <c r="S58" s="0" t="n">
        <v>155.985431978295</v>
      </c>
      <c r="T58" s="0" t="n">
        <v>29</v>
      </c>
      <c r="U58" s="0" t="n">
        <v>19</v>
      </c>
      <c r="V58" s="0" t="n">
        <v>8.22260871209275</v>
      </c>
      <c r="W58" s="0" t="n">
        <v>8.20971636877148</v>
      </c>
      <c r="X58" s="0" t="n">
        <v>0</v>
      </c>
      <c r="Y58" s="0" t="n">
        <v>0</v>
      </c>
      <c r="Z58" s="0" t="n">
        <v>3.07160964745714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</v>
      </c>
      <c r="AG58" s="0" t="n">
        <v>0</v>
      </c>
      <c r="AH58" s="0" t="n">
        <v>22.0363926947273</v>
      </c>
      <c r="AI58" s="0" t="n">
        <v>0</v>
      </c>
      <c r="AK58" s="0" t="n">
        <f aca="false">A58</f>
        <v>41</v>
      </c>
      <c r="AL58" s="0" t="n">
        <v>1</v>
      </c>
      <c r="AM58" s="0" t="n">
        <v>2</v>
      </c>
      <c r="AO58" s="0" t="n">
        <v>41</v>
      </c>
      <c r="AP58" s="0" t="n">
        <v>1</v>
      </c>
      <c r="AQ58" s="0" t="n">
        <v>0.286221310806973</v>
      </c>
      <c r="AR58" s="0" t="n">
        <v>38.4459384358194</v>
      </c>
      <c r="AS58" s="0" t="n">
        <v>6</v>
      </c>
      <c r="AT58" s="0" t="n">
        <v>10</v>
      </c>
    </row>
    <row r="59" customFormat="false" ht="12" hidden="false" customHeight="false" outlineLevel="0" collapsed="false">
      <c r="A59" s="0" t="n">
        <v>42</v>
      </c>
      <c r="B59" s="0" t="n">
        <v>1</v>
      </c>
      <c r="C59" s="0" t="n">
        <v>0.877185226492914</v>
      </c>
      <c r="D59" s="0" t="n">
        <v>49.2586590493343</v>
      </c>
      <c r="E59" s="0" t="n">
        <v>6</v>
      </c>
      <c r="F59" s="0" t="n">
        <v>6</v>
      </c>
      <c r="G59" s="0" t="n">
        <v>0.5</v>
      </c>
      <c r="H59" s="0" t="n">
        <v>0</v>
      </c>
      <c r="I59" s="0" t="n">
        <v>2.10637603194342</v>
      </c>
      <c r="J59" s="0" t="n">
        <v>54.2649631196916</v>
      </c>
      <c r="K59" s="0" t="n">
        <v>5.00630407035723</v>
      </c>
      <c r="L59" s="0" t="n">
        <v>0</v>
      </c>
      <c r="M59" s="0" t="n">
        <v>51.4530834702986</v>
      </c>
      <c r="N59" s="0" t="n">
        <v>0</v>
      </c>
      <c r="O59" s="0" t="n">
        <v>42</v>
      </c>
      <c r="P59" s="0" t="n">
        <v>24</v>
      </c>
      <c r="Q59" s="0" t="n">
        <v>18</v>
      </c>
      <c r="R59" s="0" t="n">
        <v>196.785668859054</v>
      </c>
      <c r="S59" s="0" t="n">
        <v>184.092501185428</v>
      </c>
      <c r="T59" s="0" t="n">
        <v>24</v>
      </c>
      <c r="U59" s="0" t="n">
        <v>24</v>
      </c>
      <c r="V59" s="0" t="n">
        <v>8.19939945271083</v>
      </c>
      <c r="W59" s="0" t="n">
        <v>7.67048892235568</v>
      </c>
      <c r="X59" s="0" t="n">
        <v>5.00630407035723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5.86248095558671</v>
      </c>
      <c r="AG59" s="0" t="n">
        <v>0</v>
      </c>
      <c r="AH59" s="0" t="n">
        <v>0</v>
      </c>
      <c r="AI59" s="0" t="n">
        <v>0</v>
      </c>
      <c r="AK59" s="0" t="n">
        <f aca="false">A59</f>
        <v>42</v>
      </c>
      <c r="AL59" s="0" t="n">
        <v>0</v>
      </c>
      <c r="AM59" s="0" t="n">
        <v>0</v>
      </c>
      <c r="AO59" s="0" t="n">
        <v>42</v>
      </c>
      <c r="AP59" s="0" t="n">
        <v>1</v>
      </c>
      <c r="AQ59" s="0" t="n">
        <v>1.29780057283746</v>
      </c>
      <c r="AR59" s="0" t="n">
        <v>39.7437390086569</v>
      </c>
      <c r="AS59" s="0" t="n">
        <v>8</v>
      </c>
      <c r="AT59" s="0" t="n">
        <v>8</v>
      </c>
    </row>
    <row r="60" customFormat="false" ht="12" hidden="false" customHeight="false" outlineLevel="0" collapsed="false">
      <c r="A60" s="0" t="n">
        <v>43</v>
      </c>
      <c r="B60" s="0" t="n">
        <v>0</v>
      </c>
      <c r="C60" s="0" t="n">
        <v>1.72829384457661</v>
      </c>
      <c r="D60" s="0" t="n">
        <v>50.9869528939109</v>
      </c>
      <c r="E60" s="0" t="n">
        <v>6</v>
      </c>
      <c r="F60" s="0" t="n">
        <v>4</v>
      </c>
      <c r="G60" s="0" t="n">
        <v>0.5</v>
      </c>
      <c r="H60" s="0" t="n">
        <v>1</v>
      </c>
      <c r="I60" s="0" t="n">
        <v>0</v>
      </c>
      <c r="J60" s="0" t="n">
        <v>54.2649631196916</v>
      </c>
      <c r="K60" s="0" t="n">
        <v>0</v>
      </c>
      <c r="L60" s="0" t="n">
        <v>1.89966227477834</v>
      </c>
      <c r="M60" s="0" t="n">
        <v>53.3527457450769</v>
      </c>
      <c r="N60" s="0" t="n">
        <v>2.36579285116596</v>
      </c>
      <c r="O60" s="0" t="n">
        <v>43</v>
      </c>
      <c r="P60" s="0" t="n">
        <v>24</v>
      </c>
      <c r="Q60" s="0" t="n">
        <v>19</v>
      </c>
      <c r="R60" s="0" t="n">
        <v>144.858270516011</v>
      </c>
      <c r="S60" s="0" t="n">
        <v>247.674560037879</v>
      </c>
      <c r="T60" s="0" t="n">
        <v>18</v>
      </c>
      <c r="U60" s="0" t="n">
        <v>30</v>
      </c>
      <c r="V60" s="0" t="n">
        <v>8.04767722440214</v>
      </c>
      <c r="W60" s="0" t="n">
        <v>8.25579114862546</v>
      </c>
      <c r="X60" s="0" t="n">
        <v>0</v>
      </c>
      <c r="Y60" s="0" t="n">
        <v>0</v>
      </c>
      <c r="Z60" s="0" t="n">
        <v>0</v>
      </c>
      <c r="AA60" s="0" t="n">
        <v>2.36579285116596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0</v>
      </c>
      <c r="AG60" s="0" t="n">
        <v>0</v>
      </c>
      <c r="AH60" s="0" t="n">
        <v>0</v>
      </c>
      <c r="AI60" s="0" t="n">
        <v>28.7897482533526</v>
      </c>
      <c r="AK60" s="0" t="n">
        <f aca="false">A60</f>
        <v>43</v>
      </c>
      <c r="AL60" s="0" t="n">
        <v>1</v>
      </c>
      <c r="AM60" s="0" t="n">
        <v>1</v>
      </c>
      <c r="AO60" s="0" t="n">
        <v>43</v>
      </c>
      <c r="AP60" s="0" t="n">
        <v>0</v>
      </c>
      <c r="AQ60" s="0" t="n">
        <v>0.0191178614289797</v>
      </c>
      <c r="AR60" s="0" t="n">
        <v>39.7628568700858</v>
      </c>
      <c r="AS60" s="0" t="n">
        <v>10</v>
      </c>
      <c r="AT60" s="0" t="n">
        <v>8</v>
      </c>
    </row>
    <row r="61" customFormat="false" ht="12" hidden="false" customHeight="false" outlineLevel="0" collapsed="false">
      <c r="A61" s="0" t="n">
        <v>44</v>
      </c>
      <c r="B61" s="0" t="n">
        <v>0</v>
      </c>
      <c r="C61" s="0" t="n">
        <v>0.121776619210174</v>
      </c>
      <c r="D61" s="0" t="n">
        <v>51.1087295131211</v>
      </c>
      <c r="E61" s="0" t="n">
        <v>6</v>
      </c>
      <c r="F61" s="0" t="n">
        <v>6</v>
      </c>
      <c r="G61" s="0" t="n">
        <v>0.5</v>
      </c>
      <c r="H61" s="0" t="n">
        <v>0</v>
      </c>
      <c r="I61" s="0" t="n">
        <v>2.00459082092179</v>
      </c>
      <c r="J61" s="0" t="n">
        <v>56.2695539406134</v>
      </c>
      <c r="K61" s="0" t="n">
        <v>5.16082442749224</v>
      </c>
      <c r="L61" s="0" t="n">
        <v>0</v>
      </c>
      <c r="M61" s="0" t="n">
        <v>53.3527457450769</v>
      </c>
      <c r="N61" s="0" t="n">
        <v>0</v>
      </c>
      <c r="O61" s="0" t="n">
        <v>44</v>
      </c>
      <c r="P61" s="0" t="n">
        <v>25</v>
      </c>
      <c r="Q61" s="0" t="n">
        <v>19</v>
      </c>
      <c r="R61" s="0" t="n">
        <v>180.246596307943</v>
      </c>
      <c r="S61" s="0" t="n">
        <v>208.21300237967</v>
      </c>
      <c r="T61" s="0" t="n">
        <v>26</v>
      </c>
      <c r="U61" s="0" t="n">
        <v>22</v>
      </c>
      <c r="V61" s="0" t="n">
        <v>6.9325587300906</v>
      </c>
      <c r="W61" s="0" t="n">
        <v>9.46418436187429</v>
      </c>
      <c r="X61" s="0" t="n">
        <v>0</v>
      </c>
      <c r="Y61" s="0" t="n">
        <v>5.16082442749224</v>
      </c>
      <c r="Z61" s="0" t="n">
        <v>0</v>
      </c>
      <c r="AA61" s="0" t="n">
        <v>0</v>
      </c>
      <c r="AB61" s="0" t="n">
        <v>0</v>
      </c>
      <c r="AC61" s="0" t="n">
        <v>1</v>
      </c>
      <c r="AD61" s="0" t="n">
        <v>0</v>
      </c>
      <c r="AE61" s="0" t="n">
        <v>0</v>
      </c>
      <c r="AF61" s="0" t="n">
        <v>0</v>
      </c>
      <c r="AG61" s="0" t="n">
        <v>9.59656690750363</v>
      </c>
      <c r="AH61" s="0" t="n">
        <v>0</v>
      </c>
      <c r="AI61" s="0" t="n">
        <v>0</v>
      </c>
      <c r="AK61" s="0" t="n">
        <f aca="false">A61</f>
        <v>44</v>
      </c>
      <c r="AL61" s="0" t="n">
        <v>0</v>
      </c>
      <c r="AM61" s="0" t="n">
        <v>1</v>
      </c>
      <c r="AO61" s="0" t="n">
        <v>44</v>
      </c>
      <c r="AP61" s="0" t="n">
        <v>0</v>
      </c>
      <c r="AQ61" s="0" t="n">
        <v>0.326367530156549</v>
      </c>
      <c r="AR61" s="0" t="n">
        <v>40.0892244002424</v>
      </c>
      <c r="AS61" s="0" t="n">
        <v>10</v>
      </c>
      <c r="AT61" s="0" t="n">
        <v>8</v>
      </c>
    </row>
    <row r="62" customFormat="false" ht="12" hidden="false" customHeight="false" outlineLevel="0" collapsed="false">
      <c r="A62" s="0" t="n">
        <v>45</v>
      </c>
      <c r="B62" s="0" t="n">
        <v>1</v>
      </c>
      <c r="C62" s="0" t="n">
        <v>0.517594093680762</v>
      </c>
      <c r="D62" s="0" t="n">
        <v>51.6263236068019</v>
      </c>
      <c r="E62" s="0" t="n">
        <v>8</v>
      </c>
      <c r="F62" s="0" t="n">
        <v>4</v>
      </c>
      <c r="G62" s="0" t="n">
        <v>0.5</v>
      </c>
      <c r="H62" s="0" t="n">
        <v>1</v>
      </c>
      <c r="I62" s="0" t="n">
        <v>0</v>
      </c>
      <c r="J62" s="0" t="n">
        <v>56.2695539406134</v>
      </c>
      <c r="K62" s="0" t="n">
        <v>0</v>
      </c>
      <c r="L62" s="0" t="n">
        <v>2.23132949291184</v>
      </c>
      <c r="M62" s="0" t="n">
        <v>55.5840752379887</v>
      </c>
      <c r="N62" s="0" t="n">
        <v>3.95775163118685</v>
      </c>
      <c r="O62" s="0" t="n">
        <v>45</v>
      </c>
      <c r="P62" s="0" t="n">
        <v>25</v>
      </c>
      <c r="Q62" s="0" t="n">
        <v>20</v>
      </c>
      <c r="R62" s="0" t="n">
        <v>190.55215686462</v>
      </c>
      <c r="S62" s="0" t="n">
        <v>202.066581544161</v>
      </c>
      <c r="T62" s="0" t="n">
        <v>22</v>
      </c>
      <c r="U62" s="0" t="n">
        <v>26</v>
      </c>
      <c r="V62" s="0" t="n">
        <v>8.66145773863829</v>
      </c>
      <c r="W62" s="0" t="n">
        <v>7.77176170646115</v>
      </c>
      <c r="X62" s="0" t="n">
        <v>0</v>
      </c>
      <c r="Y62" s="0" t="n">
        <v>0</v>
      </c>
      <c r="Z62" s="0" t="n">
        <v>3.95775163118685</v>
      </c>
      <c r="AA62" s="0" t="n">
        <v>0</v>
      </c>
      <c r="AB62" s="0" t="n">
        <v>0</v>
      </c>
      <c r="AC62" s="0" t="n">
        <v>0</v>
      </c>
      <c r="AD62" s="0" t="n">
        <v>1</v>
      </c>
      <c r="AE62" s="0" t="n">
        <v>0</v>
      </c>
      <c r="AF62" s="0" t="n">
        <v>0</v>
      </c>
      <c r="AG62" s="0" t="n">
        <v>0</v>
      </c>
      <c r="AH62" s="0" t="n">
        <v>14.5020189691592</v>
      </c>
      <c r="AI62" s="0" t="n">
        <v>0</v>
      </c>
      <c r="AK62" s="0" t="n">
        <f aca="false">A62</f>
        <v>45</v>
      </c>
      <c r="AL62" s="0" t="n">
        <v>2</v>
      </c>
      <c r="AM62" s="0" t="n">
        <v>1</v>
      </c>
      <c r="AO62" s="0" t="n">
        <v>45</v>
      </c>
      <c r="AP62" s="0" t="n">
        <v>0</v>
      </c>
      <c r="AQ62" s="0" t="n">
        <v>0.76791186534703</v>
      </c>
      <c r="AR62" s="0" t="n">
        <v>40.8571362655894</v>
      </c>
      <c r="AS62" s="0" t="n">
        <v>10</v>
      </c>
      <c r="AT62" s="0" t="n">
        <v>8</v>
      </c>
    </row>
    <row r="63" customFormat="false" ht="12" hidden="false" customHeight="false" outlineLevel="0" collapsed="false">
      <c r="A63" s="0" t="n">
        <v>46</v>
      </c>
      <c r="B63" s="0" t="n">
        <v>0</v>
      </c>
      <c r="C63" s="0" t="n">
        <v>1.46204706942523</v>
      </c>
      <c r="D63" s="0" t="n">
        <v>53.0883706762271</v>
      </c>
      <c r="E63" s="0" t="n">
        <v>6</v>
      </c>
      <c r="F63" s="0" t="n">
        <v>6</v>
      </c>
      <c r="G63" s="0" t="n">
        <v>0.5</v>
      </c>
      <c r="H63" s="0" t="n">
        <v>1</v>
      </c>
      <c r="I63" s="0" t="n">
        <v>0</v>
      </c>
      <c r="J63" s="0" t="n">
        <v>56.2695539406134</v>
      </c>
      <c r="K63" s="0" t="n">
        <v>0</v>
      </c>
      <c r="L63" s="0" t="n">
        <v>1.84106302779558</v>
      </c>
      <c r="M63" s="0" t="n">
        <v>57.4251382657843</v>
      </c>
      <c r="N63" s="0" t="n">
        <v>4.33676758955721</v>
      </c>
      <c r="O63" s="0" t="n">
        <v>46</v>
      </c>
      <c r="P63" s="0" t="n">
        <v>25</v>
      </c>
      <c r="Q63" s="0" t="n">
        <v>21</v>
      </c>
      <c r="R63" s="0" t="n">
        <v>184.466830276359</v>
      </c>
      <c r="S63" s="0" t="n">
        <v>215.521766809455</v>
      </c>
      <c r="T63" s="0" t="n">
        <v>22</v>
      </c>
      <c r="U63" s="0" t="n">
        <v>26</v>
      </c>
      <c r="V63" s="0" t="n">
        <v>8.38485211035627</v>
      </c>
      <c r="W63" s="0" t="n">
        <v>8.28926684164502</v>
      </c>
      <c r="X63" s="0" t="n">
        <v>0</v>
      </c>
      <c r="Y63" s="0" t="n">
        <v>0</v>
      </c>
      <c r="Z63" s="0" t="n">
        <v>0</v>
      </c>
      <c r="AA63" s="0" t="n">
        <v>4.33676758955721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0</v>
      </c>
      <c r="AG63" s="0" t="n">
        <v>0</v>
      </c>
      <c r="AH63" s="0" t="n">
        <v>0</v>
      </c>
      <c r="AI63" s="0" t="n">
        <v>11.5235343757956</v>
      </c>
      <c r="AK63" s="0" t="n">
        <f aca="false">A63</f>
        <v>46</v>
      </c>
      <c r="AL63" s="0" t="n">
        <v>0</v>
      </c>
      <c r="AM63" s="0" t="n">
        <v>2</v>
      </c>
      <c r="AO63" s="0" t="n">
        <v>46</v>
      </c>
      <c r="AP63" s="0" t="n">
        <v>1</v>
      </c>
      <c r="AQ63" s="0" t="n">
        <v>0.0185036825654729</v>
      </c>
      <c r="AR63" s="0" t="n">
        <v>40.8756399481549</v>
      </c>
      <c r="AS63" s="0" t="n">
        <v>12</v>
      </c>
      <c r="AT63" s="0" t="n">
        <v>8</v>
      </c>
    </row>
    <row r="64" customFormat="false" ht="12" hidden="false" customHeight="false" outlineLevel="0" collapsed="false">
      <c r="A64" s="0" t="n">
        <v>47</v>
      </c>
      <c r="B64" s="0" t="n">
        <v>0</v>
      </c>
      <c r="C64" s="0" t="n">
        <v>1.01738446940863</v>
      </c>
      <c r="D64" s="0" t="n">
        <v>54.1057551456357</v>
      </c>
      <c r="E64" s="0" t="n">
        <v>6</v>
      </c>
      <c r="F64" s="0" t="n">
        <v>6</v>
      </c>
      <c r="G64" s="0" t="n">
        <v>0.5</v>
      </c>
      <c r="H64" s="0" t="n">
        <v>0</v>
      </c>
      <c r="I64" s="0" t="n">
        <v>1.99960179637145</v>
      </c>
      <c r="J64" s="0" t="n">
        <v>58.2691557369848</v>
      </c>
      <c r="K64" s="0" t="n">
        <v>4.16340059134907</v>
      </c>
      <c r="L64" s="0" t="n">
        <v>0</v>
      </c>
      <c r="M64" s="0" t="n">
        <v>57.4251382657843</v>
      </c>
      <c r="N64" s="0" t="n">
        <v>0</v>
      </c>
      <c r="O64" s="0" t="n">
        <v>47</v>
      </c>
      <c r="P64" s="0" t="n">
        <v>26</v>
      </c>
      <c r="Q64" s="0" t="n">
        <v>21</v>
      </c>
      <c r="R64" s="0" t="n">
        <v>218.271495667158</v>
      </c>
      <c r="S64" s="0" t="n">
        <v>184.352730229842</v>
      </c>
      <c r="T64" s="0" t="n">
        <v>29</v>
      </c>
      <c r="U64" s="0" t="n">
        <v>19</v>
      </c>
      <c r="V64" s="0" t="n">
        <v>7.52660070348796</v>
      </c>
      <c r="W64" s="0" t="n">
        <v>9.70272420828534</v>
      </c>
      <c r="X64" s="0" t="n">
        <v>0</v>
      </c>
      <c r="Y64" s="0" t="n">
        <v>4.16340059134907</v>
      </c>
      <c r="Z64" s="0" t="n">
        <v>0</v>
      </c>
      <c r="AA64" s="0" t="n">
        <v>0</v>
      </c>
      <c r="AB64" s="0" t="n">
        <v>0</v>
      </c>
      <c r="AC64" s="0" t="n">
        <v>1</v>
      </c>
      <c r="AD64" s="0" t="n">
        <v>0</v>
      </c>
      <c r="AE64" s="0" t="n">
        <v>0</v>
      </c>
      <c r="AF64" s="0" t="n">
        <v>0</v>
      </c>
      <c r="AG64" s="0" t="n">
        <v>16.7711253965922</v>
      </c>
      <c r="AH64" s="0" t="n">
        <v>0</v>
      </c>
      <c r="AI64" s="0" t="n">
        <v>0</v>
      </c>
      <c r="AK64" s="0" t="n">
        <f aca="false">A64</f>
        <v>47</v>
      </c>
      <c r="AL64" s="0" t="n">
        <v>0</v>
      </c>
      <c r="AM64" s="0" t="n">
        <v>1</v>
      </c>
      <c r="AO64" s="0" t="n">
        <v>47</v>
      </c>
      <c r="AP64" s="0" t="n">
        <v>0</v>
      </c>
      <c r="AQ64" s="0" t="n">
        <v>0.569487976111413</v>
      </c>
      <c r="AR64" s="0" t="n">
        <v>41.4451279242663</v>
      </c>
      <c r="AS64" s="0" t="n">
        <v>12</v>
      </c>
      <c r="AT64" s="0" t="n">
        <v>10</v>
      </c>
    </row>
    <row r="65" customFormat="false" ht="12" hidden="false" customHeight="false" outlineLevel="0" collapsed="false">
      <c r="A65" s="0" t="n">
        <v>48</v>
      </c>
      <c r="B65" s="0" t="n">
        <v>1</v>
      </c>
      <c r="C65" s="0" t="n">
        <v>0.266647572284145</v>
      </c>
      <c r="D65" s="0" t="n">
        <v>54.3724027179199</v>
      </c>
      <c r="E65" s="0" t="n">
        <v>6</v>
      </c>
      <c r="F65" s="0" t="n">
        <v>6</v>
      </c>
      <c r="G65" s="0" t="n">
        <v>0.5</v>
      </c>
      <c r="H65" s="0" t="n">
        <v>0</v>
      </c>
      <c r="I65" s="0" t="n">
        <v>1.79314490829903</v>
      </c>
      <c r="J65" s="0" t="n">
        <v>60.0623006452838</v>
      </c>
      <c r="K65" s="0" t="n">
        <v>5.68989792736396</v>
      </c>
      <c r="L65" s="0" t="n">
        <v>0</v>
      </c>
      <c r="M65" s="0" t="n">
        <v>57.4251382657843</v>
      </c>
      <c r="N65" s="0" t="n">
        <v>0</v>
      </c>
      <c r="O65" s="0" t="n">
        <v>48</v>
      </c>
      <c r="P65" s="0" t="n">
        <v>27</v>
      </c>
      <c r="Q65" s="0" t="n">
        <v>21</v>
      </c>
      <c r="R65" s="0" t="n">
        <v>188.669060886772</v>
      </c>
      <c r="S65" s="0" t="n">
        <v>222.840043141404</v>
      </c>
      <c r="T65" s="0" t="n">
        <v>21</v>
      </c>
      <c r="U65" s="0" t="n">
        <v>27</v>
      </c>
      <c r="V65" s="0" t="n">
        <v>8.98423671640022</v>
      </c>
      <c r="W65" s="0" t="n">
        <v>8.25330436336917</v>
      </c>
      <c r="X65" s="0" t="n">
        <v>5.68989792736396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  <c r="AF65" s="0" t="n">
        <v>3.01946996580074</v>
      </c>
      <c r="AG65" s="0" t="n">
        <v>0</v>
      </c>
      <c r="AH65" s="0" t="n">
        <v>0</v>
      </c>
      <c r="AI65" s="0" t="n">
        <v>0</v>
      </c>
      <c r="AK65" s="0" t="n">
        <f aca="false">A65</f>
        <v>48</v>
      </c>
      <c r="AL65" s="0" t="n">
        <v>0</v>
      </c>
      <c r="AM65" s="0" t="n">
        <v>2</v>
      </c>
      <c r="AO65" s="0" t="n">
        <v>48</v>
      </c>
      <c r="AP65" s="0" t="n">
        <v>1</v>
      </c>
      <c r="AQ65" s="0" t="n">
        <v>0.293160307606233</v>
      </c>
      <c r="AR65" s="0" t="n">
        <v>41.7382882318725</v>
      </c>
      <c r="AS65" s="0" t="n">
        <v>14</v>
      </c>
      <c r="AT65" s="0" t="n">
        <v>10</v>
      </c>
    </row>
    <row r="66" customFormat="false" ht="12" hidden="false" customHeight="false" outlineLevel="0" collapsed="false">
      <c r="A66" s="0" t="n">
        <v>49</v>
      </c>
      <c r="B66" s="0" t="n">
        <v>1</v>
      </c>
      <c r="C66" s="0" t="n">
        <v>1.12469581660354</v>
      </c>
      <c r="D66" s="0" t="n">
        <v>55.4970985345234</v>
      </c>
      <c r="E66" s="0" t="n">
        <v>8</v>
      </c>
      <c r="F66" s="0" t="n">
        <v>6</v>
      </c>
      <c r="G66" s="0" t="n">
        <v>0.5</v>
      </c>
      <c r="H66" s="0" t="n">
        <v>1</v>
      </c>
      <c r="I66" s="0" t="n">
        <v>0</v>
      </c>
      <c r="J66" s="0" t="n">
        <v>60.0623006452838</v>
      </c>
      <c r="K66" s="0" t="n">
        <v>0</v>
      </c>
      <c r="L66" s="0" t="n">
        <v>2.20967522135069</v>
      </c>
      <c r="M66" s="0" t="n">
        <v>59.634813487135</v>
      </c>
      <c r="N66" s="0" t="n">
        <v>4.1377149526116</v>
      </c>
      <c r="O66" s="0" t="n">
        <v>49</v>
      </c>
      <c r="P66" s="0" t="n">
        <v>27</v>
      </c>
      <c r="Q66" s="0" t="n">
        <v>22</v>
      </c>
      <c r="R66" s="0" t="n">
        <v>230.788947401019</v>
      </c>
      <c r="S66" s="0" t="n">
        <v>191.955516495766</v>
      </c>
      <c r="T66" s="0" t="n">
        <v>27</v>
      </c>
      <c r="U66" s="0" t="n">
        <v>21</v>
      </c>
      <c r="V66" s="0" t="n">
        <v>8.54773562680232</v>
      </c>
      <c r="W66" s="0" t="n">
        <v>9.14069535363004</v>
      </c>
      <c r="X66" s="0" t="n">
        <v>0</v>
      </c>
      <c r="Y66" s="0" t="n">
        <v>0</v>
      </c>
      <c r="Z66" s="0" t="n">
        <v>4.1377149526116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0</v>
      </c>
      <c r="AF66" s="0" t="n">
        <v>0</v>
      </c>
      <c r="AG66" s="0" t="n">
        <v>0</v>
      </c>
      <c r="AH66" s="0" t="n">
        <v>13.1637505283276</v>
      </c>
      <c r="AI66" s="0" t="n">
        <v>0</v>
      </c>
      <c r="AK66" s="0" t="n">
        <f aca="false">A66</f>
        <v>49</v>
      </c>
      <c r="AL66" s="0" t="n">
        <v>1</v>
      </c>
      <c r="AM66" s="0" t="n">
        <v>0</v>
      </c>
      <c r="AO66" s="0" t="n">
        <v>49</v>
      </c>
      <c r="AP66" s="0" t="n">
        <v>1</v>
      </c>
      <c r="AQ66" s="0" t="n">
        <v>0.44590136785136</v>
      </c>
      <c r="AR66" s="0" t="n">
        <v>42.1841895997239</v>
      </c>
      <c r="AS66" s="0" t="n">
        <v>12</v>
      </c>
      <c r="AT66" s="0" t="n">
        <v>12</v>
      </c>
    </row>
    <row r="67" customFormat="false" ht="12" hidden="false" customHeight="false" outlineLevel="0" collapsed="false">
      <c r="A67" s="0" t="n">
        <v>50</v>
      </c>
      <c r="B67" s="0" t="n">
        <v>0</v>
      </c>
      <c r="C67" s="0" t="n">
        <v>0.569426231880031</v>
      </c>
      <c r="D67" s="0" t="n">
        <v>56.0665247664034</v>
      </c>
      <c r="E67" s="0" t="n">
        <v>8</v>
      </c>
      <c r="F67" s="0" t="n">
        <v>6</v>
      </c>
      <c r="G67" s="0" t="n">
        <v>0.5</v>
      </c>
      <c r="H67" s="0" t="n">
        <v>1</v>
      </c>
      <c r="I67" s="0" t="n">
        <v>0</v>
      </c>
      <c r="J67" s="0" t="n">
        <v>60.0623006452838</v>
      </c>
      <c r="K67" s="0" t="n">
        <v>0</v>
      </c>
      <c r="L67" s="0" t="n">
        <v>1.94380984322219</v>
      </c>
      <c r="M67" s="0" t="n">
        <v>61.5786233303572</v>
      </c>
      <c r="N67" s="0" t="n">
        <v>5.51209856395376</v>
      </c>
      <c r="O67" s="0" t="n">
        <v>50</v>
      </c>
      <c r="P67" s="0" t="n">
        <v>27</v>
      </c>
      <c r="Q67" s="0" t="n">
        <v>23</v>
      </c>
      <c r="R67" s="0" t="n">
        <v>184.885036409718</v>
      </c>
      <c r="S67" s="0" t="n">
        <v>235.11620110385</v>
      </c>
      <c r="T67" s="0" t="n">
        <v>22</v>
      </c>
      <c r="U67" s="0" t="n">
        <v>26</v>
      </c>
      <c r="V67" s="0" t="n">
        <v>8.40386147141377</v>
      </c>
      <c r="W67" s="0" t="n">
        <v>9.04289603131719</v>
      </c>
      <c r="X67" s="0" t="n">
        <v>0</v>
      </c>
      <c r="Y67" s="0" t="n">
        <v>0</v>
      </c>
      <c r="Z67" s="0" t="n">
        <v>0</v>
      </c>
      <c r="AA67" s="0" t="n">
        <v>5.51209856395376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0</v>
      </c>
      <c r="AG67" s="0" t="n">
        <v>0</v>
      </c>
      <c r="AH67" s="0" t="n">
        <v>0</v>
      </c>
      <c r="AI67" s="0" t="n">
        <v>4.92530224647941</v>
      </c>
      <c r="AK67" s="0" t="n">
        <f aca="false">A67</f>
        <v>50</v>
      </c>
      <c r="AL67" s="0" t="n">
        <v>1</v>
      </c>
      <c r="AM67" s="0" t="n">
        <v>2</v>
      </c>
      <c r="AO67" s="0" t="n">
        <v>50</v>
      </c>
      <c r="AP67" s="0" t="n">
        <v>0</v>
      </c>
      <c r="AQ67" s="0" t="n">
        <v>0.734494238408335</v>
      </c>
      <c r="AR67" s="0" t="n">
        <v>42.9186838381322</v>
      </c>
      <c r="AS67" s="0" t="n">
        <v>14</v>
      </c>
      <c r="AT67" s="0" t="n">
        <v>10</v>
      </c>
    </row>
    <row r="68" customFormat="false" ht="12" hidden="false" customHeight="false" outlineLevel="0" collapsed="false">
      <c r="A68" s="0" t="n">
        <v>51</v>
      </c>
      <c r="B68" s="0" t="n">
        <v>1</v>
      </c>
      <c r="C68" s="0" t="n">
        <v>3.72544280978481</v>
      </c>
      <c r="D68" s="0" t="n">
        <v>59.7919675761883</v>
      </c>
      <c r="E68" s="0" t="n">
        <v>4</v>
      </c>
      <c r="F68" s="0" t="n">
        <v>4</v>
      </c>
      <c r="G68" s="0" t="n">
        <v>0.5</v>
      </c>
      <c r="H68" s="0" t="n">
        <v>1</v>
      </c>
      <c r="I68" s="0" t="n">
        <v>0</v>
      </c>
      <c r="J68" s="0" t="n">
        <v>60.0623006452838</v>
      </c>
      <c r="K68" s="0" t="n">
        <v>0</v>
      </c>
      <c r="L68" s="0" t="n">
        <v>2.14744903376778</v>
      </c>
      <c r="M68" s="0" t="n">
        <v>63.726072364125</v>
      </c>
      <c r="N68" s="0" t="n">
        <v>3.93410478793673</v>
      </c>
      <c r="O68" s="0" t="n">
        <v>51</v>
      </c>
      <c r="P68" s="0" t="n">
        <v>27</v>
      </c>
      <c r="Q68" s="0" t="n">
        <v>24</v>
      </c>
      <c r="R68" s="0" t="n">
        <v>187.208245711423</v>
      </c>
      <c r="S68" s="0" t="n">
        <v>254.738375078316</v>
      </c>
      <c r="T68" s="0" t="n">
        <v>22</v>
      </c>
      <c r="U68" s="0" t="n">
        <v>26</v>
      </c>
      <c r="V68" s="0" t="n">
        <v>8.50946184621839</v>
      </c>
      <c r="W68" s="0" t="n">
        <v>9.79759212765783</v>
      </c>
      <c r="X68" s="0" t="n">
        <v>0</v>
      </c>
      <c r="Y68" s="0" t="n">
        <v>0</v>
      </c>
      <c r="Z68" s="0" t="n">
        <v>3.93410478793673</v>
      </c>
      <c r="AA68" s="0" t="n">
        <v>0</v>
      </c>
      <c r="AB68" s="0" t="n">
        <v>0</v>
      </c>
      <c r="AC68" s="0" t="n">
        <v>0</v>
      </c>
      <c r="AD68" s="0" t="n">
        <v>1</v>
      </c>
      <c r="AE68" s="0" t="n">
        <v>0</v>
      </c>
      <c r="AF68" s="0" t="n">
        <v>0</v>
      </c>
      <c r="AG68" s="0" t="n">
        <v>0</v>
      </c>
      <c r="AH68" s="0" t="n">
        <v>14.6826796725097</v>
      </c>
      <c r="AI68" s="0" t="n">
        <v>0</v>
      </c>
      <c r="AK68" s="0" t="n">
        <f aca="false">A68</f>
        <v>51</v>
      </c>
      <c r="AL68" s="0" t="n">
        <v>0</v>
      </c>
      <c r="AM68" s="0" t="n">
        <v>3</v>
      </c>
      <c r="AO68" s="0" t="n">
        <v>51</v>
      </c>
      <c r="AP68" s="0" t="n">
        <v>0</v>
      </c>
      <c r="AQ68" s="0" t="n">
        <v>0.493561096774003</v>
      </c>
      <c r="AR68" s="0" t="n">
        <v>43.4122449349062</v>
      </c>
      <c r="AS68" s="0" t="n">
        <v>16</v>
      </c>
      <c r="AT68" s="0" t="n">
        <v>10</v>
      </c>
    </row>
    <row r="69" customFormat="false" ht="12" hidden="false" customHeight="false" outlineLevel="0" collapsed="false">
      <c r="A69" s="0" t="n">
        <v>52</v>
      </c>
      <c r="B69" s="0" t="n">
        <v>0</v>
      </c>
      <c r="C69" s="0" t="n">
        <v>1.12447475769919</v>
      </c>
      <c r="D69" s="0" t="n">
        <v>60.9164423338874</v>
      </c>
      <c r="E69" s="0" t="n">
        <v>2</v>
      </c>
      <c r="F69" s="0" t="n">
        <v>6</v>
      </c>
      <c r="G69" s="0" t="n">
        <v>0.5</v>
      </c>
      <c r="H69" s="0" t="n">
        <v>0</v>
      </c>
      <c r="I69" s="0" t="n">
        <v>2.18616299575801</v>
      </c>
      <c r="J69" s="0" t="n">
        <v>63.1026053296455</v>
      </c>
      <c r="K69" s="0" t="n">
        <v>2.18616299575801</v>
      </c>
      <c r="L69" s="0" t="n">
        <v>0</v>
      </c>
      <c r="M69" s="0" t="n">
        <v>63.726072364125</v>
      </c>
      <c r="N69" s="0" t="n">
        <v>0</v>
      </c>
      <c r="O69" s="0" t="n">
        <v>52</v>
      </c>
      <c r="P69" s="0" t="n">
        <v>28</v>
      </c>
      <c r="Q69" s="0" t="n">
        <v>24</v>
      </c>
      <c r="R69" s="0" t="n">
        <v>239.663147606516</v>
      </c>
      <c r="S69" s="0" t="n">
        <v>177.606575691385</v>
      </c>
      <c r="T69" s="0" t="n">
        <v>29</v>
      </c>
      <c r="U69" s="0" t="n">
        <v>19</v>
      </c>
      <c r="V69" s="0" t="n">
        <v>8.26424361945102</v>
      </c>
      <c r="W69" s="0" t="n">
        <v>9.34766531183442</v>
      </c>
      <c r="X69" s="0" t="n">
        <v>0</v>
      </c>
      <c r="Y69" s="0" t="n">
        <v>2.18616299575801</v>
      </c>
      <c r="Z69" s="0" t="n">
        <v>0</v>
      </c>
      <c r="AA69" s="0" t="n">
        <v>0</v>
      </c>
      <c r="AB69" s="0" t="n">
        <v>0</v>
      </c>
      <c r="AC69" s="0" t="n">
        <v>1</v>
      </c>
      <c r="AD69" s="0" t="n">
        <v>0</v>
      </c>
      <c r="AE69" s="0" t="n">
        <v>0</v>
      </c>
      <c r="AF69" s="0" t="n">
        <v>0</v>
      </c>
      <c r="AG69" s="0" t="n">
        <v>36.8751839416358</v>
      </c>
      <c r="AH69" s="0" t="n">
        <v>0</v>
      </c>
      <c r="AI69" s="0" t="n">
        <v>0</v>
      </c>
      <c r="AK69" s="0" t="n">
        <f aca="false">A69</f>
        <v>52</v>
      </c>
      <c r="AL69" s="0" t="n">
        <v>2</v>
      </c>
      <c r="AM69" s="0" t="n">
        <v>3</v>
      </c>
      <c r="AO69" s="0" t="n">
        <v>52</v>
      </c>
      <c r="AP69" s="0" t="n">
        <v>1</v>
      </c>
      <c r="AQ69" s="0" t="n">
        <v>0.697822383179712</v>
      </c>
      <c r="AR69" s="0" t="n">
        <v>44.1100673180859</v>
      </c>
      <c r="AS69" s="0" t="n">
        <v>16</v>
      </c>
      <c r="AT69" s="0" t="n">
        <v>10</v>
      </c>
    </row>
    <row r="70" customFormat="false" ht="12" hidden="false" customHeight="false" outlineLevel="0" collapsed="false">
      <c r="A70" s="0" t="n">
        <v>53</v>
      </c>
      <c r="B70" s="0" t="n">
        <v>0</v>
      </c>
      <c r="C70" s="0" t="n">
        <v>0.55935768171676</v>
      </c>
      <c r="D70" s="0" t="n">
        <v>61.4758000156042</v>
      </c>
      <c r="E70" s="0" t="n">
        <v>4</v>
      </c>
      <c r="F70" s="0" t="n">
        <v>6</v>
      </c>
      <c r="G70" s="0" t="n">
        <v>0.5</v>
      </c>
      <c r="H70" s="0" t="n">
        <v>1</v>
      </c>
      <c r="I70" s="0" t="n">
        <v>0</v>
      </c>
      <c r="J70" s="0" t="n">
        <v>63.1026053296455</v>
      </c>
      <c r="K70" s="0" t="n">
        <v>0</v>
      </c>
      <c r="L70" s="0" t="n">
        <v>1.83687962885225</v>
      </c>
      <c r="M70" s="0" t="n">
        <v>65.5629519929772</v>
      </c>
      <c r="N70" s="0" t="n">
        <v>4.08715197737303</v>
      </c>
      <c r="O70" s="0" t="n">
        <v>53</v>
      </c>
      <c r="P70" s="0" t="n">
        <v>28</v>
      </c>
      <c r="Q70" s="0" t="n">
        <v>25</v>
      </c>
      <c r="R70" s="0" t="n">
        <v>274.1230947398</v>
      </c>
      <c r="S70" s="0" t="n">
        <v>165.07811774694</v>
      </c>
      <c r="T70" s="0" t="n">
        <v>27</v>
      </c>
      <c r="U70" s="0" t="n">
        <v>21</v>
      </c>
      <c r="V70" s="0" t="n">
        <v>10.1527034523247</v>
      </c>
      <c r="W70" s="0" t="n">
        <v>7.8608253173528</v>
      </c>
      <c r="X70" s="0" t="n">
        <v>0</v>
      </c>
      <c r="Y70" s="0" t="n">
        <v>0</v>
      </c>
      <c r="Z70" s="0" t="n">
        <v>0</v>
      </c>
      <c r="AA70" s="0" t="n">
        <v>4.08715197737303</v>
      </c>
      <c r="AB70" s="0" t="n">
        <v>0</v>
      </c>
      <c r="AC70" s="0" t="n">
        <v>0</v>
      </c>
      <c r="AD70" s="0" t="n">
        <v>0</v>
      </c>
      <c r="AE70" s="0" t="n">
        <v>1</v>
      </c>
      <c r="AF70" s="0" t="n">
        <v>0</v>
      </c>
      <c r="AG70" s="0" t="n">
        <v>0</v>
      </c>
      <c r="AH70" s="0" t="n">
        <v>0</v>
      </c>
      <c r="AI70" s="0" t="n">
        <v>13.2805492046271</v>
      </c>
      <c r="AK70" s="0" t="n">
        <f aca="false">A70</f>
        <v>53</v>
      </c>
      <c r="AL70" s="0" t="n">
        <v>1</v>
      </c>
      <c r="AM70" s="0" t="n">
        <v>2</v>
      </c>
      <c r="AO70" s="0" t="n">
        <v>53</v>
      </c>
      <c r="AP70" s="0" t="n">
        <v>0</v>
      </c>
      <c r="AQ70" s="0" t="n">
        <v>0.495580302618989</v>
      </c>
      <c r="AR70" s="0" t="n">
        <v>44.6056476207049</v>
      </c>
      <c r="AS70" s="0" t="n">
        <v>16</v>
      </c>
      <c r="AT70" s="0" t="n">
        <v>12</v>
      </c>
    </row>
    <row r="71" customFormat="false" ht="12" hidden="false" customHeight="false" outlineLevel="0" collapsed="false">
      <c r="A71" s="0" t="n">
        <v>54</v>
      </c>
      <c r="B71" s="0" t="n">
        <v>0</v>
      </c>
      <c r="C71" s="0" t="n">
        <v>1.34338298821224</v>
      </c>
      <c r="D71" s="0" t="n">
        <v>62.8191830038164</v>
      </c>
      <c r="E71" s="0" t="n">
        <v>4</v>
      </c>
      <c r="F71" s="0" t="n">
        <v>6</v>
      </c>
      <c r="G71" s="0" t="n">
        <v>0.5</v>
      </c>
      <c r="H71" s="0" t="n">
        <v>0</v>
      </c>
      <c r="I71" s="0" t="n">
        <v>1.91712944431896</v>
      </c>
      <c r="J71" s="0" t="n">
        <v>65.0197347739644</v>
      </c>
      <c r="K71" s="0" t="n">
        <v>2.20055177014797</v>
      </c>
      <c r="L71" s="0" t="n">
        <v>0</v>
      </c>
      <c r="M71" s="0" t="n">
        <v>65.5629519929772</v>
      </c>
      <c r="N71" s="0" t="n">
        <v>0</v>
      </c>
      <c r="O71" s="0" t="n">
        <v>54</v>
      </c>
      <c r="P71" s="0" t="n">
        <v>29</v>
      </c>
      <c r="Q71" s="0" t="n">
        <v>25</v>
      </c>
      <c r="R71" s="0" t="n">
        <v>176.777273007446</v>
      </c>
      <c r="S71" s="0" t="n">
        <v>256.387224537729</v>
      </c>
      <c r="T71" s="0" t="n">
        <v>21</v>
      </c>
      <c r="U71" s="0" t="n">
        <v>27</v>
      </c>
      <c r="V71" s="0" t="n">
        <v>8.41796137275393</v>
      </c>
      <c r="W71" s="0" t="n">
        <v>9.49578796144197</v>
      </c>
      <c r="X71" s="0" t="n">
        <v>0</v>
      </c>
      <c r="Y71" s="0" t="n">
        <v>2.20055177014797</v>
      </c>
      <c r="Z71" s="0" t="n">
        <v>0</v>
      </c>
      <c r="AA71" s="0" t="n">
        <v>0</v>
      </c>
      <c r="AB71" s="0" t="n">
        <v>0</v>
      </c>
      <c r="AC71" s="0" t="n">
        <v>1</v>
      </c>
      <c r="AD71" s="0" t="n">
        <v>0</v>
      </c>
      <c r="AE71" s="0" t="n">
        <v>0</v>
      </c>
      <c r="AF71" s="0" t="n">
        <v>0</v>
      </c>
      <c r="AG71" s="0" t="n">
        <v>36.7006394848328</v>
      </c>
      <c r="AH71" s="0" t="n">
        <v>0</v>
      </c>
      <c r="AI71" s="0" t="n">
        <v>0</v>
      </c>
      <c r="AK71" s="0" t="n">
        <f aca="false">A71</f>
        <v>54</v>
      </c>
      <c r="AL71" s="0" t="n">
        <v>1</v>
      </c>
      <c r="AM71" s="0" t="n">
        <v>2</v>
      </c>
      <c r="AO71" s="0" t="n">
        <v>54</v>
      </c>
      <c r="AP71" s="0" t="n">
        <v>0</v>
      </c>
      <c r="AQ71" s="0" t="n">
        <v>0.340038044613138</v>
      </c>
      <c r="AR71" s="0" t="n">
        <v>44.9456856653181</v>
      </c>
      <c r="AS71" s="0" t="n">
        <v>16</v>
      </c>
      <c r="AT71" s="0" t="n">
        <v>12</v>
      </c>
    </row>
    <row r="72" customFormat="false" ht="12" hidden="false" customHeight="false" outlineLevel="0" collapsed="false">
      <c r="A72" s="0" t="n">
        <v>55</v>
      </c>
      <c r="B72" s="0" t="n">
        <v>0</v>
      </c>
      <c r="C72" s="0" t="n">
        <v>0.0763218703052097</v>
      </c>
      <c r="D72" s="0" t="n">
        <v>62.8955048741217</v>
      </c>
      <c r="E72" s="0" t="n">
        <v>6</v>
      </c>
      <c r="F72" s="0" t="n">
        <v>6</v>
      </c>
      <c r="G72" s="0" t="n">
        <v>0.5</v>
      </c>
      <c r="H72" s="0" t="n">
        <v>0</v>
      </c>
      <c r="I72" s="0" t="n">
        <v>1.79571557447294</v>
      </c>
      <c r="J72" s="0" t="n">
        <v>66.8154503484374</v>
      </c>
      <c r="K72" s="0" t="n">
        <v>3.9199454743157</v>
      </c>
      <c r="L72" s="0" t="n">
        <v>0</v>
      </c>
      <c r="M72" s="0" t="n">
        <v>65.5629519929772</v>
      </c>
      <c r="N72" s="0" t="n">
        <v>0</v>
      </c>
      <c r="O72" s="0" t="n">
        <v>55</v>
      </c>
      <c r="P72" s="0" t="n">
        <v>30</v>
      </c>
      <c r="Q72" s="0" t="n">
        <v>25</v>
      </c>
      <c r="R72" s="0" t="n">
        <v>216.065521972779</v>
      </c>
      <c r="S72" s="0" t="n">
        <v>234.886659671542</v>
      </c>
      <c r="T72" s="0" t="n">
        <v>23</v>
      </c>
      <c r="U72" s="0" t="n">
        <v>25</v>
      </c>
      <c r="V72" s="0" t="n">
        <v>9.39414904483862</v>
      </c>
      <c r="W72" s="0" t="n">
        <v>9.39542880514648</v>
      </c>
      <c r="X72" s="0" t="n">
        <v>0</v>
      </c>
      <c r="Y72" s="0" t="n">
        <v>3.9199454743157</v>
      </c>
      <c r="Z72" s="0" t="n">
        <v>0</v>
      </c>
      <c r="AA72" s="0" t="n">
        <v>0</v>
      </c>
      <c r="AB72" s="0" t="n">
        <v>0</v>
      </c>
      <c r="AC72" s="0" t="n">
        <v>1</v>
      </c>
      <c r="AD72" s="0" t="n">
        <v>0</v>
      </c>
      <c r="AE72" s="0" t="n">
        <v>0</v>
      </c>
      <c r="AF72" s="0" t="n">
        <v>0</v>
      </c>
      <c r="AG72" s="0" t="n">
        <v>18.8244180675514</v>
      </c>
      <c r="AH72" s="0" t="n">
        <v>0</v>
      </c>
      <c r="AI72" s="0" t="n">
        <v>0</v>
      </c>
      <c r="AK72" s="0" t="n">
        <f aca="false">A72</f>
        <v>55</v>
      </c>
      <c r="AL72" s="0" t="n">
        <v>0</v>
      </c>
      <c r="AM72" s="0" t="n">
        <v>1</v>
      </c>
      <c r="AO72" s="0" t="n">
        <v>55</v>
      </c>
      <c r="AP72" s="0" t="n">
        <v>1</v>
      </c>
      <c r="AQ72" s="0" t="n">
        <v>0.376502241226692</v>
      </c>
      <c r="AR72" s="0" t="n">
        <v>45.3221879065448</v>
      </c>
      <c r="AS72" s="0" t="n">
        <v>16</v>
      </c>
      <c r="AT72" s="0" t="n">
        <v>14</v>
      </c>
    </row>
    <row r="73" customFormat="false" ht="12" hidden="false" customHeight="false" outlineLevel="0" collapsed="false">
      <c r="A73" s="0" t="n">
        <v>56</v>
      </c>
      <c r="B73" s="0" t="n">
        <v>0</v>
      </c>
      <c r="C73" s="0" t="n">
        <v>0.409338977065405</v>
      </c>
      <c r="D73" s="0" t="n">
        <v>63.3048438511871</v>
      </c>
      <c r="E73" s="0" t="n">
        <v>6</v>
      </c>
      <c r="F73" s="0" t="n">
        <v>6</v>
      </c>
      <c r="G73" s="0" t="n">
        <v>0.5</v>
      </c>
      <c r="H73" s="0" t="n">
        <v>1</v>
      </c>
      <c r="I73" s="0" t="n">
        <v>0</v>
      </c>
      <c r="J73" s="0" t="n">
        <v>66.8154503484374</v>
      </c>
      <c r="K73" s="0" t="n">
        <v>0</v>
      </c>
      <c r="L73" s="0" t="n">
        <v>1.84978025629028</v>
      </c>
      <c r="M73" s="0" t="n">
        <v>67.4127322492675</v>
      </c>
      <c r="N73" s="0" t="n">
        <v>4.10788839808047</v>
      </c>
      <c r="O73" s="0" t="n">
        <v>56</v>
      </c>
      <c r="P73" s="0" t="n">
        <v>30</v>
      </c>
      <c r="Q73" s="0" t="n">
        <v>26</v>
      </c>
      <c r="R73" s="0" t="n">
        <v>194.982747463862</v>
      </c>
      <c r="S73" s="0" t="n">
        <v>250.004851940167</v>
      </c>
      <c r="T73" s="0" t="n">
        <v>23</v>
      </c>
      <c r="U73" s="0" t="n">
        <v>25</v>
      </c>
      <c r="V73" s="0" t="n">
        <v>8.47750707342572</v>
      </c>
      <c r="W73" s="0" t="n">
        <v>10.0001540769904</v>
      </c>
      <c r="X73" s="0" t="n">
        <v>0</v>
      </c>
      <c r="Y73" s="0" t="n">
        <v>0</v>
      </c>
      <c r="Z73" s="0" t="n">
        <v>0</v>
      </c>
      <c r="AA73" s="0" t="n">
        <v>4.10788839808047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0</v>
      </c>
      <c r="AG73" s="0" t="n">
        <v>0</v>
      </c>
      <c r="AH73" s="0" t="n">
        <v>0</v>
      </c>
      <c r="AI73" s="0" t="n">
        <v>13.1298418518476</v>
      </c>
      <c r="AK73" s="0" t="n">
        <f aca="false">A73</f>
        <v>56</v>
      </c>
      <c r="AL73" s="0" t="n">
        <v>0</v>
      </c>
      <c r="AM73" s="0" t="n">
        <v>1</v>
      </c>
      <c r="AO73" s="0" t="n">
        <v>56</v>
      </c>
      <c r="AP73" s="0" t="n">
        <v>1</v>
      </c>
      <c r="AQ73" s="0" t="n">
        <v>0.33047553526457</v>
      </c>
      <c r="AR73" s="0" t="n">
        <v>45.6526634418093</v>
      </c>
      <c r="AS73" s="0" t="n">
        <v>14</v>
      </c>
      <c r="AT73" s="0" t="n">
        <v>16</v>
      </c>
    </row>
    <row r="74" customFormat="false" ht="12" hidden="false" customHeight="false" outlineLevel="0" collapsed="false">
      <c r="A74" s="0" t="n">
        <v>57</v>
      </c>
      <c r="B74" s="0" t="n">
        <v>0</v>
      </c>
      <c r="C74" s="0" t="n">
        <v>1.34606475331149</v>
      </c>
      <c r="D74" s="0" t="n">
        <v>64.6509086044985</v>
      </c>
      <c r="E74" s="0" t="n">
        <v>6</v>
      </c>
      <c r="F74" s="0" t="n">
        <v>6</v>
      </c>
      <c r="G74" s="0" t="n">
        <v>0.5</v>
      </c>
      <c r="H74" s="0" t="n">
        <v>1</v>
      </c>
      <c r="I74" s="0" t="n">
        <v>0</v>
      </c>
      <c r="J74" s="0" t="n">
        <v>66.8154503484374</v>
      </c>
      <c r="K74" s="0" t="n">
        <v>0</v>
      </c>
      <c r="L74" s="0" t="n">
        <v>1.77445130673591</v>
      </c>
      <c r="M74" s="0" t="n">
        <v>69.1871835560034</v>
      </c>
      <c r="N74" s="0" t="n">
        <v>4.53627495150489</v>
      </c>
      <c r="O74" s="0" t="n">
        <v>57</v>
      </c>
      <c r="P74" s="0" t="n">
        <v>30</v>
      </c>
      <c r="Q74" s="0" t="n">
        <v>27</v>
      </c>
      <c r="R74" s="0" t="n">
        <v>254.571728146071</v>
      </c>
      <c r="S74" s="0" t="n">
        <v>208.82911201943</v>
      </c>
      <c r="T74" s="0" t="n">
        <v>26</v>
      </c>
      <c r="U74" s="0" t="n">
        <v>22</v>
      </c>
      <c r="V74" s="0" t="n">
        <v>9.79121654745791</v>
      </c>
      <c r="W74" s="0" t="n">
        <v>9.49218921820491</v>
      </c>
      <c r="X74" s="0" t="n">
        <v>0</v>
      </c>
      <c r="Y74" s="0" t="n">
        <v>0</v>
      </c>
      <c r="Z74" s="0" t="n">
        <v>0</v>
      </c>
      <c r="AA74" s="0" t="n">
        <v>4.53627495150489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0</v>
      </c>
      <c r="AG74" s="0" t="n">
        <v>0</v>
      </c>
      <c r="AH74" s="0" t="n">
        <v>0</v>
      </c>
      <c r="AI74" s="0" t="n">
        <v>10.2088289452182</v>
      </c>
      <c r="AK74" s="0" t="n">
        <f aca="false">A74</f>
        <v>57</v>
      </c>
      <c r="AL74" s="0" t="n">
        <v>0</v>
      </c>
      <c r="AM74" s="0" t="n">
        <v>0</v>
      </c>
      <c r="AO74" s="0" t="n">
        <v>57</v>
      </c>
      <c r="AP74" s="0" t="n">
        <v>1</v>
      </c>
      <c r="AQ74" s="0" t="n">
        <v>0.151874100687925</v>
      </c>
      <c r="AR74" s="0" t="n">
        <v>45.8045375424973</v>
      </c>
      <c r="AS74" s="0" t="n">
        <v>16</v>
      </c>
      <c r="AT74" s="0" t="n">
        <v>16</v>
      </c>
    </row>
    <row r="75" customFormat="false" ht="12" hidden="false" customHeight="false" outlineLevel="0" collapsed="false">
      <c r="A75" s="0" t="n">
        <v>58</v>
      </c>
      <c r="B75" s="0" t="n">
        <v>1</v>
      </c>
      <c r="C75" s="0" t="n">
        <v>0.887440899769979</v>
      </c>
      <c r="D75" s="0" t="n">
        <v>65.5383495042685</v>
      </c>
      <c r="E75" s="0" t="n">
        <v>4</v>
      </c>
      <c r="F75" s="0" t="n">
        <v>8</v>
      </c>
      <c r="G75" s="0" t="n">
        <v>0.5</v>
      </c>
      <c r="H75" s="0" t="n">
        <v>0</v>
      </c>
      <c r="I75" s="0" t="n">
        <v>2.04000880451562</v>
      </c>
      <c r="J75" s="0" t="n">
        <v>68.855459152953</v>
      </c>
      <c r="K75" s="0" t="n">
        <v>3.31710964868445</v>
      </c>
      <c r="L75" s="0" t="n">
        <v>0</v>
      </c>
      <c r="M75" s="0" t="n">
        <v>69.1871835560034</v>
      </c>
      <c r="N75" s="0" t="n">
        <v>0</v>
      </c>
      <c r="O75" s="0" t="n">
        <v>58</v>
      </c>
      <c r="P75" s="0" t="n">
        <v>31</v>
      </c>
      <c r="Q75" s="0" t="n">
        <v>27</v>
      </c>
      <c r="R75" s="0" t="n">
        <v>180.404862563685</v>
      </c>
      <c r="S75" s="0" t="n">
        <v>277.889526558894</v>
      </c>
      <c r="T75" s="0" t="n">
        <v>18</v>
      </c>
      <c r="U75" s="0" t="n">
        <v>30</v>
      </c>
      <c r="V75" s="0" t="n">
        <v>10.0224867966009</v>
      </c>
      <c r="W75" s="0" t="n">
        <v>9.26295334211866</v>
      </c>
      <c r="X75" s="0" t="n">
        <v>3.31710964868445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16.8958032429224</v>
      </c>
      <c r="AG75" s="0" t="n">
        <v>0</v>
      </c>
      <c r="AH75" s="0" t="n">
        <v>0</v>
      </c>
      <c r="AI75" s="0" t="n">
        <v>0</v>
      </c>
      <c r="AK75" s="0" t="n">
        <f aca="false">A75</f>
        <v>58</v>
      </c>
      <c r="AL75" s="0" t="n">
        <v>2</v>
      </c>
      <c r="AM75" s="0" t="n">
        <v>1</v>
      </c>
      <c r="AO75" s="0" t="n">
        <v>58</v>
      </c>
      <c r="AP75" s="0" t="n">
        <v>0</v>
      </c>
      <c r="AQ75" s="0" t="n">
        <v>0.747997044097389</v>
      </c>
      <c r="AR75" s="0" t="n">
        <v>46.5525345865946</v>
      </c>
      <c r="AS75" s="0" t="n">
        <v>18</v>
      </c>
      <c r="AT75" s="0" t="n">
        <v>16</v>
      </c>
    </row>
    <row r="76" customFormat="false" ht="12" hidden="false" customHeight="false" outlineLevel="0" collapsed="false">
      <c r="A76" s="0" t="n">
        <v>59</v>
      </c>
      <c r="B76" s="0" t="n">
        <v>1</v>
      </c>
      <c r="C76" s="0" t="n">
        <v>0.661592440945726</v>
      </c>
      <c r="D76" s="0" t="n">
        <v>66.1999419452143</v>
      </c>
      <c r="E76" s="0" t="n">
        <v>6</v>
      </c>
      <c r="F76" s="0" t="n">
        <v>6</v>
      </c>
      <c r="G76" s="0" t="n">
        <v>0.5</v>
      </c>
      <c r="H76" s="0" t="n">
        <v>0</v>
      </c>
      <c r="I76" s="0" t="n">
        <v>1.79220243141086</v>
      </c>
      <c r="J76" s="0" t="n">
        <v>70.6476615843638</v>
      </c>
      <c r="K76" s="0" t="n">
        <v>4.44771963914958</v>
      </c>
      <c r="L76" s="0" t="n">
        <v>0</v>
      </c>
      <c r="M76" s="0" t="n">
        <v>69.1871835560034</v>
      </c>
      <c r="N76" s="0" t="n">
        <v>0</v>
      </c>
      <c r="O76" s="0" t="n">
        <v>59</v>
      </c>
      <c r="P76" s="0" t="n">
        <v>32</v>
      </c>
      <c r="Q76" s="0" t="n">
        <v>27</v>
      </c>
      <c r="R76" s="0" t="n">
        <v>233.516787810981</v>
      </c>
      <c r="S76" s="0" t="n">
        <v>219.054276180416</v>
      </c>
      <c r="T76" s="0" t="n">
        <v>26</v>
      </c>
      <c r="U76" s="0" t="n">
        <v>22</v>
      </c>
      <c r="V76" s="0" t="n">
        <v>8.98141146141792</v>
      </c>
      <c r="W76" s="0" t="n">
        <v>9.95696729471301</v>
      </c>
      <c r="X76" s="0" t="n">
        <v>4.44771963914958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  <c r="AF76" s="0" t="n">
        <v>8.87944941149889</v>
      </c>
      <c r="AG76" s="0" t="n">
        <v>0</v>
      </c>
      <c r="AH76" s="0" t="n">
        <v>0</v>
      </c>
      <c r="AI76" s="0" t="n">
        <v>0</v>
      </c>
      <c r="AK76" s="0" t="n">
        <f aca="false">A76</f>
        <v>59</v>
      </c>
      <c r="AL76" s="0" t="n">
        <v>0</v>
      </c>
      <c r="AM76" s="0" t="n">
        <v>1</v>
      </c>
      <c r="AO76" s="0" t="n">
        <v>59</v>
      </c>
      <c r="AP76" s="0" t="n">
        <v>0</v>
      </c>
      <c r="AQ76" s="0" t="n">
        <v>0.348249880868557</v>
      </c>
      <c r="AR76" s="0" t="n">
        <v>46.9007844674632</v>
      </c>
      <c r="AS76" s="0" t="n">
        <v>18</v>
      </c>
      <c r="AT76" s="0" t="n">
        <v>16</v>
      </c>
    </row>
    <row r="77" customFormat="false" ht="12" hidden="false" customHeight="false" outlineLevel="0" collapsed="false">
      <c r="A77" s="0" t="n">
        <v>60</v>
      </c>
      <c r="B77" s="0" t="n">
        <v>0</v>
      </c>
      <c r="C77" s="0" t="n">
        <v>2.38198490112046</v>
      </c>
      <c r="D77" s="0" t="n">
        <v>68.5819268463347</v>
      </c>
      <c r="E77" s="0" t="n">
        <v>6</v>
      </c>
      <c r="F77" s="0" t="n">
        <v>4</v>
      </c>
      <c r="G77" s="0" t="n">
        <v>0.5</v>
      </c>
      <c r="H77" s="0" t="n">
        <v>1</v>
      </c>
      <c r="I77" s="0" t="n">
        <v>0</v>
      </c>
      <c r="J77" s="0" t="n">
        <v>70.6476615843638</v>
      </c>
      <c r="K77" s="0" t="n">
        <v>0</v>
      </c>
      <c r="L77" s="0" t="n">
        <v>1.79302134552265</v>
      </c>
      <c r="M77" s="0" t="n">
        <v>70.9802049015261</v>
      </c>
      <c r="N77" s="0" t="n">
        <v>2.39827805519137</v>
      </c>
      <c r="O77" s="0" t="n">
        <v>60</v>
      </c>
      <c r="P77" s="0" t="n">
        <v>32</v>
      </c>
      <c r="Q77" s="0" t="n">
        <v>28</v>
      </c>
      <c r="R77" s="0" t="n">
        <v>222.254886641967</v>
      </c>
      <c r="S77" s="0" t="n">
        <v>232.831808624317</v>
      </c>
      <c r="T77" s="0" t="n">
        <v>25</v>
      </c>
      <c r="U77" s="0" t="n">
        <v>23</v>
      </c>
      <c r="V77" s="0" t="n">
        <v>8.89019190960192</v>
      </c>
      <c r="W77" s="0" t="n">
        <v>10.1230781007177</v>
      </c>
      <c r="X77" s="0" t="n">
        <v>0</v>
      </c>
      <c r="Y77" s="0" t="n">
        <v>0</v>
      </c>
      <c r="Z77" s="0" t="n">
        <v>0</v>
      </c>
      <c r="AA77" s="0" t="n">
        <v>2.39827805519137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0</v>
      </c>
      <c r="AI77" s="0" t="n">
        <v>28.4421978064222</v>
      </c>
      <c r="AK77" s="0" t="n">
        <f aca="false">A77</f>
        <v>60</v>
      </c>
      <c r="AL77" s="0" t="n">
        <v>1</v>
      </c>
      <c r="AM77" s="0" t="n">
        <v>2</v>
      </c>
      <c r="AO77" s="0" t="n">
        <v>60</v>
      </c>
      <c r="AP77" s="0" t="n">
        <v>1</v>
      </c>
      <c r="AQ77" s="0" t="n">
        <v>0.0466609833434501</v>
      </c>
      <c r="AR77" s="0" t="n">
        <v>46.9474454508067</v>
      </c>
      <c r="AS77" s="0" t="n">
        <v>20</v>
      </c>
      <c r="AT77" s="0" t="n">
        <v>16</v>
      </c>
    </row>
    <row r="78" customFormat="false" ht="12" hidden="false" customHeight="false" outlineLevel="0" collapsed="false">
      <c r="A78" s="0" t="n">
        <v>61</v>
      </c>
      <c r="B78" s="0" t="n">
        <v>0</v>
      </c>
      <c r="C78" s="0" t="n">
        <v>2.35152519421107</v>
      </c>
      <c r="D78" s="0" t="n">
        <v>70.9334520405458</v>
      </c>
      <c r="E78" s="0" t="n">
        <v>2</v>
      </c>
      <c r="F78" s="0" t="n">
        <v>4</v>
      </c>
      <c r="G78" s="0" t="n">
        <v>0.5</v>
      </c>
      <c r="H78" s="0" t="n">
        <v>1</v>
      </c>
      <c r="I78" s="0" t="n">
        <v>0</v>
      </c>
      <c r="J78" s="0" t="n">
        <v>70.9334520405458</v>
      </c>
      <c r="K78" s="0" t="n">
        <v>0</v>
      </c>
      <c r="L78" s="0" t="n">
        <v>1.81106210215174</v>
      </c>
      <c r="M78" s="0" t="n">
        <v>72.7912670036778</v>
      </c>
      <c r="N78" s="0" t="n">
        <v>1.85781496313206</v>
      </c>
      <c r="O78" s="0" t="n">
        <v>61</v>
      </c>
      <c r="P78" s="0" t="n">
        <v>32</v>
      </c>
      <c r="Q78" s="0" t="n">
        <v>29</v>
      </c>
      <c r="R78" s="0" t="n">
        <v>223.577146071345</v>
      </c>
      <c r="S78" s="0" t="n">
        <v>254.071900900447</v>
      </c>
      <c r="T78" s="0" t="n">
        <v>22</v>
      </c>
      <c r="U78" s="0" t="n">
        <v>26</v>
      </c>
      <c r="V78" s="0" t="n">
        <v>10.1625929293371</v>
      </c>
      <c r="W78" s="0" t="n">
        <v>9.77195860402257</v>
      </c>
      <c r="X78" s="0" t="n">
        <v>0</v>
      </c>
      <c r="Y78" s="0" t="n">
        <v>0</v>
      </c>
      <c r="Z78" s="0" t="n">
        <v>0</v>
      </c>
      <c r="AA78" s="0" t="n">
        <v>1.85781496313206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0</v>
      </c>
      <c r="AG78" s="0" t="n">
        <v>0</v>
      </c>
      <c r="AH78" s="0" t="n">
        <v>0</v>
      </c>
      <c r="AI78" s="0" t="n">
        <v>34.4990101372628</v>
      </c>
      <c r="AK78" s="0" t="n">
        <f aca="false">A78</f>
        <v>61</v>
      </c>
      <c r="AL78" s="0" t="n">
        <v>1</v>
      </c>
      <c r="AM78" s="0" t="n">
        <v>1</v>
      </c>
      <c r="AO78" s="0" t="n">
        <v>61</v>
      </c>
      <c r="AP78" s="0" t="n">
        <v>1</v>
      </c>
      <c r="AQ78" s="0" t="n">
        <v>1.49178929551024</v>
      </c>
      <c r="AR78" s="0" t="n">
        <v>48.4392347463169</v>
      </c>
      <c r="AS78" s="0" t="n">
        <v>18</v>
      </c>
      <c r="AT78" s="0" t="n">
        <v>16</v>
      </c>
    </row>
    <row r="79" customFormat="false" ht="12" hidden="false" customHeight="false" outlineLevel="0" collapsed="false">
      <c r="A79" s="0" t="n">
        <v>62</v>
      </c>
      <c r="B79" s="0" t="n">
        <v>0</v>
      </c>
      <c r="C79" s="0" t="n">
        <v>1.68522759226113</v>
      </c>
      <c r="D79" s="0" t="n">
        <v>72.6186796328069</v>
      </c>
      <c r="E79" s="0" t="n">
        <v>2</v>
      </c>
      <c r="F79" s="0" t="n">
        <v>4</v>
      </c>
      <c r="G79" s="0" t="n">
        <v>0.5</v>
      </c>
      <c r="H79" s="0" t="n">
        <v>0</v>
      </c>
      <c r="I79" s="0" t="n">
        <v>1.94712946567235</v>
      </c>
      <c r="J79" s="0" t="n">
        <v>74.5658090984793</v>
      </c>
      <c r="K79" s="0" t="n">
        <v>1.94712946567235</v>
      </c>
      <c r="L79" s="0" t="n">
        <v>0</v>
      </c>
      <c r="M79" s="0" t="n">
        <v>72.7912670036778</v>
      </c>
      <c r="N79" s="0" t="n">
        <v>0</v>
      </c>
      <c r="O79" s="0" t="n">
        <v>62</v>
      </c>
      <c r="P79" s="0" t="n">
        <v>33</v>
      </c>
      <c r="Q79" s="0" t="n">
        <v>29</v>
      </c>
      <c r="R79" s="0" t="n">
        <v>250.897994742515</v>
      </c>
      <c r="S79" s="0" t="n">
        <v>211.799466036973</v>
      </c>
      <c r="T79" s="0" t="n">
        <v>26</v>
      </c>
      <c r="U79" s="0" t="n">
        <v>22</v>
      </c>
      <c r="V79" s="0" t="n">
        <v>9.64991916320475</v>
      </c>
      <c r="W79" s="0" t="n">
        <v>9.62720469620468</v>
      </c>
      <c r="X79" s="0" t="n">
        <v>0</v>
      </c>
      <c r="Y79" s="0" t="n">
        <v>1.94712946567235</v>
      </c>
      <c r="Z79" s="0" t="n">
        <v>0</v>
      </c>
      <c r="AA79" s="0" t="n">
        <v>0</v>
      </c>
      <c r="AB79" s="0" t="n">
        <v>0</v>
      </c>
      <c r="AC79" s="0" t="n">
        <v>1</v>
      </c>
      <c r="AD79" s="0" t="n">
        <v>0</v>
      </c>
      <c r="AE79" s="0" t="n">
        <v>0</v>
      </c>
      <c r="AF79" s="0" t="n">
        <v>0</v>
      </c>
      <c r="AG79" s="0" t="n">
        <v>39.8353803467355</v>
      </c>
      <c r="AH79" s="0" t="n">
        <v>0</v>
      </c>
      <c r="AI79" s="0" t="n">
        <v>0</v>
      </c>
      <c r="AK79" s="0" t="n">
        <f aca="false">A79</f>
        <v>62</v>
      </c>
      <c r="AL79" s="0" t="n">
        <v>1</v>
      </c>
      <c r="AM79" s="0" t="n">
        <v>0</v>
      </c>
      <c r="AO79" s="0" t="n">
        <v>62</v>
      </c>
      <c r="AP79" s="0" t="n">
        <v>1</v>
      </c>
      <c r="AQ79" s="0" t="n">
        <v>0.824288539295291</v>
      </c>
      <c r="AR79" s="0" t="n">
        <v>49.2635232856122</v>
      </c>
      <c r="AS79" s="0" t="n">
        <v>18</v>
      </c>
      <c r="AT79" s="0" t="n">
        <v>18</v>
      </c>
    </row>
    <row r="80" customFormat="false" ht="12" hidden="false" customHeight="false" outlineLevel="0" collapsed="false">
      <c r="A80" s="0" t="n">
        <v>63</v>
      </c>
      <c r="B80" s="0" t="n">
        <v>1</v>
      </c>
      <c r="C80" s="0" t="n">
        <v>0.367897782349627</v>
      </c>
      <c r="D80" s="0" t="n">
        <v>72.9865774151565</v>
      </c>
      <c r="E80" s="0" t="n">
        <v>4</v>
      </c>
      <c r="F80" s="0" t="n">
        <v>2</v>
      </c>
      <c r="G80" s="0" t="n">
        <v>0.5</v>
      </c>
      <c r="H80" s="0" t="n">
        <v>1</v>
      </c>
      <c r="I80" s="0" t="n">
        <v>0</v>
      </c>
      <c r="J80" s="0" t="n">
        <v>74.5658090984793</v>
      </c>
      <c r="K80" s="0" t="n">
        <v>0</v>
      </c>
      <c r="L80" s="0" t="n">
        <v>2.02942225253043</v>
      </c>
      <c r="M80" s="0" t="n">
        <v>75.015999667687</v>
      </c>
      <c r="N80" s="0" t="n">
        <v>2.02942225253044</v>
      </c>
      <c r="O80" s="0" t="n">
        <v>63</v>
      </c>
      <c r="P80" s="0" t="n">
        <v>33</v>
      </c>
      <c r="Q80" s="0" t="n">
        <v>30</v>
      </c>
      <c r="R80" s="0" t="n">
        <v>261.740100347376</v>
      </c>
      <c r="S80" s="0" t="n">
        <v>204.757800343861</v>
      </c>
      <c r="T80" s="0" t="n">
        <v>29</v>
      </c>
      <c r="U80" s="0" t="n">
        <v>19</v>
      </c>
      <c r="V80" s="0" t="n">
        <v>9.02551758938621</v>
      </c>
      <c r="W80" s="0" t="n">
        <v>10.7766696145737</v>
      </c>
      <c r="X80" s="0" t="n">
        <v>0</v>
      </c>
      <c r="Y80" s="0" t="n">
        <v>0</v>
      </c>
      <c r="Z80" s="0" t="n">
        <v>2.02942225253044</v>
      </c>
      <c r="AA80" s="0" t="n">
        <v>0</v>
      </c>
      <c r="AB80" s="0" t="n">
        <v>0</v>
      </c>
      <c r="AC80" s="0" t="n">
        <v>0</v>
      </c>
      <c r="AD80" s="0" t="n">
        <v>1</v>
      </c>
      <c r="AE80" s="0" t="n">
        <v>0</v>
      </c>
      <c r="AF80" s="0" t="n">
        <v>0</v>
      </c>
      <c r="AG80" s="0" t="n">
        <v>0</v>
      </c>
      <c r="AH80" s="0" t="n">
        <v>32.9072145616482</v>
      </c>
      <c r="AI80" s="0" t="n">
        <v>0</v>
      </c>
      <c r="AK80" s="0" t="n">
        <f aca="false">A80</f>
        <v>63</v>
      </c>
      <c r="AL80" s="0" t="n">
        <v>1</v>
      </c>
      <c r="AM80" s="0" t="n">
        <v>1</v>
      </c>
      <c r="AO80" s="0" t="n">
        <v>63</v>
      </c>
      <c r="AP80" s="0" t="n">
        <v>0</v>
      </c>
      <c r="AQ80" s="0" t="n">
        <v>0.0609896188843697</v>
      </c>
      <c r="AR80" s="0" t="n">
        <v>49.3245129044965</v>
      </c>
      <c r="AS80" s="0" t="n">
        <v>18</v>
      </c>
      <c r="AT80" s="0" t="n">
        <v>20</v>
      </c>
    </row>
    <row r="81" customFormat="false" ht="12" hidden="false" customHeight="false" outlineLevel="0" collapsed="false">
      <c r="A81" s="0" t="n">
        <v>64</v>
      </c>
      <c r="B81" s="0" t="n">
        <v>1</v>
      </c>
      <c r="C81" s="0" t="n">
        <v>1.40003390680703</v>
      </c>
      <c r="D81" s="0" t="n">
        <v>74.3866113219636</v>
      </c>
      <c r="E81" s="0" t="n">
        <v>4</v>
      </c>
      <c r="F81" s="0" t="n">
        <v>4</v>
      </c>
      <c r="G81" s="0" t="n">
        <v>0.5</v>
      </c>
      <c r="H81" s="0" t="n">
        <v>0</v>
      </c>
      <c r="I81" s="0" t="n">
        <v>1.92962958247792</v>
      </c>
      <c r="J81" s="0" t="n">
        <v>76.4954386809572</v>
      </c>
      <c r="K81" s="0" t="n">
        <v>2.10882735899359</v>
      </c>
      <c r="L81" s="0" t="n">
        <v>0</v>
      </c>
      <c r="M81" s="0" t="n">
        <v>75.015999667687</v>
      </c>
      <c r="N81" s="0" t="n">
        <v>0</v>
      </c>
      <c r="O81" s="0" t="n">
        <v>64</v>
      </c>
      <c r="P81" s="0" t="n">
        <v>34</v>
      </c>
      <c r="Q81" s="0" t="n">
        <v>30</v>
      </c>
      <c r="R81" s="0" t="n">
        <v>191.240282602541</v>
      </c>
      <c r="S81" s="0" t="n">
        <v>289.132916232514</v>
      </c>
      <c r="T81" s="0" t="n">
        <v>21</v>
      </c>
      <c r="U81" s="0" t="n">
        <v>27</v>
      </c>
      <c r="V81" s="0" t="n">
        <v>9.10667578741824</v>
      </c>
      <c r="W81" s="0" t="n">
        <v>10.7085868656973</v>
      </c>
      <c r="X81" s="0" t="n">
        <v>2.10882735899359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28.2889183975199</v>
      </c>
      <c r="AG81" s="0" t="n">
        <v>0</v>
      </c>
      <c r="AH81" s="0" t="n">
        <v>0</v>
      </c>
      <c r="AI81" s="0" t="n">
        <v>0</v>
      </c>
      <c r="AK81" s="0" t="n">
        <f aca="false">A81</f>
        <v>64</v>
      </c>
      <c r="AL81" s="0" t="n">
        <v>0</v>
      </c>
      <c r="AM81" s="0" t="n">
        <v>1</v>
      </c>
      <c r="AO81" s="0" t="n">
        <v>64</v>
      </c>
      <c r="AP81" s="0" t="n">
        <v>1</v>
      </c>
      <c r="AQ81" s="0" t="n">
        <v>0.415648722951732</v>
      </c>
      <c r="AR81" s="0" t="n">
        <v>49.7401616274483</v>
      </c>
      <c r="AS81" s="0" t="n">
        <v>18</v>
      </c>
      <c r="AT81" s="0" t="n">
        <v>20</v>
      </c>
    </row>
    <row r="82" customFormat="false" ht="12" hidden="false" customHeight="false" outlineLevel="0" collapsed="false">
      <c r="A82" s="0" t="n">
        <v>65</v>
      </c>
      <c r="B82" s="0" t="n">
        <v>0</v>
      </c>
      <c r="C82" s="0" t="n">
        <v>2.12201116373714</v>
      </c>
      <c r="D82" s="0" t="n">
        <v>76.5086224857007</v>
      </c>
      <c r="E82" s="0" t="n">
        <v>2</v>
      </c>
      <c r="F82" s="0" t="n">
        <v>2</v>
      </c>
      <c r="G82" s="0" t="n">
        <v>0.5</v>
      </c>
      <c r="H82" s="0" t="n">
        <v>1</v>
      </c>
      <c r="I82" s="0" t="n">
        <v>0</v>
      </c>
      <c r="J82" s="0" t="n">
        <v>76.5086224857007</v>
      </c>
      <c r="K82" s="0" t="n">
        <v>0</v>
      </c>
      <c r="L82" s="0" t="n">
        <v>2.23702925643079</v>
      </c>
      <c r="M82" s="0" t="n">
        <v>78.7456517421315</v>
      </c>
      <c r="N82" s="0" t="n">
        <v>2.23702925643079</v>
      </c>
      <c r="O82" s="0" t="n">
        <v>65</v>
      </c>
      <c r="P82" s="0" t="n">
        <v>34</v>
      </c>
      <c r="Q82" s="0" t="n">
        <v>31</v>
      </c>
      <c r="R82" s="0" t="n">
        <v>317.03937470495</v>
      </c>
      <c r="S82" s="0" t="n">
        <v>179.642590220709</v>
      </c>
      <c r="T82" s="0" t="n">
        <v>29</v>
      </c>
      <c r="U82" s="0" t="n">
        <v>19</v>
      </c>
      <c r="V82" s="0" t="n">
        <v>10.932388461416</v>
      </c>
      <c r="W82" s="0" t="n">
        <v>9.45482340728254</v>
      </c>
      <c r="X82" s="0" t="n">
        <v>0</v>
      </c>
      <c r="Y82" s="0" t="n">
        <v>0</v>
      </c>
      <c r="Z82" s="0" t="n">
        <v>0</v>
      </c>
      <c r="AA82" s="0" t="n">
        <v>2.23702925643079</v>
      </c>
      <c r="AB82" s="0" t="n">
        <v>0</v>
      </c>
      <c r="AC82" s="0" t="n">
        <v>0</v>
      </c>
      <c r="AD82" s="0" t="n">
        <v>0</v>
      </c>
      <c r="AE82" s="0" t="n">
        <v>1</v>
      </c>
      <c r="AF82" s="0" t="n">
        <v>0</v>
      </c>
      <c r="AG82" s="0" t="n">
        <v>0</v>
      </c>
      <c r="AH82" s="0" t="n">
        <v>0</v>
      </c>
      <c r="AI82" s="0" t="n">
        <v>30.1881182417718</v>
      </c>
      <c r="AK82" s="0" t="n">
        <f aca="false">A82</f>
        <v>65</v>
      </c>
      <c r="AL82" s="0" t="n">
        <v>0</v>
      </c>
      <c r="AM82" s="0" t="n">
        <v>0</v>
      </c>
      <c r="AO82" s="0" t="n">
        <v>65</v>
      </c>
      <c r="AP82" s="0" t="n">
        <v>0</v>
      </c>
      <c r="AQ82" s="0" t="n">
        <v>2.0381033183457</v>
      </c>
      <c r="AR82" s="0" t="n">
        <v>51.778264945794</v>
      </c>
      <c r="AS82" s="0" t="n">
        <v>18</v>
      </c>
      <c r="AT82" s="0" t="n">
        <v>18</v>
      </c>
    </row>
    <row r="83" customFormat="false" ht="12" hidden="false" customHeight="false" outlineLevel="0" collapsed="false">
      <c r="A83" s="0" t="n">
        <v>66</v>
      </c>
      <c r="B83" s="0" t="n">
        <v>1</v>
      </c>
      <c r="C83" s="0" t="n">
        <v>0.159670787480316</v>
      </c>
      <c r="D83" s="0" t="n">
        <v>76.668293273181</v>
      </c>
      <c r="E83" s="0" t="n">
        <v>2</v>
      </c>
      <c r="F83" s="0" t="n">
        <v>4</v>
      </c>
      <c r="G83" s="0" t="n">
        <v>0.5</v>
      </c>
      <c r="H83" s="0" t="n">
        <v>0</v>
      </c>
      <c r="I83" s="0" t="n">
        <v>2.0381841817308</v>
      </c>
      <c r="J83" s="0" t="n">
        <v>78.7064774549118</v>
      </c>
      <c r="K83" s="0" t="n">
        <v>2.0381841817308</v>
      </c>
      <c r="L83" s="0" t="n">
        <v>0</v>
      </c>
      <c r="M83" s="0" t="n">
        <v>78.7456517421315</v>
      </c>
      <c r="N83" s="0" t="n">
        <v>0</v>
      </c>
      <c r="O83" s="0" t="n">
        <v>66</v>
      </c>
      <c r="P83" s="0" t="n">
        <v>35</v>
      </c>
      <c r="Q83" s="0" t="n">
        <v>31</v>
      </c>
      <c r="R83" s="0" t="n">
        <v>200.319003624903</v>
      </c>
      <c r="S83" s="0" t="n">
        <v>305.0468635002</v>
      </c>
      <c r="T83" s="0" t="n">
        <v>19</v>
      </c>
      <c r="U83" s="0" t="n">
        <v>29</v>
      </c>
      <c r="V83" s="0" t="n">
        <v>10.5430999049423</v>
      </c>
      <c r="W83" s="0" t="n">
        <v>10.518821090279</v>
      </c>
      <c r="X83" s="0" t="n">
        <v>2.0381841817308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  <c r="AF83" s="0" t="n">
        <v>29.0453732213614</v>
      </c>
      <c r="AG83" s="0" t="n">
        <v>0</v>
      </c>
      <c r="AH83" s="0" t="n">
        <v>0</v>
      </c>
      <c r="AI83" s="0" t="n">
        <v>0</v>
      </c>
      <c r="AK83" s="0" t="n">
        <f aca="false">A83</f>
        <v>66</v>
      </c>
      <c r="AL83" s="0" t="n">
        <v>1</v>
      </c>
      <c r="AM83" s="0" t="n">
        <v>1</v>
      </c>
      <c r="AO83" s="0" t="n">
        <v>66</v>
      </c>
      <c r="AP83" s="0" t="n">
        <v>0</v>
      </c>
      <c r="AQ83" s="0" t="n">
        <v>0.232214159668019</v>
      </c>
      <c r="AR83" s="0" t="n">
        <v>52.010479105462</v>
      </c>
      <c r="AS83" s="0" t="n">
        <v>18</v>
      </c>
      <c r="AT83" s="0" t="n">
        <v>20</v>
      </c>
    </row>
    <row r="84" customFormat="false" ht="12" hidden="false" customHeight="false" outlineLevel="0" collapsed="false">
      <c r="A84" s="0" t="n">
        <v>67</v>
      </c>
      <c r="B84" s="0" t="n">
        <v>1</v>
      </c>
      <c r="C84" s="0" t="n">
        <v>1.36770147474467</v>
      </c>
      <c r="D84" s="0" t="n">
        <v>78.0359947479257</v>
      </c>
      <c r="E84" s="0" t="n">
        <v>4</v>
      </c>
      <c r="F84" s="0" t="n">
        <v>4</v>
      </c>
      <c r="G84" s="0" t="n">
        <v>0.5</v>
      </c>
      <c r="H84" s="0" t="n">
        <v>0</v>
      </c>
      <c r="I84" s="0" t="n">
        <v>1.99312377683505</v>
      </c>
      <c r="J84" s="0" t="n">
        <v>80.6996012317469</v>
      </c>
      <c r="K84" s="0" t="n">
        <v>2.66360648382118</v>
      </c>
      <c r="L84" s="0" t="n">
        <v>0</v>
      </c>
      <c r="M84" s="0" t="n">
        <v>78.7456517421315</v>
      </c>
      <c r="N84" s="0" t="n">
        <v>0</v>
      </c>
      <c r="O84" s="0" t="n">
        <v>67</v>
      </c>
      <c r="P84" s="0" t="n">
        <v>36</v>
      </c>
      <c r="Q84" s="0" t="n">
        <v>31</v>
      </c>
      <c r="R84" s="0" t="n">
        <v>261.153283059918</v>
      </c>
      <c r="S84" s="0" t="n">
        <v>227.779382930299</v>
      </c>
      <c r="T84" s="0" t="n">
        <v>25</v>
      </c>
      <c r="U84" s="0" t="n">
        <v>23</v>
      </c>
      <c r="V84" s="0" t="n">
        <v>10.4461271439459</v>
      </c>
      <c r="W84" s="0" t="n">
        <v>9.90340837345486</v>
      </c>
      <c r="X84" s="0" t="n">
        <v>2.66360648382118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  <c r="AF84" s="0" t="n">
        <v>22.6952544398029</v>
      </c>
      <c r="AG84" s="0" t="n">
        <v>0</v>
      </c>
      <c r="AH84" s="0" t="n">
        <v>0</v>
      </c>
      <c r="AI84" s="0" t="n">
        <v>0</v>
      </c>
      <c r="AK84" s="0" t="n">
        <f aca="false">A84</f>
        <v>67</v>
      </c>
      <c r="AL84" s="0" t="n">
        <v>0</v>
      </c>
      <c r="AM84" s="0" t="n">
        <v>0</v>
      </c>
      <c r="AO84" s="0" t="n">
        <v>67</v>
      </c>
      <c r="AP84" s="0" t="n">
        <v>1</v>
      </c>
      <c r="AQ84" s="0" t="n">
        <v>0.457834156209404</v>
      </c>
      <c r="AR84" s="0" t="n">
        <v>52.4683132616714</v>
      </c>
      <c r="AS84" s="0" t="n">
        <v>20</v>
      </c>
      <c r="AT84" s="0" t="n">
        <v>20</v>
      </c>
    </row>
    <row r="85" customFormat="false" ht="12" hidden="false" customHeight="false" outlineLevel="0" collapsed="false">
      <c r="A85" s="0" t="n">
        <v>68</v>
      </c>
      <c r="B85" s="0" t="n">
        <v>0</v>
      </c>
      <c r="C85" s="0" t="n">
        <v>0.121152677047828</v>
      </c>
      <c r="D85" s="0" t="n">
        <v>78.1571474249735</v>
      </c>
      <c r="E85" s="0" t="n">
        <v>6</v>
      </c>
      <c r="F85" s="0" t="n">
        <v>4</v>
      </c>
      <c r="G85" s="0" t="n">
        <v>0.5</v>
      </c>
      <c r="H85" s="0" t="n">
        <v>0</v>
      </c>
      <c r="I85" s="0" t="n">
        <v>2.06383860086669</v>
      </c>
      <c r="J85" s="0" t="n">
        <v>82.7634398326136</v>
      </c>
      <c r="K85" s="0" t="n">
        <v>4.60629240764004</v>
      </c>
      <c r="L85" s="0" t="n">
        <v>0</v>
      </c>
      <c r="M85" s="0" t="n">
        <v>78.7456517421315</v>
      </c>
      <c r="N85" s="0" t="n">
        <v>0</v>
      </c>
      <c r="O85" s="0" t="n">
        <v>68</v>
      </c>
      <c r="P85" s="0" t="n">
        <v>37</v>
      </c>
      <c r="Q85" s="0" t="n">
        <v>31</v>
      </c>
      <c r="R85" s="0" t="n">
        <v>263.0476864134</v>
      </c>
      <c r="S85" s="0" t="n">
        <v>241.21437300066</v>
      </c>
      <c r="T85" s="0" t="n">
        <v>23</v>
      </c>
      <c r="U85" s="0" t="n">
        <v>25</v>
      </c>
      <c r="V85" s="0" t="n">
        <v>11.4368509584735</v>
      </c>
      <c r="W85" s="0" t="n">
        <v>9.6485363258811</v>
      </c>
      <c r="X85" s="0" t="n">
        <v>0</v>
      </c>
      <c r="Y85" s="0" t="n">
        <v>4.60629240764004</v>
      </c>
      <c r="Z85" s="0" t="n">
        <v>0</v>
      </c>
      <c r="AA85" s="0" t="n">
        <v>0</v>
      </c>
      <c r="AB85" s="0" t="n">
        <v>0</v>
      </c>
      <c r="AC85" s="0" t="n">
        <v>1</v>
      </c>
      <c r="AD85" s="0" t="n">
        <v>0</v>
      </c>
      <c r="AE85" s="0" t="n">
        <v>0</v>
      </c>
      <c r="AF85" s="0" t="n">
        <v>0</v>
      </c>
      <c r="AG85" s="0" t="n">
        <v>13.3397674223182</v>
      </c>
      <c r="AH85" s="0" t="n">
        <v>0</v>
      </c>
      <c r="AI85" s="0" t="n">
        <v>0</v>
      </c>
      <c r="AK85" s="0" t="n">
        <f aca="false">A85</f>
        <v>68</v>
      </c>
      <c r="AL85" s="0" t="n">
        <v>1</v>
      </c>
      <c r="AM85" s="0" t="n">
        <v>2</v>
      </c>
      <c r="AO85" s="0" t="n">
        <v>68</v>
      </c>
      <c r="AP85" s="0" t="n">
        <v>1</v>
      </c>
      <c r="AQ85" s="0" t="n">
        <v>0.420256741758406</v>
      </c>
      <c r="AR85" s="0" t="n">
        <v>52.8885700034298</v>
      </c>
      <c r="AS85" s="0" t="n">
        <v>22</v>
      </c>
      <c r="AT85" s="0" t="n">
        <v>18</v>
      </c>
    </row>
    <row r="86" customFormat="false" ht="12" hidden="false" customHeight="false" outlineLevel="0" collapsed="false">
      <c r="A86" s="0" t="n">
        <v>69</v>
      </c>
      <c r="B86" s="0" t="n">
        <v>0</v>
      </c>
      <c r="C86" s="0" t="n">
        <v>0.53863757786075</v>
      </c>
      <c r="D86" s="0" t="n">
        <v>78.6957850028343</v>
      </c>
      <c r="E86" s="0" t="n">
        <v>8</v>
      </c>
      <c r="F86" s="0" t="n">
        <v>4</v>
      </c>
      <c r="G86" s="0" t="n">
        <v>0.5</v>
      </c>
      <c r="H86" s="0" t="n">
        <v>0</v>
      </c>
      <c r="I86" s="0" t="n">
        <v>1.81598613522552</v>
      </c>
      <c r="J86" s="0" t="n">
        <v>84.5794259678391</v>
      </c>
      <c r="K86" s="0" t="n">
        <v>5.88364096500482</v>
      </c>
      <c r="L86" s="0" t="n">
        <v>0</v>
      </c>
      <c r="M86" s="0" t="n">
        <v>78.7456517421315</v>
      </c>
      <c r="N86" s="0" t="n">
        <v>0</v>
      </c>
      <c r="O86" s="0" t="n">
        <v>69</v>
      </c>
      <c r="P86" s="0" t="n">
        <v>38</v>
      </c>
      <c r="Q86" s="0" t="n">
        <v>31</v>
      </c>
      <c r="R86" s="0" t="n">
        <v>251.65676618937</v>
      </c>
      <c r="S86" s="0" t="n">
        <v>250.534771301718</v>
      </c>
      <c r="T86" s="0" t="n">
        <v>24</v>
      </c>
      <c r="U86" s="0" t="n">
        <v>24</v>
      </c>
      <c r="V86" s="0" t="n">
        <v>10.4856942221845</v>
      </c>
      <c r="W86" s="0" t="n">
        <v>10.4389053087995</v>
      </c>
      <c r="X86" s="0" t="n">
        <v>0</v>
      </c>
      <c r="Y86" s="0" t="n">
        <v>5.88364096500482</v>
      </c>
      <c r="Z86" s="0" t="n">
        <v>0</v>
      </c>
      <c r="AA86" s="0" t="n">
        <v>0</v>
      </c>
      <c r="AB86" s="0" t="n">
        <v>0</v>
      </c>
      <c r="AC86" s="0" t="n">
        <v>1</v>
      </c>
      <c r="AD86" s="0" t="n">
        <v>0</v>
      </c>
      <c r="AE86" s="0" t="n">
        <v>0</v>
      </c>
      <c r="AF86" s="0" t="n">
        <v>0</v>
      </c>
      <c r="AG86" s="0" t="n">
        <v>5.64070136598224</v>
      </c>
      <c r="AH86" s="0" t="n">
        <v>0</v>
      </c>
      <c r="AI86" s="0" t="n">
        <v>0</v>
      </c>
      <c r="AK86" s="0" t="n">
        <f aca="false">A86</f>
        <v>69</v>
      </c>
      <c r="AL86" s="0" t="n">
        <v>2</v>
      </c>
      <c r="AM86" s="0" t="n">
        <v>1</v>
      </c>
      <c r="AO86" s="0" t="n">
        <v>69</v>
      </c>
      <c r="AP86" s="0" t="n">
        <v>1</v>
      </c>
      <c r="AQ86" s="0" t="n">
        <v>1.76814856430994</v>
      </c>
      <c r="AR86" s="0" t="n">
        <v>54.6567185677397</v>
      </c>
      <c r="AS86" s="0" t="n">
        <v>20</v>
      </c>
      <c r="AT86" s="0" t="n">
        <v>18</v>
      </c>
    </row>
    <row r="87" customFormat="false" ht="12" hidden="false" customHeight="false" outlineLevel="0" collapsed="false">
      <c r="A87" s="0" t="n">
        <v>70</v>
      </c>
      <c r="B87" s="0" t="n">
        <v>0</v>
      </c>
      <c r="C87" s="0" t="n">
        <v>0.695997667911011</v>
      </c>
      <c r="D87" s="0" t="n">
        <v>79.3917826707453</v>
      </c>
      <c r="E87" s="0" t="n">
        <v>8</v>
      </c>
      <c r="F87" s="0" t="n">
        <v>2</v>
      </c>
      <c r="G87" s="0" t="n">
        <v>0.5</v>
      </c>
      <c r="H87" s="0" t="n">
        <v>1</v>
      </c>
      <c r="I87" s="0" t="n">
        <v>0</v>
      </c>
      <c r="J87" s="0" t="n">
        <v>84.5794259678391</v>
      </c>
      <c r="K87" s="0" t="n">
        <v>0</v>
      </c>
      <c r="L87" s="0" t="n">
        <v>2.20765988606161</v>
      </c>
      <c r="M87" s="0" t="n">
        <v>81.5994425568069</v>
      </c>
      <c r="N87" s="0" t="n">
        <v>2.20765988606161</v>
      </c>
      <c r="O87" s="0" t="n">
        <v>70</v>
      </c>
      <c r="P87" s="0" t="n">
        <v>38</v>
      </c>
      <c r="Q87" s="0" t="n">
        <v>32</v>
      </c>
      <c r="R87" s="0" t="n">
        <v>256.832837707743</v>
      </c>
      <c r="S87" s="0" t="n">
        <v>243.322182076863</v>
      </c>
      <c r="T87" s="0" t="n">
        <v>28</v>
      </c>
      <c r="U87" s="0" t="n">
        <v>20</v>
      </c>
      <c r="V87" s="0" t="n">
        <v>9.17259807077722</v>
      </c>
      <c r="W87" s="0" t="n">
        <v>12.1660482736018</v>
      </c>
      <c r="X87" s="0" t="n">
        <v>0</v>
      </c>
      <c r="Y87" s="0" t="n">
        <v>0</v>
      </c>
      <c r="Z87" s="0" t="n">
        <v>0</v>
      </c>
      <c r="AA87" s="0" t="n">
        <v>2.20765988606161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0</v>
      </c>
      <c r="AG87" s="0" t="n">
        <v>0</v>
      </c>
      <c r="AH87" s="0" t="n">
        <v>0</v>
      </c>
      <c r="AI87" s="0" t="n">
        <v>30.5117132650765</v>
      </c>
      <c r="AK87" s="0" t="n">
        <f aca="false">A87</f>
        <v>70</v>
      </c>
      <c r="AL87" s="0" t="n">
        <v>3</v>
      </c>
      <c r="AM87" s="0" t="n">
        <v>0</v>
      </c>
      <c r="AO87" s="0" t="n">
        <v>70</v>
      </c>
      <c r="AP87" s="0" t="n">
        <v>1</v>
      </c>
      <c r="AQ87" s="0" t="n">
        <v>0.226676148266394</v>
      </c>
      <c r="AR87" s="0" t="n">
        <v>54.8833947160061</v>
      </c>
      <c r="AS87" s="0" t="n">
        <v>20</v>
      </c>
      <c r="AT87" s="0" t="n">
        <v>20</v>
      </c>
    </row>
    <row r="88" customFormat="false" ht="12" hidden="false" customHeight="false" outlineLevel="0" collapsed="false">
      <c r="A88" s="0" t="n">
        <v>71</v>
      </c>
      <c r="B88" s="0" t="n">
        <v>1</v>
      </c>
      <c r="C88" s="0" t="n">
        <v>0.284975448577336</v>
      </c>
      <c r="D88" s="0" t="n">
        <v>79.6767581193226</v>
      </c>
      <c r="E88" s="0" t="n">
        <v>8</v>
      </c>
      <c r="F88" s="0" t="n">
        <v>4</v>
      </c>
      <c r="G88" s="0" t="n">
        <v>0.5</v>
      </c>
      <c r="H88" s="0" t="n">
        <v>1</v>
      </c>
      <c r="I88" s="0" t="n">
        <v>0</v>
      </c>
      <c r="J88" s="0" t="n">
        <v>84.5794259678391</v>
      </c>
      <c r="K88" s="0" t="n">
        <v>0</v>
      </c>
      <c r="L88" s="0" t="n">
        <v>2.09849541243113</v>
      </c>
      <c r="M88" s="0" t="n">
        <v>83.697937969238</v>
      </c>
      <c r="N88" s="0" t="n">
        <v>4.0211798499154</v>
      </c>
      <c r="O88" s="0" t="n">
        <v>71</v>
      </c>
      <c r="P88" s="0" t="n">
        <v>38</v>
      </c>
      <c r="Q88" s="0" t="n">
        <v>33</v>
      </c>
      <c r="R88" s="0" t="n">
        <v>238.036850146994</v>
      </c>
      <c r="S88" s="0" t="n">
        <v>266.520962704686</v>
      </c>
      <c r="T88" s="0" t="n">
        <v>22</v>
      </c>
      <c r="U88" s="0" t="n">
        <v>26</v>
      </c>
      <c r="V88" s="0" t="n">
        <v>10.8198519067489</v>
      </c>
      <c r="W88" s="0" t="n">
        <v>10.2507668318463</v>
      </c>
      <c r="X88" s="0" t="n">
        <v>0</v>
      </c>
      <c r="Y88" s="0" t="n">
        <v>0</v>
      </c>
      <c r="Z88" s="0" t="n">
        <v>4.0211798499154</v>
      </c>
      <c r="AA88" s="0" t="n">
        <v>0</v>
      </c>
      <c r="AB88" s="0" t="n">
        <v>0</v>
      </c>
      <c r="AC88" s="0" t="n">
        <v>0</v>
      </c>
      <c r="AD88" s="0" t="n">
        <v>1</v>
      </c>
      <c r="AE88" s="0" t="n">
        <v>0</v>
      </c>
      <c r="AF88" s="0" t="n">
        <v>0</v>
      </c>
      <c r="AG88" s="0" t="n">
        <v>0</v>
      </c>
      <c r="AH88" s="0" t="n">
        <v>14.022953556812</v>
      </c>
      <c r="AI88" s="0" t="n">
        <v>0</v>
      </c>
      <c r="AK88" s="0" t="n">
        <f aca="false">A88</f>
        <v>71</v>
      </c>
      <c r="AL88" s="0" t="n">
        <v>2</v>
      </c>
      <c r="AM88" s="0" t="n">
        <v>1</v>
      </c>
      <c r="AO88" s="0" t="n">
        <v>71</v>
      </c>
      <c r="AP88" s="0" t="n">
        <v>0</v>
      </c>
      <c r="AQ88" s="0" t="n">
        <v>0.155978449788525</v>
      </c>
      <c r="AR88" s="0" t="n">
        <v>55.0393731657947</v>
      </c>
      <c r="AS88" s="0" t="n">
        <v>20</v>
      </c>
      <c r="AT88" s="0" t="n">
        <v>22</v>
      </c>
    </row>
    <row r="89" customFormat="false" ht="12" hidden="false" customHeight="false" outlineLevel="0" collapsed="false">
      <c r="A89" s="0" t="n">
        <v>72</v>
      </c>
      <c r="B89" s="0" t="n">
        <v>0</v>
      </c>
      <c r="C89" s="0" t="n">
        <v>0.180110009066698</v>
      </c>
      <c r="D89" s="0" t="n">
        <v>79.8568681283893</v>
      </c>
      <c r="E89" s="0" t="n">
        <v>8</v>
      </c>
      <c r="F89" s="0" t="n">
        <v>6</v>
      </c>
      <c r="G89" s="0" t="n">
        <v>0.5</v>
      </c>
      <c r="H89" s="0" t="n">
        <v>1</v>
      </c>
      <c r="I89" s="0" t="n">
        <v>0</v>
      </c>
      <c r="J89" s="0" t="n">
        <v>84.5794259678391</v>
      </c>
      <c r="K89" s="0" t="n">
        <v>0</v>
      </c>
      <c r="L89" s="0" t="n">
        <v>2.05768723781859</v>
      </c>
      <c r="M89" s="0" t="n">
        <v>85.7556252070566</v>
      </c>
      <c r="N89" s="0" t="n">
        <v>5.8987570786673</v>
      </c>
      <c r="O89" s="0" t="n">
        <v>72</v>
      </c>
      <c r="P89" s="0" t="n">
        <v>38</v>
      </c>
      <c r="Q89" s="0" t="n">
        <v>34</v>
      </c>
      <c r="R89" s="0" t="n">
        <v>258.744243405818</v>
      </c>
      <c r="S89" s="0" t="n">
        <v>251.540973557423</v>
      </c>
      <c r="T89" s="0" t="n">
        <v>25</v>
      </c>
      <c r="U89" s="0" t="n">
        <v>23</v>
      </c>
      <c r="V89" s="0" t="n">
        <v>10.3497655963265</v>
      </c>
      <c r="W89" s="0" t="n">
        <v>10.9365165176422</v>
      </c>
      <c r="X89" s="0" t="n">
        <v>0</v>
      </c>
      <c r="Y89" s="0" t="n">
        <v>0</v>
      </c>
      <c r="Z89" s="0" t="n">
        <v>0</v>
      </c>
      <c r="AA89" s="0" t="n">
        <v>5.8987570786673</v>
      </c>
      <c r="AB89" s="0" t="n">
        <v>0</v>
      </c>
      <c r="AC89" s="0" t="n">
        <v>0</v>
      </c>
      <c r="AD89" s="0" t="n">
        <v>0</v>
      </c>
      <c r="AE89" s="0" t="n">
        <v>1</v>
      </c>
      <c r="AF89" s="0" t="n">
        <v>0</v>
      </c>
      <c r="AG89" s="0" t="n">
        <v>0</v>
      </c>
      <c r="AH89" s="0" t="n">
        <v>0</v>
      </c>
      <c r="AI89" s="0" t="n">
        <v>3.35858287024632</v>
      </c>
      <c r="AK89" s="0" t="n">
        <f aca="false">A89</f>
        <v>72</v>
      </c>
      <c r="AL89" s="0" t="n">
        <v>1</v>
      </c>
      <c r="AM89" s="0" t="n">
        <v>1</v>
      </c>
      <c r="AO89" s="0" t="n">
        <v>72</v>
      </c>
      <c r="AP89" s="0" t="n">
        <v>0</v>
      </c>
      <c r="AQ89" s="0" t="n">
        <v>0.266577945378053</v>
      </c>
      <c r="AR89" s="0" t="n">
        <v>55.3059511111727</v>
      </c>
      <c r="AS89" s="0" t="n">
        <v>20</v>
      </c>
      <c r="AT89" s="0" t="n">
        <v>22</v>
      </c>
    </row>
    <row r="90" customFormat="false" ht="12" hidden="false" customHeight="false" outlineLevel="0" collapsed="false">
      <c r="A90" s="0" t="n">
        <v>73</v>
      </c>
      <c r="B90" s="0" t="n">
        <v>1</v>
      </c>
      <c r="C90" s="0" t="n">
        <v>1.67808175529504</v>
      </c>
      <c r="D90" s="0" t="n">
        <v>81.5349498836844</v>
      </c>
      <c r="E90" s="0" t="n">
        <v>6</v>
      </c>
      <c r="F90" s="0" t="n">
        <v>8</v>
      </c>
      <c r="G90" s="0" t="n">
        <v>0.5</v>
      </c>
      <c r="H90" s="0" t="n">
        <v>0</v>
      </c>
      <c r="I90" s="0" t="n">
        <v>2.04018586640646</v>
      </c>
      <c r="J90" s="0" t="n">
        <v>86.6196118342456</v>
      </c>
      <c r="K90" s="0" t="n">
        <v>5.08466195056118</v>
      </c>
      <c r="L90" s="0" t="n">
        <v>0</v>
      </c>
      <c r="M90" s="0" t="n">
        <v>85.7556252070566</v>
      </c>
      <c r="N90" s="0" t="n">
        <v>0</v>
      </c>
      <c r="O90" s="0" t="n">
        <v>73</v>
      </c>
      <c r="P90" s="0" t="n">
        <v>39</v>
      </c>
      <c r="Q90" s="0" t="n">
        <v>34</v>
      </c>
      <c r="R90" s="0" t="n">
        <v>198.683985610878</v>
      </c>
      <c r="S90" s="0" t="n">
        <v>319.227023274746</v>
      </c>
      <c r="T90" s="0" t="n">
        <v>19</v>
      </c>
      <c r="U90" s="0" t="n">
        <v>29</v>
      </c>
      <c r="V90" s="0" t="n">
        <v>10.4570463705481</v>
      </c>
      <c r="W90" s="0" t="n">
        <v>11.0077904308863</v>
      </c>
      <c r="X90" s="0" t="n">
        <v>5.08466195056118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5.4891719268544</v>
      </c>
      <c r="AG90" s="0" t="n">
        <v>0</v>
      </c>
      <c r="AH90" s="0" t="n">
        <v>0</v>
      </c>
      <c r="AI90" s="0" t="n">
        <v>0</v>
      </c>
      <c r="AK90" s="0" t="n">
        <f aca="false">A90</f>
        <v>73</v>
      </c>
      <c r="AL90" s="0" t="n">
        <v>1</v>
      </c>
      <c r="AM90" s="0" t="n">
        <v>1</v>
      </c>
      <c r="AO90" s="0" t="n">
        <v>73</v>
      </c>
      <c r="AP90" s="0" t="n">
        <v>1</v>
      </c>
      <c r="AQ90" s="0" t="n">
        <v>1.75387947396456</v>
      </c>
      <c r="AR90" s="0" t="n">
        <v>57.0598305851373</v>
      </c>
      <c r="AS90" s="0" t="n">
        <v>20</v>
      </c>
      <c r="AT90" s="0" t="n">
        <v>22</v>
      </c>
    </row>
    <row r="91" customFormat="false" ht="12" hidden="false" customHeight="false" outlineLevel="0" collapsed="false">
      <c r="A91" s="0" t="n">
        <v>74</v>
      </c>
      <c r="B91" s="0" t="n">
        <v>0</v>
      </c>
      <c r="C91" s="0" t="n">
        <v>0.224015901051985</v>
      </c>
      <c r="D91" s="0" t="n">
        <v>81.7589657847364</v>
      </c>
      <c r="E91" s="0" t="n">
        <v>8</v>
      </c>
      <c r="F91" s="0" t="n">
        <v>6</v>
      </c>
      <c r="G91" s="0" t="n">
        <v>0.5</v>
      </c>
      <c r="H91" s="0" t="n">
        <v>1</v>
      </c>
      <c r="I91" s="0" t="n">
        <v>0</v>
      </c>
      <c r="J91" s="0" t="n">
        <v>86.6196118342456</v>
      </c>
      <c r="K91" s="0" t="n">
        <v>0</v>
      </c>
      <c r="L91" s="0" t="n">
        <v>2.16936632647329</v>
      </c>
      <c r="M91" s="0" t="n">
        <v>87.9249915335299</v>
      </c>
      <c r="N91" s="0" t="n">
        <v>6.16602574879357</v>
      </c>
      <c r="O91" s="0" t="n">
        <v>74</v>
      </c>
      <c r="P91" s="0" t="n">
        <v>39</v>
      </c>
      <c r="Q91" s="0" t="n">
        <v>35</v>
      </c>
      <c r="R91" s="0" t="n">
        <v>274.779956558337</v>
      </c>
      <c r="S91" s="0" t="n">
        <v>221.551595017505</v>
      </c>
      <c r="T91" s="0" t="n">
        <v>26</v>
      </c>
      <c r="U91" s="0" t="n">
        <v>22</v>
      </c>
      <c r="V91" s="0" t="n">
        <v>10.5684558028377</v>
      </c>
      <c r="W91" s="0" t="n">
        <v>10.0704812713354</v>
      </c>
      <c r="X91" s="0" t="n">
        <v>0</v>
      </c>
      <c r="Y91" s="0" t="n">
        <v>0</v>
      </c>
      <c r="Z91" s="0" t="n">
        <v>0</v>
      </c>
      <c r="AA91" s="0" t="n">
        <v>6.16602574879357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0</v>
      </c>
      <c r="AG91" s="0" t="n">
        <v>0</v>
      </c>
      <c r="AH91" s="0" t="n">
        <v>0</v>
      </c>
      <c r="AI91" s="0" t="n">
        <v>2.45039893213082</v>
      </c>
      <c r="AK91" s="0" t="n">
        <f aca="false">A91</f>
        <v>74</v>
      </c>
      <c r="AL91" s="0" t="n">
        <v>1</v>
      </c>
      <c r="AM91" s="0" t="n">
        <v>1</v>
      </c>
      <c r="AO91" s="0" t="n">
        <v>74</v>
      </c>
      <c r="AP91" s="0" t="n">
        <v>1</v>
      </c>
      <c r="AQ91" s="0" t="n">
        <v>0.83785407084729</v>
      </c>
      <c r="AR91" s="0" t="n">
        <v>57.8976846559846</v>
      </c>
      <c r="AS91" s="0" t="n">
        <v>20</v>
      </c>
      <c r="AT91" s="0" t="n">
        <v>22</v>
      </c>
    </row>
    <row r="92" customFormat="false" ht="12" hidden="false" customHeight="false" outlineLevel="0" collapsed="false">
      <c r="A92" s="0" t="n">
        <v>75</v>
      </c>
      <c r="B92" s="0" t="n">
        <v>0</v>
      </c>
      <c r="C92" s="0" t="n">
        <v>2.47818153571212</v>
      </c>
      <c r="D92" s="0" t="n">
        <v>84.2371473204485</v>
      </c>
      <c r="E92" s="0" t="n">
        <v>6</v>
      </c>
      <c r="F92" s="0" t="n">
        <v>6</v>
      </c>
      <c r="G92" s="0" t="n">
        <v>0.5</v>
      </c>
      <c r="H92" s="0" t="n">
        <v>1</v>
      </c>
      <c r="I92" s="0" t="n">
        <v>0</v>
      </c>
      <c r="J92" s="0" t="n">
        <v>86.6196118342456</v>
      </c>
      <c r="K92" s="0" t="n">
        <v>0</v>
      </c>
      <c r="L92" s="0" t="n">
        <v>1.99337666356533</v>
      </c>
      <c r="M92" s="0" t="n">
        <v>89.9183681970953</v>
      </c>
      <c r="N92" s="0" t="n">
        <v>5.68122087664679</v>
      </c>
      <c r="O92" s="0" t="n">
        <v>75</v>
      </c>
      <c r="P92" s="0" t="n">
        <v>39</v>
      </c>
      <c r="Q92" s="0" t="n">
        <v>36</v>
      </c>
      <c r="R92" s="0" t="n">
        <v>269.637583517186</v>
      </c>
      <c r="S92" s="0" t="n">
        <v>241.572317387549</v>
      </c>
      <c r="T92" s="0" t="n">
        <v>24</v>
      </c>
      <c r="U92" s="0" t="n">
        <v>24</v>
      </c>
      <c r="V92" s="0" t="n">
        <v>11.23489463201</v>
      </c>
      <c r="W92" s="0" t="n">
        <v>10.0654712850175</v>
      </c>
      <c r="X92" s="0" t="n">
        <v>0</v>
      </c>
      <c r="Y92" s="0" t="n">
        <v>0</v>
      </c>
      <c r="Z92" s="0" t="n">
        <v>0</v>
      </c>
      <c r="AA92" s="0" t="n">
        <v>5.68122087664679</v>
      </c>
      <c r="AB92" s="0" t="n">
        <v>0</v>
      </c>
      <c r="AC92" s="0" t="n">
        <v>0</v>
      </c>
      <c r="AD92" s="0" t="n">
        <v>0</v>
      </c>
      <c r="AE92" s="0" t="n">
        <v>1</v>
      </c>
      <c r="AF92" s="0" t="n">
        <v>0</v>
      </c>
      <c r="AG92" s="0" t="n">
        <v>0</v>
      </c>
      <c r="AH92" s="0" t="n">
        <v>0</v>
      </c>
      <c r="AI92" s="0" t="n">
        <v>4.20323756251619</v>
      </c>
      <c r="AK92" s="0" t="n">
        <f aca="false">A92</f>
        <v>75</v>
      </c>
      <c r="AL92" s="0" t="n">
        <v>0</v>
      </c>
      <c r="AM92" s="0" t="n">
        <v>0</v>
      </c>
      <c r="AO92" s="0" t="n">
        <v>75</v>
      </c>
      <c r="AP92" s="0" t="n">
        <v>1</v>
      </c>
      <c r="AQ92" s="0" t="n">
        <v>0.026673646453286</v>
      </c>
      <c r="AR92" s="0" t="n">
        <v>57.9243583024378</v>
      </c>
      <c r="AS92" s="0" t="n">
        <v>22</v>
      </c>
      <c r="AT92" s="0" t="n">
        <v>22</v>
      </c>
    </row>
    <row r="93" customFormat="false" ht="12" hidden="false" customHeight="false" outlineLevel="0" collapsed="false">
      <c r="A93" s="0" t="n">
        <v>76</v>
      </c>
      <c r="B93" s="0" t="n">
        <v>0</v>
      </c>
      <c r="C93" s="0" t="n">
        <v>1.04614533832279</v>
      </c>
      <c r="D93" s="0" t="n">
        <v>85.2832926587712</v>
      </c>
      <c r="E93" s="0" t="n">
        <v>4</v>
      </c>
      <c r="F93" s="0" t="n">
        <v>8</v>
      </c>
      <c r="G93" s="0" t="n">
        <v>0.5</v>
      </c>
      <c r="H93" s="0" t="n">
        <v>0</v>
      </c>
      <c r="I93" s="0" t="n">
        <v>2.09981124786789</v>
      </c>
      <c r="J93" s="0" t="n">
        <v>88.7194230821134</v>
      </c>
      <c r="K93" s="0" t="n">
        <v>3.43613042334219</v>
      </c>
      <c r="L93" s="0" t="n">
        <v>0</v>
      </c>
      <c r="M93" s="0" t="n">
        <v>89.9183681970953</v>
      </c>
      <c r="N93" s="0" t="n">
        <v>0</v>
      </c>
      <c r="O93" s="0" t="n">
        <v>76</v>
      </c>
      <c r="P93" s="0" t="n">
        <v>40</v>
      </c>
      <c r="Q93" s="0" t="n">
        <v>36</v>
      </c>
      <c r="R93" s="0" t="n">
        <v>255.726985755248</v>
      </c>
      <c r="S93" s="0" t="n">
        <v>256.568221054307</v>
      </c>
      <c r="T93" s="0" t="n">
        <v>24</v>
      </c>
      <c r="U93" s="0" t="n">
        <v>24</v>
      </c>
      <c r="V93" s="0" t="n">
        <v>10.6552866334326</v>
      </c>
      <c r="W93" s="0" t="n">
        <v>10.6902980010211</v>
      </c>
      <c r="X93" s="0" t="n">
        <v>0</v>
      </c>
      <c r="Y93" s="0" t="n">
        <v>3.43613042334219</v>
      </c>
      <c r="Z93" s="0" t="n">
        <v>0</v>
      </c>
      <c r="AA93" s="0" t="n">
        <v>0</v>
      </c>
      <c r="AB93" s="0" t="n">
        <v>0</v>
      </c>
      <c r="AC93" s="0" t="n">
        <v>1</v>
      </c>
      <c r="AD93" s="0" t="n">
        <v>0</v>
      </c>
      <c r="AE93" s="0" t="n">
        <v>0</v>
      </c>
      <c r="AF93" s="0" t="n">
        <v>0</v>
      </c>
      <c r="AG93" s="0" t="n">
        <v>23.2567629876563</v>
      </c>
      <c r="AH93" s="0" t="n">
        <v>0</v>
      </c>
      <c r="AI93" s="0" t="n">
        <v>0</v>
      </c>
      <c r="AK93" s="0" t="n">
        <f aca="false">A93</f>
        <v>76</v>
      </c>
      <c r="AL93" s="0" t="n">
        <v>2</v>
      </c>
      <c r="AM93" s="0" t="n">
        <v>1</v>
      </c>
      <c r="AO93" s="0" t="n">
        <v>76</v>
      </c>
      <c r="AP93" s="0" t="n">
        <v>0</v>
      </c>
      <c r="AQ93" s="0" t="n">
        <v>0.0591944832697122</v>
      </c>
      <c r="AR93" s="0" t="n">
        <v>57.9835527857076</v>
      </c>
      <c r="AS93" s="0" t="n">
        <v>24</v>
      </c>
      <c r="AT93" s="0" t="n">
        <v>22</v>
      </c>
    </row>
    <row r="94" customFormat="false" ht="12" hidden="false" customHeight="false" outlineLevel="0" collapsed="false">
      <c r="A94" s="0" t="n">
        <v>77</v>
      </c>
      <c r="B94" s="0" t="n">
        <v>0</v>
      </c>
      <c r="C94" s="0" t="n">
        <v>1.87222781903033</v>
      </c>
      <c r="D94" s="0" t="n">
        <v>87.1555204778016</v>
      </c>
      <c r="E94" s="0" t="n">
        <v>4</v>
      </c>
      <c r="F94" s="0" t="n">
        <v>6</v>
      </c>
      <c r="G94" s="0" t="n">
        <v>0.5</v>
      </c>
      <c r="H94" s="0" t="n">
        <v>1</v>
      </c>
      <c r="I94" s="0" t="n">
        <v>0</v>
      </c>
      <c r="J94" s="0" t="n">
        <v>88.7194230821134</v>
      </c>
      <c r="K94" s="0" t="n">
        <v>0</v>
      </c>
      <c r="L94" s="0" t="n">
        <v>1.95631334741287</v>
      </c>
      <c r="M94" s="0" t="n">
        <v>91.8746815445081</v>
      </c>
      <c r="N94" s="0" t="n">
        <v>4.71916106670655</v>
      </c>
      <c r="O94" s="0" t="n">
        <v>77</v>
      </c>
      <c r="P94" s="0" t="n">
        <v>40</v>
      </c>
      <c r="Q94" s="0" t="n">
        <v>37</v>
      </c>
      <c r="R94" s="0" t="n">
        <v>276.654419244482</v>
      </c>
      <c r="S94" s="0" t="n">
        <v>248.38739329686</v>
      </c>
      <c r="T94" s="0" t="n">
        <v>25</v>
      </c>
      <c r="U94" s="0" t="n">
        <v>23</v>
      </c>
      <c r="V94" s="0" t="n">
        <v>11.0661723433104</v>
      </c>
      <c r="W94" s="0" t="n">
        <v>10.7994049285377</v>
      </c>
      <c r="X94" s="0" t="n">
        <v>0</v>
      </c>
      <c r="Y94" s="0" t="n">
        <v>0</v>
      </c>
      <c r="Z94" s="0" t="n">
        <v>0</v>
      </c>
      <c r="AA94" s="0" t="n">
        <v>4.71916106670655</v>
      </c>
      <c r="AB94" s="0" t="n">
        <v>0</v>
      </c>
      <c r="AC94" s="0" t="n">
        <v>0</v>
      </c>
      <c r="AD94" s="0" t="n">
        <v>0</v>
      </c>
      <c r="AE94" s="0" t="n">
        <v>1</v>
      </c>
      <c r="AF94" s="0" t="n">
        <v>0</v>
      </c>
      <c r="AG94" s="0" t="n">
        <v>0</v>
      </c>
      <c r="AH94" s="0" t="n">
        <v>0</v>
      </c>
      <c r="AI94" s="0" t="n">
        <v>9.07358798220909</v>
      </c>
      <c r="AK94" s="0" t="n">
        <f aca="false">A94</f>
        <v>77</v>
      </c>
      <c r="AL94" s="0" t="n">
        <v>1</v>
      </c>
      <c r="AM94" s="0" t="n">
        <v>1</v>
      </c>
      <c r="AO94" s="0" t="n">
        <v>77</v>
      </c>
      <c r="AP94" s="0" t="n">
        <v>1</v>
      </c>
      <c r="AQ94" s="0" t="n">
        <v>0.708658045301155</v>
      </c>
      <c r="AR94" s="0" t="n">
        <v>58.6922108310087</v>
      </c>
      <c r="AS94" s="0" t="n">
        <v>24</v>
      </c>
      <c r="AT94" s="0" t="n">
        <v>22</v>
      </c>
    </row>
    <row r="95" customFormat="false" ht="12" hidden="false" customHeight="false" outlineLevel="0" collapsed="false">
      <c r="A95" s="0" t="n">
        <v>78</v>
      </c>
      <c r="B95" s="0" t="n">
        <v>1</v>
      </c>
      <c r="C95" s="0" t="n">
        <v>1.32539606073444</v>
      </c>
      <c r="D95" s="0" t="n">
        <v>88.480916538536</v>
      </c>
      <c r="E95" s="0" t="n">
        <v>4</v>
      </c>
      <c r="F95" s="0" t="n">
        <v>6</v>
      </c>
      <c r="G95" s="0" t="n">
        <v>0.5</v>
      </c>
      <c r="H95" s="0" t="n">
        <v>0</v>
      </c>
      <c r="I95" s="0" t="n">
        <v>2.05317388682963</v>
      </c>
      <c r="J95" s="0" t="n">
        <v>90.7725969689431</v>
      </c>
      <c r="K95" s="0" t="n">
        <v>2.29168043040706</v>
      </c>
      <c r="L95" s="0" t="n">
        <v>0</v>
      </c>
      <c r="M95" s="0" t="n">
        <v>91.8746815445081</v>
      </c>
      <c r="N95" s="0" t="n">
        <v>0</v>
      </c>
      <c r="O95" s="0" t="n">
        <v>78</v>
      </c>
      <c r="P95" s="0" t="n">
        <v>41</v>
      </c>
      <c r="Q95" s="0" t="n">
        <v>37</v>
      </c>
      <c r="R95" s="0" t="n">
        <v>190.706490599</v>
      </c>
      <c r="S95" s="0" t="n">
        <v>345.724698115319</v>
      </c>
      <c r="T95" s="0" t="n">
        <v>20</v>
      </c>
      <c r="U95" s="0" t="n">
        <v>28</v>
      </c>
      <c r="V95" s="0" t="n">
        <v>9.53531976229013</v>
      </c>
      <c r="W95" s="0" t="n">
        <v>12.3472665495951</v>
      </c>
      <c r="X95" s="0" t="n">
        <v>2.29168043040706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  <c r="AF95" s="0" t="n">
        <v>26.3772603931155</v>
      </c>
      <c r="AG95" s="0" t="n">
        <v>0</v>
      </c>
      <c r="AH95" s="0" t="n">
        <v>0</v>
      </c>
      <c r="AI95" s="0" t="n">
        <v>0</v>
      </c>
      <c r="AK95" s="0" t="n">
        <f aca="false">A95</f>
        <v>78</v>
      </c>
      <c r="AL95" s="0" t="n">
        <v>1</v>
      </c>
      <c r="AM95" s="0" t="n">
        <v>1</v>
      </c>
      <c r="AO95" s="0" t="n">
        <v>78</v>
      </c>
      <c r="AP95" s="0" t="n">
        <v>1</v>
      </c>
      <c r="AQ95" s="0" t="n">
        <v>2.81747987428535</v>
      </c>
      <c r="AR95" s="0" t="n">
        <v>61.5096907052941</v>
      </c>
      <c r="AS95" s="0" t="n">
        <v>20</v>
      </c>
      <c r="AT95" s="0" t="n">
        <v>22</v>
      </c>
    </row>
    <row r="96" customFormat="false" ht="12" hidden="false" customHeight="false" outlineLevel="0" collapsed="false">
      <c r="A96" s="0" t="n">
        <v>79</v>
      </c>
      <c r="B96" s="0" t="n">
        <v>0</v>
      </c>
      <c r="C96" s="0" t="n">
        <v>0.647019403841003</v>
      </c>
      <c r="D96" s="0" t="n">
        <v>89.127935942377</v>
      </c>
      <c r="E96" s="0" t="n">
        <v>4</v>
      </c>
      <c r="F96" s="0" t="n">
        <v>6</v>
      </c>
      <c r="G96" s="0" t="n">
        <v>0.5</v>
      </c>
      <c r="H96" s="0" t="n">
        <v>1</v>
      </c>
      <c r="I96" s="0" t="n">
        <v>0</v>
      </c>
      <c r="J96" s="0" t="n">
        <v>90.7725969689431</v>
      </c>
      <c r="K96" s="0" t="n">
        <v>0</v>
      </c>
      <c r="L96" s="0" t="n">
        <v>1.84857379298409</v>
      </c>
      <c r="M96" s="0" t="n">
        <v>93.7232553374922</v>
      </c>
      <c r="N96" s="0" t="n">
        <v>4.59531939511518</v>
      </c>
      <c r="O96" s="0" t="n">
        <v>79</v>
      </c>
      <c r="P96" s="0" t="n">
        <v>41</v>
      </c>
      <c r="Q96" s="0" t="n">
        <v>38</v>
      </c>
      <c r="R96" s="0" t="n">
        <v>284.954932924465</v>
      </c>
      <c r="S96" s="0" t="n">
        <v>247.05878051628</v>
      </c>
      <c r="T96" s="0" t="n">
        <v>24</v>
      </c>
      <c r="U96" s="0" t="n">
        <v>24</v>
      </c>
      <c r="V96" s="0" t="n">
        <v>11.8731172580539</v>
      </c>
      <c r="W96" s="0" t="n">
        <v>10.2940729628743</v>
      </c>
      <c r="X96" s="0" t="n">
        <v>0</v>
      </c>
      <c r="Y96" s="0" t="n">
        <v>0</v>
      </c>
      <c r="Z96" s="0" t="n">
        <v>0</v>
      </c>
      <c r="AA96" s="0" t="n">
        <v>4.59531939511518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0</v>
      </c>
      <c r="AG96" s="0" t="n">
        <v>0</v>
      </c>
      <c r="AH96" s="0" t="n">
        <v>0</v>
      </c>
      <c r="AI96" s="0" t="n">
        <v>9.83500634004228</v>
      </c>
      <c r="AK96" s="0" t="n">
        <f aca="false">A96</f>
        <v>79</v>
      </c>
      <c r="AL96" s="0" t="n">
        <v>1</v>
      </c>
      <c r="AM96" s="0" t="n">
        <v>0</v>
      </c>
      <c r="AO96" s="0" t="n">
        <v>79</v>
      </c>
      <c r="AP96" s="0" t="n">
        <v>1</v>
      </c>
      <c r="AQ96" s="0" t="n">
        <v>0.858663432147653</v>
      </c>
      <c r="AR96" s="0" t="n">
        <v>62.3683541374417</v>
      </c>
      <c r="AS96" s="0" t="n">
        <v>22</v>
      </c>
      <c r="AT96" s="0" t="n">
        <v>22</v>
      </c>
    </row>
    <row r="97" customFormat="false" ht="12" hidden="false" customHeight="false" outlineLevel="0" collapsed="false">
      <c r="A97" s="0" t="n">
        <v>80</v>
      </c>
      <c r="B97" s="0" t="n">
        <v>0</v>
      </c>
      <c r="C97" s="0" t="n">
        <v>1.17908141738346</v>
      </c>
      <c r="D97" s="0" t="n">
        <v>90.3070173597605</v>
      </c>
      <c r="E97" s="0" t="n">
        <v>4</v>
      </c>
      <c r="F97" s="0" t="n">
        <v>6</v>
      </c>
      <c r="G97" s="0" t="n">
        <v>0.5</v>
      </c>
      <c r="H97" s="0" t="n">
        <v>1</v>
      </c>
      <c r="I97" s="0" t="n">
        <v>0</v>
      </c>
      <c r="J97" s="0" t="n">
        <v>90.7725969689431</v>
      </c>
      <c r="K97" s="0" t="n">
        <v>0</v>
      </c>
      <c r="L97" s="0" t="n">
        <v>1.96956867540841</v>
      </c>
      <c r="M97" s="0" t="n">
        <v>95.6928240129006</v>
      </c>
      <c r="N97" s="0" t="n">
        <v>5.38580665314014</v>
      </c>
      <c r="O97" s="0" t="n">
        <v>80</v>
      </c>
      <c r="P97" s="0" t="n">
        <v>41</v>
      </c>
      <c r="Q97" s="0" t="n">
        <v>39</v>
      </c>
      <c r="R97" s="0" t="n">
        <v>264.485126878993</v>
      </c>
      <c r="S97" s="0" t="n">
        <v>261.844362793628</v>
      </c>
      <c r="T97" s="0" t="n">
        <v>26</v>
      </c>
      <c r="U97" s="0" t="n">
        <v>22</v>
      </c>
      <c r="V97" s="0" t="n">
        <v>10.1725009674609</v>
      </c>
      <c r="W97" s="0" t="n">
        <v>11.9019623907904</v>
      </c>
      <c r="X97" s="0" t="n">
        <v>0</v>
      </c>
      <c r="Y97" s="0" t="n">
        <v>0</v>
      </c>
      <c r="Z97" s="0" t="n">
        <v>0</v>
      </c>
      <c r="AA97" s="0" t="n">
        <v>5.38580665314014</v>
      </c>
      <c r="AB97" s="0" t="n">
        <v>0</v>
      </c>
      <c r="AC97" s="0" t="n">
        <v>0</v>
      </c>
      <c r="AD97" s="0" t="n">
        <v>0</v>
      </c>
      <c r="AE97" s="0" t="n">
        <v>1</v>
      </c>
      <c r="AF97" s="0" t="n">
        <v>0</v>
      </c>
      <c r="AG97" s="0" t="n">
        <v>0</v>
      </c>
      <c r="AH97" s="0" t="n">
        <v>0</v>
      </c>
      <c r="AI97" s="0" t="n">
        <v>5.50181172375754</v>
      </c>
      <c r="AK97" s="0" t="n">
        <f aca="false">A97</f>
        <v>80</v>
      </c>
      <c r="AL97" s="0" t="n">
        <v>1</v>
      </c>
      <c r="AM97" s="0" t="n">
        <v>1</v>
      </c>
      <c r="AO97" s="0" t="n">
        <v>80</v>
      </c>
      <c r="AP97" s="0" t="n">
        <v>0</v>
      </c>
      <c r="AQ97" s="0" t="n">
        <v>0.158030052161875</v>
      </c>
      <c r="AR97" s="0" t="n">
        <v>62.5263841896036</v>
      </c>
      <c r="AS97" s="0" t="n">
        <v>22</v>
      </c>
      <c r="AT97" s="0" t="n">
        <v>24</v>
      </c>
    </row>
    <row r="98" customFormat="false" ht="12" hidden="false" customHeight="false" outlineLevel="0" collapsed="false">
      <c r="A98" s="0" t="n">
        <v>81</v>
      </c>
      <c r="B98" s="0" t="n">
        <v>0</v>
      </c>
      <c r="C98" s="0" t="n">
        <v>0.480415724931595</v>
      </c>
      <c r="D98" s="0" t="n">
        <v>90.7874330846921</v>
      </c>
      <c r="E98" s="0" t="n">
        <v>2</v>
      </c>
      <c r="F98" s="0" t="n">
        <v>8</v>
      </c>
      <c r="G98" s="0" t="n">
        <v>0.5</v>
      </c>
      <c r="H98" s="0" t="n">
        <v>0</v>
      </c>
      <c r="I98" s="0" t="n">
        <v>2.02464361547348</v>
      </c>
      <c r="J98" s="0" t="n">
        <v>92.8120767001656</v>
      </c>
      <c r="K98" s="0" t="n">
        <v>2.02464361547348</v>
      </c>
      <c r="L98" s="0" t="n">
        <v>0</v>
      </c>
      <c r="M98" s="0" t="n">
        <v>95.6928240129006</v>
      </c>
      <c r="N98" s="0" t="n">
        <v>0</v>
      </c>
      <c r="O98" s="0" t="n">
        <v>81</v>
      </c>
      <c r="P98" s="0" t="n">
        <v>42</v>
      </c>
      <c r="Q98" s="0" t="n">
        <v>39</v>
      </c>
      <c r="R98" s="0" t="n">
        <v>296.551871009405</v>
      </c>
      <c r="S98" s="0" t="n">
        <v>223.258467523824</v>
      </c>
      <c r="T98" s="0" t="n">
        <v>26</v>
      </c>
      <c r="U98" s="0" t="n">
        <v>22</v>
      </c>
      <c r="V98" s="0" t="n">
        <v>11.4058368058091</v>
      </c>
      <c r="W98" s="0" t="n">
        <v>10.1480660326009</v>
      </c>
      <c r="X98" s="0" t="n">
        <v>0</v>
      </c>
      <c r="Y98" s="0" t="n">
        <v>2.02464361547348</v>
      </c>
      <c r="Z98" s="0" t="n">
        <v>0</v>
      </c>
      <c r="AA98" s="0" t="n">
        <v>0</v>
      </c>
      <c r="AB98" s="0" t="n">
        <v>0</v>
      </c>
      <c r="AC98" s="0" t="n">
        <v>1</v>
      </c>
      <c r="AD98" s="0" t="n">
        <v>0</v>
      </c>
      <c r="AE98" s="0" t="n">
        <v>0</v>
      </c>
      <c r="AF98" s="0" t="n">
        <v>0</v>
      </c>
      <c r="AG98" s="0" t="n">
        <v>38.8629234021041</v>
      </c>
      <c r="AH98" s="0" t="n">
        <v>0</v>
      </c>
      <c r="AI98" s="0" t="n">
        <v>0</v>
      </c>
      <c r="AK98" s="0" t="n">
        <f aca="false">A98</f>
        <v>81</v>
      </c>
      <c r="AL98" s="0" t="n">
        <v>3</v>
      </c>
      <c r="AM98" s="0" t="n">
        <v>1</v>
      </c>
      <c r="AO98" s="0" t="n">
        <v>81</v>
      </c>
      <c r="AP98" s="0" t="n">
        <v>0</v>
      </c>
      <c r="AQ98" s="0" t="n">
        <v>0.341867019744986</v>
      </c>
      <c r="AR98" s="0" t="n">
        <v>62.8682512093486</v>
      </c>
      <c r="AS98" s="0" t="n">
        <v>24</v>
      </c>
      <c r="AT98" s="0" t="n">
        <v>22</v>
      </c>
    </row>
    <row r="99" customFormat="false" ht="12" hidden="false" customHeight="false" outlineLevel="0" collapsed="false">
      <c r="A99" s="0" t="n">
        <v>82</v>
      </c>
      <c r="B99" s="0" t="n">
        <v>1</v>
      </c>
      <c r="C99" s="0" t="n">
        <v>1.53244585538063</v>
      </c>
      <c r="D99" s="0" t="n">
        <v>92.3198789400727</v>
      </c>
      <c r="E99" s="0" t="n">
        <v>4</v>
      </c>
      <c r="F99" s="0" t="n">
        <v>6</v>
      </c>
      <c r="G99" s="0" t="n">
        <v>0.5</v>
      </c>
      <c r="H99" s="0" t="n">
        <v>0</v>
      </c>
      <c r="I99" s="0" t="n">
        <v>2.13001335467593</v>
      </c>
      <c r="J99" s="0" t="n">
        <v>94.9420900548415</v>
      </c>
      <c r="K99" s="0" t="n">
        <v>2.62221111476879</v>
      </c>
      <c r="L99" s="0" t="n">
        <v>0</v>
      </c>
      <c r="M99" s="0" t="n">
        <v>95.6928240129006</v>
      </c>
      <c r="N99" s="0" t="n">
        <v>0</v>
      </c>
      <c r="O99" s="0" t="n">
        <v>82</v>
      </c>
      <c r="P99" s="0" t="n">
        <v>43</v>
      </c>
      <c r="Q99" s="0" t="n">
        <v>39</v>
      </c>
      <c r="R99" s="0" t="n">
        <v>319.276720920538</v>
      </c>
      <c r="S99" s="0" t="n">
        <v>217.422373648079</v>
      </c>
      <c r="T99" s="0" t="n">
        <v>31</v>
      </c>
      <c r="U99" s="0" t="n">
        <v>17</v>
      </c>
      <c r="V99" s="0" t="n">
        <v>10.2992457396155</v>
      </c>
      <c r="W99" s="0" t="n">
        <v>12.7894761588508</v>
      </c>
      <c r="X99" s="0" t="n">
        <v>2.62221111476879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23.0913792558877</v>
      </c>
      <c r="AG99" s="0" t="n">
        <v>0</v>
      </c>
      <c r="AH99" s="0" t="n">
        <v>0</v>
      </c>
      <c r="AI99" s="0" t="n">
        <v>0</v>
      </c>
      <c r="AK99" s="0" t="n">
        <f aca="false">A99</f>
        <v>82</v>
      </c>
      <c r="AL99" s="0" t="n">
        <v>1</v>
      </c>
      <c r="AM99" s="0" t="n">
        <v>2</v>
      </c>
      <c r="AO99" s="0" t="n">
        <v>82</v>
      </c>
      <c r="AP99" s="0" t="n">
        <v>0</v>
      </c>
      <c r="AQ99" s="0" t="n">
        <v>0.102472429998818</v>
      </c>
      <c r="AR99" s="0" t="n">
        <v>62.9707236393474</v>
      </c>
      <c r="AS99" s="0" t="n">
        <v>26</v>
      </c>
      <c r="AT99" s="0" t="n">
        <v>22</v>
      </c>
    </row>
    <row r="100" customFormat="false" ht="12" hidden="false" customHeight="false" outlineLevel="0" collapsed="false">
      <c r="A100" s="0" t="n">
        <v>83</v>
      </c>
      <c r="B100" s="0" t="n">
        <v>0</v>
      </c>
      <c r="C100" s="0" t="n">
        <v>1.84154117585252</v>
      </c>
      <c r="D100" s="0" t="n">
        <v>94.1614201159252</v>
      </c>
      <c r="E100" s="0" t="n">
        <v>4</v>
      </c>
      <c r="F100" s="0" t="n">
        <v>4</v>
      </c>
      <c r="G100" s="0" t="n">
        <v>0.5</v>
      </c>
      <c r="H100" s="0" t="n">
        <v>1</v>
      </c>
      <c r="I100" s="0" t="n">
        <v>0</v>
      </c>
      <c r="J100" s="0" t="n">
        <v>94.9420900548415</v>
      </c>
      <c r="K100" s="0" t="n">
        <v>0</v>
      </c>
      <c r="L100" s="0" t="n">
        <v>1.90742216698103</v>
      </c>
      <c r="M100" s="0" t="n">
        <v>97.6002461798816</v>
      </c>
      <c r="N100" s="0" t="n">
        <v>3.43882606395641</v>
      </c>
      <c r="O100" s="0" t="n">
        <v>83</v>
      </c>
      <c r="P100" s="0" t="n">
        <v>43</v>
      </c>
      <c r="Q100" s="0" t="n">
        <v>40</v>
      </c>
      <c r="R100" s="0" t="n">
        <v>172.037941398196</v>
      </c>
      <c r="S100" s="0" t="n">
        <v>338.90719843671</v>
      </c>
      <c r="T100" s="0" t="n">
        <v>18</v>
      </c>
      <c r="U100" s="0" t="n">
        <v>30</v>
      </c>
      <c r="V100" s="0" t="n">
        <v>9.55765810120082</v>
      </c>
      <c r="W100" s="0" t="n">
        <v>11.2968689583271</v>
      </c>
      <c r="X100" s="0" t="n">
        <v>0</v>
      </c>
      <c r="Y100" s="0" t="n">
        <v>0</v>
      </c>
      <c r="Z100" s="0" t="n">
        <v>0</v>
      </c>
      <c r="AA100" s="0" t="n">
        <v>3.43882606395641</v>
      </c>
      <c r="AB100" s="0" t="n">
        <v>0</v>
      </c>
      <c r="AC100" s="0" t="n">
        <v>0</v>
      </c>
      <c r="AD100" s="0" t="n">
        <v>0</v>
      </c>
      <c r="AE100" s="0" t="n">
        <v>1</v>
      </c>
      <c r="AF100" s="0" t="n">
        <v>0</v>
      </c>
      <c r="AG100" s="0" t="n">
        <v>0</v>
      </c>
      <c r="AH100" s="0" t="n">
        <v>0</v>
      </c>
      <c r="AI100" s="0" t="n">
        <v>18.4261975387222</v>
      </c>
      <c r="AK100" s="0" t="n">
        <f aca="false">A100</f>
        <v>83</v>
      </c>
      <c r="AL100" s="0" t="n">
        <v>0</v>
      </c>
      <c r="AM100" s="0" t="n">
        <v>3</v>
      </c>
      <c r="AO100" s="0" t="n">
        <v>83</v>
      </c>
      <c r="AP100" s="0" t="n">
        <v>1</v>
      </c>
      <c r="AQ100" s="0" t="n">
        <v>1.66537001143717</v>
      </c>
      <c r="AR100" s="0" t="n">
        <v>64.6360936507846</v>
      </c>
      <c r="AS100" s="0" t="n">
        <v>26</v>
      </c>
      <c r="AT100" s="0" t="n">
        <v>20</v>
      </c>
    </row>
    <row r="101" customFormat="false" ht="12" hidden="false" customHeight="false" outlineLevel="0" collapsed="false">
      <c r="A101" s="0" t="n">
        <v>84</v>
      </c>
      <c r="B101" s="0" t="n">
        <v>0</v>
      </c>
      <c r="C101" s="0" t="n">
        <v>0.241971855633747</v>
      </c>
      <c r="D101" s="0" t="n">
        <v>94.403391971559</v>
      </c>
      <c r="E101" s="0" t="n">
        <v>4</v>
      </c>
      <c r="F101" s="0" t="n">
        <v>6</v>
      </c>
      <c r="G101" s="0" t="n">
        <v>0.5</v>
      </c>
      <c r="H101" s="0" t="n">
        <v>1</v>
      </c>
      <c r="I101" s="0" t="n">
        <v>0</v>
      </c>
      <c r="J101" s="0" t="n">
        <v>94.9420900548415</v>
      </c>
      <c r="K101" s="0" t="n">
        <v>0</v>
      </c>
      <c r="L101" s="0" t="n">
        <v>2.02732094115951</v>
      </c>
      <c r="M101" s="0" t="n">
        <v>99.6275671210411</v>
      </c>
      <c r="N101" s="0" t="n">
        <v>5.22417514948216</v>
      </c>
      <c r="O101" s="0" t="n">
        <v>84</v>
      </c>
      <c r="P101" s="0" t="n">
        <v>43</v>
      </c>
      <c r="Q101" s="0" t="n">
        <v>41</v>
      </c>
      <c r="R101" s="0" t="n">
        <v>323.795228516225</v>
      </c>
      <c r="S101" s="0" t="n">
        <v>193.03333009391</v>
      </c>
      <c r="T101" s="0" t="n">
        <v>28</v>
      </c>
      <c r="U101" s="0" t="n">
        <v>20</v>
      </c>
      <c r="V101" s="0" t="n">
        <v>11.5641111741112</v>
      </c>
      <c r="W101" s="0" t="n">
        <v>9.65161824660428</v>
      </c>
      <c r="X101" s="0" t="n">
        <v>0</v>
      </c>
      <c r="Y101" s="0" t="n">
        <v>0</v>
      </c>
      <c r="Z101" s="0" t="n">
        <v>0</v>
      </c>
      <c r="AA101" s="0" t="n">
        <v>5.22417514948216</v>
      </c>
      <c r="AB101" s="0" t="n">
        <v>0</v>
      </c>
      <c r="AC101" s="0" t="n">
        <v>0</v>
      </c>
      <c r="AD101" s="0" t="n">
        <v>0</v>
      </c>
      <c r="AE101" s="0" t="n">
        <v>1</v>
      </c>
      <c r="AF101" s="0" t="n">
        <v>0</v>
      </c>
      <c r="AG101" s="0" t="n">
        <v>0</v>
      </c>
      <c r="AH101" s="0" t="n">
        <v>0</v>
      </c>
      <c r="AI101" s="0" t="n">
        <v>6.28618027232138</v>
      </c>
      <c r="AK101" s="0" t="n">
        <f aca="false">A101</f>
        <v>84</v>
      </c>
      <c r="AL101" s="0" t="n">
        <v>1</v>
      </c>
      <c r="AM101" s="0" t="n">
        <v>2</v>
      </c>
      <c r="AO101" s="0" t="n">
        <v>84</v>
      </c>
      <c r="AP101" s="0" t="n">
        <v>1</v>
      </c>
      <c r="AQ101" s="0" t="n">
        <v>0.750417910543994</v>
      </c>
      <c r="AR101" s="0" t="n">
        <v>65.3865115613286</v>
      </c>
      <c r="AS101" s="0" t="n">
        <v>26</v>
      </c>
      <c r="AT101" s="0" t="n">
        <v>22</v>
      </c>
    </row>
    <row r="102" customFormat="false" ht="12" hidden="false" customHeight="false" outlineLevel="0" collapsed="false">
      <c r="A102" s="0" t="n">
        <v>85</v>
      </c>
      <c r="B102" s="0" t="n">
        <v>1</v>
      </c>
      <c r="C102" s="0" t="n">
        <v>0.61463448770724</v>
      </c>
      <c r="D102" s="0" t="n">
        <v>95.0180264592662</v>
      </c>
      <c r="E102" s="0" t="n">
        <v>2</v>
      </c>
      <c r="F102" s="0" t="n">
        <v>8</v>
      </c>
      <c r="G102" s="0" t="n">
        <v>0.5</v>
      </c>
      <c r="H102" s="0" t="n">
        <v>0</v>
      </c>
      <c r="I102" s="0" t="n">
        <v>2.21251221257522</v>
      </c>
      <c r="J102" s="0" t="n">
        <v>97.2305386718414</v>
      </c>
      <c r="K102" s="0" t="n">
        <v>2.21251221257522</v>
      </c>
      <c r="L102" s="0" t="n">
        <v>0</v>
      </c>
      <c r="M102" s="0" t="n">
        <v>99.6275671210411</v>
      </c>
      <c r="N102" s="0" t="n">
        <v>0</v>
      </c>
      <c r="O102" s="0" t="n">
        <v>85</v>
      </c>
      <c r="P102" s="0" t="n">
        <v>44</v>
      </c>
      <c r="Q102" s="0" t="n">
        <v>41</v>
      </c>
      <c r="R102" s="0" t="n">
        <v>197.382359818476</v>
      </c>
      <c r="S102" s="0" t="n">
        <v>335.059429850228</v>
      </c>
      <c r="T102" s="0" t="n">
        <v>19</v>
      </c>
      <c r="U102" s="0" t="n">
        <v>29</v>
      </c>
      <c r="V102" s="0" t="n">
        <v>10.3885397859515</v>
      </c>
      <c r="W102" s="0" t="n">
        <v>11.5537336026506</v>
      </c>
      <c r="X102" s="0" t="n">
        <v>2.21251221257522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27.1967248870708</v>
      </c>
      <c r="AG102" s="0" t="n">
        <v>0</v>
      </c>
      <c r="AH102" s="0" t="n">
        <v>0</v>
      </c>
      <c r="AI102" s="0" t="n">
        <v>0</v>
      </c>
      <c r="AK102" s="0" t="n">
        <f aca="false">A102</f>
        <v>85</v>
      </c>
      <c r="AL102" s="0" t="n">
        <v>3</v>
      </c>
      <c r="AM102" s="0" t="n">
        <v>0</v>
      </c>
      <c r="AO102" s="0" t="n">
        <v>85</v>
      </c>
      <c r="AP102" s="0" t="n">
        <v>0</v>
      </c>
      <c r="AQ102" s="0" t="n">
        <v>0.365066751688328</v>
      </c>
      <c r="AR102" s="0" t="n">
        <v>65.7515783130169</v>
      </c>
      <c r="AS102" s="0" t="n">
        <v>24</v>
      </c>
      <c r="AT102" s="0" t="n">
        <v>24</v>
      </c>
    </row>
    <row r="103" customFormat="false" ht="12" hidden="false" customHeight="false" outlineLevel="0" collapsed="false">
      <c r="A103" s="0" t="n">
        <v>86</v>
      </c>
      <c r="B103" s="0" t="n">
        <v>1</v>
      </c>
      <c r="C103" s="0" t="n">
        <v>1.55832613673855</v>
      </c>
      <c r="D103" s="0" t="n">
        <v>96.5763525960048</v>
      </c>
      <c r="E103" s="0" t="n">
        <v>4</v>
      </c>
      <c r="F103" s="0" t="n">
        <v>6</v>
      </c>
      <c r="G103" s="0" t="n">
        <v>0.5</v>
      </c>
      <c r="H103" s="0" t="n">
        <v>0</v>
      </c>
      <c r="I103" s="0" t="n">
        <v>2.00650960350623</v>
      </c>
      <c r="J103" s="0" t="n">
        <v>99.2370482753477</v>
      </c>
      <c r="K103" s="0" t="n">
        <v>2.66069567934291</v>
      </c>
      <c r="L103" s="0" t="n">
        <v>0</v>
      </c>
      <c r="M103" s="0" t="n">
        <v>99.6275671210411</v>
      </c>
      <c r="N103" s="0" t="n">
        <v>0</v>
      </c>
      <c r="O103" s="0" t="n">
        <v>86</v>
      </c>
      <c r="P103" s="0" t="n">
        <v>45</v>
      </c>
      <c r="Q103" s="0" t="n">
        <v>41</v>
      </c>
      <c r="R103" s="0" t="n">
        <v>270.884713831995</v>
      </c>
      <c r="S103" s="0" t="n">
        <v>248.81373962961</v>
      </c>
      <c r="T103" s="0" t="n">
        <v>24</v>
      </c>
      <c r="U103" s="0" t="n">
        <v>24</v>
      </c>
      <c r="V103" s="0" t="n">
        <v>11.2868583734755</v>
      </c>
      <c r="W103" s="0" t="n">
        <v>10.3671959545839</v>
      </c>
      <c r="X103" s="0" t="n">
        <v>2.66069567934291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  <c r="AF103" s="0" t="n">
        <v>22.72299678786</v>
      </c>
      <c r="AG103" s="0" t="n">
        <v>0</v>
      </c>
      <c r="AH103" s="0" t="n">
        <v>0</v>
      </c>
      <c r="AI103" s="0" t="n">
        <v>0</v>
      </c>
      <c r="AK103" s="0" t="n">
        <f aca="false">A103</f>
        <v>86</v>
      </c>
      <c r="AL103" s="0" t="n">
        <v>1</v>
      </c>
      <c r="AM103" s="0" t="n">
        <v>2</v>
      </c>
      <c r="AO103" s="0" t="n">
        <v>86</v>
      </c>
      <c r="AP103" s="0" t="n">
        <v>1</v>
      </c>
      <c r="AQ103" s="0" t="n">
        <v>1.39622198362729</v>
      </c>
      <c r="AR103" s="0" t="n">
        <v>67.1478002966442</v>
      </c>
      <c r="AS103" s="0" t="n">
        <v>26</v>
      </c>
      <c r="AT103" s="0" t="n">
        <v>22</v>
      </c>
    </row>
    <row r="104" customFormat="false" ht="12" hidden="false" customHeight="false" outlineLevel="0" collapsed="false">
      <c r="A104" s="0" t="n">
        <v>87</v>
      </c>
      <c r="B104" s="0" t="n">
        <v>0</v>
      </c>
      <c r="C104" s="0" t="n">
        <v>0.877658539437881</v>
      </c>
      <c r="D104" s="0" t="n">
        <v>97.4540111354426</v>
      </c>
      <c r="E104" s="0" t="n">
        <v>4</v>
      </c>
      <c r="F104" s="0" t="n">
        <v>6</v>
      </c>
      <c r="G104" s="0" t="n">
        <v>0.5</v>
      </c>
      <c r="H104" s="0" t="n">
        <v>0</v>
      </c>
      <c r="I104" s="0" t="n">
        <v>1.87773369848185</v>
      </c>
      <c r="J104" s="0" t="n">
        <v>101.11478197383</v>
      </c>
      <c r="K104" s="0" t="n">
        <v>3.66077083838687</v>
      </c>
      <c r="L104" s="0" t="n">
        <v>0</v>
      </c>
      <c r="M104" s="0" t="n">
        <v>99.6275671210411</v>
      </c>
      <c r="N104" s="0" t="n">
        <v>0</v>
      </c>
      <c r="O104" s="0" t="n">
        <v>87</v>
      </c>
      <c r="P104" s="0" t="n">
        <v>46</v>
      </c>
      <c r="Q104" s="0" t="n">
        <v>41</v>
      </c>
      <c r="R104" s="0" t="n">
        <v>269.179295680699</v>
      </c>
      <c r="S104" s="0" t="n">
        <v>277.796753775786</v>
      </c>
      <c r="T104" s="0" t="n">
        <v>24</v>
      </c>
      <c r="U104" s="0" t="n">
        <v>24</v>
      </c>
      <c r="V104" s="0" t="n">
        <v>11.2157993134461</v>
      </c>
      <c r="W104" s="0" t="n">
        <v>11.5748165122556</v>
      </c>
      <c r="X104" s="0" t="n">
        <v>0</v>
      </c>
      <c r="Y104" s="0" t="n">
        <v>3.66077083838687</v>
      </c>
      <c r="Z104" s="0" t="n">
        <v>0</v>
      </c>
      <c r="AA104" s="0" t="n">
        <v>0</v>
      </c>
      <c r="AB104" s="0" t="n">
        <v>0</v>
      </c>
      <c r="AC104" s="0" t="n">
        <v>1</v>
      </c>
      <c r="AD104" s="0" t="n">
        <v>0</v>
      </c>
      <c r="AE104" s="0" t="n">
        <v>0</v>
      </c>
      <c r="AF104" s="0" t="n">
        <v>0</v>
      </c>
      <c r="AG104" s="0" t="n">
        <v>21.1405575413695</v>
      </c>
      <c r="AH104" s="0" t="n">
        <v>0</v>
      </c>
      <c r="AI104" s="0" t="n">
        <v>0</v>
      </c>
      <c r="AK104" s="0" t="n">
        <f aca="false">A104</f>
        <v>87</v>
      </c>
      <c r="AL104" s="0" t="n">
        <v>1</v>
      </c>
      <c r="AM104" s="0" t="n">
        <v>1</v>
      </c>
      <c r="AO104" s="0" t="n">
        <v>87</v>
      </c>
      <c r="AP104" s="0" t="n">
        <v>1</v>
      </c>
      <c r="AQ104" s="0" t="n">
        <v>0.55489327919501</v>
      </c>
      <c r="AR104" s="0" t="n">
        <v>67.7026935758392</v>
      </c>
      <c r="AS104" s="0" t="n">
        <v>26</v>
      </c>
      <c r="AT104" s="0" t="n">
        <v>24</v>
      </c>
    </row>
    <row r="105" customFormat="false" ht="12" hidden="false" customHeight="false" outlineLevel="0" collapsed="false">
      <c r="A105" s="0" t="n">
        <v>88</v>
      </c>
      <c r="B105" s="0" t="n">
        <v>1</v>
      </c>
      <c r="C105" s="0" t="n">
        <v>1.27280445128238</v>
      </c>
      <c r="D105" s="0" t="n">
        <v>98.726815586725</v>
      </c>
      <c r="E105" s="0" t="n">
        <v>6</v>
      </c>
      <c r="F105" s="0" t="n">
        <v>4</v>
      </c>
      <c r="G105" s="0" t="n">
        <v>0.5</v>
      </c>
      <c r="H105" s="0" t="n">
        <v>1</v>
      </c>
      <c r="I105" s="0" t="n">
        <v>0</v>
      </c>
      <c r="J105" s="0" t="n">
        <v>101.11478197383</v>
      </c>
      <c r="K105" s="0" t="n">
        <v>0</v>
      </c>
      <c r="L105" s="0" t="n">
        <v>2.11369537030271</v>
      </c>
      <c r="M105" s="0" t="n">
        <v>101.741262491344</v>
      </c>
      <c r="N105" s="0" t="n">
        <v>3.01444690461882</v>
      </c>
      <c r="O105" s="0" t="n">
        <v>88</v>
      </c>
      <c r="P105" s="0" t="n">
        <v>46</v>
      </c>
      <c r="Q105" s="0" t="n">
        <v>42</v>
      </c>
      <c r="R105" s="0" t="n">
        <v>224.511449955912</v>
      </c>
      <c r="S105" s="0" t="n">
        <v>296.773990887818</v>
      </c>
      <c r="T105" s="0" t="n">
        <v>22</v>
      </c>
      <c r="U105" s="0" t="n">
        <v>26</v>
      </c>
      <c r="V105" s="0" t="n">
        <v>10.2050612684227</v>
      </c>
      <c r="W105" s="0" t="n">
        <v>11.414340363607</v>
      </c>
      <c r="X105" s="0" t="n">
        <v>0</v>
      </c>
      <c r="Y105" s="0" t="n">
        <v>0</v>
      </c>
      <c r="Z105" s="0" t="n">
        <v>3.01444690461882</v>
      </c>
      <c r="AA105" s="0" t="n">
        <v>0</v>
      </c>
      <c r="AB105" s="0" t="n">
        <v>0</v>
      </c>
      <c r="AC105" s="0" t="n">
        <v>0</v>
      </c>
      <c r="AD105" s="0" t="n">
        <v>1</v>
      </c>
      <c r="AE105" s="0" t="n">
        <v>0</v>
      </c>
      <c r="AF105" s="0" t="n">
        <v>0</v>
      </c>
      <c r="AG105" s="0" t="n">
        <v>0</v>
      </c>
      <c r="AH105" s="0" t="n">
        <v>22.5763376731772</v>
      </c>
      <c r="AI105" s="0" t="n">
        <v>0</v>
      </c>
      <c r="AK105" s="0" t="n">
        <f aca="false">A105</f>
        <v>88</v>
      </c>
      <c r="AL105" s="0" t="n">
        <v>1</v>
      </c>
      <c r="AM105" s="0" t="n">
        <v>0</v>
      </c>
      <c r="AO105" s="0" t="n">
        <v>88</v>
      </c>
      <c r="AP105" s="0" t="n">
        <v>0</v>
      </c>
      <c r="AQ105" s="0" t="n">
        <v>1.62624458271614</v>
      </c>
      <c r="AR105" s="0" t="n">
        <v>69.3289381585553</v>
      </c>
      <c r="AS105" s="0" t="n">
        <v>24</v>
      </c>
      <c r="AT105" s="0" t="n">
        <v>24</v>
      </c>
    </row>
    <row r="106" customFormat="false" ht="12" hidden="false" customHeight="false" outlineLevel="0" collapsed="false">
      <c r="A106" s="0" t="n">
        <v>89</v>
      </c>
      <c r="B106" s="0" t="n">
        <v>1</v>
      </c>
      <c r="C106" s="0" t="n">
        <v>0.729839552192621</v>
      </c>
      <c r="D106" s="0" t="n">
        <v>99.4566551389176</v>
      </c>
      <c r="E106" s="0" t="n">
        <v>4</v>
      </c>
      <c r="F106" s="0" t="n">
        <v>6</v>
      </c>
      <c r="G106" s="0" t="n">
        <v>0.5</v>
      </c>
      <c r="H106" s="0" t="n">
        <v>0</v>
      </c>
      <c r="I106" s="0" t="n">
        <v>1.8157480225236</v>
      </c>
      <c r="J106" s="0" t="n">
        <v>102.930529996353</v>
      </c>
      <c r="K106" s="0" t="n">
        <v>3.47387485743546</v>
      </c>
      <c r="L106" s="0" t="n">
        <v>0</v>
      </c>
      <c r="M106" s="0" t="n">
        <v>101.741262491344</v>
      </c>
      <c r="N106" s="0" t="n">
        <v>0</v>
      </c>
      <c r="O106" s="0" t="n">
        <v>89</v>
      </c>
      <c r="P106" s="0" t="n">
        <v>47</v>
      </c>
      <c r="Q106" s="0" t="n">
        <v>42</v>
      </c>
      <c r="R106" s="0" t="n">
        <v>310.268331764325</v>
      </c>
      <c r="S106" s="0" t="n">
        <v>222.965980487508</v>
      </c>
      <c r="T106" s="0" t="n">
        <v>26</v>
      </c>
      <c r="U106" s="0" t="n">
        <v>22</v>
      </c>
      <c r="V106" s="0" t="n">
        <v>11.9333927857845</v>
      </c>
      <c r="W106" s="0" t="n">
        <v>10.1347712277448</v>
      </c>
      <c r="X106" s="0" t="n">
        <v>3.47387485743546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15.6316273148815</v>
      </c>
      <c r="AG106" s="0" t="n">
        <v>0</v>
      </c>
      <c r="AH106" s="0" t="n">
        <v>0</v>
      </c>
      <c r="AI106" s="0" t="n">
        <v>0</v>
      </c>
      <c r="AK106" s="0" t="n">
        <f aca="false">A106</f>
        <v>89</v>
      </c>
      <c r="AL106" s="0" t="n">
        <v>1</v>
      </c>
      <c r="AM106" s="0" t="n">
        <v>1</v>
      </c>
      <c r="AO106" s="0" t="n">
        <v>89</v>
      </c>
      <c r="AP106" s="0" t="n">
        <v>0</v>
      </c>
      <c r="AQ106" s="0" t="n">
        <v>0.302421610768852</v>
      </c>
      <c r="AR106" s="0" t="n">
        <v>69.6313597693242</v>
      </c>
      <c r="AS106" s="0" t="n">
        <v>26</v>
      </c>
      <c r="AT106" s="0" t="n">
        <v>24</v>
      </c>
    </row>
    <row r="107" customFormat="false" ht="12" hidden="false" customHeight="false" outlineLevel="0" collapsed="false">
      <c r="A107" s="0" t="n">
        <v>90</v>
      </c>
      <c r="B107" s="0" t="n">
        <v>0</v>
      </c>
      <c r="C107" s="0" t="n">
        <v>1.74987127392467</v>
      </c>
      <c r="D107" s="0" t="n">
        <v>101.206526412842</v>
      </c>
      <c r="E107" s="0" t="n">
        <v>4</v>
      </c>
      <c r="F107" s="0" t="n">
        <v>4</v>
      </c>
      <c r="G107" s="0" t="n">
        <v>0.5</v>
      </c>
      <c r="H107" s="0" t="n">
        <v>0</v>
      </c>
      <c r="I107" s="0" t="n">
        <v>1.95805611420437</v>
      </c>
      <c r="J107" s="0" t="n">
        <v>104.888586110557</v>
      </c>
      <c r="K107" s="0" t="n">
        <v>3.68205969771516</v>
      </c>
      <c r="L107" s="0" t="n">
        <v>0</v>
      </c>
      <c r="M107" s="0" t="n">
        <v>101.741262491344</v>
      </c>
      <c r="N107" s="0" t="n">
        <v>0</v>
      </c>
      <c r="O107" s="0" t="n">
        <v>90</v>
      </c>
      <c r="P107" s="0" t="n">
        <v>48</v>
      </c>
      <c r="Q107" s="0" t="n">
        <v>42</v>
      </c>
      <c r="R107" s="0" t="n">
        <v>305.53562118318</v>
      </c>
      <c r="S107" s="0" t="n">
        <v>233.637990723849</v>
      </c>
      <c r="T107" s="0" t="n">
        <v>26</v>
      </c>
      <c r="U107" s="0" t="n">
        <v>22</v>
      </c>
      <c r="V107" s="0" t="n">
        <v>11.751365525751</v>
      </c>
      <c r="W107" s="0" t="n">
        <v>10.6198603971731</v>
      </c>
      <c r="X107" s="0" t="n">
        <v>0</v>
      </c>
      <c r="Y107" s="0" t="n">
        <v>3.68205969771516</v>
      </c>
      <c r="Z107" s="0" t="n">
        <v>0</v>
      </c>
      <c r="AA107" s="0" t="n">
        <v>0</v>
      </c>
      <c r="AB107" s="0" t="n">
        <v>0</v>
      </c>
      <c r="AC107" s="0" t="n">
        <v>1</v>
      </c>
      <c r="AD107" s="0" t="n">
        <v>0</v>
      </c>
      <c r="AE107" s="0" t="n">
        <v>0</v>
      </c>
      <c r="AF107" s="0" t="n">
        <v>0</v>
      </c>
      <c r="AG107" s="0" t="n">
        <v>20.9452432517086</v>
      </c>
      <c r="AH107" s="0" t="n">
        <v>0</v>
      </c>
      <c r="AI107" s="0" t="n">
        <v>0</v>
      </c>
      <c r="AK107" s="0" t="n">
        <f aca="false">A107</f>
        <v>90</v>
      </c>
      <c r="AL107" s="0" t="n">
        <v>0</v>
      </c>
      <c r="AM107" s="0" t="n">
        <v>1</v>
      </c>
      <c r="AO107" s="0" t="n">
        <v>90</v>
      </c>
      <c r="AP107" s="0" t="n">
        <v>0</v>
      </c>
      <c r="AQ107" s="0" t="n">
        <v>0.538146410580892</v>
      </c>
      <c r="AR107" s="0" t="n">
        <v>70.1695061799051</v>
      </c>
      <c r="AS107" s="0" t="n">
        <v>24</v>
      </c>
      <c r="AT107" s="0" t="n">
        <v>26</v>
      </c>
    </row>
    <row r="108" customFormat="false" ht="12" hidden="false" customHeight="false" outlineLevel="0" collapsed="false">
      <c r="A108" s="0" t="n">
        <v>91</v>
      </c>
      <c r="B108" s="0" t="n">
        <v>0</v>
      </c>
      <c r="C108" s="0" t="n">
        <v>1.37962208345242</v>
      </c>
      <c r="D108" s="0" t="n">
        <v>102.586148496295</v>
      </c>
      <c r="E108" s="0" t="n">
        <v>6</v>
      </c>
      <c r="F108" s="0" t="n">
        <v>2</v>
      </c>
      <c r="G108" s="0" t="n">
        <v>0.5</v>
      </c>
      <c r="H108" s="0" t="n">
        <v>0</v>
      </c>
      <c r="I108" s="0" t="n">
        <v>1.78415244301693</v>
      </c>
      <c r="J108" s="0" t="n">
        <v>106.672738553574</v>
      </c>
      <c r="K108" s="0" t="n">
        <v>4.08659005727967</v>
      </c>
      <c r="L108" s="0" t="n">
        <v>0</v>
      </c>
      <c r="M108" s="0" t="n">
        <v>102.586148496295</v>
      </c>
      <c r="N108" s="0" t="n">
        <v>0</v>
      </c>
      <c r="O108" s="0" t="n">
        <v>91</v>
      </c>
      <c r="P108" s="0" t="n">
        <v>49</v>
      </c>
      <c r="Q108" s="0" t="n">
        <v>42</v>
      </c>
      <c r="R108" s="0" t="n">
        <v>178.788986529751</v>
      </c>
      <c r="S108" s="0" t="n">
        <v>371.810866963486</v>
      </c>
      <c r="T108" s="0" t="n">
        <v>20</v>
      </c>
      <c r="U108" s="0" t="n">
        <v>28</v>
      </c>
      <c r="V108" s="0" t="n">
        <v>8.9394448567651</v>
      </c>
      <c r="W108" s="0" t="n">
        <v>13.2789121097241</v>
      </c>
      <c r="X108" s="0" t="n">
        <v>0</v>
      </c>
      <c r="Y108" s="0" t="n">
        <v>4.08659005727967</v>
      </c>
      <c r="Z108" s="0" t="n">
        <v>0</v>
      </c>
      <c r="AA108" s="0" t="n">
        <v>0</v>
      </c>
      <c r="AB108" s="0" t="n">
        <v>0</v>
      </c>
      <c r="AC108" s="0" t="n">
        <v>1</v>
      </c>
      <c r="AD108" s="0" t="n">
        <v>0</v>
      </c>
      <c r="AE108" s="0" t="n">
        <v>0</v>
      </c>
      <c r="AF108" s="0" t="n">
        <v>0</v>
      </c>
      <c r="AG108" s="0" t="n">
        <v>17.4061429249875</v>
      </c>
      <c r="AH108" s="0" t="n">
        <v>0</v>
      </c>
      <c r="AI108" s="0" t="n">
        <v>0</v>
      </c>
      <c r="AK108" s="0" t="n">
        <f aca="false">A108</f>
        <v>91</v>
      </c>
      <c r="AL108" s="0" t="n">
        <v>2</v>
      </c>
      <c r="AM108" s="0" t="n">
        <v>1</v>
      </c>
      <c r="AO108" s="0" t="n">
        <v>91</v>
      </c>
      <c r="AP108" s="0" t="n">
        <v>0</v>
      </c>
      <c r="AQ108" s="0" t="n">
        <v>1.05995236479983</v>
      </c>
      <c r="AR108" s="0" t="n">
        <v>71.2294585447049</v>
      </c>
      <c r="AS108" s="0" t="n">
        <v>24</v>
      </c>
      <c r="AT108" s="0" t="n">
        <v>26</v>
      </c>
    </row>
    <row r="109" customFormat="false" ht="12" hidden="false" customHeight="false" outlineLevel="0" collapsed="false">
      <c r="A109" s="0" t="n">
        <v>92</v>
      </c>
      <c r="B109" s="0" t="n">
        <v>1</v>
      </c>
      <c r="C109" s="0" t="n">
        <v>0.0709498917783519</v>
      </c>
      <c r="D109" s="0" t="n">
        <v>102.657098388073</v>
      </c>
      <c r="E109" s="0" t="n">
        <v>8</v>
      </c>
      <c r="F109" s="0" t="n">
        <v>2</v>
      </c>
      <c r="G109" s="0" t="n">
        <v>0.5</v>
      </c>
      <c r="H109" s="0" t="n">
        <v>1</v>
      </c>
      <c r="I109" s="0" t="n">
        <v>0</v>
      </c>
      <c r="J109" s="0" t="n">
        <v>106.672738553574</v>
      </c>
      <c r="K109" s="0" t="n">
        <v>0</v>
      </c>
      <c r="L109" s="0" t="n">
        <v>2.1926297971259</v>
      </c>
      <c r="M109" s="0" t="n">
        <v>104.849728185199</v>
      </c>
      <c r="N109" s="0" t="n">
        <v>2.1926297971259</v>
      </c>
      <c r="O109" s="0" t="n">
        <v>92</v>
      </c>
      <c r="P109" s="0" t="n">
        <v>49</v>
      </c>
      <c r="Q109" s="0" t="n">
        <v>43</v>
      </c>
      <c r="R109" s="0" t="n">
        <v>294.905039816778</v>
      </c>
      <c r="S109" s="0" t="n">
        <v>258.371615392306</v>
      </c>
      <c r="T109" s="0" t="n">
        <v>25</v>
      </c>
      <c r="U109" s="0" t="n">
        <v>23</v>
      </c>
      <c r="V109" s="0" t="n">
        <v>11.7961968741924</v>
      </c>
      <c r="W109" s="0" t="n">
        <v>11.2334996540148</v>
      </c>
      <c r="X109" s="0" t="n">
        <v>0</v>
      </c>
      <c r="Y109" s="0" t="n">
        <v>0</v>
      </c>
      <c r="Z109" s="0" t="n">
        <v>2.1926297971259</v>
      </c>
      <c r="AA109" s="0" t="n">
        <v>0</v>
      </c>
      <c r="AB109" s="0" t="n">
        <v>0</v>
      </c>
      <c r="AC109" s="0" t="n">
        <v>0</v>
      </c>
      <c r="AD109" s="0" t="n">
        <v>1</v>
      </c>
      <c r="AE109" s="0" t="n">
        <v>0</v>
      </c>
      <c r="AF109" s="0" t="n">
        <v>0</v>
      </c>
      <c r="AG109" s="0" t="n">
        <v>0</v>
      </c>
      <c r="AH109" s="0" t="n">
        <v>31.0613772985175</v>
      </c>
      <c r="AI109" s="0" t="n">
        <v>0</v>
      </c>
      <c r="AK109" s="0" t="n">
        <f aca="false">A109</f>
        <v>92</v>
      </c>
      <c r="AL109" s="0" t="n">
        <v>3</v>
      </c>
      <c r="AM109" s="0" t="n">
        <v>2</v>
      </c>
      <c r="AO109" s="0" t="n">
        <v>92</v>
      </c>
      <c r="AP109" s="0" t="n">
        <v>0</v>
      </c>
      <c r="AQ109" s="0" t="n">
        <v>0.164922869752842</v>
      </c>
      <c r="AR109" s="0" t="n">
        <v>71.3943814144577</v>
      </c>
      <c r="AS109" s="0" t="n">
        <v>24</v>
      </c>
      <c r="AT109" s="0" t="n">
        <v>28</v>
      </c>
    </row>
    <row r="110" customFormat="false" ht="12" hidden="false" customHeight="false" outlineLevel="0" collapsed="false">
      <c r="A110" s="0" t="n">
        <v>93</v>
      </c>
      <c r="B110" s="0" t="n">
        <v>1</v>
      </c>
      <c r="C110" s="0" t="n">
        <v>1.19274220966903</v>
      </c>
      <c r="D110" s="0" t="n">
        <v>103.849840597742</v>
      </c>
      <c r="E110" s="0" t="n">
        <v>6</v>
      </c>
      <c r="F110" s="0" t="n">
        <v>4</v>
      </c>
      <c r="G110" s="0" t="n">
        <v>0.5</v>
      </c>
      <c r="H110" s="0" t="n">
        <v>1</v>
      </c>
      <c r="I110" s="0" t="n">
        <v>0</v>
      </c>
      <c r="J110" s="0" t="n">
        <v>106.672738553574</v>
      </c>
      <c r="K110" s="0" t="n">
        <v>0</v>
      </c>
      <c r="L110" s="0" t="n">
        <v>2.00085066842454</v>
      </c>
      <c r="M110" s="0" t="n">
        <v>106.850578853624</v>
      </c>
      <c r="N110" s="0" t="n">
        <v>3.0007382558814</v>
      </c>
      <c r="O110" s="0" t="n">
        <v>93</v>
      </c>
      <c r="P110" s="0" t="n">
        <v>49</v>
      </c>
      <c r="Q110" s="0" t="n">
        <v>44</v>
      </c>
      <c r="R110" s="0" t="n">
        <v>216.572543798218</v>
      </c>
      <c r="S110" s="0" t="n">
        <v>332.902649570133</v>
      </c>
      <c r="T110" s="0" t="n">
        <v>21</v>
      </c>
      <c r="U110" s="0" t="n">
        <v>27</v>
      </c>
      <c r="V110" s="0" t="n">
        <v>10.3129733651659</v>
      </c>
      <c r="W110" s="0" t="n">
        <v>12.3296820963675</v>
      </c>
      <c r="X110" s="0" t="n">
        <v>0</v>
      </c>
      <c r="Y110" s="0" t="n">
        <v>0</v>
      </c>
      <c r="Z110" s="0" t="n">
        <v>3.0007382558814</v>
      </c>
      <c r="AA110" s="0" t="n">
        <v>0</v>
      </c>
      <c r="AB110" s="0" t="n">
        <v>0</v>
      </c>
      <c r="AC110" s="0" t="n">
        <v>0</v>
      </c>
      <c r="AD110" s="0" t="n">
        <v>1</v>
      </c>
      <c r="AE110" s="0" t="n">
        <v>0</v>
      </c>
      <c r="AF110" s="0" t="n">
        <v>0</v>
      </c>
      <c r="AG110" s="0" t="n">
        <v>0</v>
      </c>
      <c r="AH110" s="0" t="n">
        <v>22.7067976930697</v>
      </c>
      <c r="AI110" s="0" t="n">
        <v>0</v>
      </c>
      <c r="AK110" s="0" t="n">
        <f aca="false">A110</f>
        <v>93</v>
      </c>
      <c r="AL110" s="0" t="n">
        <v>1</v>
      </c>
      <c r="AM110" s="0" t="n">
        <v>1</v>
      </c>
      <c r="AO110" s="0" t="n">
        <v>93</v>
      </c>
      <c r="AP110" s="0" t="n">
        <v>1</v>
      </c>
      <c r="AQ110" s="0" t="n">
        <v>0.144747565275753</v>
      </c>
      <c r="AR110" s="0" t="n">
        <v>71.5391289797335</v>
      </c>
      <c r="AS110" s="0" t="n">
        <v>26</v>
      </c>
      <c r="AT110" s="0" t="n">
        <v>28</v>
      </c>
    </row>
    <row r="111" customFormat="false" ht="12" hidden="false" customHeight="false" outlineLevel="0" collapsed="false">
      <c r="A111" s="0" t="n">
        <v>94</v>
      </c>
      <c r="B111" s="0" t="n">
        <v>1</v>
      </c>
      <c r="C111" s="0" t="n">
        <v>1.1536647227455</v>
      </c>
      <c r="D111" s="0" t="n">
        <v>105.003505320488</v>
      </c>
      <c r="E111" s="0" t="n">
        <v>4</v>
      </c>
      <c r="F111" s="0" t="n">
        <v>4</v>
      </c>
      <c r="G111" s="0" t="n">
        <v>0.5</v>
      </c>
      <c r="H111" s="0" t="n">
        <v>1</v>
      </c>
      <c r="I111" s="0" t="n">
        <v>0</v>
      </c>
      <c r="J111" s="0" t="n">
        <v>106.672738553574</v>
      </c>
      <c r="K111" s="0" t="n">
        <v>0</v>
      </c>
      <c r="L111" s="0" t="n">
        <v>2.20035813656699</v>
      </c>
      <c r="M111" s="0" t="n">
        <v>109.050936990191</v>
      </c>
      <c r="N111" s="0" t="n">
        <v>4.04743166970289</v>
      </c>
      <c r="O111" s="0" t="n">
        <v>94</v>
      </c>
      <c r="P111" s="0" t="n">
        <v>49</v>
      </c>
      <c r="Q111" s="0" t="n">
        <v>45</v>
      </c>
      <c r="R111" s="0" t="n">
        <v>287.553305708028</v>
      </c>
      <c r="S111" s="0" t="n">
        <v>262.493483784</v>
      </c>
      <c r="T111" s="0" t="n">
        <v>24</v>
      </c>
      <c r="U111" s="0" t="n">
        <v>24</v>
      </c>
      <c r="V111" s="0" t="n">
        <v>11.9813827455917</v>
      </c>
      <c r="W111" s="0" t="n">
        <v>10.9371829194045</v>
      </c>
      <c r="X111" s="0" t="n">
        <v>0</v>
      </c>
      <c r="Y111" s="0" t="n">
        <v>0</v>
      </c>
      <c r="Z111" s="0" t="n">
        <v>4.04743166970289</v>
      </c>
      <c r="AA111" s="0" t="n">
        <v>0</v>
      </c>
      <c r="AB111" s="0" t="n">
        <v>0</v>
      </c>
      <c r="AC111" s="0" t="n">
        <v>0</v>
      </c>
      <c r="AD111" s="0" t="n">
        <v>1</v>
      </c>
      <c r="AE111" s="0" t="n">
        <v>0</v>
      </c>
      <c r="AF111" s="0" t="n">
        <v>0</v>
      </c>
      <c r="AG111" s="0" t="n">
        <v>0</v>
      </c>
      <c r="AH111" s="0" t="n">
        <v>13.8270311056502</v>
      </c>
      <c r="AI111" s="0" t="n">
        <v>0</v>
      </c>
      <c r="AK111" s="0" t="n">
        <f aca="false">A111</f>
        <v>94</v>
      </c>
      <c r="AL111" s="0" t="n">
        <v>0</v>
      </c>
      <c r="AM111" s="0" t="n">
        <v>0</v>
      </c>
      <c r="AO111" s="0" t="n">
        <v>94</v>
      </c>
      <c r="AP111" s="0" t="n">
        <v>0</v>
      </c>
      <c r="AQ111" s="0" t="n">
        <v>1.85306181976709</v>
      </c>
      <c r="AR111" s="0" t="n">
        <v>73.3921907995006</v>
      </c>
      <c r="AS111" s="0" t="n">
        <v>26</v>
      </c>
      <c r="AT111" s="0" t="n">
        <v>26</v>
      </c>
    </row>
    <row r="112" customFormat="false" ht="12" hidden="false" customHeight="false" outlineLevel="0" collapsed="false">
      <c r="A112" s="0" t="n">
        <v>95</v>
      </c>
      <c r="B112" s="0" t="n">
        <v>0</v>
      </c>
      <c r="C112" s="0" t="n">
        <v>1.83837691879999</v>
      </c>
      <c r="D112" s="0" t="n">
        <v>106.841882239288</v>
      </c>
      <c r="E112" s="0" t="n">
        <v>2</v>
      </c>
      <c r="F112" s="0" t="n">
        <v>6</v>
      </c>
      <c r="G112" s="0" t="n">
        <v>0.5</v>
      </c>
      <c r="H112" s="0" t="n">
        <v>1</v>
      </c>
      <c r="I112" s="0" t="n">
        <v>0</v>
      </c>
      <c r="J112" s="0" t="n">
        <v>106.841882239288</v>
      </c>
      <c r="K112" s="0" t="n">
        <v>0</v>
      </c>
      <c r="L112" s="0" t="n">
        <v>1.75007420654087</v>
      </c>
      <c r="M112" s="0" t="n">
        <v>110.801011196731</v>
      </c>
      <c r="N112" s="0" t="n">
        <v>3.95912895744377</v>
      </c>
      <c r="O112" s="0" t="n">
        <v>95</v>
      </c>
      <c r="P112" s="0" t="n">
        <v>49</v>
      </c>
      <c r="Q112" s="0" t="n">
        <v>46</v>
      </c>
      <c r="R112" s="0" t="n">
        <v>360.883289189152</v>
      </c>
      <c r="S112" s="0" t="n">
        <v>184.66687939516</v>
      </c>
      <c r="T112" s="0" t="n">
        <v>25</v>
      </c>
      <c r="U112" s="0" t="n">
        <v>23</v>
      </c>
      <c r="V112" s="0" t="n">
        <v>14.4353257934358</v>
      </c>
      <c r="W112" s="0" t="n">
        <v>8.02895984779022</v>
      </c>
      <c r="X112" s="0" t="n">
        <v>0</v>
      </c>
      <c r="Y112" s="0" t="n">
        <v>0</v>
      </c>
      <c r="Z112" s="0" t="n">
        <v>0</v>
      </c>
      <c r="AA112" s="0" t="n">
        <v>3.95912895744377</v>
      </c>
      <c r="AB112" s="0" t="n">
        <v>0</v>
      </c>
      <c r="AC112" s="0" t="n">
        <v>0</v>
      </c>
      <c r="AD112" s="0" t="n">
        <v>0</v>
      </c>
      <c r="AE112" s="0" t="n">
        <v>1</v>
      </c>
      <c r="AF112" s="0" t="n">
        <v>0</v>
      </c>
      <c r="AG112" s="0" t="n">
        <v>0</v>
      </c>
      <c r="AH112" s="0" t="n">
        <v>0</v>
      </c>
      <c r="AI112" s="0" t="n">
        <v>14.230034567835</v>
      </c>
      <c r="AK112" s="0" t="n">
        <f aca="false">A112</f>
        <v>95</v>
      </c>
      <c r="AL112" s="0" t="n">
        <v>2</v>
      </c>
      <c r="AM112" s="0" t="n">
        <v>2</v>
      </c>
      <c r="AO112" s="0" t="n">
        <v>95</v>
      </c>
      <c r="AP112" s="0" t="n">
        <v>1</v>
      </c>
      <c r="AQ112" s="0" t="n">
        <v>0.556114131226412</v>
      </c>
      <c r="AR112" s="0" t="n">
        <v>73.948304930727</v>
      </c>
      <c r="AS112" s="0" t="n">
        <v>24</v>
      </c>
      <c r="AT112" s="0" t="n">
        <v>28</v>
      </c>
    </row>
    <row r="113" customFormat="false" ht="12" hidden="false" customHeight="false" outlineLevel="0" collapsed="false">
      <c r="A113" s="0" t="n">
        <v>96</v>
      </c>
      <c r="B113" s="0" t="n">
        <v>0</v>
      </c>
      <c r="C113" s="0" t="n">
        <v>0.153077131145897</v>
      </c>
      <c r="D113" s="0" t="n">
        <v>106.994959370433</v>
      </c>
      <c r="E113" s="0" t="n">
        <v>2</v>
      </c>
      <c r="F113" s="0" t="n">
        <v>6</v>
      </c>
      <c r="G113" s="0" t="n">
        <v>0.5</v>
      </c>
      <c r="H113" s="0" t="n">
        <v>0</v>
      </c>
      <c r="I113" s="0" t="n">
        <v>2.0829980174923</v>
      </c>
      <c r="J113" s="0" t="n">
        <v>109.077957387926</v>
      </c>
      <c r="K113" s="0" t="n">
        <v>2.0829980174923</v>
      </c>
      <c r="L113" s="0" t="n">
        <v>0</v>
      </c>
      <c r="M113" s="0" t="n">
        <v>110.801011196731</v>
      </c>
      <c r="N113" s="0" t="n">
        <v>0</v>
      </c>
      <c r="O113" s="0" t="n">
        <v>96</v>
      </c>
      <c r="P113" s="0" t="n">
        <v>50</v>
      </c>
      <c r="Q113" s="0" t="n">
        <v>46</v>
      </c>
      <c r="R113" s="0" t="n">
        <v>282.922210789634</v>
      </c>
      <c r="S113" s="0" t="n">
        <v>268.927242067318</v>
      </c>
      <c r="T113" s="0" t="n">
        <v>27</v>
      </c>
      <c r="U113" s="0" t="n">
        <v>21</v>
      </c>
      <c r="V113" s="0" t="n">
        <v>10.4785965186544</v>
      </c>
      <c r="W113" s="0" t="n">
        <v>12.8059981651191</v>
      </c>
      <c r="X113" s="0" t="n">
        <v>0</v>
      </c>
      <c r="Y113" s="0" t="n">
        <v>2.0829980174923</v>
      </c>
      <c r="Z113" s="0" t="n">
        <v>0</v>
      </c>
      <c r="AA113" s="0" t="n">
        <v>0</v>
      </c>
      <c r="AB113" s="0" t="n">
        <v>0</v>
      </c>
      <c r="AC113" s="0" t="n">
        <v>1</v>
      </c>
      <c r="AD113" s="0" t="n">
        <v>0</v>
      </c>
      <c r="AE113" s="0" t="n">
        <v>0</v>
      </c>
      <c r="AF113" s="0" t="n">
        <v>0</v>
      </c>
      <c r="AG113" s="0" t="n">
        <v>38.1387643869747</v>
      </c>
      <c r="AH113" s="0" t="n">
        <v>0</v>
      </c>
      <c r="AI113" s="0" t="n">
        <v>0</v>
      </c>
      <c r="AK113" s="0" t="n">
        <f aca="false">A113</f>
        <v>96</v>
      </c>
      <c r="AL113" s="0" t="n">
        <v>2</v>
      </c>
      <c r="AM113" s="0" t="n">
        <v>1</v>
      </c>
      <c r="AO113" s="0" t="n">
        <v>96</v>
      </c>
      <c r="AP113" s="0" t="n">
        <v>0</v>
      </c>
      <c r="AQ113" s="0" t="n">
        <v>0.163774257270172</v>
      </c>
      <c r="AR113" s="0" t="n">
        <v>74.1120791879972</v>
      </c>
      <c r="AS113" s="0" t="n">
        <v>26</v>
      </c>
      <c r="AT113" s="0" t="n">
        <v>28</v>
      </c>
    </row>
    <row r="114" customFormat="false" ht="12" hidden="false" customHeight="false" outlineLevel="0" collapsed="false">
      <c r="A114" s="0" t="n">
        <v>97</v>
      </c>
      <c r="B114" s="0" t="n">
        <v>1</v>
      </c>
      <c r="C114" s="0" t="n">
        <v>1.37634794482252</v>
      </c>
      <c r="D114" s="0" t="n">
        <v>108.371307315256</v>
      </c>
      <c r="E114" s="0" t="n">
        <v>4</v>
      </c>
      <c r="F114" s="0" t="n">
        <v>6</v>
      </c>
      <c r="G114" s="0" t="n">
        <v>0.5</v>
      </c>
      <c r="H114" s="0" t="n">
        <v>0</v>
      </c>
      <c r="I114" s="0" t="n">
        <v>2.10971436358427</v>
      </c>
      <c r="J114" s="0" t="n">
        <v>111.18767175151</v>
      </c>
      <c r="K114" s="0" t="n">
        <v>2.81636443625403</v>
      </c>
      <c r="L114" s="0" t="n">
        <v>0</v>
      </c>
      <c r="M114" s="0" t="n">
        <v>110.801011196731</v>
      </c>
      <c r="N114" s="0" t="n">
        <v>0</v>
      </c>
      <c r="O114" s="0" t="n">
        <v>97</v>
      </c>
      <c r="P114" s="0" t="n">
        <v>51</v>
      </c>
      <c r="Q114" s="0" t="n">
        <v>46</v>
      </c>
      <c r="R114" s="0" t="n">
        <v>268.089864226099</v>
      </c>
      <c r="S114" s="0" t="n">
        <v>283.30601349451</v>
      </c>
      <c r="T114" s="0" t="n">
        <v>24</v>
      </c>
      <c r="U114" s="0" t="n">
        <v>24</v>
      </c>
      <c r="V114" s="0" t="n">
        <v>11.1704063550848</v>
      </c>
      <c r="W114" s="0" t="n">
        <v>11.8043680440711</v>
      </c>
      <c r="X114" s="0" t="n">
        <v>2.81636443625403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  <c r="AF114" s="0" t="n">
        <v>21.2631258197779</v>
      </c>
      <c r="AG114" s="0" t="n">
        <v>0</v>
      </c>
      <c r="AH114" s="0" t="n">
        <v>0</v>
      </c>
      <c r="AI114" s="0" t="n">
        <v>0</v>
      </c>
      <c r="AK114" s="0" t="n">
        <f aca="false">A114</f>
        <v>97</v>
      </c>
      <c r="AL114" s="0" t="n">
        <v>1</v>
      </c>
      <c r="AM114" s="0" t="n">
        <v>0</v>
      </c>
      <c r="AO114" s="0" t="n">
        <v>97</v>
      </c>
      <c r="AP114" s="0" t="n">
        <v>1</v>
      </c>
      <c r="AQ114" s="0" t="n">
        <v>0.200560607855992</v>
      </c>
      <c r="AR114" s="0" t="n">
        <v>74.3126397958531</v>
      </c>
      <c r="AS114" s="0" t="n">
        <v>28</v>
      </c>
      <c r="AT114" s="0" t="n">
        <v>28</v>
      </c>
    </row>
    <row r="115" customFormat="false" ht="12" hidden="false" customHeight="false" outlineLevel="0" collapsed="false">
      <c r="A115" s="0" t="n">
        <v>98</v>
      </c>
      <c r="B115" s="0" t="n">
        <v>0</v>
      </c>
      <c r="C115" s="0" t="n">
        <v>0.676336293093807</v>
      </c>
      <c r="D115" s="0" t="n">
        <v>109.04764360835</v>
      </c>
      <c r="E115" s="0" t="n">
        <v>6</v>
      </c>
      <c r="F115" s="0" t="n">
        <v>6</v>
      </c>
      <c r="G115" s="0" t="n">
        <v>0.5</v>
      </c>
      <c r="H115" s="0" t="n">
        <v>0</v>
      </c>
      <c r="I115" s="0" t="n">
        <v>2.11462895138768</v>
      </c>
      <c r="J115" s="0" t="n">
        <v>113.302300702898</v>
      </c>
      <c r="K115" s="0" t="n">
        <v>4.25465709454791</v>
      </c>
      <c r="L115" s="0" t="n">
        <v>0</v>
      </c>
      <c r="M115" s="0" t="n">
        <v>110.801011196731</v>
      </c>
      <c r="N115" s="0" t="n">
        <v>0</v>
      </c>
      <c r="O115" s="0" t="n">
        <v>98</v>
      </c>
      <c r="P115" s="0" t="n">
        <v>52</v>
      </c>
      <c r="Q115" s="0" t="n">
        <v>46</v>
      </c>
      <c r="R115" s="0" t="n">
        <v>333.494030764807</v>
      </c>
      <c r="S115" s="0" t="n">
        <v>236.314407543024</v>
      </c>
      <c r="T115" s="0" t="n">
        <v>26</v>
      </c>
      <c r="U115" s="0" t="n">
        <v>22</v>
      </c>
      <c r="V115" s="0" t="n">
        <v>12.8266885576124</v>
      </c>
      <c r="W115" s="0" t="n">
        <v>10.7415151541595</v>
      </c>
      <c r="X115" s="0" t="n">
        <v>0</v>
      </c>
      <c r="Y115" s="0" t="n">
        <v>4.25465709454791</v>
      </c>
      <c r="Z115" s="0" t="n">
        <v>0</v>
      </c>
      <c r="AA115" s="0" t="n">
        <v>0</v>
      </c>
      <c r="AB115" s="0" t="n">
        <v>0</v>
      </c>
      <c r="AC115" s="0" t="n">
        <v>1</v>
      </c>
      <c r="AD115" s="0" t="n">
        <v>0</v>
      </c>
      <c r="AE115" s="0" t="n">
        <v>0</v>
      </c>
      <c r="AF115" s="0" t="n">
        <v>0</v>
      </c>
      <c r="AG115" s="0" t="n">
        <v>16.0320155791907</v>
      </c>
      <c r="AH115" s="0" t="n">
        <v>0</v>
      </c>
      <c r="AI115" s="0" t="n">
        <v>0</v>
      </c>
      <c r="AK115" s="0" t="n">
        <f aca="false">A115</f>
        <v>98</v>
      </c>
      <c r="AL115" s="0" t="n">
        <v>0</v>
      </c>
      <c r="AM115" s="0" t="n">
        <v>2</v>
      </c>
      <c r="AO115" s="0" t="n">
        <v>98</v>
      </c>
      <c r="AP115" s="0" t="n">
        <v>0</v>
      </c>
      <c r="AQ115" s="0" t="n">
        <v>0.473591500913644</v>
      </c>
      <c r="AR115" s="0" t="n">
        <v>74.7862312967668</v>
      </c>
      <c r="AS115" s="0" t="n">
        <v>30</v>
      </c>
      <c r="AT115" s="0" t="n">
        <v>26</v>
      </c>
    </row>
    <row r="116" customFormat="false" ht="12" hidden="false" customHeight="false" outlineLevel="0" collapsed="false">
      <c r="A116" s="0" t="n">
        <v>99</v>
      </c>
      <c r="B116" s="0" t="n">
        <v>0</v>
      </c>
      <c r="C116" s="0" t="n">
        <v>0.764272440819295</v>
      </c>
      <c r="D116" s="0" t="n">
        <v>109.811916049169</v>
      </c>
      <c r="E116" s="0" t="n">
        <v>6</v>
      </c>
      <c r="F116" s="0" t="n">
        <v>4</v>
      </c>
      <c r="G116" s="0" t="n">
        <v>0.5</v>
      </c>
      <c r="H116" s="0" t="n">
        <v>1</v>
      </c>
      <c r="I116" s="0" t="n">
        <v>0</v>
      </c>
      <c r="J116" s="0" t="n">
        <v>113.302300702898</v>
      </c>
      <c r="K116" s="0" t="n">
        <v>0</v>
      </c>
      <c r="L116" s="0" t="n">
        <v>2.16434290234883</v>
      </c>
      <c r="M116" s="0" t="n">
        <v>112.96535409908</v>
      </c>
      <c r="N116" s="0" t="n">
        <v>3.15343804991107</v>
      </c>
      <c r="O116" s="0" t="n">
        <v>99</v>
      </c>
      <c r="P116" s="0" t="n">
        <v>52</v>
      </c>
      <c r="Q116" s="0" t="n">
        <v>47</v>
      </c>
      <c r="R116" s="0" t="n">
        <v>233.043769893603</v>
      </c>
      <c r="S116" s="0" t="n">
        <v>346.970351928134</v>
      </c>
      <c r="T116" s="0" t="n">
        <v>19</v>
      </c>
      <c r="U116" s="0" t="n">
        <v>29</v>
      </c>
      <c r="V116" s="0" t="n">
        <v>12.2654551178448</v>
      </c>
      <c r="W116" s="0" t="n">
        <v>11.9644536373369</v>
      </c>
      <c r="X116" s="0" t="n">
        <v>0</v>
      </c>
      <c r="Y116" s="0" t="n">
        <v>0</v>
      </c>
      <c r="Z116" s="0" t="n">
        <v>0</v>
      </c>
      <c r="AA116" s="0" t="n">
        <v>3.15343804991107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0</v>
      </c>
      <c r="AI116" s="0" t="n">
        <v>20.9577425937439</v>
      </c>
      <c r="AK116" s="0" t="n">
        <f aca="false">A116</f>
        <v>99</v>
      </c>
      <c r="AL116" s="0" t="n">
        <v>1</v>
      </c>
      <c r="AM116" s="0" t="n">
        <v>3</v>
      </c>
      <c r="AO116" s="0" t="n">
        <v>99</v>
      </c>
      <c r="AP116" s="0" t="n">
        <v>1</v>
      </c>
      <c r="AQ116" s="0" t="n">
        <v>0.617363748054469</v>
      </c>
      <c r="AR116" s="0" t="n">
        <v>75.4035950448213</v>
      </c>
      <c r="AS116" s="0" t="n">
        <v>32</v>
      </c>
      <c r="AT116" s="0" t="n">
        <v>26</v>
      </c>
    </row>
    <row r="117" customFormat="false" ht="12" hidden="false" customHeight="false" outlineLevel="0" collapsed="false">
      <c r="A117" s="0" t="n">
        <v>100</v>
      </c>
      <c r="B117" s="0" t="n">
        <v>0</v>
      </c>
      <c r="C117" s="0" t="n">
        <v>3.38888708768824</v>
      </c>
      <c r="D117" s="0" t="n">
        <v>113.200803136857</v>
      </c>
      <c r="E117" s="0" t="n">
        <v>4</v>
      </c>
      <c r="F117" s="0" t="n">
        <v>2</v>
      </c>
      <c r="G117" s="0" t="n">
        <v>0.5</v>
      </c>
      <c r="H117" s="0" t="n">
        <v>0</v>
      </c>
      <c r="I117" s="0" t="n">
        <v>2.07432581949274</v>
      </c>
      <c r="J117" s="0" t="n">
        <v>115.37662652239</v>
      </c>
      <c r="K117" s="0" t="n">
        <v>2.17582338553312</v>
      </c>
      <c r="L117" s="0" t="n">
        <v>0</v>
      </c>
      <c r="M117" s="0" t="n">
        <v>113.200803136857</v>
      </c>
      <c r="N117" s="0" t="n">
        <v>0</v>
      </c>
      <c r="O117" s="0" t="n">
        <v>100</v>
      </c>
      <c r="P117" s="0" t="n">
        <v>53</v>
      </c>
      <c r="Q117" s="0" t="n">
        <v>47</v>
      </c>
      <c r="R117" s="0" t="n">
        <v>316.446774069973</v>
      </c>
      <c r="S117" s="0" t="n">
        <v>266.995706153378</v>
      </c>
      <c r="T117" s="0" t="n">
        <v>26</v>
      </c>
      <c r="U117" s="0" t="n">
        <v>22</v>
      </c>
      <c r="V117" s="0" t="n">
        <v>12.1710250907585</v>
      </c>
      <c r="W117" s="0" t="n">
        <v>12.1361132973658</v>
      </c>
      <c r="X117" s="0" t="n">
        <v>0</v>
      </c>
      <c r="Y117" s="0" t="n">
        <v>2.17582338553312</v>
      </c>
      <c r="Z117" s="0" t="n">
        <v>0</v>
      </c>
      <c r="AA117" s="0" t="n">
        <v>0</v>
      </c>
      <c r="AB117" s="0" t="n">
        <v>0</v>
      </c>
      <c r="AC117" s="0" t="n">
        <v>1</v>
      </c>
      <c r="AD117" s="0" t="n">
        <v>0</v>
      </c>
      <c r="AE117" s="0" t="n">
        <v>0</v>
      </c>
      <c r="AF117" s="0" t="n">
        <v>0</v>
      </c>
      <c r="AG117" s="0" t="n">
        <v>37.0008652922376</v>
      </c>
      <c r="AH117" s="0" t="n">
        <v>0</v>
      </c>
      <c r="AI117" s="0" t="n">
        <v>0</v>
      </c>
      <c r="AK117" s="0" t="n">
        <f aca="false">A117</f>
        <v>100</v>
      </c>
      <c r="AL117" s="0" t="n">
        <v>1</v>
      </c>
      <c r="AM117" s="0" t="n">
        <v>2</v>
      </c>
      <c r="AO117" s="0" t="n">
        <v>100</v>
      </c>
      <c r="AP117" s="0" t="n">
        <v>1</v>
      </c>
      <c r="AQ117" s="0" t="n">
        <v>2.01569976101943</v>
      </c>
      <c r="AR117" s="0" t="n">
        <v>77.4192948058407</v>
      </c>
      <c r="AS117" s="0" t="n">
        <v>30</v>
      </c>
      <c r="AT117" s="0" t="n">
        <v>26</v>
      </c>
    </row>
    <row r="118" customFormat="false" ht="12" hidden="false" customHeight="false" outlineLevel="0" collapsed="false">
      <c r="A118" s="0" t="n">
        <v>101</v>
      </c>
      <c r="B118" s="0" t="n">
        <v>0</v>
      </c>
      <c r="C118" s="0" t="n">
        <v>0.628544832874787</v>
      </c>
      <c r="D118" s="0" t="n">
        <v>113.829347969732</v>
      </c>
      <c r="E118" s="0" t="n">
        <v>4</v>
      </c>
      <c r="F118" s="0" t="n">
        <v>2</v>
      </c>
      <c r="G118" s="0" t="n">
        <v>0.5</v>
      </c>
      <c r="H118" s="0" t="n">
        <v>0</v>
      </c>
      <c r="I118" s="0" t="n">
        <v>2.11040049197667</v>
      </c>
      <c r="J118" s="0" t="n">
        <v>117.487027014367</v>
      </c>
      <c r="K118" s="0" t="n">
        <v>3.65767904463502</v>
      </c>
      <c r="L118" s="0" t="n">
        <v>0</v>
      </c>
      <c r="M118" s="0" t="n">
        <v>113.829347969732</v>
      </c>
      <c r="N118" s="0" t="n">
        <v>0</v>
      </c>
      <c r="O118" s="0" t="n">
        <v>101</v>
      </c>
      <c r="P118" s="0" t="n">
        <v>54</v>
      </c>
      <c r="Q118" s="0" t="n">
        <v>47</v>
      </c>
      <c r="R118" s="0" t="n">
        <v>372.914591853716</v>
      </c>
      <c r="S118" s="0" t="n">
        <v>217.038657997018</v>
      </c>
      <c r="T118" s="0" t="n">
        <v>29</v>
      </c>
      <c r="U118" s="0" t="n">
        <v>19</v>
      </c>
      <c r="V118" s="0" t="n">
        <v>12.8591194228456</v>
      </c>
      <c r="W118" s="0" t="n">
        <v>11.4230271418054</v>
      </c>
      <c r="X118" s="0" t="n">
        <v>0</v>
      </c>
      <c r="Y118" s="0" t="n">
        <v>3.65767904463502</v>
      </c>
      <c r="Z118" s="0" t="n">
        <v>0</v>
      </c>
      <c r="AA118" s="0" t="n">
        <v>0</v>
      </c>
      <c r="AB118" s="0" t="n">
        <v>0</v>
      </c>
      <c r="AC118" s="0" t="n">
        <v>1</v>
      </c>
      <c r="AD118" s="0" t="n">
        <v>0</v>
      </c>
      <c r="AE118" s="0" t="n">
        <v>0</v>
      </c>
      <c r="AF118" s="0" t="n">
        <v>0</v>
      </c>
      <c r="AG118" s="0" t="n">
        <v>21.1689985322302</v>
      </c>
      <c r="AH118" s="0" t="n">
        <v>0</v>
      </c>
      <c r="AI118" s="0" t="n">
        <v>0</v>
      </c>
      <c r="AK118" s="0" t="n">
        <f aca="false">A118</f>
        <v>101</v>
      </c>
      <c r="AL118" s="0" t="n">
        <v>1</v>
      </c>
      <c r="AM118" s="0" t="n">
        <v>1</v>
      </c>
      <c r="AO118" s="0" t="n">
        <v>101</v>
      </c>
      <c r="AP118" s="0" t="n">
        <v>0</v>
      </c>
      <c r="AQ118" s="0" t="n">
        <v>1.93858582461515</v>
      </c>
      <c r="AR118" s="0" t="n">
        <v>79.3578806304558</v>
      </c>
      <c r="AS118" s="0" t="n">
        <v>28</v>
      </c>
      <c r="AT118" s="0" t="n">
        <v>26</v>
      </c>
    </row>
    <row r="119" customFormat="false" ht="12" hidden="false" customHeight="false" outlineLevel="0" collapsed="false">
      <c r="A119" s="0" t="n">
        <v>102</v>
      </c>
      <c r="B119" s="0" t="n">
        <v>1</v>
      </c>
      <c r="C119" s="0" t="n">
        <v>0.0226964908134675</v>
      </c>
      <c r="D119" s="0" t="n">
        <v>113.852044460546</v>
      </c>
      <c r="E119" s="0" t="n">
        <v>6</v>
      </c>
      <c r="F119" s="0" t="n">
        <v>2</v>
      </c>
      <c r="G119" s="0" t="n">
        <v>0.5</v>
      </c>
      <c r="H119" s="0" t="n">
        <v>1</v>
      </c>
      <c r="I119" s="0" t="n">
        <v>0</v>
      </c>
      <c r="J119" s="0" t="n">
        <v>117.487027014367</v>
      </c>
      <c r="K119" s="0" t="n">
        <v>0</v>
      </c>
      <c r="L119" s="0" t="n">
        <v>2.24015066722428</v>
      </c>
      <c r="M119" s="0" t="n">
        <v>116.09219512777</v>
      </c>
      <c r="N119" s="0" t="n">
        <v>2.24015066722428</v>
      </c>
      <c r="O119" s="0" t="n">
        <v>102</v>
      </c>
      <c r="P119" s="0" t="n">
        <v>54</v>
      </c>
      <c r="Q119" s="0" t="n">
        <v>48</v>
      </c>
      <c r="R119" s="0" t="n">
        <v>308.500451833466</v>
      </c>
      <c r="S119" s="0" t="n">
        <v>298.561644735859</v>
      </c>
      <c r="T119" s="0" t="n">
        <v>24</v>
      </c>
      <c r="U119" s="0" t="n">
        <v>24</v>
      </c>
      <c r="V119" s="0" t="n">
        <v>12.8541801371527</v>
      </c>
      <c r="W119" s="0" t="n">
        <v>12.4400166972579</v>
      </c>
      <c r="X119" s="0" t="n">
        <v>0</v>
      </c>
      <c r="Y119" s="0" t="n">
        <v>0</v>
      </c>
      <c r="Z119" s="0" t="n">
        <v>2.24015066722428</v>
      </c>
      <c r="AA119" s="0" t="n">
        <v>0</v>
      </c>
      <c r="AB119" s="0" t="n">
        <v>0</v>
      </c>
      <c r="AC119" s="0" t="n">
        <v>0</v>
      </c>
      <c r="AD119" s="0" t="n">
        <v>1</v>
      </c>
      <c r="AE119" s="0" t="n">
        <v>0</v>
      </c>
      <c r="AF119" s="0" t="n">
        <v>0</v>
      </c>
      <c r="AG119" s="0" t="n">
        <v>0</v>
      </c>
      <c r="AH119" s="0" t="n">
        <v>30.5339419213474</v>
      </c>
      <c r="AI119" s="0" t="n">
        <v>0</v>
      </c>
      <c r="AK119" s="0" t="n">
        <f aca="false">A119</f>
        <v>102</v>
      </c>
      <c r="AL119" s="0" t="n">
        <v>2</v>
      </c>
      <c r="AM119" s="0" t="n">
        <v>2</v>
      </c>
      <c r="AO119" s="0" t="n">
        <v>102</v>
      </c>
      <c r="AP119" s="0" t="n">
        <v>1</v>
      </c>
      <c r="AQ119" s="0" t="n">
        <v>0.592567955176559</v>
      </c>
      <c r="AR119" s="0" t="n">
        <v>79.9504485856324</v>
      </c>
      <c r="AS119" s="0" t="n">
        <v>30</v>
      </c>
      <c r="AT119" s="0" t="n">
        <v>26</v>
      </c>
    </row>
    <row r="120" customFormat="false" ht="12" hidden="false" customHeight="false" outlineLevel="0" collapsed="false">
      <c r="A120" s="0" t="n">
        <v>103</v>
      </c>
      <c r="B120" s="0" t="n">
        <v>1</v>
      </c>
      <c r="C120" s="0" t="n">
        <v>0.359179611360113</v>
      </c>
      <c r="D120" s="0" t="n">
        <v>114.211224071906</v>
      </c>
      <c r="E120" s="0" t="n">
        <v>6</v>
      </c>
      <c r="F120" s="0" t="n">
        <v>4</v>
      </c>
      <c r="G120" s="0" t="n">
        <v>0.5</v>
      </c>
      <c r="H120" s="0" t="n">
        <v>1</v>
      </c>
      <c r="I120" s="0" t="n">
        <v>0</v>
      </c>
      <c r="J120" s="0" t="n">
        <v>117.487027014367</v>
      </c>
      <c r="K120" s="0" t="n">
        <v>0</v>
      </c>
      <c r="L120" s="0" t="n">
        <v>1.76788231312792</v>
      </c>
      <c r="M120" s="0" t="n">
        <v>117.860077440898</v>
      </c>
      <c r="N120" s="0" t="n">
        <v>3.64885336899208</v>
      </c>
      <c r="O120" s="0" t="n">
        <v>103</v>
      </c>
      <c r="P120" s="0" t="n">
        <v>54</v>
      </c>
      <c r="Q120" s="0" t="n">
        <v>49</v>
      </c>
      <c r="R120" s="0" t="n">
        <v>201.589786604172</v>
      </c>
      <c r="S120" s="0" t="n">
        <v>395.016424408283</v>
      </c>
      <c r="T120" s="0" t="n">
        <v>18</v>
      </c>
      <c r="U120" s="0" t="n">
        <v>30</v>
      </c>
      <c r="V120" s="0" t="n">
        <v>11.1994263672171</v>
      </c>
      <c r="W120" s="0" t="n">
        <v>13.1671702563752</v>
      </c>
      <c r="X120" s="0" t="n">
        <v>0</v>
      </c>
      <c r="Y120" s="0" t="n">
        <v>0</v>
      </c>
      <c r="Z120" s="0" t="n">
        <v>3.64885336899208</v>
      </c>
      <c r="AA120" s="0" t="n">
        <v>0</v>
      </c>
      <c r="AB120" s="0" t="n">
        <v>0</v>
      </c>
      <c r="AC120" s="0" t="n">
        <v>0</v>
      </c>
      <c r="AD120" s="0" t="n">
        <v>1</v>
      </c>
      <c r="AE120" s="0" t="n">
        <v>0</v>
      </c>
      <c r="AF120" s="0" t="n">
        <v>0</v>
      </c>
      <c r="AG120" s="0" t="n">
        <v>0</v>
      </c>
      <c r="AH120" s="0" t="n">
        <v>16.9500999576228</v>
      </c>
      <c r="AI120" s="0" t="n">
        <v>0</v>
      </c>
      <c r="AK120" s="0" t="n">
        <f aca="false">A120</f>
        <v>103</v>
      </c>
      <c r="AL120" s="0" t="n">
        <v>1</v>
      </c>
      <c r="AM120" s="0" t="n">
        <v>0</v>
      </c>
      <c r="AO120" s="0" t="n">
        <v>103</v>
      </c>
      <c r="AP120" s="0" t="n">
        <v>1</v>
      </c>
      <c r="AQ120" s="0" t="n">
        <v>2.50771664213557</v>
      </c>
      <c r="AR120" s="0" t="n">
        <v>82.458165227768</v>
      </c>
      <c r="AS120" s="0" t="n">
        <v>26</v>
      </c>
      <c r="AT120" s="0" t="n">
        <v>26</v>
      </c>
    </row>
    <row r="121" customFormat="false" ht="12" hidden="false" customHeight="false" outlineLevel="0" collapsed="false">
      <c r="A121" s="0" t="n">
        <v>104</v>
      </c>
      <c r="B121" s="0" t="n">
        <v>0</v>
      </c>
      <c r="C121" s="0" t="n">
        <v>1.95311117937171</v>
      </c>
      <c r="D121" s="0" t="n">
        <v>116.164335251277</v>
      </c>
      <c r="E121" s="0" t="n">
        <v>4</v>
      </c>
      <c r="F121" s="0" t="n">
        <v>4</v>
      </c>
      <c r="G121" s="0" t="n">
        <v>0.5</v>
      </c>
      <c r="H121" s="0" t="n">
        <v>1</v>
      </c>
      <c r="I121" s="0" t="n">
        <v>0</v>
      </c>
      <c r="J121" s="0" t="n">
        <v>117.487027014367</v>
      </c>
      <c r="K121" s="0" t="n">
        <v>0</v>
      </c>
      <c r="L121" s="0" t="n">
        <v>1.88530383272513</v>
      </c>
      <c r="M121" s="0" t="n">
        <v>119.745381273623</v>
      </c>
      <c r="N121" s="0" t="n">
        <v>3.58104602234549</v>
      </c>
      <c r="O121" s="0" t="n">
        <v>104</v>
      </c>
      <c r="P121" s="0" t="n">
        <v>54</v>
      </c>
      <c r="Q121" s="0" t="n">
        <v>50</v>
      </c>
      <c r="R121" s="0" t="n">
        <v>260.994897479018</v>
      </c>
      <c r="S121" s="0" t="n">
        <v>351.958935927075</v>
      </c>
      <c r="T121" s="0" t="n">
        <v>20</v>
      </c>
      <c r="U121" s="0" t="n">
        <v>28</v>
      </c>
      <c r="V121" s="0" t="n">
        <v>13.0497383490817</v>
      </c>
      <c r="W121" s="0" t="n">
        <v>12.5699171048344</v>
      </c>
      <c r="X121" s="0" t="n">
        <v>0</v>
      </c>
      <c r="Y121" s="0" t="n">
        <v>0</v>
      </c>
      <c r="Z121" s="0" t="n">
        <v>0</v>
      </c>
      <c r="AA121" s="0" t="n">
        <v>3.58104602234549</v>
      </c>
      <c r="AB121" s="0" t="n">
        <v>0</v>
      </c>
      <c r="AC121" s="0" t="n">
        <v>0</v>
      </c>
      <c r="AD121" s="0" t="n">
        <v>0</v>
      </c>
      <c r="AE121" s="0" t="n">
        <v>1</v>
      </c>
      <c r="AF121" s="0" t="n">
        <v>0</v>
      </c>
      <c r="AG121" s="0" t="n">
        <v>0</v>
      </c>
      <c r="AH121" s="0" t="n">
        <v>0</v>
      </c>
      <c r="AI121" s="0" t="n">
        <v>17.2254444653963</v>
      </c>
      <c r="AK121" s="0" t="n">
        <f aca="false">A121</f>
        <v>104</v>
      </c>
      <c r="AL121" s="0" t="n">
        <v>0</v>
      </c>
      <c r="AM121" s="0" t="n">
        <v>0</v>
      </c>
      <c r="AO121" s="0" t="n">
        <v>104</v>
      </c>
      <c r="AP121" s="0" t="n">
        <v>1</v>
      </c>
      <c r="AQ121" s="0" t="n">
        <v>0.448030006630319</v>
      </c>
      <c r="AR121" s="0" t="n">
        <v>82.9061952343983</v>
      </c>
      <c r="AS121" s="0" t="n">
        <v>26</v>
      </c>
      <c r="AT121" s="0" t="n">
        <v>26</v>
      </c>
    </row>
    <row r="122" customFormat="false" ht="12" hidden="false" customHeight="false" outlineLevel="0" collapsed="false">
      <c r="A122" s="0" t="n">
        <v>105</v>
      </c>
      <c r="B122" s="0" t="n">
        <v>0</v>
      </c>
      <c r="C122" s="0" t="n">
        <v>0.81521093357454</v>
      </c>
      <c r="D122" s="0" t="n">
        <v>116.979546184852</v>
      </c>
      <c r="E122" s="0" t="n">
        <v>4</v>
      </c>
      <c r="F122" s="0" t="n">
        <v>6</v>
      </c>
      <c r="G122" s="0" t="n">
        <v>0.5</v>
      </c>
      <c r="H122" s="0" t="n">
        <v>0</v>
      </c>
      <c r="I122" s="0" t="n">
        <v>2.14587377159606</v>
      </c>
      <c r="J122" s="0" t="n">
        <v>119.632900785963</v>
      </c>
      <c r="K122" s="0" t="n">
        <v>2.65335460111123</v>
      </c>
      <c r="L122" s="0" t="n">
        <v>0</v>
      </c>
      <c r="M122" s="0" t="n">
        <v>119.745381273623</v>
      </c>
      <c r="N122" s="0" t="n">
        <v>0</v>
      </c>
      <c r="O122" s="0" t="n">
        <v>105</v>
      </c>
      <c r="P122" s="0" t="n">
        <v>55</v>
      </c>
      <c r="Q122" s="0" t="n">
        <v>50</v>
      </c>
      <c r="R122" s="0" t="n">
        <v>353.812298779461</v>
      </c>
      <c r="S122" s="0" t="n">
        <v>256.358105304414</v>
      </c>
      <c r="T122" s="0" t="n">
        <v>29</v>
      </c>
      <c r="U122" s="0" t="n">
        <v>19</v>
      </c>
      <c r="V122" s="0" t="n">
        <v>12.2004198888021</v>
      </c>
      <c r="W122" s="0" t="n">
        <v>13.4924608451752</v>
      </c>
      <c r="X122" s="0" t="n">
        <v>0</v>
      </c>
      <c r="Y122" s="0" t="n">
        <v>2.65335460111123</v>
      </c>
      <c r="Z122" s="0" t="n">
        <v>0</v>
      </c>
      <c r="AA122" s="0" t="n">
        <v>0</v>
      </c>
      <c r="AB122" s="0" t="n">
        <v>0</v>
      </c>
      <c r="AC122" s="0" t="n">
        <v>1</v>
      </c>
      <c r="AD122" s="0" t="n">
        <v>0</v>
      </c>
      <c r="AE122" s="0" t="n">
        <v>0</v>
      </c>
      <c r="AF122" s="0" t="n">
        <v>0</v>
      </c>
      <c r="AG122" s="0" t="n">
        <v>31.4194154538257</v>
      </c>
      <c r="AH122" s="0" t="n">
        <v>0</v>
      </c>
      <c r="AI122" s="0" t="n">
        <v>0</v>
      </c>
      <c r="AK122" s="0" t="n">
        <f aca="false">A122</f>
        <v>105</v>
      </c>
      <c r="AL122" s="0" t="n">
        <v>1</v>
      </c>
      <c r="AM122" s="0" t="n">
        <v>1</v>
      </c>
      <c r="AO122" s="0" t="n">
        <v>105</v>
      </c>
      <c r="AP122" s="0" t="n">
        <v>0</v>
      </c>
      <c r="AQ122" s="0" t="n">
        <v>0.253713177198603</v>
      </c>
      <c r="AR122" s="0" t="n">
        <v>83.1599084115969</v>
      </c>
      <c r="AS122" s="0" t="n">
        <v>26</v>
      </c>
      <c r="AT122" s="0" t="n">
        <v>28</v>
      </c>
    </row>
    <row r="123" customFormat="false" ht="12" hidden="false" customHeight="false" outlineLevel="0" collapsed="false">
      <c r="A123" s="0" t="n">
        <v>106</v>
      </c>
      <c r="B123" s="0" t="n">
        <v>1</v>
      </c>
      <c r="C123" s="0" t="n">
        <v>1.41052872699458</v>
      </c>
      <c r="D123" s="0" t="n">
        <v>118.390074911847</v>
      </c>
      <c r="E123" s="0" t="n">
        <v>4</v>
      </c>
      <c r="F123" s="0" t="n">
        <v>4</v>
      </c>
      <c r="G123" s="0" t="n">
        <v>0.5</v>
      </c>
      <c r="H123" s="0" t="n">
        <v>0</v>
      </c>
      <c r="I123" s="0" t="n">
        <v>2.18320194020287</v>
      </c>
      <c r="J123" s="0" t="n">
        <v>121.816102726166</v>
      </c>
      <c r="K123" s="0" t="n">
        <v>3.42602781431954</v>
      </c>
      <c r="L123" s="0" t="n">
        <v>0</v>
      </c>
      <c r="M123" s="0" t="n">
        <v>119.745381273623</v>
      </c>
      <c r="N123" s="0" t="n">
        <v>0</v>
      </c>
      <c r="O123" s="0" t="n">
        <v>106</v>
      </c>
      <c r="P123" s="0" t="n">
        <v>56</v>
      </c>
      <c r="Q123" s="0" t="n">
        <v>50</v>
      </c>
      <c r="R123" s="0" t="n">
        <v>322.826439203994</v>
      </c>
      <c r="S123" s="0" t="n">
        <v>292.922903001312</v>
      </c>
      <c r="T123" s="0" t="n">
        <v>26</v>
      </c>
      <c r="U123" s="0" t="n">
        <v>22</v>
      </c>
      <c r="V123" s="0" t="n">
        <v>12.4163967323087</v>
      </c>
      <c r="W123" s="0" t="n">
        <v>13.3146168881647</v>
      </c>
      <c r="X123" s="0" t="n">
        <v>3.42602781431954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  <c r="AF123" s="0" t="n">
        <v>16.0122609547957</v>
      </c>
      <c r="AG123" s="0" t="n">
        <v>0</v>
      </c>
      <c r="AH123" s="0" t="n">
        <v>0</v>
      </c>
      <c r="AI123" s="0" t="n">
        <v>0</v>
      </c>
      <c r="AK123" s="0" t="n">
        <f aca="false">A123</f>
        <v>106</v>
      </c>
      <c r="AL123" s="0" t="n">
        <v>0</v>
      </c>
      <c r="AM123" s="0" t="n">
        <v>0</v>
      </c>
      <c r="AO123" s="0" t="n">
        <v>106</v>
      </c>
      <c r="AP123" s="0" t="n">
        <v>1</v>
      </c>
      <c r="AQ123" s="0" t="n">
        <v>0.544858984573222</v>
      </c>
      <c r="AR123" s="0" t="n">
        <v>83.7047673961701</v>
      </c>
      <c r="AS123" s="0" t="n">
        <v>28</v>
      </c>
      <c r="AT123" s="0" t="n">
        <v>28</v>
      </c>
    </row>
    <row r="124" customFormat="false" ht="12" hidden="false" customHeight="false" outlineLevel="0" collapsed="false">
      <c r="A124" s="0" t="n">
        <v>107</v>
      </c>
      <c r="B124" s="0" t="n">
        <v>1</v>
      </c>
      <c r="C124" s="0" t="n">
        <v>1.64880385091862</v>
      </c>
      <c r="D124" s="0" t="n">
        <v>120.038878762765</v>
      </c>
      <c r="E124" s="0" t="n">
        <v>4</v>
      </c>
      <c r="F124" s="0" t="n">
        <v>2</v>
      </c>
      <c r="G124" s="0" t="n">
        <v>0.5</v>
      </c>
      <c r="H124" s="0" t="n">
        <v>1</v>
      </c>
      <c r="I124" s="0" t="n">
        <v>0</v>
      </c>
      <c r="J124" s="0" t="n">
        <v>121.816102726166</v>
      </c>
      <c r="K124" s="0" t="n">
        <v>0</v>
      </c>
      <c r="L124" s="0" t="n">
        <v>1.78645957260514</v>
      </c>
      <c r="M124" s="0" t="n">
        <v>121.82533833537</v>
      </c>
      <c r="N124" s="0" t="n">
        <v>1.78645957260514</v>
      </c>
      <c r="O124" s="0" t="n">
        <v>107</v>
      </c>
      <c r="P124" s="0" t="n">
        <v>56</v>
      </c>
      <c r="Q124" s="0" t="n">
        <v>51</v>
      </c>
      <c r="R124" s="0" t="n">
        <v>358.752229746131</v>
      </c>
      <c r="S124" s="0" t="n">
        <v>242.670359331955</v>
      </c>
      <c r="T124" s="0" t="n">
        <v>27</v>
      </c>
      <c r="U124" s="0" t="n">
        <v>21</v>
      </c>
      <c r="V124" s="0" t="n">
        <v>13.2871146990735</v>
      </c>
      <c r="W124" s="0" t="n">
        <v>11.5556763697294</v>
      </c>
      <c r="X124" s="0" t="n">
        <v>0</v>
      </c>
      <c r="Y124" s="0" t="n">
        <v>0</v>
      </c>
      <c r="Z124" s="0" t="n">
        <v>1.78645957260514</v>
      </c>
      <c r="AA124" s="0" t="n">
        <v>0</v>
      </c>
      <c r="AB124" s="0" t="n">
        <v>0</v>
      </c>
      <c r="AC124" s="0" t="n">
        <v>0</v>
      </c>
      <c r="AD124" s="0" t="n">
        <v>1</v>
      </c>
      <c r="AE124" s="0" t="n">
        <v>0</v>
      </c>
      <c r="AF124" s="0" t="n">
        <v>0</v>
      </c>
      <c r="AG124" s="0" t="n">
        <v>0</v>
      </c>
      <c r="AH124" s="0" t="n">
        <v>35.7537470323195</v>
      </c>
      <c r="AI124" s="0" t="n">
        <v>0</v>
      </c>
      <c r="AK124" s="0" t="n">
        <f aca="false">A124</f>
        <v>107</v>
      </c>
      <c r="AL124" s="0" t="n">
        <v>1</v>
      </c>
      <c r="AM124" s="0" t="n">
        <v>1</v>
      </c>
      <c r="AO124" s="0" t="n">
        <v>107</v>
      </c>
      <c r="AP124" s="0" t="n">
        <v>1</v>
      </c>
      <c r="AQ124" s="0" t="n">
        <v>0.218166738911355</v>
      </c>
      <c r="AR124" s="0" t="n">
        <v>83.9229341350815</v>
      </c>
      <c r="AS124" s="0" t="n">
        <v>30</v>
      </c>
      <c r="AT124" s="0" t="n">
        <v>28</v>
      </c>
    </row>
    <row r="125" customFormat="false" ht="12" hidden="false" customHeight="false" outlineLevel="0" collapsed="false">
      <c r="A125" s="0" t="n">
        <v>108</v>
      </c>
      <c r="B125" s="0" t="n">
        <v>1</v>
      </c>
      <c r="C125" s="0" t="n">
        <v>1.46242960661087</v>
      </c>
      <c r="D125" s="0" t="n">
        <v>121.501308369376</v>
      </c>
      <c r="E125" s="0" t="n">
        <v>4</v>
      </c>
      <c r="F125" s="0" t="n">
        <v>4</v>
      </c>
      <c r="G125" s="0" t="n">
        <v>0.5</v>
      </c>
      <c r="H125" s="0" t="n">
        <v>1</v>
      </c>
      <c r="I125" s="0" t="n">
        <v>0</v>
      </c>
      <c r="J125" s="0" t="n">
        <v>121.816102726166</v>
      </c>
      <c r="K125" s="0" t="n">
        <v>0</v>
      </c>
      <c r="L125" s="0" t="n">
        <v>2.10640474871167</v>
      </c>
      <c r="M125" s="0" t="n">
        <v>123.931743084082</v>
      </c>
      <c r="N125" s="0" t="n">
        <v>2.43043471470594</v>
      </c>
      <c r="O125" s="0" t="n">
        <v>108</v>
      </c>
      <c r="P125" s="0" t="n">
        <v>56</v>
      </c>
      <c r="Q125" s="0" t="n">
        <v>52</v>
      </c>
      <c r="R125" s="0" t="n">
        <v>239.189975228829</v>
      </c>
      <c r="S125" s="0" t="n">
        <v>364.04193382928</v>
      </c>
      <c r="T125" s="0" t="n">
        <v>19</v>
      </c>
      <c r="U125" s="0" t="n">
        <v>29</v>
      </c>
      <c r="V125" s="0" t="n">
        <v>12.5889394389176</v>
      </c>
      <c r="W125" s="0" t="n">
        <v>12.5531268453998</v>
      </c>
      <c r="X125" s="0" t="n">
        <v>0</v>
      </c>
      <c r="Y125" s="0" t="n">
        <v>0</v>
      </c>
      <c r="Z125" s="0" t="n">
        <v>2.43043471470594</v>
      </c>
      <c r="AA125" s="0" t="n">
        <v>0</v>
      </c>
      <c r="AB125" s="0" t="n">
        <v>0</v>
      </c>
      <c r="AC125" s="0" t="n">
        <v>0</v>
      </c>
      <c r="AD125" s="0" t="n">
        <v>1</v>
      </c>
      <c r="AE125" s="0" t="n">
        <v>0</v>
      </c>
      <c r="AF125" s="0" t="n">
        <v>0</v>
      </c>
      <c r="AG125" s="0" t="n">
        <v>0</v>
      </c>
      <c r="AH125" s="0" t="n">
        <v>28.4672247955504</v>
      </c>
      <c r="AI125" s="0" t="n">
        <v>0</v>
      </c>
      <c r="AK125" s="0" t="n">
        <f aca="false">A125</f>
        <v>108</v>
      </c>
      <c r="AL125" s="0" t="n">
        <v>0</v>
      </c>
      <c r="AM125" s="0" t="n">
        <v>0</v>
      </c>
      <c r="AO125" s="0" t="n">
        <v>108</v>
      </c>
      <c r="AP125" s="0" t="n">
        <v>1</v>
      </c>
      <c r="AQ125" s="0" t="n">
        <v>1.08940925737613</v>
      </c>
      <c r="AR125" s="0" t="n">
        <v>85.0123433924576</v>
      </c>
      <c r="AS125" s="0" t="n">
        <v>28</v>
      </c>
      <c r="AT125" s="0" t="n">
        <v>28</v>
      </c>
    </row>
    <row r="126" customFormat="false" ht="12" hidden="false" customHeight="false" outlineLevel="0" collapsed="false">
      <c r="A126" s="0" t="n">
        <v>109</v>
      </c>
      <c r="B126" s="0" t="n">
        <v>1</v>
      </c>
      <c r="C126" s="0" t="n">
        <v>0.62853233912396</v>
      </c>
      <c r="D126" s="0" t="n">
        <v>122.1298407085</v>
      </c>
      <c r="E126" s="0" t="n">
        <v>2</v>
      </c>
      <c r="F126" s="0" t="n">
        <v>4</v>
      </c>
      <c r="G126" s="0" t="n">
        <v>0.5</v>
      </c>
      <c r="H126" s="0" t="n">
        <v>0</v>
      </c>
      <c r="I126" s="0" t="n">
        <v>2.2106763556814</v>
      </c>
      <c r="J126" s="0" t="n">
        <v>124.340517064181</v>
      </c>
      <c r="K126" s="0" t="n">
        <v>2.2106763556814</v>
      </c>
      <c r="L126" s="0" t="n">
        <v>0</v>
      </c>
      <c r="M126" s="0" t="n">
        <v>123.931743084082</v>
      </c>
      <c r="N126" s="0" t="n">
        <v>0</v>
      </c>
      <c r="O126" s="0" t="n">
        <v>109</v>
      </c>
      <c r="P126" s="0" t="n">
        <v>57</v>
      </c>
      <c r="Q126" s="0" t="n">
        <v>52</v>
      </c>
      <c r="R126" s="0" t="n">
        <v>271.667648552189</v>
      </c>
      <c r="S126" s="0" t="n">
        <v>326.998408414721</v>
      </c>
      <c r="T126" s="0" t="n">
        <v>22</v>
      </c>
      <c r="U126" s="0" t="n">
        <v>26</v>
      </c>
      <c r="V126" s="0" t="n">
        <v>12.3485238666796</v>
      </c>
      <c r="W126" s="0" t="n">
        <v>12.5768134897451</v>
      </c>
      <c r="X126" s="0" t="n">
        <v>2.2106763556814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  <c r="AF126" s="0" t="n">
        <v>27.2158764208203</v>
      </c>
      <c r="AG126" s="0" t="n">
        <v>0</v>
      </c>
      <c r="AH126" s="0" t="n">
        <v>0</v>
      </c>
      <c r="AI126" s="0" t="n">
        <v>0</v>
      </c>
      <c r="AK126" s="0" t="n">
        <f aca="false">A126</f>
        <v>109</v>
      </c>
      <c r="AL126" s="0" t="n">
        <v>1</v>
      </c>
      <c r="AM126" s="0" t="n">
        <v>1</v>
      </c>
      <c r="AO126" s="0" t="n">
        <v>109</v>
      </c>
      <c r="AP126" s="0" t="n">
        <v>0</v>
      </c>
      <c r="AQ126" s="0" t="n">
        <v>0.239645507831076</v>
      </c>
      <c r="AR126" s="0" t="n">
        <v>85.2519889002887</v>
      </c>
      <c r="AS126" s="0" t="n">
        <v>28</v>
      </c>
      <c r="AT126" s="0" t="n">
        <v>30</v>
      </c>
    </row>
    <row r="127" customFormat="false" ht="12" hidden="false" customHeight="false" outlineLevel="0" collapsed="false">
      <c r="A127" s="0" t="n">
        <v>110</v>
      </c>
      <c r="B127" s="0" t="n">
        <v>0</v>
      </c>
      <c r="C127" s="0" t="n">
        <v>0.679356185192518</v>
      </c>
      <c r="D127" s="0" t="n">
        <v>122.809196893693</v>
      </c>
      <c r="E127" s="0" t="n">
        <v>4</v>
      </c>
      <c r="F127" s="0" t="n">
        <v>4</v>
      </c>
      <c r="G127" s="0" t="n">
        <v>0.5</v>
      </c>
      <c r="H127" s="0" t="n">
        <v>0</v>
      </c>
      <c r="I127" s="0" t="n">
        <v>2.17854354302763</v>
      </c>
      <c r="J127" s="0" t="n">
        <v>126.519060607209</v>
      </c>
      <c r="K127" s="0" t="n">
        <v>3.70986371351651</v>
      </c>
      <c r="L127" s="0" t="n">
        <v>0</v>
      </c>
      <c r="M127" s="0" t="n">
        <v>123.931743084082</v>
      </c>
      <c r="N127" s="0" t="n">
        <v>0</v>
      </c>
      <c r="O127" s="0" t="n">
        <v>110</v>
      </c>
      <c r="P127" s="0" t="n">
        <v>58</v>
      </c>
      <c r="Q127" s="0" t="n">
        <v>52</v>
      </c>
      <c r="R127" s="0" t="n">
        <v>264.873950950231</v>
      </c>
      <c r="S127" s="0" t="n">
        <v>348.815568169792</v>
      </c>
      <c r="T127" s="0" t="n">
        <v>23</v>
      </c>
      <c r="U127" s="0" t="n">
        <v>25</v>
      </c>
      <c r="V127" s="0" t="n">
        <v>11.5162537298997</v>
      </c>
      <c r="W127" s="0" t="n">
        <v>13.952566916524</v>
      </c>
      <c r="X127" s="0" t="n">
        <v>0</v>
      </c>
      <c r="Y127" s="0" t="n">
        <v>3.70986371351651</v>
      </c>
      <c r="Z127" s="0" t="n">
        <v>0</v>
      </c>
      <c r="AA127" s="0" t="n">
        <v>0</v>
      </c>
      <c r="AB127" s="0" t="n">
        <v>0</v>
      </c>
      <c r="AC127" s="0" t="n">
        <v>1</v>
      </c>
      <c r="AD127" s="0" t="n">
        <v>0</v>
      </c>
      <c r="AE127" s="0" t="n">
        <v>0</v>
      </c>
      <c r="AF127" s="0" t="n">
        <v>0</v>
      </c>
      <c r="AG127" s="0" t="n">
        <v>20.6915207452495</v>
      </c>
      <c r="AH127" s="0" t="n">
        <v>0</v>
      </c>
      <c r="AI127" s="0" t="n">
        <v>0</v>
      </c>
      <c r="AK127" s="0" t="n">
        <f aca="false">A127</f>
        <v>110</v>
      </c>
      <c r="AL127" s="0" t="n">
        <v>0</v>
      </c>
      <c r="AM127" s="0" t="n">
        <v>2</v>
      </c>
      <c r="AO127" s="0" t="n">
        <v>110</v>
      </c>
      <c r="AP127" s="0" t="n">
        <v>0</v>
      </c>
      <c r="AQ127" s="0" t="n">
        <v>0.664464286962626</v>
      </c>
      <c r="AR127" s="0" t="n">
        <v>85.9164531872513</v>
      </c>
      <c r="AS127" s="0" t="n">
        <v>28</v>
      </c>
      <c r="AT127" s="0" t="n">
        <v>32</v>
      </c>
    </row>
    <row r="128" customFormat="false" ht="12" hidden="false" customHeight="false" outlineLevel="0" collapsed="false">
      <c r="A128" s="0" t="n">
        <v>111</v>
      </c>
      <c r="B128" s="0" t="n">
        <v>1</v>
      </c>
      <c r="C128" s="0" t="n">
        <v>1.13890253426559</v>
      </c>
      <c r="D128" s="0" t="n">
        <v>123.948099427958</v>
      </c>
      <c r="E128" s="0" t="n">
        <v>6</v>
      </c>
      <c r="F128" s="0" t="n">
        <v>2</v>
      </c>
      <c r="G128" s="0" t="n">
        <v>0.5</v>
      </c>
      <c r="H128" s="0" t="n">
        <v>1</v>
      </c>
      <c r="I128" s="0" t="n">
        <v>0</v>
      </c>
      <c r="J128" s="0" t="n">
        <v>126.519060607209</v>
      </c>
      <c r="K128" s="0" t="n">
        <v>0</v>
      </c>
      <c r="L128" s="0" t="n">
        <v>2.22301524870793</v>
      </c>
      <c r="M128" s="0" t="n">
        <v>126.171114676666</v>
      </c>
      <c r="N128" s="0" t="n">
        <v>2.22301524870792</v>
      </c>
      <c r="O128" s="0" t="n">
        <v>111</v>
      </c>
      <c r="P128" s="0" t="n">
        <v>58</v>
      </c>
      <c r="Q128" s="0" t="n">
        <v>53</v>
      </c>
      <c r="R128" s="0" t="n">
        <v>363.285217754839</v>
      </c>
      <c r="S128" s="0" t="n">
        <v>253.378367768483</v>
      </c>
      <c r="T128" s="0" t="n">
        <v>27</v>
      </c>
      <c r="U128" s="0" t="n">
        <v>21</v>
      </c>
      <c r="V128" s="0" t="n">
        <v>13.4550030816596</v>
      </c>
      <c r="W128" s="0" t="n">
        <v>12.0655791052654</v>
      </c>
      <c r="X128" s="0" t="n">
        <v>0</v>
      </c>
      <c r="Y128" s="0" t="n">
        <v>0</v>
      </c>
      <c r="Z128" s="0" t="n">
        <v>2.22301524870792</v>
      </c>
      <c r="AA128" s="0" t="n">
        <v>0</v>
      </c>
      <c r="AB128" s="0" t="n">
        <v>0</v>
      </c>
      <c r="AC128" s="0" t="n">
        <v>0</v>
      </c>
      <c r="AD128" s="0" t="n">
        <v>1</v>
      </c>
      <c r="AE128" s="0" t="n">
        <v>0</v>
      </c>
      <c r="AF128" s="0" t="n">
        <v>0</v>
      </c>
      <c r="AG128" s="0" t="n">
        <v>0</v>
      </c>
      <c r="AH128" s="0" t="n">
        <v>30.7236077111403</v>
      </c>
      <c r="AI128" s="0" t="n">
        <v>0</v>
      </c>
      <c r="AK128" s="0" t="n">
        <f aca="false">A128</f>
        <v>111</v>
      </c>
      <c r="AL128" s="0" t="n">
        <v>2</v>
      </c>
      <c r="AM128" s="0" t="n">
        <v>1</v>
      </c>
      <c r="AO128" s="0" t="n">
        <v>111</v>
      </c>
      <c r="AP128" s="0" t="n">
        <v>0</v>
      </c>
      <c r="AQ128" s="0" t="n">
        <v>1.38766580700084</v>
      </c>
      <c r="AR128" s="0" t="n">
        <v>87.3041189942521</v>
      </c>
      <c r="AS128" s="0" t="n">
        <v>28</v>
      </c>
      <c r="AT128" s="0" t="n">
        <v>30</v>
      </c>
    </row>
    <row r="129" customFormat="false" ht="12" hidden="false" customHeight="false" outlineLevel="0" collapsed="false">
      <c r="A129" s="0" t="n">
        <v>112</v>
      </c>
      <c r="B129" s="0" t="n">
        <v>0</v>
      </c>
      <c r="C129" s="0" t="n">
        <v>0.916759134387489</v>
      </c>
      <c r="D129" s="0" t="n">
        <v>124.864858562346</v>
      </c>
      <c r="E129" s="0" t="n">
        <v>4</v>
      </c>
      <c r="F129" s="0" t="n">
        <v>4</v>
      </c>
      <c r="G129" s="0" t="n">
        <v>0.5</v>
      </c>
      <c r="H129" s="0" t="n">
        <v>1</v>
      </c>
      <c r="I129" s="0" t="n">
        <v>0</v>
      </c>
      <c r="J129" s="0" t="n">
        <v>126.519060607209</v>
      </c>
      <c r="K129" s="0" t="n">
        <v>0</v>
      </c>
      <c r="L129" s="0" t="n">
        <v>2.23688768463003</v>
      </c>
      <c r="M129" s="0" t="n">
        <v>128.408002361296</v>
      </c>
      <c r="N129" s="0" t="n">
        <v>3.54314379895045</v>
      </c>
      <c r="O129" s="0" t="n">
        <v>112</v>
      </c>
      <c r="P129" s="0" t="n">
        <v>58</v>
      </c>
      <c r="Q129" s="0" t="n">
        <v>54</v>
      </c>
      <c r="R129" s="0" t="n">
        <v>228.339739316256</v>
      </c>
      <c r="S129" s="0" t="n">
        <v>376.995756774723</v>
      </c>
      <c r="T129" s="0" t="n">
        <v>21</v>
      </c>
      <c r="U129" s="0" t="n">
        <v>27</v>
      </c>
      <c r="V129" s="0" t="n">
        <v>10.8733157420523</v>
      </c>
      <c r="W129" s="0" t="n">
        <v>13.9627540925672</v>
      </c>
      <c r="X129" s="0" t="n">
        <v>0</v>
      </c>
      <c r="Y129" s="0" t="n">
        <v>0</v>
      </c>
      <c r="Z129" s="0" t="n">
        <v>0</v>
      </c>
      <c r="AA129" s="0" t="n">
        <v>3.54314379895045</v>
      </c>
      <c r="AB129" s="0" t="n">
        <v>0</v>
      </c>
      <c r="AC129" s="0" t="n">
        <v>0</v>
      </c>
      <c r="AD129" s="0" t="n">
        <v>0</v>
      </c>
      <c r="AE129" s="0" t="n">
        <v>1</v>
      </c>
      <c r="AF129" s="0" t="n">
        <v>0</v>
      </c>
      <c r="AG129" s="0" t="n">
        <v>0</v>
      </c>
      <c r="AH129" s="0" t="n">
        <v>0</v>
      </c>
      <c r="AI129" s="0" t="n">
        <v>17.5414963889606</v>
      </c>
      <c r="AK129" s="0" t="n">
        <f aca="false">A129</f>
        <v>112</v>
      </c>
      <c r="AL129" s="0" t="n">
        <v>0</v>
      </c>
      <c r="AM129" s="0" t="n">
        <v>2</v>
      </c>
      <c r="AO129" s="0" t="n">
        <v>112</v>
      </c>
      <c r="AP129" s="0" t="n">
        <v>0</v>
      </c>
      <c r="AQ129" s="0" t="n">
        <v>0.490119540173288</v>
      </c>
      <c r="AR129" s="0" t="n">
        <v>87.7942385344254</v>
      </c>
      <c r="AS129" s="0" t="n">
        <v>28</v>
      </c>
      <c r="AT129" s="0" t="n">
        <v>32</v>
      </c>
    </row>
    <row r="130" customFormat="false" ht="12" hidden="false" customHeight="false" outlineLevel="0" collapsed="false">
      <c r="A130" s="0" t="n">
        <v>113</v>
      </c>
      <c r="B130" s="0" t="n">
        <v>0</v>
      </c>
      <c r="C130" s="0" t="n">
        <v>1.86320687333028</v>
      </c>
      <c r="D130" s="0" t="n">
        <v>126.728065435676</v>
      </c>
      <c r="E130" s="0" t="n">
        <v>2</v>
      </c>
      <c r="F130" s="0" t="n">
        <v>4</v>
      </c>
      <c r="G130" s="0" t="n">
        <v>0.5</v>
      </c>
      <c r="H130" s="0" t="n">
        <v>0</v>
      </c>
      <c r="I130" s="0" t="n">
        <v>1.84786558828659</v>
      </c>
      <c r="J130" s="0" t="n">
        <v>128.575931023962</v>
      </c>
      <c r="K130" s="0" t="n">
        <v>1.84786558828658</v>
      </c>
      <c r="L130" s="0" t="n">
        <v>0</v>
      </c>
      <c r="M130" s="0" t="n">
        <v>128.408002361296</v>
      </c>
      <c r="N130" s="0" t="n">
        <v>0</v>
      </c>
      <c r="O130" s="0" t="n">
        <v>113</v>
      </c>
      <c r="P130" s="0" t="n">
        <v>59</v>
      </c>
      <c r="Q130" s="0" t="n">
        <v>54</v>
      </c>
      <c r="R130" s="0" t="n">
        <v>314.980971867472</v>
      </c>
      <c r="S130" s="0" t="n">
        <v>294.922752466358</v>
      </c>
      <c r="T130" s="0" t="n">
        <v>25</v>
      </c>
      <c r="U130" s="0" t="n">
        <v>23</v>
      </c>
      <c r="V130" s="0" t="n">
        <v>12.5992338350054</v>
      </c>
      <c r="W130" s="0" t="n">
        <v>12.822672617352</v>
      </c>
      <c r="X130" s="0" t="n">
        <v>0</v>
      </c>
      <c r="Y130" s="0" t="n">
        <v>1.84786558828658</v>
      </c>
      <c r="Z130" s="0" t="n">
        <v>0</v>
      </c>
      <c r="AA130" s="0" t="n">
        <v>0</v>
      </c>
      <c r="AB130" s="0" t="n">
        <v>0</v>
      </c>
      <c r="AC130" s="0" t="n">
        <v>1</v>
      </c>
      <c r="AD130" s="0" t="n">
        <v>0</v>
      </c>
      <c r="AE130" s="0" t="n">
        <v>0</v>
      </c>
      <c r="AF130" s="0" t="n">
        <v>0</v>
      </c>
      <c r="AG130" s="0" t="n">
        <v>41.098247062996</v>
      </c>
      <c r="AH130" s="0" t="n">
        <v>0</v>
      </c>
      <c r="AI130" s="0" t="n">
        <v>0</v>
      </c>
      <c r="AK130" s="0" t="n">
        <f aca="false">A130</f>
        <v>113</v>
      </c>
      <c r="AL130" s="0" t="n">
        <v>1</v>
      </c>
      <c r="AM130" s="0" t="n">
        <v>4</v>
      </c>
      <c r="AO130" s="0" t="n">
        <v>113</v>
      </c>
      <c r="AP130" s="0" t="n">
        <v>1</v>
      </c>
      <c r="AQ130" s="0" t="n">
        <v>0.558411139200378</v>
      </c>
      <c r="AR130" s="0" t="n">
        <v>88.3526496736258</v>
      </c>
      <c r="AS130" s="0" t="n">
        <v>26</v>
      </c>
      <c r="AT130" s="0" t="n">
        <v>34</v>
      </c>
    </row>
    <row r="131" customFormat="false" ht="12" hidden="false" customHeight="false" outlineLevel="0" collapsed="false">
      <c r="A131" s="0" t="n">
        <v>114</v>
      </c>
      <c r="B131" s="0" t="n">
        <v>1</v>
      </c>
      <c r="C131" s="0" t="n">
        <v>1.42188572121083</v>
      </c>
      <c r="D131" s="0" t="n">
        <v>128.149951156887</v>
      </c>
      <c r="E131" s="0" t="n">
        <v>4</v>
      </c>
      <c r="F131" s="0" t="n">
        <v>4</v>
      </c>
      <c r="G131" s="0" t="n">
        <v>0.5</v>
      </c>
      <c r="H131" s="0" t="n">
        <v>1</v>
      </c>
      <c r="I131" s="0" t="n">
        <v>0</v>
      </c>
      <c r="J131" s="0" t="n">
        <v>128.575931023962</v>
      </c>
      <c r="K131" s="0" t="n">
        <v>0</v>
      </c>
      <c r="L131" s="0" t="n">
        <v>1.86153539661358</v>
      </c>
      <c r="M131" s="0" t="n">
        <v>130.26953775791</v>
      </c>
      <c r="N131" s="0" t="n">
        <v>2.11958660102292</v>
      </c>
      <c r="O131" s="0" t="n">
        <v>114</v>
      </c>
      <c r="P131" s="0" t="n">
        <v>59</v>
      </c>
      <c r="Q131" s="0" t="n">
        <v>55</v>
      </c>
      <c r="R131" s="0" t="n">
        <v>392.694900331477</v>
      </c>
      <c r="S131" s="0" t="n">
        <v>218.061618549066</v>
      </c>
      <c r="T131" s="0" t="n">
        <v>28</v>
      </c>
      <c r="U131" s="0" t="n">
        <v>20</v>
      </c>
      <c r="V131" s="0" t="n">
        <v>14.0248128601196</v>
      </c>
      <c r="W131" s="0" t="n">
        <v>10.9030264123212</v>
      </c>
      <c r="X131" s="0" t="n">
        <v>0</v>
      </c>
      <c r="Y131" s="0" t="n">
        <v>0</v>
      </c>
      <c r="Z131" s="0" t="n">
        <v>2.11958660102292</v>
      </c>
      <c r="AA131" s="0" t="n">
        <v>0</v>
      </c>
      <c r="AB131" s="0" t="n">
        <v>0</v>
      </c>
      <c r="AC131" s="0" t="n">
        <v>0</v>
      </c>
      <c r="AD131" s="0" t="n">
        <v>1</v>
      </c>
      <c r="AE131" s="0" t="n">
        <v>0</v>
      </c>
      <c r="AF131" s="0" t="n">
        <v>0</v>
      </c>
      <c r="AG131" s="0" t="n">
        <v>0</v>
      </c>
      <c r="AH131" s="0" t="n">
        <v>31.88089202269</v>
      </c>
      <c r="AI131" s="0" t="n">
        <v>0</v>
      </c>
      <c r="AK131" s="0" t="n">
        <f aca="false">A131</f>
        <v>114</v>
      </c>
      <c r="AL131" s="0" t="n">
        <v>0</v>
      </c>
      <c r="AM131" s="0" t="n">
        <v>2</v>
      </c>
      <c r="AO131" s="0" t="n">
        <v>114</v>
      </c>
      <c r="AP131" s="0" t="n">
        <v>1</v>
      </c>
      <c r="AQ131" s="0" t="n">
        <v>2.55410249300857</v>
      </c>
      <c r="AR131" s="0" t="n">
        <v>90.9067521666344</v>
      </c>
      <c r="AS131" s="0" t="n">
        <v>26</v>
      </c>
      <c r="AT131" s="0" t="n">
        <v>30</v>
      </c>
    </row>
    <row r="132" customFormat="false" ht="12" hidden="false" customHeight="false" outlineLevel="0" collapsed="false">
      <c r="A132" s="0" t="n">
        <v>115</v>
      </c>
      <c r="B132" s="0" t="n">
        <v>1</v>
      </c>
      <c r="C132" s="0" t="n">
        <v>0.678477425866203</v>
      </c>
      <c r="D132" s="0" t="n">
        <v>128.828428582753</v>
      </c>
      <c r="E132" s="0" t="n">
        <v>2</v>
      </c>
      <c r="F132" s="0" t="n">
        <v>4</v>
      </c>
      <c r="G132" s="0" t="n">
        <v>0.5</v>
      </c>
      <c r="H132" s="0" t="n">
        <v>0</v>
      </c>
      <c r="I132" s="0" t="n">
        <v>2.22130429570762</v>
      </c>
      <c r="J132" s="0" t="n">
        <v>131.049732878461</v>
      </c>
      <c r="K132" s="0" t="n">
        <v>2.22130429570763</v>
      </c>
      <c r="L132" s="0" t="n">
        <v>0</v>
      </c>
      <c r="M132" s="0" t="n">
        <v>130.26953775791</v>
      </c>
      <c r="N132" s="0" t="n">
        <v>0</v>
      </c>
      <c r="O132" s="0" t="n">
        <v>115</v>
      </c>
      <c r="P132" s="0" t="n">
        <v>60</v>
      </c>
      <c r="Q132" s="0" t="n">
        <v>55</v>
      </c>
      <c r="R132" s="0" t="n">
        <v>372.391261005434</v>
      </c>
      <c r="S132" s="0" t="n">
        <v>240.627917766532</v>
      </c>
      <c r="T132" s="0" t="n">
        <v>27</v>
      </c>
      <c r="U132" s="0" t="n">
        <v>21</v>
      </c>
      <c r="V132" s="0" t="n">
        <v>13.7922638178813</v>
      </c>
      <c r="W132" s="0" t="n">
        <v>11.4584177107029</v>
      </c>
      <c r="X132" s="0" t="n">
        <v>2.22130429570763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  <c r="AF132" s="0" t="n">
        <v>27.1050999179589</v>
      </c>
      <c r="AG132" s="0" t="n">
        <v>0</v>
      </c>
      <c r="AH132" s="0" t="n">
        <v>0</v>
      </c>
      <c r="AI132" s="0" t="n">
        <v>0</v>
      </c>
      <c r="AK132" s="0" t="n">
        <f aca="false">A132</f>
        <v>115</v>
      </c>
      <c r="AL132" s="0" t="n">
        <v>1</v>
      </c>
      <c r="AM132" s="0" t="n">
        <v>1</v>
      </c>
      <c r="AO132" s="0" t="n">
        <v>115</v>
      </c>
      <c r="AP132" s="0" t="n">
        <v>0</v>
      </c>
      <c r="AQ132" s="0" t="n">
        <v>0.561362135728828</v>
      </c>
      <c r="AR132" s="0" t="n">
        <v>91.4681143023632</v>
      </c>
      <c r="AS132" s="0" t="n">
        <v>28</v>
      </c>
      <c r="AT132" s="0" t="n">
        <v>30</v>
      </c>
    </row>
    <row r="133" customFormat="false" ht="12" hidden="false" customHeight="false" outlineLevel="0" collapsed="false">
      <c r="A133" s="0" t="n">
        <v>116</v>
      </c>
      <c r="B133" s="0" t="n">
        <v>0</v>
      </c>
      <c r="C133" s="0" t="n">
        <v>0.0561634884235673</v>
      </c>
      <c r="D133" s="0" t="n">
        <v>128.884592071177</v>
      </c>
      <c r="E133" s="0" t="n">
        <v>4</v>
      </c>
      <c r="F133" s="0" t="n">
        <v>4</v>
      </c>
      <c r="G133" s="0" t="n">
        <v>0.5</v>
      </c>
      <c r="H133" s="0" t="n">
        <v>0</v>
      </c>
      <c r="I133" s="0" t="n">
        <v>2.20557327157147</v>
      </c>
      <c r="J133" s="0" t="n">
        <v>133.255306150032</v>
      </c>
      <c r="K133" s="0" t="n">
        <v>4.37071407885551</v>
      </c>
      <c r="L133" s="0" t="n">
        <v>0</v>
      </c>
      <c r="M133" s="0" t="n">
        <v>130.26953775791</v>
      </c>
      <c r="N133" s="0" t="n">
        <v>0</v>
      </c>
      <c r="O133" s="0" t="n">
        <v>116</v>
      </c>
      <c r="P133" s="0" t="n">
        <v>61</v>
      </c>
      <c r="Q133" s="0" t="n">
        <v>55</v>
      </c>
      <c r="R133" s="0" t="n">
        <v>226.340689313015</v>
      </c>
      <c r="S133" s="0" t="n">
        <v>392.011630780424</v>
      </c>
      <c r="T133" s="0" t="n">
        <v>18</v>
      </c>
      <c r="U133" s="0" t="n">
        <v>30</v>
      </c>
      <c r="V133" s="0" t="n">
        <v>12.5744757537921</v>
      </c>
      <c r="W133" s="0" t="n">
        <v>13.0670108026448</v>
      </c>
      <c r="X133" s="0" t="n">
        <v>0</v>
      </c>
      <c r="Y133" s="0" t="n">
        <v>4.37071407885551</v>
      </c>
      <c r="Z133" s="0" t="n">
        <v>0</v>
      </c>
      <c r="AA133" s="0" t="n">
        <v>0</v>
      </c>
      <c r="AB133" s="0" t="n">
        <v>0</v>
      </c>
      <c r="AC133" s="0" t="n">
        <v>1</v>
      </c>
      <c r="AD133" s="0" t="n">
        <v>0</v>
      </c>
      <c r="AE133" s="0" t="n">
        <v>0</v>
      </c>
      <c r="AF133" s="0" t="n">
        <v>0</v>
      </c>
      <c r="AG133" s="0" t="n">
        <v>15.1161004846592</v>
      </c>
      <c r="AH133" s="0" t="n">
        <v>0</v>
      </c>
      <c r="AI133" s="0" t="n">
        <v>0</v>
      </c>
      <c r="AK133" s="0" t="n">
        <f aca="false">A133</f>
        <v>116</v>
      </c>
      <c r="AL133" s="0" t="n">
        <v>0</v>
      </c>
      <c r="AM133" s="0" t="n">
        <v>1</v>
      </c>
      <c r="AO133" s="0" t="n">
        <v>116</v>
      </c>
      <c r="AP133" s="0" t="n">
        <v>1</v>
      </c>
      <c r="AQ133" s="0" t="n">
        <v>0.450167135795734</v>
      </c>
      <c r="AR133" s="0" t="n">
        <v>91.9182814381589</v>
      </c>
      <c r="AS133" s="0" t="n">
        <v>28</v>
      </c>
      <c r="AT133" s="0" t="n">
        <v>30</v>
      </c>
    </row>
    <row r="134" customFormat="false" ht="12" hidden="false" customHeight="false" outlineLevel="0" collapsed="false">
      <c r="A134" s="0" t="n">
        <v>117</v>
      </c>
      <c r="B134" s="0" t="n">
        <v>1</v>
      </c>
      <c r="C134" s="0" t="n">
        <v>0.145799810881634</v>
      </c>
      <c r="D134" s="0" t="n">
        <v>129.030391882058</v>
      </c>
      <c r="E134" s="0" t="n">
        <v>6</v>
      </c>
      <c r="F134" s="0" t="n">
        <v>4</v>
      </c>
      <c r="G134" s="0" t="n">
        <v>0.5</v>
      </c>
      <c r="H134" s="0" t="n">
        <v>1</v>
      </c>
      <c r="I134" s="0" t="n">
        <v>0</v>
      </c>
      <c r="J134" s="0" t="n">
        <v>133.255306150032</v>
      </c>
      <c r="K134" s="0" t="n">
        <v>0</v>
      </c>
      <c r="L134" s="0" t="n">
        <v>2.07567195668825</v>
      </c>
      <c r="M134" s="0" t="n">
        <v>132.345209714598</v>
      </c>
      <c r="N134" s="0" t="n">
        <v>3.31481783253975</v>
      </c>
      <c r="O134" s="0" t="n">
        <v>117</v>
      </c>
      <c r="P134" s="0" t="n">
        <v>61</v>
      </c>
      <c r="Q134" s="0" t="n">
        <v>56</v>
      </c>
      <c r="R134" s="0" t="n">
        <v>313.330295075219</v>
      </c>
      <c r="S134" s="0" t="n">
        <v>308.415997882832</v>
      </c>
      <c r="T134" s="0" t="n">
        <v>25</v>
      </c>
      <c r="U134" s="0" t="n">
        <v>23</v>
      </c>
      <c r="V134" s="0" t="n">
        <v>12.533206789726</v>
      </c>
      <c r="W134" s="0" t="n">
        <v>13.4093329108496</v>
      </c>
      <c r="X134" s="0" t="n">
        <v>0</v>
      </c>
      <c r="Y134" s="0" t="n">
        <v>0</v>
      </c>
      <c r="Z134" s="0" t="n">
        <v>3.31481783253975</v>
      </c>
      <c r="AA134" s="0" t="n">
        <v>0</v>
      </c>
      <c r="AB134" s="0" t="n">
        <v>0</v>
      </c>
      <c r="AC134" s="0" t="n">
        <v>0</v>
      </c>
      <c r="AD134" s="0" t="n">
        <v>1</v>
      </c>
      <c r="AE134" s="0" t="n">
        <v>0</v>
      </c>
      <c r="AF134" s="0" t="n">
        <v>0</v>
      </c>
      <c r="AG134" s="0" t="n">
        <v>0</v>
      </c>
      <c r="AH134" s="0" t="n">
        <v>19.8121616475026</v>
      </c>
      <c r="AI134" s="0" t="n">
        <v>0</v>
      </c>
      <c r="AK134" s="0" t="n">
        <f aca="false">A134</f>
        <v>117</v>
      </c>
      <c r="AL134" s="0" t="n">
        <v>1</v>
      </c>
      <c r="AM134" s="0" t="n">
        <v>0</v>
      </c>
      <c r="AO134" s="0" t="n">
        <v>117</v>
      </c>
      <c r="AP134" s="0" t="n">
        <v>0</v>
      </c>
      <c r="AQ134" s="0" t="n">
        <v>0.81595986548388</v>
      </c>
      <c r="AR134" s="0" t="n">
        <v>92.7342413036428</v>
      </c>
      <c r="AS134" s="0" t="n">
        <v>30</v>
      </c>
      <c r="AT134" s="0" t="n">
        <v>30</v>
      </c>
    </row>
    <row r="135" customFormat="false" ht="12" hidden="false" customHeight="false" outlineLevel="0" collapsed="false">
      <c r="A135" s="0" t="n">
        <v>118</v>
      </c>
      <c r="B135" s="0" t="n">
        <v>0</v>
      </c>
      <c r="C135" s="0" t="n">
        <v>0.991098175431081</v>
      </c>
      <c r="D135" s="0" t="n">
        <v>130.021490057489</v>
      </c>
      <c r="E135" s="0" t="n">
        <v>6</v>
      </c>
      <c r="F135" s="0" t="n">
        <v>6</v>
      </c>
      <c r="G135" s="0" t="n">
        <v>0.5</v>
      </c>
      <c r="H135" s="0" t="n">
        <v>1</v>
      </c>
      <c r="I135" s="0" t="n">
        <v>0</v>
      </c>
      <c r="J135" s="0" t="n">
        <v>133.255306150032</v>
      </c>
      <c r="K135" s="0" t="n">
        <v>0</v>
      </c>
      <c r="L135" s="0" t="n">
        <v>1.75290946863223</v>
      </c>
      <c r="M135" s="0" t="n">
        <v>134.09811918323</v>
      </c>
      <c r="N135" s="0" t="n">
        <v>4.07662912574088</v>
      </c>
      <c r="O135" s="0" t="n">
        <v>118</v>
      </c>
      <c r="P135" s="0" t="n">
        <v>61</v>
      </c>
      <c r="Q135" s="0" t="n">
        <v>57</v>
      </c>
      <c r="R135" s="0" t="n">
        <v>259.686975052205</v>
      </c>
      <c r="S135" s="0" t="n">
        <v>338.824280007352</v>
      </c>
      <c r="T135" s="0" t="n">
        <v>21</v>
      </c>
      <c r="U135" s="0" t="n">
        <v>27</v>
      </c>
      <c r="V135" s="0" t="n">
        <v>12.3660405424666</v>
      </c>
      <c r="W135" s="0" t="n">
        <v>12.5490009298985</v>
      </c>
      <c r="X135" s="0" t="n">
        <v>0</v>
      </c>
      <c r="Y135" s="0" t="n">
        <v>0</v>
      </c>
      <c r="Z135" s="0" t="n">
        <v>0</v>
      </c>
      <c r="AA135" s="0" t="n">
        <v>4.07662912574088</v>
      </c>
      <c r="AB135" s="0" t="n">
        <v>0</v>
      </c>
      <c r="AC135" s="0" t="n">
        <v>0</v>
      </c>
      <c r="AD135" s="0" t="n">
        <v>0</v>
      </c>
      <c r="AE135" s="0" t="n">
        <v>1</v>
      </c>
      <c r="AF135" s="0" t="n">
        <v>0</v>
      </c>
      <c r="AG135" s="0" t="n">
        <v>0</v>
      </c>
      <c r="AH135" s="0" t="n">
        <v>0</v>
      </c>
      <c r="AI135" s="0" t="n">
        <v>13.3573557135773</v>
      </c>
      <c r="AK135" s="0" t="n">
        <f aca="false">A135</f>
        <v>118</v>
      </c>
      <c r="AL135" s="0" t="n">
        <v>0</v>
      </c>
      <c r="AM135" s="0" t="n">
        <v>0</v>
      </c>
      <c r="AO135" s="0" t="n">
        <v>118</v>
      </c>
      <c r="AP135" s="0" t="n">
        <v>0</v>
      </c>
      <c r="AQ135" s="0" t="n">
        <v>0.607387820812098</v>
      </c>
      <c r="AR135" s="0" t="n">
        <v>93.3416291244549</v>
      </c>
      <c r="AS135" s="0" t="n">
        <v>30</v>
      </c>
      <c r="AT135" s="0" t="n">
        <v>30</v>
      </c>
    </row>
    <row r="136" customFormat="false" ht="12" hidden="false" customHeight="false" outlineLevel="0" collapsed="false">
      <c r="A136" s="0" t="n">
        <v>119</v>
      </c>
      <c r="B136" s="0" t="n">
        <v>1</v>
      </c>
      <c r="C136" s="0" t="n">
        <v>4.47589978918382</v>
      </c>
      <c r="D136" s="0" t="n">
        <v>134.497389846673</v>
      </c>
      <c r="E136" s="0" t="n">
        <v>2</v>
      </c>
      <c r="F136" s="0" t="n">
        <v>2</v>
      </c>
      <c r="G136" s="0" t="n">
        <v>0.5</v>
      </c>
      <c r="H136" s="0" t="n">
        <v>1</v>
      </c>
      <c r="I136" s="0" t="n">
        <v>0</v>
      </c>
      <c r="J136" s="0" t="n">
        <v>134.497389846673</v>
      </c>
      <c r="K136" s="0" t="n">
        <v>0</v>
      </c>
      <c r="L136" s="0" t="n">
        <v>1.93948368864462</v>
      </c>
      <c r="M136" s="0" t="n">
        <v>136.436873535318</v>
      </c>
      <c r="N136" s="0" t="n">
        <v>1.93948368864463</v>
      </c>
      <c r="O136" s="0" t="n">
        <v>119</v>
      </c>
      <c r="P136" s="0" t="n">
        <v>61</v>
      </c>
      <c r="Q136" s="0" t="n">
        <v>58</v>
      </c>
      <c r="R136" s="0" t="n">
        <v>321.736320593996</v>
      </c>
      <c r="S136" s="0" t="n">
        <v>287.028677805925</v>
      </c>
      <c r="T136" s="0" t="n">
        <v>25</v>
      </c>
      <c r="U136" s="0" t="n">
        <v>23</v>
      </c>
      <c r="V136" s="0" t="n">
        <v>12.8694476759808</v>
      </c>
      <c r="W136" s="0" t="n">
        <v>12.479453472199</v>
      </c>
      <c r="X136" s="0" t="n">
        <v>0</v>
      </c>
      <c r="Y136" s="0" t="n">
        <v>0</v>
      </c>
      <c r="Z136" s="0" t="n">
        <v>1.93948368864463</v>
      </c>
      <c r="AA136" s="0" t="n">
        <v>0</v>
      </c>
      <c r="AB136" s="0" t="n">
        <v>0</v>
      </c>
      <c r="AC136" s="0" t="n">
        <v>0</v>
      </c>
      <c r="AD136" s="0" t="n">
        <v>1</v>
      </c>
      <c r="AE136" s="0" t="n">
        <v>0</v>
      </c>
      <c r="AF136" s="0" t="n">
        <v>0</v>
      </c>
      <c r="AG136" s="0" t="n">
        <v>0</v>
      </c>
      <c r="AH136" s="0" t="n">
        <v>33.9471652373952</v>
      </c>
      <c r="AI136" s="0" t="n">
        <v>0</v>
      </c>
      <c r="AK136" s="0" t="n">
        <f aca="false">A136</f>
        <v>119</v>
      </c>
      <c r="AL136" s="0" t="n">
        <v>0</v>
      </c>
      <c r="AM136" s="0" t="n">
        <v>1</v>
      </c>
      <c r="AO136" s="0" t="n">
        <v>119</v>
      </c>
      <c r="AP136" s="0" t="n">
        <v>0</v>
      </c>
      <c r="AQ136" s="0" t="n">
        <v>1.62201482426919</v>
      </c>
      <c r="AR136" s="0" t="n">
        <v>94.9636439487241</v>
      </c>
      <c r="AS136" s="0" t="n">
        <v>30</v>
      </c>
      <c r="AT136" s="0" t="n">
        <v>28</v>
      </c>
    </row>
    <row r="137" customFormat="false" ht="12" hidden="false" customHeight="false" outlineLevel="0" collapsed="false">
      <c r="A137" s="0" t="n">
        <v>120</v>
      </c>
      <c r="B137" s="0" t="n">
        <v>1</v>
      </c>
      <c r="C137" s="0" t="n">
        <v>0.0287749241278807</v>
      </c>
      <c r="D137" s="0" t="n">
        <v>134.526164770801</v>
      </c>
      <c r="E137" s="0" t="n">
        <v>2</v>
      </c>
      <c r="F137" s="0" t="n">
        <v>4</v>
      </c>
      <c r="G137" s="0" t="n">
        <v>0.5</v>
      </c>
      <c r="H137" s="0" t="n">
        <v>0</v>
      </c>
      <c r="I137" s="0" t="n">
        <v>2.05738025785077</v>
      </c>
      <c r="J137" s="0" t="n">
        <v>136.583545028652</v>
      </c>
      <c r="K137" s="0" t="n">
        <v>2.05738025785075</v>
      </c>
      <c r="L137" s="0" t="n">
        <v>0</v>
      </c>
      <c r="M137" s="0" t="n">
        <v>136.436873535318</v>
      </c>
      <c r="N137" s="0" t="n">
        <v>0</v>
      </c>
      <c r="O137" s="0" t="n">
        <v>120</v>
      </c>
      <c r="P137" s="0" t="n">
        <v>62</v>
      </c>
      <c r="Q137" s="0" t="n">
        <v>58</v>
      </c>
      <c r="R137" s="0" t="n">
        <v>279.309712659374</v>
      </c>
      <c r="S137" s="0" t="n">
        <v>339.02826953051</v>
      </c>
      <c r="T137" s="0" t="n">
        <v>23</v>
      </c>
      <c r="U137" s="0" t="n">
        <v>25</v>
      </c>
      <c r="V137" s="0" t="n">
        <v>12.1438952704531</v>
      </c>
      <c r="W137" s="0" t="n">
        <v>13.5610765369143</v>
      </c>
      <c r="X137" s="0" t="n">
        <v>2.05738025785075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  <c r="AF137" s="0" t="n">
        <v>28.8388319684254</v>
      </c>
      <c r="AG137" s="0" t="n">
        <v>0</v>
      </c>
      <c r="AH137" s="0" t="n">
        <v>0</v>
      </c>
      <c r="AI137" s="0" t="n">
        <v>0</v>
      </c>
      <c r="AK137" s="0" t="n">
        <f aca="false">A137</f>
        <v>120</v>
      </c>
      <c r="AL137" s="0" t="n">
        <v>1</v>
      </c>
      <c r="AM137" s="0" t="n">
        <v>2</v>
      </c>
      <c r="AO137" s="0" t="n">
        <v>120</v>
      </c>
      <c r="AP137" s="0" t="n">
        <v>0</v>
      </c>
      <c r="AQ137" s="0" t="n">
        <v>0.257104196774481</v>
      </c>
      <c r="AR137" s="0" t="n">
        <v>95.2207481454986</v>
      </c>
      <c r="AS137" s="0" t="n">
        <v>32</v>
      </c>
      <c r="AT137" s="0" t="n">
        <v>28</v>
      </c>
    </row>
    <row r="138" customFormat="false" ht="12" hidden="false" customHeight="false" outlineLevel="0" collapsed="false">
      <c r="A138" s="0" t="n">
        <v>121</v>
      </c>
      <c r="B138" s="0" t="n">
        <v>1</v>
      </c>
      <c r="C138" s="0" t="n">
        <v>0.428242039815915</v>
      </c>
      <c r="D138" s="0" t="n">
        <v>134.954406810617</v>
      </c>
      <c r="E138" s="0" t="n">
        <v>4</v>
      </c>
      <c r="F138" s="0" t="n">
        <v>4</v>
      </c>
      <c r="G138" s="0" t="n">
        <v>0.5</v>
      </c>
      <c r="H138" s="0" t="n">
        <v>0</v>
      </c>
      <c r="I138" s="0" t="n">
        <v>1.99892693523872</v>
      </c>
      <c r="J138" s="0" t="n">
        <v>138.58247196389</v>
      </c>
      <c r="K138" s="0" t="n">
        <v>3.62806515327355</v>
      </c>
      <c r="L138" s="0" t="n">
        <v>0</v>
      </c>
      <c r="M138" s="0" t="n">
        <v>136.436873535318</v>
      </c>
      <c r="N138" s="0" t="n">
        <v>0</v>
      </c>
      <c r="O138" s="0" t="n">
        <v>121</v>
      </c>
      <c r="P138" s="0" t="n">
        <v>63</v>
      </c>
      <c r="Q138" s="0" t="n">
        <v>58</v>
      </c>
      <c r="R138" s="0" t="n">
        <v>338.472112428651</v>
      </c>
      <c r="S138" s="0" t="n">
        <v>272.505657005154</v>
      </c>
      <c r="T138" s="0" t="n">
        <v>26</v>
      </c>
      <c r="U138" s="0" t="n">
        <v>22</v>
      </c>
      <c r="V138" s="0" t="n">
        <v>13.0181531633507</v>
      </c>
      <c r="W138" s="0" t="n">
        <v>12.3865644703958</v>
      </c>
      <c r="X138" s="0" t="n">
        <v>3.62806515327355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  <c r="AF138" s="0" t="n">
        <v>14.4361621554223</v>
      </c>
      <c r="AG138" s="0" t="n">
        <v>0</v>
      </c>
      <c r="AH138" s="0" t="n">
        <v>0</v>
      </c>
      <c r="AI138" s="0" t="n">
        <v>0</v>
      </c>
      <c r="AK138" s="0" t="n">
        <f aca="false">A138</f>
        <v>121</v>
      </c>
      <c r="AL138" s="0" t="n">
        <v>0</v>
      </c>
      <c r="AM138" s="0" t="n">
        <v>2</v>
      </c>
      <c r="AO138" s="0" t="n">
        <v>121</v>
      </c>
      <c r="AP138" s="0" t="n">
        <v>0</v>
      </c>
      <c r="AQ138" s="0" t="n">
        <v>1.23945240839357</v>
      </c>
      <c r="AR138" s="0" t="n">
        <v>96.4602005538921</v>
      </c>
      <c r="AS138" s="0" t="n">
        <v>32</v>
      </c>
      <c r="AT138" s="0" t="n">
        <v>28</v>
      </c>
    </row>
    <row r="139" customFormat="false" ht="12" hidden="false" customHeight="false" outlineLevel="0" collapsed="false">
      <c r="A139" s="0" t="n">
        <v>122</v>
      </c>
      <c r="B139" s="0" t="n">
        <v>1</v>
      </c>
      <c r="C139" s="0" t="n">
        <v>3.77800281273208</v>
      </c>
      <c r="D139" s="0" t="n">
        <v>138.732409623349</v>
      </c>
      <c r="E139" s="0" t="n">
        <v>2</v>
      </c>
      <c r="F139" s="0" t="n">
        <v>2</v>
      </c>
      <c r="G139" s="0" t="n">
        <v>0.5</v>
      </c>
      <c r="H139" s="0" t="n">
        <v>0</v>
      </c>
      <c r="I139" s="0" t="n">
        <v>1.84374871434227</v>
      </c>
      <c r="J139" s="0" t="n">
        <v>140.576158337691</v>
      </c>
      <c r="K139" s="0" t="n">
        <v>1.84374871434227</v>
      </c>
      <c r="L139" s="0" t="n">
        <v>0</v>
      </c>
      <c r="M139" s="0" t="n">
        <v>138.732409623349</v>
      </c>
      <c r="N139" s="0" t="n">
        <v>0</v>
      </c>
      <c r="O139" s="0" t="n">
        <v>122</v>
      </c>
      <c r="P139" s="0" t="n">
        <v>64</v>
      </c>
      <c r="Q139" s="0" t="n">
        <v>58</v>
      </c>
      <c r="R139" s="0" t="n">
        <v>253.634302668173</v>
      </c>
      <c r="S139" s="0" t="n">
        <v>354.492399775138</v>
      </c>
      <c r="T139" s="0" t="n">
        <v>21</v>
      </c>
      <c r="U139" s="0" t="n">
        <v>27</v>
      </c>
      <c r="V139" s="0" t="n">
        <v>12.0778181852377</v>
      </c>
      <c r="W139" s="0" t="n">
        <v>13.1292995127847</v>
      </c>
      <c r="X139" s="0" t="n">
        <v>1.84374871434227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  <c r="AF139" s="0" t="n">
        <v>31.1789500391617</v>
      </c>
      <c r="AG139" s="0" t="n">
        <v>0</v>
      </c>
      <c r="AH139" s="0" t="n">
        <v>0</v>
      </c>
      <c r="AI139" s="0" t="n">
        <v>0</v>
      </c>
      <c r="AK139" s="0" t="n">
        <f aca="false">A139</f>
        <v>122</v>
      </c>
      <c r="AL139" s="0" t="n">
        <v>0</v>
      </c>
      <c r="AM139" s="0" t="n">
        <v>1</v>
      </c>
      <c r="AO139" s="0" t="n">
        <v>122</v>
      </c>
      <c r="AP139" s="0" t="n">
        <v>0</v>
      </c>
      <c r="AQ139" s="0" t="n">
        <v>0.39940312961507</v>
      </c>
      <c r="AR139" s="0" t="n">
        <v>96.8596036835072</v>
      </c>
      <c r="AS139" s="0" t="n">
        <v>32</v>
      </c>
      <c r="AT139" s="0" t="n">
        <v>30</v>
      </c>
    </row>
    <row r="140" customFormat="false" ht="12" hidden="false" customHeight="false" outlineLevel="0" collapsed="false">
      <c r="A140" s="0" t="n">
        <v>123</v>
      </c>
      <c r="B140" s="0" t="n">
        <v>0</v>
      </c>
      <c r="C140" s="0" t="n">
        <v>2.18089802205634</v>
      </c>
      <c r="D140" s="0" t="n">
        <v>140.913307645405</v>
      </c>
      <c r="E140" s="0" t="n">
        <v>2</v>
      </c>
      <c r="F140" s="0" t="n">
        <v>2</v>
      </c>
      <c r="G140" s="0" t="n">
        <v>0.5</v>
      </c>
      <c r="H140" s="0" t="n">
        <v>0</v>
      </c>
      <c r="I140" s="0" t="n">
        <v>2.07894345321512</v>
      </c>
      <c r="J140" s="0" t="n">
        <v>142.99225109862</v>
      </c>
      <c r="K140" s="0" t="n">
        <v>2.07894345321512</v>
      </c>
      <c r="L140" s="0" t="n">
        <v>0</v>
      </c>
      <c r="M140" s="0" t="n">
        <v>140.913307645405</v>
      </c>
      <c r="N140" s="0" t="n">
        <v>0</v>
      </c>
      <c r="O140" s="0" t="n">
        <v>123</v>
      </c>
      <c r="P140" s="0" t="n">
        <v>65</v>
      </c>
      <c r="Q140" s="0" t="n">
        <v>58</v>
      </c>
      <c r="R140" s="0" t="n">
        <v>389.7602883876</v>
      </c>
      <c r="S140" s="0" t="n">
        <v>232.959760582771</v>
      </c>
      <c r="T140" s="0" t="n">
        <v>26</v>
      </c>
      <c r="U140" s="0" t="n">
        <v>22</v>
      </c>
      <c r="V140" s="0" t="n">
        <v>14.9907745569175</v>
      </c>
      <c r="W140" s="0" t="n">
        <v>10.5890318945264</v>
      </c>
      <c r="X140" s="0" t="n">
        <v>0</v>
      </c>
      <c r="Y140" s="0" t="n">
        <v>2.07894345321512</v>
      </c>
      <c r="Z140" s="0" t="n">
        <v>0</v>
      </c>
      <c r="AA140" s="0" t="n">
        <v>0</v>
      </c>
      <c r="AB140" s="0" t="n">
        <v>0</v>
      </c>
      <c r="AC140" s="0" t="n">
        <v>1</v>
      </c>
      <c r="AD140" s="0" t="n">
        <v>0</v>
      </c>
      <c r="AE140" s="0" t="n">
        <v>0</v>
      </c>
      <c r="AF140" s="0" t="n">
        <v>0</v>
      </c>
      <c r="AG140" s="0" t="n">
        <v>38.1888600394038</v>
      </c>
      <c r="AH140" s="0" t="n">
        <v>0</v>
      </c>
      <c r="AI140" s="0" t="n">
        <v>0</v>
      </c>
      <c r="AK140" s="0" t="n">
        <f aca="false">A140</f>
        <v>123</v>
      </c>
      <c r="AL140" s="0" t="n">
        <v>0</v>
      </c>
      <c r="AM140" s="0" t="n">
        <v>2</v>
      </c>
      <c r="AO140" s="0" t="n">
        <v>123</v>
      </c>
      <c r="AP140" s="0" t="n">
        <v>0</v>
      </c>
      <c r="AQ140" s="0" t="n">
        <v>1.59739416172498</v>
      </c>
      <c r="AR140" s="0" t="n">
        <v>98.4569978452322</v>
      </c>
      <c r="AS140" s="0" t="n">
        <v>32</v>
      </c>
      <c r="AT140" s="0" t="n">
        <v>28</v>
      </c>
    </row>
    <row r="141" customFormat="false" ht="12" hidden="false" customHeight="false" outlineLevel="0" collapsed="false">
      <c r="A141" s="0" t="n">
        <v>124</v>
      </c>
      <c r="B141" s="0" t="n">
        <v>1</v>
      </c>
      <c r="C141" s="0" t="n">
        <v>1.06038005689372</v>
      </c>
      <c r="D141" s="0" t="n">
        <v>141.973687702299</v>
      </c>
      <c r="E141" s="0" t="n">
        <v>4</v>
      </c>
      <c r="F141" s="0" t="n">
        <v>2</v>
      </c>
      <c r="G141" s="0" t="n">
        <v>0.5</v>
      </c>
      <c r="H141" s="0" t="n">
        <v>1</v>
      </c>
      <c r="I141" s="0" t="n">
        <v>0</v>
      </c>
      <c r="J141" s="0" t="n">
        <v>142.99225109862</v>
      </c>
      <c r="K141" s="0" t="n">
        <v>0</v>
      </c>
      <c r="L141" s="0" t="n">
        <v>2.09823928385562</v>
      </c>
      <c r="M141" s="0" t="n">
        <v>144.071926986155</v>
      </c>
      <c r="N141" s="0" t="n">
        <v>2.09823928385563</v>
      </c>
      <c r="O141" s="0" t="n">
        <v>124</v>
      </c>
      <c r="P141" s="0" t="n">
        <v>65</v>
      </c>
      <c r="Q141" s="0" t="n">
        <v>59</v>
      </c>
      <c r="R141" s="0" t="n">
        <v>290.112355913211</v>
      </c>
      <c r="S141" s="0" t="n">
        <v>333.877695016552</v>
      </c>
      <c r="T141" s="0" t="n">
        <v>23</v>
      </c>
      <c r="U141" s="0" t="n">
        <v>25</v>
      </c>
      <c r="V141" s="0" t="n">
        <v>12.6135752077156</v>
      </c>
      <c r="W141" s="0" t="n">
        <v>13.3550543804446</v>
      </c>
      <c r="X141" s="0" t="n">
        <v>0</v>
      </c>
      <c r="Y141" s="0" t="n">
        <v>0</v>
      </c>
      <c r="Z141" s="0" t="n">
        <v>2.09823928385563</v>
      </c>
      <c r="AA141" s="0" t="n">
        <v>0</v>
      </c>
      <c r="AB141" s="0" t="n">
        <v>0</v>
      </c>
      <c r="AC141" s="0" t="n">
        <v>0</v>
      </c>
      <c r="AD141" s="0" t="n">
        <v>1</v>
      </c>
      <c r="AE141" s="0" t="n">
        <v>0</v>
      </c>
      <c r="AF141" s="0" t="n">
        <v>0</v>
      </c>
      <c r="AG141" s="0" t="n">
        <v>0</v>
      </c>
      <c r="AH141" s="0" t="n">
        <v>32.1224151565235</v>
      </c>
      <c r="AI141" s="0" t="n">
        <v>0</v>
      </c>
      <c r="AK141" s="0" t="n">
        <f aca="false">A141</f>
        <v>124</v>
      </c>
      <c r="AL141" s="0" t="n">
        <v>1</v>
      </c>
      <c r="AM141" s="0" t="n">
        <v>2</v>
      </c>
      <c r="AO141" s="0" t="n">
        <v>124</v>
      </c>
      <c r="AP141" s="0" t="n">
        <v>1</v>
      </c>
      <c r="AQ141" s="0" t="n">
        <v>0.759499342539666</v>
      </c>
      <c r="AR141" s="0" t="n">
        <v>99.2164971877719</v>
      </c>
      <c r="AS141" s="0" t="n">
        <v>32</v>
      </c>
      <c r="AT141" s="0" t="n">
        <v>28</v>
      </c>
    </row>
    <row r="142" customFormat="false" ht="12" hidden="false" customHeight="false" outlineLevel="0" collapsed="false">
      <c r="A142" s="0" t="n">
        <v>125</v>
      </c>
      <c r="B142" s="0" t="n">
        <v>1</v>
      </c>
      <c r="C142" s="0" t="n">
        <v>0.67593348529752</v>
      </c>
      <c r="D142" s="0" t="n">
        <v>142.649621187597</v>
      </c>
      <c r="E142" s="0" t="n">
        <v>4</v>
      </c>
      <c r="F142" s="0" t="n">
        <v>4</v>
      </c>
      <c r="G142" s="0" t="n">
        <v>0.5</v>
      </c>
      <c r="H142" s="0" t="n">
        <v>1</v>
      </c>
      <c r="I142" s="0" t="n">
        <v>0</v>
      </c>
      <c r="J142" s="0" t="n">
        <v>142.99225109862</v>
      </c>
      <c r="K142" s="0" t="n">
        <v>0</v>
      </c>
      <c r="L142" s="0" t="n">
        <v>2.14927908759868</v>
      </c>
      <c r="M142" s="0" t="n">
        <v>146.221206073753</v>
      </c>
      <c r="N142" s="0" t="n">
        <v>3.57158488615679</v>
      </c>
      <c r="O142" s="0" t="n">
        <v>125</v>
      </c>
      <c r="P142" s="0" t="n">
        <v>65</v>
      </c>
      <c r="Q142" s="0" t="n">
        <v>60</v>
      </c>
      <c r="R142" s="0" t="n">
        <v>399.733325007209</v>
      </c>
      <c r="S142" s="0" t="n">
        <v>211.148914167304</v>
      </c>
      <c r="T142" s="0" t="n">
        <v>32</v>
      </c>
      <c r="U142" s="0" t="n">
        <v>16</v>
      </c>
      <c r="V142" s="0" t="n">
        <v>12.4916625028308</v>
      </c>
      <c r="W142" s="0" t="n">
        <v>13.1967246559274</v>
      </c>
      <c r="X142" s="0" t="n">
        <v>0</v>
      </c>
      <c r="Y142" s="0" t="n">
        <v>0</v>
      </c>
      <c r="Z142" s="0" t="n">
        <v>3.57158488615679</v>
      </c>
      <c r="AA142" s="0" t="n">
        <v>0</v>
      </c>
      <c r="AB142" s="0" t="n">
        <v>0</v>
      </c>
      <c r="AC142" s="0" t="n">
        <v>0</v>
      </c>
      <c r="AD142" s="0" t="n">
        <v>1</v>
      </c>
      <c r="AE142" s="0" t="n">
        <v>0</v>
      </c>
      <c r="AF142" s="0" t="n">
        <v>0</v>
      </c>
      <c r="AG142" s="0" t="n">
        <v>0</v>
      </c>
      <c r="AH142" s="0" t="n">
        <v>17.5923067765968</v>
      </c>
      <c r="AI142" s="0" t="n">
        <v>0</v>
      </c>
      <c r="AK142" s="0" t="n">
        <f aca="false">A142</f>
        <v>125</v>
      </c>
      <c r="AL142" s="0" t="n">
        <v>0</v>
      </c>
      <c r="AM142" s="0" t="n">
        <v>0</v>
      </c>
      <c r="AO142" s="0" t="n">
        <v>125</v>
      </c>
      <c r="AP142" s="0" t="n">
        <v>0</v>
      </c>
      <c r="AQ142" s="0" t="n">
        <v>0.73220494534447</v>
      </c>
      <c r="AR142" s="0" t="n">
        <v>99.9487021331163</v>
      </c>
      <c r="AS142" s="0" t="n">
        <v>30</v>
      </c>
      <c r="AT142" s="0" t="n">
        <v>30</v>
      </c>
    </row>
    <row r="143" customFormat="false" ht="12" hidden="false" customHeight="false" outlineLevel="0" collapsed="false">
      <c r="A143" s="0" t="n">
        <v>126</v>
      </c>
      <c r="B143" s="0" t="n">
        <v>1</v>
      </c>
      <c r="C143" s="0" t="n">
        <v>1.59432194044106</v>
      </c>
      <c r="D143" s="0" t="n">
        <v>144.243943128038</v>
      </c>
      <c r="E143" s="0" t="n">
        <v>2</v>
      </c>
      <c r="F143" s="0" t="n">
        <v>4</v>
      </c>
      <c r="G143" s="0" t="n">
        <v>0.5</v>
      </c>
      <c r="H143" s="0" t="n">
        <v>0</v>
      </c>
      <c r="I143" s="0" t="n">
        <v>1.88834509627945</v>
      </c>
      <c r="J143" s="0" t="n">
        <v>146.132288224317</v>
      </c>
      <c r="K143" s="0" t="n">
        <v>1.88834509627947</v>
      </c>
      <c r="L143" s="0" t="n">
        <v>0</v>
      </c>
      <c r="M143" s="0" t="n">
        <v>146.221206073753</v>
      </c>
      <c r="N143" s="0" t="n">
        <v>0</v>
      </c>
      <c r="O143" s="0" t="n">
        <v>126</v>
      </c>
      <c r="P143" s="0" t="n">
        <v>66</v>
      </c>
      <c r="Q143" s="0" t="n">
        <v>60</v>
      </c>
      <c r="R143" s="0" t="n">
        <v>258.559482280022</v>
      </c>
      <c r="S143" s="0" t="n">
        <v>372.819637076671</v>
      </c>
      <c r="T143" s="0" t="n">
        <v>21</v>
      </c>
      <c r="U143" s="0" t="n">
        <v>27</v>
      </c>
      <c r="V143" s="0" t="n">
        <v>12.3123504360247</v>
      </c>
      <c r="W143" s="0" t="n">
        <v>13.8080835654931</v>
      </c>
      <c r="X143" s="0" t="n">
        <v>1.88834509627947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  <c r="AF143" s="0" t="n">
        <v>30.682903302421</v>
      </c>
      <c r="AG143" s="0" t="n">
        <v>0</v>
      </c>
      <c r="AH143" s="0" t="n">
        <v>0</v>
      </c>
      <c r="AI143" s="0" t="n">
        <v>0</v>
      </c>
      <c r="AK143" s="0" t="n">
        <f aca="false">A143</f>
        <v>126</v>
      </c>
      <c r="AL143" s="0" t="n">
        <v>1</v>
      </c>
      <c r="AM143" s="0" t="n">
        <v>1</v>
      </c>
      <c r="AO143" s="0" t="n">
        <v>126</v>
      </c>
      <c r="AP143" s="0" t="n">
        <v>0</v>
      </c>
      <c r="AQ143" s="0" t="n">
        <v>0.83629293249873</v>
      </c>
      <c r="AR143" s="0" t="n">
        <v>100.784995065615</v>
      </c>
      <c r="AS143" s="0" t="n">
        <v>30</v>
      </c>
      <c r="AT143" s="0" t="n">
        <v>32</v>
      </c>
    </row>
    <row r="144" customFormat="false" ht="12" hidden="false" customHeight="false" outlineLevel="0" collapsed="false">
      <c r="A144" s="0" t="n">
        <v>127</v>
      </c>
      <c r="B144" s="0" t="n">
        <v>0</v>
      </c>
      <c r="C144" s="0" t="n">
        <v>0.711233828855068</v>
      </c>
      <c r="D144" s="0" t="n">
        <v>144.955176956893</v>
      </c>
      <c r="E144" s="0" t="n">
        <v>4</v>
      </c>
      <c r="F144" s="0" t="n">
        <v>4</v>
      </c>
      <c r="G144" s="0" t="n">
        <v>0.5</v>
      </c>
      <c r="H144" s="0" t="n">
        <v>0</v>
      </c>
      <c r="I144" s="0" t="n">
        <v>1.9809173338972</v>
      </c>
      <c r="J144" s="0" t="n">
        <v>148.113205558214</v>
      </c>
      <c r="K144" s="0" t="n">
        <v>3.1580286013216</v>
      </c>
      <c r="L144" s="0" t="n">
        <v>0</v>
      </c>
      <c r="M144" s="0" t="n">
        <v>146.221206073753</v>
      </c>
      <c r="N144" s="0" t="n">
        <v>0</v>
      </c>
      <c r="O144" s="0" t="n">
        <v>127</v>
      </c>
      <c r="P144" s="0" t="n">
        <v>67</v>
      </c>
      <c r="Q144" s="0" t="n">
        <v>60</v>
      </c>
      <c r="R144" s="0" t="n">
        <v>276.794917336044</v>
      </c>
      <c r="S144" s="0" t="n">
        <v>349.936113897035</v>
      </c>
      <c r="T144" s="0" t="n">
        <v>20</v>
      </c>
      <c r="U144" s="0" t="n">
        <v>28</v>
      </c>
      <c r="V144" s="0" t="n">
        <v>13.8397389469327</v>
      </c>
      <c r="W144" s="0" t="n">
        <v>12.4976737189166</v>
      </c>
      <c r="X144" s="0" t="n">
        <v>0</v>
      </c>
      <c r="Y144" s="0" t="n">
        <v>3.1580286013216</v>
      </c>
      <c r="Z144" s="0" t="n">
        <v>0</v>
      </c>
      <c r="AA144" s="0" t="n">
        <v>0</v>
      </c>
      <c r="AB144" s="0" t="n">
        <v>0</v>
      </c>
      <c r="AC144" s="0" t="n">
        <v>1</v>
      </c>
      <c r="AD144" s="0" t="n">
        <v>0</v>
      </c>
      <c r="AE144" s="0" t="n">
        <v>0</v>
      </c>
      <c r="AF144" s="0" t="n">
        <v>0</v>
      </c>
      <c r="AG144" s="0" t="n">
        <v>26.0164104898501</v>
      </c>
      <c r="AH144" s="0" t="n">
        <v>0</v>
      </c>
      <c r="AI144" s="0" t="n">
        <v>0</v>
      </c>
      <c r="AK144" s="0" t="n">
        <f aca="false">A144</f>
        <v>127</v>
      </c>
      <c r="AL144" s="0" t="n">
        <v>0</v>
      </c>
      <c r="AM144" s="0" t="n">
        <v>2</v>
      </c>
      <c r="AO144" s="0" t="n">
        <v>127</v>
      </c>
      <c r="AP144" s="0" t="n">
        <v>1</v>
      </c>
      <c r="AQ144" s="0" t="n">
        <v>1.21091988028783</v>
      </c>
      <c r="AR144" s="0" t="n">
        <v>101.995914945903</v>
      </c>
      <c r="AS144" s="0" t="n">
        <v>28</v>
      </c>
      <c r="AT144" s="0" t="n">
        <v>32</v>
      </c>
    </row>
    <row r="145" customFormat="false" ht="12" hidden="false" customHeight="false" outlineLevel="0" collapsed="false">
      <c r="A145" s="0" t="n">
        <v>128</v>
      </c>
      <c r="B145" s="0" t="n">
        <v>1</v>
      </c>
      <c r="C145" s="0" t="n">
        <v>1.09444211068874</v>
      </c>
      <c r="D145" s="0" t="n">
        <v>146.049619067581</v>
      </c>
      <c r="E145" s="0" t="n">
        <v>6</v>
      </c>
      <c r="F145" s="0" t="n">
        <v>4</v>
      </c>
      <c r="G145" s="0" t="n">
        <v>0.5</v>
      </c>
      <c r="H145" s="0" t="n">
        <v>1</v>
      </c>
      <c r="I145" s="0" t="n">
        <v>0</v>
      </c>
      <c r="J145" s="0" t="n">
        <v>148.113205558214</v>
      </c>
      <c r="K145" s="0" t="n">
        <v>0</v>
      </c>
      <c r="L145" s="0" t="n">
        <v>1.90052290643843</v>
      </c>
      <c r="M145" s="0" t="n">
        <v>148.121728980192</v>
      </c>
      <c r="N145" s="0" t="n">
        <v>2.07210991261036</v>
      </c>
      <c r="O145" s="0" t="n">
        <v>128</v>
      </c>
      <c r="P145" s="0" t="n">
        <v>67</v>
      </c>
      <c r="Q145" s="0" t="n">
        <v>61</v>
      </c>
      <c r="R145" s="0" t="n">
        <v>278.229508822086</v>
      </c>
      <c r="S145" s="0" t="n">
        <v>339.343698734337</v>
      </c>
      <c r="T145" s="0" t="n">
        <v>19</v>
      </c>
      <c r="U145" s="0" t="n">
        <v>29</v>
      </c>
      <c r="V145" s="0" t="n">
        <v>14.6436506518726</v>
      </c>
      <c r="W145" s="0" t="n">
        <v>11.7014665030237</v>
      </c>
      <c r="X145" s="0" t="n">
        <v>0</v>
      </c>
      <c r="Y145" s="0" t="n">
        <v>0</v>
      </c>
      <c r="Z145" s="0" t="n">
        <v>2.07210991261036</v>
      </c>
      <c r="AA145" s="0" t="n">
        <v>0</v>
      </c>
      <c r="AB145" s="0" t="n">
        <v>0</v>
      </c>
      <c r="AC145" s="0" t="n">
        <v>0</v>
      </c>
      <c r="AD145" s="0" t="n">
        <v>1</v>
      </c>
      <c r="AE145" s="0" t="n">
        <v>0</v>
      </c>
      <c r="AF145" s="0" t="n">
        <v>0</v>
      </c>
      <c r="AG145" s="0" t="n">
        <v>0</v>
      </c>
      <c r="AH145" s="0" t="n">
        <v>32.4192828937858</v>
      </c>
      <c r="AI145" s="0" t="n">
        <v>0</v>
      </c>
      <c r="AK145" s="0" t="n">
        <f aca="false">A145</f>
        <v>128</v>
      </c>
      <c r="AL145" s="0" t="n">
        <v>1</v>
      </c>
      <c r="AM145" s="0" t="n">
        <v>1</v>
      </c>
      <c r="AO145" s="0" t="n">
        <v>128</v>
      </c>
      <c r="AP145" s="0" t="n">
        <v>1</v>
      </c>
      <c r="AQ145" s="0" t="n">
        <v>3.15288516090902</v>
      </c>
      <c r="AR145" s="0" t="n">
        <v>105.148800106812</v>
      </c>
      <c r="AS145" s="0" t="n">
        <v>28</v>
      </c>
      <c r="AT145" s="0" t="n">
        <v>30</v>
      </c>
    </row>
    <row r="146" customFormat="false" ht="12" hidden="false" customHeight="false" outlineLevel="0" collapsed="false">
      <c r="A146" s="0" t="n">
        <v>129</v>
      </c>
      <c r="B146" s="0" t="n">
        <v>0</v>
      </c>
      <c r="C146" s="0" t="n">
        <v>0.0351918463359029</v>
      </c>
      <c r="D146" s="0" t="n">
        <v>146.084810913917</v>
      </c>
      <c r="E146" s="0" t="n">
        <v>6</v>
      </c>
      <c r="F146" s="0" t="n">
        <v>6</v>
      </c>
      <c r="G146" s="0" t="n">
        <v>0.5</v>
      </c>
      <c r="H146" s="0" t="n">
        <v>0</v>
      </c>
      <c r="I146" s="0" t="n">
        <v>1.91052020591972</v>
      </c>
      <c r="J146" s="0" t="n">
        <v>150.023725764134</v>
      </c>
      <c r="K146" s="0" t="n">
        <v>3.93891485021669</v>
      </c>
      <c r="L146" s="0" t="n">
        <v>0</v>
      </c>
      <c r="M146" s="0" t="n">
        <v>148.121728980192</v>
      </c>
      <c r="N146" s="0" t="n">
        <v>0</v>
      </c>
      <c r="O146" s="0" t="n">
        <v>129</v>
      </c>
      <c r="P146" s="0" t="n">
        <v>68</v>
      </c>
      <c r="Q146" s="0" t="n">
        <v>61</v>
      </c>
      <c r="R146" s="0" t="n">
        <v>329.225154558635</v>
      </c>
      <c r="S146" s="0" t="n">
        <v>287.374163745265</v>
      </c>
      <c r="T146" s="0" t="n">
        <v>27</v>
      </c>
      <c r="U146" s="0" t="n">
        <v>21</v>
      </c>
      <c r="V146" s="0" t="n">
        <v>12.193519726794</v>
      </c>
      <c r="W146" s="0" t="n">
        <v>13.6844188239706</v>
      </c>
      <c r="X146" s="0" t="n">
        <v>0</v>
      </c>
      <c r="Y146" s="0" t="n">
        <v>3.93891485021669</v>
      </c>
      <c r="Z146" s="0" t="n">
        <v>0</v>
      </c>
      <c r="AA146" s="0" t="n">
        <v>0</v>
      </c>
      <c r="AB146" s="0" t="n">
        <v>0</v>
      </c>
      <c r="AC146" s="0" t="n">
        <v>1</v>
      </c>
      <c r="AD146" s="0" t="n">
        <v>0</v>
      </c>
      <c r="AE146" s="0" t="n">
        <v>0</v>
      </c>
      <c r="AF146" s="0" t="n">
        <v>0</v>
      </c>
      <c r="AG146" s="0" t="n">
        <v>18.6601726034668</v>
      </c>
      <c r="AH146" s="0" t="n">
        <v>0</v>
      </c>
      <c r="AI146" s="0" t="n">
        <v>0</v>
      </c>
      <c r="AK146" s="0" t="n">
        <f aca="false">A146</f>
        <v>129</v>
      </c>
      <c r="AL146" s="0" t="n">
        <v>0</v>
      </c>
      <c r="AM146" s="0" t="n">
        <v>0</v>
      </c>
      <c r="AO146" s="0" t="n">
        <v>129</v>
      </c>
      <c r="AP146" s="0" t="n">
        <v>0</v>
      </c>
      <c r="AQ146" s="0" t="n">
        <v>0.0196047537723081</v>
      </c>
      <c r="AR146" s="0" t="n">
        <v>105.168404860584</v>
      </c>
      <c r="AS146" s="0" t="n">
        <v>30</v>
      </c>
      <c r="AT146" s="0" t="n">
        <v>30</v>
      </c>
    </row>
    <row r="147" customFormat="false" ht="12" hidden="false" customHeight="false" outlineLevel="0" collapsed="false">
      <c r="A147" s="0" t="n">
        <v>130</v>
      </c>
      <c r="B147" s="0" t="n">
        <v>0</v>
      </c>
      <c r="C147" s="0" t="n">
        <v>0.931359831062735</v>
      </c>
      <c r="D147" s="0" t="n">
        <v>147.01617074498</v>
      </c>
      <c r="E147" s="0" t="n">
        <v>6</v>
      </c>
      <c r="F147" s="0" t="n">
        <v>4</v>
      </c>
      <c r="G147" s="0" t="n">
        <v>0.5</v>
      </c>
      <c r="H147" s="0" t="n">
        <v>1</v>
      </c>
      <c r="I147" s="0" t="n">
        <v>0</v>
      </c>
      <c r="J147" s="0" t="n">
        <v>150.023725764134</v>
      </c>
      <c r="K147" s="0" t="n">
        <v>0</v>
      </c>
      <c r="L147" s="0" t="n">
        <v>1.87705743474101</v>
      </c>
      <c r="M147" s="0" t="n">
        <v>149.998786414933</v>
      </c>
      <c r="N147" s="0" t="n">
        <v>2.98261566995274</v>
      </c>
      <c r="O147" s="0" t="n">
        <v>130</v>
      </c>
      <c r="P147" s="0" t="n">
        <v>68</v>
      </c>
      <c r="Q147" s="0" t="n">
        <v>62</v>
      </c>
      <c r="R147" s="0" t="n">
        <v>352.51589716016</v>
      </c>
      <c r="S147" s="0" t="n">
        <v>273.538737579544</v>
      </c>
      <c r="T147" s="0" t="n">
        <v>27</v>
      </c>
      <c r="U147" s="0" t="n">
        <v>21</v>
      </c>
      <c r="V147" s="0" t="n">
        <v>13.056139503658</v>
      </c>
      <c r="W147" s="0" t="n">
        <v>13.0255921438252</v>
      </c>
      <c r="X147" s="0" t="n">
        <v>0</v>
      </c>
      <c r="Y147" s="0" t="n">
        <v>0</v>
      </c>
      <c r="Z147" s="0" t="n">
        <v>0</v>
      </c>
      <c r="AA147" s="0" t="n">
        <v>2.98261566995274</v>
      </c>
      <c r="AB147" s="0" t="n">
        <v>0</v>
      </c>
      <c r="AC147" s="0" t="n">
        <v>0</v>
      </c>
      <c r="AD147" s="0" t="n">
        <v>0</v>
      </c>
      <c r="AE147" s="0" t="n">
        <v>1</v>
      </c>
      <c r="AF147" s="0" t="n">
        <v>0</v>
      </c>
      <c r="AG147" s="0" t="n">
        <v>0</v>
      </c>
      <c r="AH147" s="0" t="n">
        <v>0</v>
      </c>
      <c r="AI147" s="0" t="n">
        <v>22.5509598509351</v>
      </c>
      <c r="AK147" s="0" t="n">
        <f aca="false">A147</f>
        <v>130</v>
      </c>
      <c r="AL147" s="0" t="n">
        <v>1</v>
      </c>
      <c r="AM147" s="0" t="n">
        <v>0</v>
      </c>
      <c r="AO147" s="0" t="n">
        <v>130</v>
      </c>
      <c r="AP147" s="0" t="n">
        <v>1</v>
      </c>
      <c r="AQ147" s="0" t="n">
        <v>0.221511939196005</v>
      </c>
      <c r="AR147" s="0" t="n">
        <v>105.38991679978</v>
      </c>
      <c r="AS147" s="0" t="n">
        <v>30</v>
      </c>
      <c r="AT147" s="0" t="n">
        <v>30</v>
      </c>
    </row>
    <row r="148" customFormat="false" ht="12" hidden="false" customHeight="false" outlineLevel="0" collapsed="false">
      <c r="A148" s="0" t="n">
        <v>131</v>
      </c>
      <c r="B148" s="0" t="n">
        <v>0</v>
      </c>
      <c r="C148" s="0" t="n">
        <v>1.39570831563594</v>
      </c>
      <c r="D148" s="0" t="n">
        <v>148.411879060616</v>
      </c>
      <c r="E148" s="0" t="n">
        <v>4</v>
      </c>
      <c r="F148" s="0" t="n">
        <v>4</v>
      </c>
      <c r="G148" s="0" t="n">
        <v>0.5</v>
      </c>
      <c r="H148" s="0" t="n">
        <v>0</v>
      </c>
      <c r="I148" s="0" t="n">
        <v>2.16302019713962</v>
      </c>
      <c r="J148" s="0" t="n">
        <v>152.186745961274</v>
      </c>
      <c r="K148" s="0" t="n">
        <v>3.77486690065763</v>
      </c>
      <c r="L148" s="0" t="n">
        <v>0</v>
      </c>
      <c r="M148" s="0" t="n">
        <v>149.998786414933</v>
      </c>
      <c r="N148" s="0" t="n">
        <v>0</v>
      </c>
      <c r="O148" s="0" t="n">
        <v>131</v>
      </c>
      <c r="P148" s="0" t="n">
        <v>69</v>
      </c>
      <c r="Q148" s="0" t="n">
        <v>62</v>
      </c>
      <c r="R148" s="0" t="n">
        <v>301.834779327975</v>
      </c>
      <c r="S148" s="0" t="n">
        <v>327.511956782407</v>
      </c>
      <c r="T148" s="0" t="n">
        <v>24</v>
      </c>
      <c r="U148" s="0" t="n">
        <v>24</v>
      </c>
      <c r="V148" s="0" t="n">
        <v>12.5764438984806</v>
      </c>
      <c r="W148" s="0" t="n">
        <v>13.6462746731225</v>
      </c>
      <c r="X148" s="0" t="n">
        <v>0</v>
      </c>
      <c r="Y148" s="0" t="n">
        <v>3.77486690065763</v>
      </c>
      <c r="Z148" s="0" t="n">
        <v>0</v>
      </c>
      <c r="AA148" s="0" t="n">
        <v>0</v>
      </c>
      <c r="AB148" s="0" t="n">
        <v>0</v>
      </c>
      <c r="AC148" s="0" t="n">
        <v>1</v>
      </c>
      <c r="AD148" s="0" t="n">
        <v>0</v>
      </c>
      <c r="AE148" s="0" t="n">
        <v>0</v>
      </c>
      <c r="AF148" s="0" t="n">
        <v>0</v>
      </c>
      <c r="AG148" s="0" t="n">
        <v>20.1043740315927</v>
      </c>
      <c r="AH148" s="0" t="n">
        <v>0</v>
      </c>
      <c r="AI148" s="0" t="n">
        <v>0</v>
      </c>
      <c r="AK148" s="0" t="n">
        <f aca="false">A148</f>
        <v>131</v>
      </c>
      <c r="AL148" s="0" t="n">
        <v>0</v>
      </c>
      <c r="AM148" s="0" t="n">
        <v>2</v>
      </c>
      <c r="AO148" s="0" t="n">
        <v>131</v>
      </c>
      <c r="AP148" s="0" t="n">
        <v>0</v>
      </c>
      <c r="AQ148" s="0" t="n">
        <v>0.772085847432814</v>
      </c>
      <c r="AR148" s="0" t="n">
        <v>106.162002647213</v>
      </c>
      <c r="AS148" s="0" t="n">
        <v>28</v>
      </c>
      <c r="AT148" s="0" t="n">
        <v>32</v>
      </c>
    </row>
    <row r="149" customFormat="false" ht="12" hidden="false" customHeight="false" outlineLevel="0" collapsed="false">
      <c r="A149" s="0" t="n">
        <v>132</v>
      </c>
      <c r="B149" s="0" t="n">
        <v>1</v>
      </c>
      <c r="C149" s="0" t="n">
        <v>3.67345354588716</v>
      </c>
      <c r="D149" s="0" t="n">
        <v>152.085332606503</v>
      </c>
      <c r="E149" s="0" t="n">
        <v>4</v>
      </c>
      <c r="F149" s="0" t="n">
        <v>2</v>
      </c>
      <c r="G149" s="0" t="n">
        <v>0.5</v>
      </c>
      <c r="H149" s="0" t="n">
        <v>1</v>
      </c>
      <c r="I149" s="0" t="n">
        <v>0</v>
      </c>
      <c r="J149" s="0" t="n">
        <v>152.186745961274</v>
      </c>
      <c r="K149" s="0" t="n">
        <v>0</v>
      </c>
      <c r="L149" s="0" t="n">
        <v>1.78328194781207</v>
      </c>
      <c r="M149" s="0" t="n">
        <v>153.868614554315</v>
      </c>
      <c r="N149" s="0" t="n">
        <v>1.78328194781207</v>
      </c>
      <c r="O149" s="0" t="n">
        <v>132</v>
      </c>
      <c r="P149" s="0" t="n">
        <v>69</v>
      </c>
      <c r="Q149" s="0" t="n">
        <v>63</v>
      </c>
      <c r="R149" s="0" t="n">
        <v>303.760354962663</v>
      </c>
      <c r="S149" s="0" t="n">
        <v>330.236648276633</v>
      </c>
      <c r="T149" s="0" t="n">
        <v>22</v>
      </c>
      <c r="U149" s="0" t="n">
        <v>26</v>
      </c>
      <c r="V149" s="0" t="n">
        <v>13.8072825859017</v>
      </c>
      <c r="W149" s="0" t="n">
        <v>12.701360697714</v>
      </c>
      <c r="X149" s="0" t="n">
        <v>0</v>
      </c>
      <c r="Y149" s="0" t="n">
        <v>0</v>
      </c>
      <c r="Z149" s="0" t="n">
        <v>1.78328194781207</v>
      </c>
      <c r="AA149" s="0" t="n">
        <v>0</v>
      </c>
      <c r="AB149" s="0" t="n">
        <v>0</v>
      </c>
      <c r="AC149" s="0" t="n">
        <v>0</v>
      </c>
      <c r="AD149" s="0" t="n">
        <v>1</v>
      </c>
      <c r="AE149" s="0" t="n">
        <v>0</v>
      </c>
      <c r="AF149" s="0" t="n">
        <v>0</v>
      </c>
      <c r="AG149" s="0" t="n">
        <v>0</v>
      </c>
      <c r="AH149" s="0" t="n">
        <v>35.7917579867562</v>
      </c>
      <c r="AI149" s="0" t="n">
        <v>0</v>
      </c>
      <c r="AK149" s="0" t="n">
        <f aca="false">A149</f>
        <v>132</v>
      </c>
      <c r="AL149" s="0" t="n">
        <v>1</v>
      </c>
      <c r="AM149" s="0" t="n">
        <v>3</v>
      </c>
      <c r="AO149" s="0" t="n">
        <v>132</v>
      </c>
      <c r="AP149" s="0" t="n">
        <v>0</v>
      </c>
      <c r="AQ149" s="0" t="n">
        <v>0.729014086230166</v>
      </c>
      <c r="AR149" s="0" t="n">
        <v>106.891016733443</v>
      </c>
      <c r="AS149" s="0" t="n">
        <v>28</v>
      </c>
      <c r="AT149" s="0" t="n">
        <v>34</v>
      </c>
    </row>
    <row r="150" customFormat="false" ht="12" hidden="false" customHeight="false" outlineLevel="0" collapsed="false">
      <c r="A150" s="0" t="n">
        <v>133</v>
      </c>
      <c r="B150" s="0" t="n">
        <v>0</v>
      </c>
      <c r="C150" s="0" t="n">
        <v>0.485566519174558</v>
      </c>
      <c r="D150" s="0" t="n">
        <v>152.570899125678</v>
      </c>
      <c r="E150" s="0" t="n">
        <v>2</v>
      </c>
      <c r="F150" s="0" t="n">
        <v>4</v>
      </c>
      <c r="G150" s="0" t="n">
        <v>0.5</v>
      </c>
      <c r="H150" s="0" t="n">
        <v>0</v>
      </c>
      <c r="I150" s="0" t="n">
        <v>2.00685274990089</v>
      </c>
      <c r="J150" s="0" t="n">
        <v>154.577751875579</v>
      </c>
      <c r="K150" s="0" t="n">
        <v>2.00685274990087</v>
      </c>
      <c r="L150" s="0" t="n">
        <v>0</v>
      </c>
      <c r="M150" s="0" t="n">
        <v>153.868614554315</v>
      </c>
      <c r="N150" s="0" t="n">
        <v>0</v>
      </c>
      <c r="O150" s="0" t="n">
        <v>133</v>
      </c>
      <c r="P150" s="0" t="n">
        <v>70</v>
      </c>
      <c r="Q150" s="0" t="n">
        <v>63</v>
      </c>
      <c r="R150" s="0" t="n">
        <v>295.881806474505</v>
      </c>
      <c r="S150" s="0" t="n">
        <v>329.447024907646</v>
      </c>
      <c r="T150" s="0" t="n">
        <v>22</v>
      </c>
      <c r="U150" s="0" t="n">
        <v>26</v>
      </c>
      <c r="V150" s="0" t="n">
        <v>13.4491669083107</v>
      </c>
      <c r="W150" s="0" t="n">
        <v>12.6709906849453</v>
      </c>
      <c r="X150" s="0" t="n">
        <v>0</v>
      </c>
      <c r="Y150" s="0" t="n">
        <v>2.00685274990087</v>
      </c>
      <c r="Z150" s="0" t="n">
        <v>0</v>
      </c>
      <c r="AA150" s="0" t="n">
        <v>0</v>
      </c>
      <c r="AB150" s="0" t="n">
        <v>0</v>
      </c>
      <c r="AC150" s="0" t="n">
        <v>1</v>
      </c>
      <c r="AD150" s="0" t="n">
        <v>0</v>
      </c>
      <c r="AE150" s="0" t="n">
        <v>0</v>
      </c>
      <c r="AF150" s="0" t="n">
        <v>0</v>
      </c>
      <c r="AG150" s="0" t="n">
        <v>39.0850569067003</v>
      </c>
      <c r="AH150" s="0" t="n">
        <v>0</v>
      </c>
      <c r="AI150" s="0" t="n">
        <v>0</v>
      </c>
      <c r="AK150" s="0" t="n">
        <f aca="false">A150</f>
        <v>133</v>
      </c>
      <c r="AL150" s="0" t="n">
        <v>1</v>
      </c>
      <c r="AM150" s="0" t="n">
        <v>2</v>
      </c>
      <c r="AO150" s="0" t="n">
        <v>133</v>
      </c>
      <c r="AP150" s="0" t="n">
        <v>1</v>
      </c>
      <c r="AQ150" s="0" t="n">
        <v>0.0385408106565854</v>
      </c>
      <c r="AR150" s="0" t="n">
        <v>106.9295575441</v>
      </c>
      <c r="AS150" s="0" t="n">
        <v>30</v>
      </c>
      <c r="AT150" s="0" t="n">
        <v>34</v>
      </c>
    </row>
    <row r="151" customFormat="false" ht="12" hidden="false" customHeight="false" outlineLevel="0" collapsed="false">
      <c r="A151" s="0" t="n">
        <v>134</v>
      </c>
      <c r="B151" s="0" t="n">
        <v>1</v>
      </c>
      <c r="C151" s="0" t="n">
        <v>2.10909172229834</v>
      </c>
      <c r="D151" s="0" t="n">
        <v>154.679990847976</v>
      </c>
      <c r="E151" s="0" t="n">
        <v>2</v>
      </c>
      <c r="F151" s="0" t="n">
        <v>2</v>
      </c>
      <c r="G151" s="0" t="n">
        <v>0.5</v>
      </c>
      <c r="H151" s="0" t="n">
        <v>1</v>
      </c>
      <c r="I151" s="0" t="n">
        <v>0</v>
      </c>
      <c r="J151" s="0" t="n">
        <v>154.679990847976</v>
      </c>
      <c r="K151" s="0" t="n">
        <v>0</v>
      </c>
      <c r="L151" s="0" t="n">
        <v>1.90923405008208</v>
      </c>
      <c r="M151" s="0" t="n">
        <v>156.589224898058</v>
      </c>
      <c r="N151" s="0" t="n">
        <v>1.90923405008209</v>
      </c>
      <c r="O151" s="0" t="n">
        <v>134</v>
      </c>
      <c r="P151" s="0" t="n">
        <v>70</v>
      </c>
      <c r="Q151" s="0" t="n">
        <v>64</v>
      </c>
      <c r="R151" s="0" t="n">
        <v>425.267316054981</v>
      </c>
      <c r="S151" s="0" t="n">
        <v>205.087019377132</v>
      </c>
      <c r="T151" s="0" t="n">
        <v>33</v>
      </c>
      <c r="U151" s="0" t="n">
        <v>15</v>
      </c>
      <c r="V151" s="0" t="n">
        <v>12.8868844601859</v>
      </c>
      <c r="W151" s="0" t="n">
        <v>13.6723768092967</v>
      </c>
      <c r="X151" s="0" t="n">
        <v>0</v>
      </c>
      <c r="Y151" s="0" t="n">
        <v>0</v>
      </c>
      <c r="Z151" s="0" t="n">
        <v>1.90923405008209</v>
      </c>
      <c r="AA151" s="0" t="n">
        <v>0</v>
      </c>
      <c r="AB151" s="0" t="n">
        <v>0</v>
      </c>
      <c r="AC151" s="0" t="n">
        <v>0</v>
      </c>
      <c r="AD151" s="0" t="n">
        <v>1</v>
      </c>
      <c r="AE151" s="0" t="n">
        <v>0</v>
      </c>
      <c r="AF151" s="0" t="n">
        <v>0</v>
      </c>
      <c r="AG151" s="0" t="n">
        <v>0</v>
      </c>
      <c r="AH151" s="0" t="n">
        <v>34.3005744514438</v>
      </c>
      <c r="AI151" s="0" t="n">
        <v>0</v>
      </c>
      <c r="AK151" s="0" t="n">
        <f aca="false">A151</f>
        <v>134</v>
      </c>
      <c r="AL151" s="0" t="n">
        <v>0</v>
      </c>
      <c r="AM151" s="0" t="n">
        <v>1</v>
      </c>
      <c r="AO151" s="0" t="n">
        <v>134</v>
      </c>
      <c r="AP151" s="0" t="n">
        <v>1</v>
      </c>
      <c r="AQ151" s="0" t="n">
        <v>0.030592741188191</v>
      </c>
      <c r="AR151" s="0" t="n">
        <v>106.960150285288</v>
      </c>
      <c r="AS151" s="0" t="n">
        <v>32</v>
      </c>
      <c r="AT151" s="0" t="n">
        <v>34</v>
      </c>
    </row>
    <row r="152" customFormat="false" ht="12" hidden="false" customHeight="false" outlineLevel="0" collapsed="false">
      <c r="A152" s="0" t="n">
        <v>135</v>
      </c>
      <c r="B152" s="0" t="n">
        <v>0</v>
      </c>
      <c r="C152" s="0" t="n">
        <v>0.0821016121232137</v>
      </c>
      <c r="D152" s="0" t="n">
        <v>154.762092460099</v>
      </c>
      <c r="E152" s="0" t="n">
        <v>2</v>
      </c>
      <c r="F152" s="0" t="n">
        <v>4</v>
      </c>
      <c r="G152" s="0" t="n">
        <v>0.5</v>
      </c>
      <c r="H152" s="0" t="n">
        <v>0</v>
      </c>
      <c r="I152" s="0" t="n">
        <v>1.83170019568935</v>
      </c>
      <c r="J152" s="0" t="n">
        <v>156.593792655789</v>
      </c>
      <c r="K152" s="0" t="n">
        <v>1.83170019568936</v>
      </c>
      <c r="L152" s="0" t="n">
        <v>0</v>
      </c>
      <c r="M152" s="0" t="n">
        <v>156.589224898058</v>
      </c>
      <c r="N152" s="0" t="n">
        <v>0</v>
      </c>
      <c r="O152" s="0" t="n">
        <v>135</v>
      </c>
      <c r="P152" s="0" t="n">
        <v>71</v>
      </c>
      <c r="Q152" s="0" t="n">
        <v>64</v>
      </c>
      <c r="R152" s="0" t="n">
        <v>257.614443225898</v>
      </c>
      <c r="S152" s="0" t="n">
        <v>358.080244373504</v>
      </c>
      <c r="T152" s="0" t="n">
        <v>21</v>
      </c>
      <c r="U152" s="0" t="n">
        <v>27</v>
      </c>
      <c r="V152" s="0" t="n">
        <v>12.2673485977339</v>
      </c>
      <c r="W152" s="0" t="n">
        <v>13.2621821538996</v>
      </c>
      <c r="X152" s="0" t="n">
        <v>0</v>
      </c>
      <c r="Y152" s="0" t="n">
        <v>1.83170019568936</v>
      </c>
      <c r="Z152" s="0" t="n">
        <v>0</v>
      </c>
      <c r="AA152" s="0" t="n">
        <v>0</v>
      </c>
      <c r="AB152" s="0" t="n">
        <v>0</v>
      </c>
      <c r="AC152" s="0" t="n">
        <v>1</v>
      </c>
      <c r="AD152" s="0" t="n">
        <v>0</v>
      </c>
      <c r="AE152" s="0" t="n">
        <v>0</v>
      </c>
      <c r="AF152" s="0" t="n">
        <v>0</v>
      </c>
      <c r="AG152" s="0" t="n">
        <v>41.3057743043301</v>
      </c>
      <c r="AH152" s="0" t="n">
        <v>0</v>
      </c>
      <c r="AI152" s="0" t="n">
        <v>0</v>
      </c>
      <c r="AK152" s="0" t="n">
        <f aca="false">A152</f>
        <v>135</v>
      </c>
      <c r="AL152" s="0" t="n">
        <v>1</v>
      </c>
      <c r="AM152" s="0" t="n">
        <v>0</v>
      </c>
      <c r="AO152" s="0" t="n">
        <v>135</v>
      </c>
      <c r="AP152" s="0" t="n">
        <v>1</v>
      </c>
      <c r="AQ152" s="0" t="n">
        <v>1.10813082358483</v>
      </c>
      <c r="AR152" s="0" t="n">
        <v>108.068281108873</v>
      </c>
      <c r="AS152" s="0" t="n">
        <v>32</v>
      </c>
      <c r="AT152" s="0" t="n">
        <v>32</v>
      </c>
    </row>
    <row r="153" customFormat="false" ht="12" hidden="false" customHeight="false" outlineLevel="0" collapsed="false">
      <c r="A153" s="0" t="n">
        <v>136</v>
      </c>
      <c r="B153" s="0" t="n">
        <v>0</v>
      </c>
      <c r="C153" s="0" t="n">
        <v>0.147863559353999</v>
      </c>
      <c r="D153" s="0" t="n">
        <v>154.909956019453</v>
      </c>
      <c r="E153" s="0" t="n">
        <v>4</v>
      </c>
      <c r="F153" s="0" t="n">
        <v>4</v>
      </c>
      <c r="G153" s="0" t="n">
        <v>0.5</v>
      </c>
      <c r="H153" s="0" t="n">
        <v>0</v>
      </c>
      <c r="I153" s="0" t="n">
        <v>1.9894198038604</v>
      </c>
      <c r="J153" s="0" t="n">
        <v>158.583212459649</v>
      </c>
      <c r="K153" s="0" t="n">
        <v>3.67325644019576</v>
      </c>
      <c r="L153" s="0" t="n">
        <v>0</v>
      </c>
      <c r="M153" s="0" t="n">
        <v>156.589224898058</v>
      </c>
      <c r="N153" s="0" t="n">
        <v>0</v>
      </c>
      <c r="O153" s="0" t="n">
        <v>136</v>
      </c>
      <c r="P153" s="0" t="n">
        <v>72</v>
      </c>
      <c r="Q153" s="0" t="n">
        <v>64</v>
      </c>
      <c r="R153" s="0" t="n">
        <v>297.199750823748</v>
      </c>
      <c r="S153" s="0" t="n">
        <v>316.888744147721</v>
      </c>
      <c r="T153" s="0" t="n">
        <v>24</v>
      </c>
      <c r="U153" s="0" t="n">
        <v>24</v>
      </c>
      <c r="V153" s="0" t="n">
        <v>12.3833177912738</v>
      </c>
      <c r="W153" s="0" t="n">
        <v>13.203642657644</v>
      </c>
      <c r="X153" s="0" t="n">
        <v>0</v>
      </c>
      <c r="Y153" s="0" t="n">
        <v>3.67325644019576</v>
      </c>
      <c r="Z153" s="0" t="n">
        <v>0</v>
      </c>
      <c r="AA153" s="0" t="n">
        <v>0</v>
      </c>
      <c r="AB153" s="0" t="n">
        <v>0</v>
      </c>
      <c r="AC153" s="0" t="n">
        <v>1</v>
      </c>
      <c r="AD153" s="0" t="n">
        <v>0</v>
      </c>
      <c r="AE153" s="0" t="n">
        <v>0</v>
      </c>
      <c r="AF153" s="0" t="n">
        <v>0</v>
      </c>
      <c r="AG153" s="0" t="n">
        <v>21.0258986790202</v>
      </c>
      <c r="AH153" s="0" t="n">
        <v>0</v>
      </c>
      <c r="AI153" s="0" t="n">
        <v>0</v>
      </c>
      <c r="AK153" s="0" t="n">
        <f aca="false">A153</f>
        <v>136</v>
      </c>
      <c r="AL153" s="0" t="n">
        <v>0</v>
      </c>
      <c r="AM153" s="0" t="n">
        <v>1</v>
      </c>
      <c r="AO153" s="0" t="n">
        <v>136</v>
      </c>
      <c r="AP153" s="0" t="n">
        <v>0</v>
      </c>
      <c r="AQ153" s="0" t="n">
        <v>1.02175103636865</v>
      </c>
      <c r="AR153" s="0" t="n">
        <v>109.090032145241</v>
      </c>
      <c r="AS153" s="0" t="n">
        <v>32</v>
      </c>
      <c r="AT153" s="0" t="n">
        <v>34</v>
      </c>
    </row>
    <row r="154" customFormat="false" ht="12" hidden="false" customHeight="false" outlineLevel="0" collapsed="false">
      <c r="A154" s="0" t="n">
        <v>137</v>
      </c>
      <c r="B154" s="0" t="n">
        <v>0</v>
      </c>
      <c r="C154" s="0" t="n">
        <v>1.07580724453687</v>
      </c>
      <c r="D154" s="0" t="n">
        <v>155.98576326399</v>
      </c>
      <c r="E154" s="0" t="n">
        <v>6</v>
      </c>
      <c r="F154" s="0" t="n">
        <v>4</v>
      </c>
      <c r="G154" s="0" t="n">
        <v>0.5</v>
      </c>
      <c r="H154" s="0" t="n">
        <v>0</v>
      </c>
      <c r="I154" s="0" t="n">
        <v>2.07687708128412</v>
      </c>
      <c r="J154" s="0" t="n">
        <v>160.660089540933</v>
      </c>
      <c r="K154" s="0" t="n">
        <v>4.67432627694302</v>
      </c>
      <c r="L154" s="0" t="n">
        <v>0</v>
      </c>
      <c r="M154" s="0" t="n">
        <v>156.589224898058</v>
      </c>
      <c r="N154" s="0" t="n">
        <v>0</v>
      </c>
      <c r="O154" s="0" t="n">
        <v>137</v>
      </c>
      <c r="P154" s="0" t="n">
        <v>73</v>
      </c>
      <c r="Q154" s="0" t="n">
        <v>64</v>
      </c>
      <c r="R154" s="0" t="n">
        <v>231.54490928262</v>
      </c>
      <c r="S154" s="0" t="n">
        <v>378.695522692727</v>
      </c>
      <c r="T154" s="0" t="n">
        <v>17</v>
      </c>
      <c r="U154" s="0" t="n">
        <v>31</v>
      </c>
      <c r="V154" s="0" t="n">
        <v>13.6202807694007</v>
      </c>
      <c r="W154" s="0" t="n">
        <v>12.2159451967164</v>
      </c>
      <c r="X154" s="0" t="n">
        <v>0</v>
      </c>
      <c r="Y154" s="0" t="n">
        <v>4.67432627694302</v>
      </c>
      <c r="Z154" s="0" t="n">
        <v>0</v>
      </c>
      <c r="AA154" s="0" t="n">
        <v>0</v>
      </c>
      <c r="AB154" s="0" t="n">
        <v>0</v>
      </c>
      <c r="AC154" s="0" t="n">
        <v>1</v>
      </c>
      <c r="AD154" s="0" t="n">
        <v>0</v>
      </c>
      <c r="AE154" s="0" t="n">
        <v>0</v>
      </c>
      <c r="AF154" s="0" t="n">
        <v>0</v>
      </c>
      <c r="AG154" s="0" t="n">
        <v>12.8474270333289</v>
      </c>
      <c r="AH154" s="0" t="n">
        <v>0</v>
      </c>
      <c r="AI154" s="0" t="n">
        <v>0</v>
      </c>
      <c r="AK154" s="0" t="n">
        <f aca="false">A154</f>
        <v>137</v>
      </c>
      <c r="AL154" s="0" t="n">
        <v>1</v>
      </c>
      <c r="AM154" s="0" t="n">
        <v>1</v>
      </c>
      <c r="AO154" s="0" t="n">
        <v>137</v>
      </c>
      <c r="AP154" s="0" t="n">
        <v>0</v>
      </c>
      <c r="AQ154" s="0" t="n">
        <v>0.231412444635114</v>
      </c>
      <c r="AR154" s="0" t="n">
        <v>109.321444589877</v>
      </c>
      <c r="AS154" s="0" t="n">
        <v>34</v>
      </c>
      <c r="AT154" s="0" t="n">
        <v>32</v>
      </c>
    </row>
    <row r="155" customFormat="false" ht="12" hidden="false" customHeight="false" outlineLevel="0" collapsed="false">
      <c r="A155" s="0" t="n">
        <v>138</v>
      </c>
      <c r="B155" s="0" t="n">
        <v>1</v>
      </c>
      <c r="C155" s="0" t="n">
        <v>0.0400402326516266</v>
      </c>
      <c r="D155" s="0" t="n">
        <v>156.025803496642</v>
      </c>
      <c r="E155" s="0" t="n">
        <v>8</v>
      </c>
      <c r="F155" s="0" t="n">
        <v>4</v>
      </c>
      <c r="G155" s="0" t="n">
        <v>0.5</v>
      </c>
      <c r="H155" s="0" t="n">
        <v>1</v>
      </c>
      <c r="I155" s="0" t="n">
        <v>0</v>
      </c>
      <c r="J155" s="0" t="n">
        <v>160.660089540933</v>
      </c>
      <c r="K155" s="0" t="n">
        <v>0</v>
      </c>
      <c r="L155" s="0" t="n">
        <v>1.94406165333404</v>
      </c>
      <c r="M155" s="0" t="n">
        <v>158.533286551392</v>
      </c>
      <c r="N155" s="0" t="n">
        <v>2.50748305475045</v>
      </c>
      <c r="O155" s="0" t="n">
        <v>138</v>
      </c>
      <c r="P155" s="0" t="n">
        <v>73</v>
      </c>
      <c r="Q155" s="0" t="n">
        <v>65</v>
      </c>
      <c r="R155" s="0" t="n">
        <v>350.865297541461</v>
      </c>
      <c r="S155" s="0" t="n">
        <v>231.383847771641</v>
      </c>
      <c r="T155" s="0" t="n">
        <v>27</v>
      </c>
      <c r="U155" s="0" t="n">
        <v>21</v>
      </c>
      <c r="V155" s="0" t="n">
        <v>12.9950062070888</v>
      </c>
      <c r="W155" s="0" t="n">
        <v>11.0182259975734</v>
      </c>
      <c r="X155" s="0" t="n">
        <v>0</v>
      </c>
      <c r="Y155" s="0" t="n">
        <v>0</v>
      </c>
      <c r="Z155" s="0" t="n">
        <v>2.50748305475045</v>
      </c>
      <c r="AA155" s="0" t="n">
        <v>0</v>
      </c>
      <c r="AB155" s="0" t="n">
        <v>0</v>
      </c>
      <c r="AC155" s="0" t="n">
        <v>0</v>
      </c>
      <c r="AD155" s="0" t="n">
        <v>1</v>
      </c>
      <c r="AE155" s="0" t="n">
        <v>0</v>
      </c>
      <c r="AF155" s="0" t="n">
        <v>0</v>
      </c>
      <c r="AG155" s="0" t="n">
        <v>0</v>
      </c>
      <c r="AH155" s="0" t="n">
        <v>27.6509832498494</v>
      </c>
      <c r="AI155" s="0" t="n">
        <v>0</v>
      </c>
      <c r="AK155" s="0" t="n">
        <f aca="false">A155</f>
        <v>138</v>
      </c>
      <c r="AL155" s="0" t="n">
        <v>2</v>
      </c>
      <c r="AM155" s="0" t="n">
        <v>1</v>
      </c>
      <c r="AO155" s="0" t="n">
        <v>138</v>
      </c>
      <c r="AP155" s="0" t="n">
        <v>0</v>
      </c>
      <c r="AQ155" s="0" t="n">
        <v>0.795593828005024</v>
      </c>
      <c r="AR155" s="0" t="n">
        <v>110.117038417882</v>
      </c>
      <c r="AS155" s="0" t="n">
        <v>34</v>
      </c>
      <c r="AT155" s="0" t="n">
        <v>32</v>
      </c>
    </row>
    <row r="156" customFormat="false" ht="12" hidden="false" customHeight="false" outlineLevel="0" collapsed="false">
      <c r="A156" s="0" t="n">
        <v>139</v>
      </c>
      <c r="B156" s="0" t="n">
        <v>0</v>
      </c>
      <c r="C156" s="0" t="n">
        <v>0.0587164958362842</v>
      </c>
      <c r="D156" s="0" t="n">
        <v>156.084519992478</v>
      </c>
      <c r="E156" s="0" t="n">
        <v>8</v>
      </c>
      <c r="F156" s="0" t="n">
        <v>6</v>
      </c>
      <c r="G156" s="0" t="n">
        <v>0.5</v>
      </c>
      <c r="H156" s="0" t="n">
        <v>0</v>
      </c>
      <c r="I156" s="0" t="n">
        <v>1.92565520992787</v>
      </c>
      <c r="J156" s="0" t="n">
        <v>162.585744750861</v>
      </c>
      <c r="K156" s="0" t="n">
        <v>6.50122475838299</v>
      </c>
      <c r="L156" s="0" t="n">
        <v>0</v>
      </c>
      <c r="M156" s="0" t="n">
        <v>158.533286551392</v>
      </c>
      <c r="N156" s="0" t="n">
        <v>0</v>
      </c>
      <c r="O156" s="0" t="n">
        <v>139</v>
      </c>
      <c r="P156" s="0" t="n">
        <v>74</v>
      </c>
      <c r="Q156" s="0" t="n">
        <v>65</v>
      </c>
      <c r="R156" s="0" t="n">
        <v>301.217181782247</v>
      </c>
      <c r="S156" s="0" t="n">
        <v>307.079342878247</v>
      </c>
      <c r="T156" s="0" t="n">
        <v>25</v>
      </c>
      <c r="U156" s="0" t="n">
        <v>23</v>
      </c>
      <c r="V156" s="0" t="n">
        <v>12.0486824518169</v>
      </c>
      <c r="W156" s="0" t="n">
        <v>13.3512177285424</v>
      </c>
      <c r="X156" s="0" t="n">
        <v>0</v>
      </c>
      <c r="Y156" s="0" t="n">
        <v>6.50122475838299</v>
      </c>
      <c r="Z156" s="0" t="n">
        <v>0</v>
      </c>
      <c r="AA156" s="0" t="n">
        <v>0</v>
      </c>
      <c r="AB156" s="0" t="n">
        <v>0</v>
      </c>
      <c r="AC156" s="0" t="n">
        <v>1</v>
      </c>
      <c r="AD156" s="0" t="n">
        <v>0</v>
      </c>
      <c r="AE156" s="0" t="n">
        <v>0</v>
      </c>
      <c r="AF156" s="0" t="n">
        <v>0</v>
      </c>
      <c r="AG156" s="0" t="n">
        <v>3.08856823149682</v>
      </c>
      <c r="AH156" s="0" t="n">
        <v>0</v>
      </c>
      <c r="AI156" s="0" t="n">
        <v>0</v>
      </c>
      <c r="AK156" s="0" t="n">
        <f aca="false">A156</f>
        <v>139</v>
      </c>
      <c r="AL156" s="0" t="n">
        <v>1</v>
      </c>
      <c r="AM156" s="0" t="n">
        <v>2</v>
      </c>
      <c r="AO156" s="0" t="n">
        <v>139</v>
      </c>
      <c r="AP156" s="0" t="n">
        <v>0</v>
      </c>
      <c r="AQ156" s="0" t="n">
        <v>1.03041977404689</v>
      </c>
      <c r="AR156" s="0" t="n">
        <v>111.147458191928</v>
      </c>
      <c r="AS156" s="0" t="n">
        <v>36</v>
      </c>
      <c r="AT156" s="0" t="n">
        <v>32</v>
      </c>
    </row>
    <row r="157" customFormat="false" ht="12" hidden="false" customHeight="false" outlineLevel="0" collapsed="false">
      <c r="A157" s="0" t="n">
        <v>140</v>
      </c>
      <c r="B157" s="0" t="n">
        <v>0</v>
      </c>
      <c r="C157" s="0" t="n">
        <v>0.812869574978371</v>
      </c>
      <c r="D157" s="0" t="n">
        <v>156.897389567456</v>
      </c>
      <c r="E157" s="0" t="n">
        <v>8</v>
      </c>
      <c r="F157" s="0" t="n">
        <v>4</v>
      </c>
      <c r="G157" s="0" t="n">
        <v>0.5</v>
      </c>
      <c r="H157" s="0" t="n">
        <v>1</v>
      </c>
      <c r="I157" s="0" t="n">
        <v>0</v>
      </c>
      <c r="J157" s="0" t="n">
        <v>162.585744750861</v>
      </c>
      <c r="K157" s="0" t="n">
        <v>0</v>
      </c>
      <c r="L157" s="0" t="n">
        <v>1.89921436996438</v>
      </c>
      <c r="M157" s="0" t="n">
        <v>160.432500921356</v>
      </c>
      <c r="N157" s="0" t="n">
        <v>3.53511135390016</v>
      </c>
      <c r="O157" s="0" t="n">
        <v>140</v>
      </c>
      <c r="P157" s="0" t="n">
        <v>74</v>
      </c>
      <c r="Q157" s="0" t="n">
        <v>66</v>
      </c>
      <c r="R157" s="0" t="n">
        <v>306.225489356089</v>
      </c>
      <c r="S157" s="0" t="n">
        <v>288.698069435632</v>
      </c>
      <c r="T157" s="0" t="n">
        <v>22</v>
      </c>
      <c r="U157" s="0" t="n">
        <v>26</v>
      </c>
      <c r="V157" s="0" t="n">
        <v>13.9193340983067</v>
      </c>
      <c r="W157" s="0" t="n">
        <v>11.1037291947197</v>
      </c>
      <c r="X157" s="0" t="n">
        <v>0</v>
      </c>
      <c r="Y157" s="0" t="n">
        <v>0</v>
      </c>
      <c r="Z157" s="0" t="n">
        <v>0</v>
      </c>
      <c r="AA157" s="0" t="n">
        <v>3.53511135390016</v>
      </c>
      <c r="AB157" s="0" t="n">
        <v>0</v>
      </c>
      <c r="AC157" s="0" t="n">
        <v>0</v>
      </c>
      <c r="AD157" s="0" t="n">
        <v>0</v>
      </c>
      <c r="AE157" s="0" t="n">
        <v>1</v>
      </c>
      <c r="AF157" s="0" t="n">
        <v>0</v>
      </c>
      <c r="AG157" s="0" t="n">
        <v>0</v>
      </c>
      <c r="AH157" s="0" t="n">
        <v>0</v>
      </c>
      <c r="AI157" s="0" t="n">
        <v>17.6088447969592</v>
      </c>
      <c r="AK157" s="0" t="n">
        <f aca="false">A157</f>
        <v>140</v>
      </c>
      <c r="AL157" s="0" t="n">
        <v>2</v>
      </c>
      <c r="AM157" s="0" t="n">
        <v>3</v>
      </c>
      <c r="AO157" s="0" t="n">
        <v>140</v>
      </c>
      <c r="AP157" s="0" t="n">
        <v>0</v>
      </c>
      <c r="AQ157" s="0" t="n">
        <v>0.675492125116545</v>
      </c>
      <c r="AR157" s="0" t="n">
        <v>111.822950317045</v>
      </c>
      <c r="AS157" s="0" t="n">
        <v>36</v>
      </c>
      <c r="AT157" s="0" t="n">
        <v>30</v>
      </c>
    </row>
    <row r="158" customFormat="false" ht="12" hidden="false" customHeight="false" outlineLevel="0" collapsed="false">
      <c r="A158" s="0" t="n">
        <v>141</v>
      </c>
      <c r="B158" s="0" t="n">
        <v>0</v>
      </c>
      <c r="C158" s="0" t="n">
        <v>2.06947986772997</v>
      </c>
      <c r="D158" s="0" t="n">
        <v>158.966869435186</v>
      </c>
      <c r="E158" s="0" t="n">
        <v>6</v>
      </c>
      <c r="F158" s="0" t="n">
        <v>4</v>
      </c>
      <c r="G158" s="0" t="n">
        <v>0.5</v>
      </c>
      <c r="H158" s="0" t="n">
        <v>1</v>
      </c>
      <c r="I158" s="0" t="n">
        <v>0</v>
      </c>
      <c r="J158" s="0" t="n">
        <v>162.585744750861</v>
      </c>
      <c r="K158" s="0" t="n">
        <v>0</v>
      </c>
      <c r="L158" s="0" t="n">
        <v>2.00770761406221</v>
      </c>
      <c r="M158" s="0" t="n">
        <v>162.440208535419</v>
      </c>
      <c r="N158" s="0" t="n">
        <v>3.47333910023241</v>
      </c>
      <c r="O158" s="0" t="n">
        <v>141</v>
      </c>
      <c r="P158" s="0" t="n">
        <v>74</v>
      </c>
      <c r="Q158" s="0" t="n">
        <v>67</v>
      </c>
      <c r="R158" s="0" t="n">
        <v>280.827854477172</v>
      </c>
      <c r="S158" s="0" t="n">
        <v>336.427497564284</v>
      </c>
      <c r="T158" s="0" t="n">
        <v>22</v>
      </c>
      <c r="U158" s="0" t="n">
        <v>26</v>
      </c>
      <c r="V158" s="0" t="n">
        <v>12.7648966740093</v>
      </c>
      <c r="W158" s="0" t="n">
        <v>12.9394693698979</v>
      </c>
      <c r="X158" s="0" t="n">
        <v>0</v>
      </c>
      <c r="Y158" s="0" t="n">
        <v>0</v>
      </c>
      <c r="Z158" s="0" t="n">
        <v>0</v>
      </c>
      <c r="AA158" s="0" t="n">
        <v>3.47333910023241</v>
      </c>
      <c r="AB158" s="0" t="n">
        <v>0</v>
      </c>
      <c r="AC158" s="0" t="n">
        <v>0</v>
      </c>
      <c r="AD158" s="0" t="n">
        <v>0</v>
      </c>
      <c r="AE158" s="0" t="n">
        <v>1</v>
      </c>
      <c r="AF158" s="0" t="n">
        <v>0</v>
      </c>
      <c r="AG158" s="0" t="n">
        <v>0</v>
      </c>
      <c r="AH158" s="0" t="n">
        <v>0</v>
      </c>
      <c r="AI158" s="0" t="n">
        <v>18.1310891158497</v>
      </c>
      <c r="AK158" s="0" t="n">
        <f aca="false">A158</f>
        <v>141</v>
      </c>
      <c r="AL158" s="0" t="n">
        <v>1</v>
      </c>
      <c r="AM158" s="0" t="n">
        <v>2</v>
      </c>
      <c r="AO158" s="0" t="n">
        <v>141</v>
      </c>
      <c r="AP158" s="0" t="n">
        <v>1</v>
      </c>
      <c r="AQ158" s="0" t="n">
        <v>0.834653161208079</v>
      </c>
      <c r="AR158" s="0" t="n">
        <v>112.657603478253</v>
      </c>
      <c r="AS158" s="0" t="n">
        <v>36</v>
      </c>
      <c r="AT158" s="0" t="n">
        <v>32</v>
      </c>
    </row>
    <row r="159" customFormat="false" ht="12" hidden="false" customHeight="false" outlineLevel="0" collapsed="false">
      <c r="A159" s="0" t="n">
        <v>142</v>
      </c>
      <c r="B159" s="0" t="n">
        <v>0</v>
      </c>
      <c r="C159" s="0" t="n">
        <v>0.991135530242737</v>
      </c>
      <c r="D159" s="0" t="n">
        <v>159.958004965429</v>
      </c>
      <c r="E159" s="0" t="n">
        <v>6</v>
      </c>
      <c r="F159" s="0" t="n">
        <v>6</v>
      </c>
      <c r="G159" s="0" t="n">
        <v>0.5</v>
      </c>
      <c r="H159" s="0" t="n">
        <v>1</v>
      </c>
      <c r="I159" s="0" t="n">
        <v>0</v>
      </c>
      <c r="J159" s="0" t="n">
        <v>162.585744750861</v>
      </c>
      <c r="K159" s="0" t="n">
        <v>0</v>
      </c>
      <c r="L159" s="0" t="n">
        <v>1.80615306697399</v>
      </c>
      <c r="M159" s="0" t="n">
        <v>164.246361602393</v>
      </c>
      <c r="N159" s="0" t="n">
        <v>4.28835663696367</v>
      </c>
      <c r="O159" s="0" t="n">
        <v>142</v>
      </c>
      <c r="P159" s="0" t="n">
        <v>74</v>
      </c>
      <c r="Q159" s="0" t="n">
        <v>68</v>
      </c>
      <c r="R159" s="0" t="n">
        <v>299.491082022837</v>
      </c>
      <c r="S159" s="0" t="n">
        <v>310.265742223349</v>
      </c>
      <c r="T159" s="0" t="n">
        <v>25</v>
      </c>
      <c r="U159" s="0" t="n">
        <v>23</v>
      </c>
      <c r="V159" s="0" t="n">
        <v>11.9796384890581</v>
      </c>
      <c r="W159" s="0" t="n">
        <v>13.489756228162</v>
      </c>
      <c r="X159" s="0" t="n">
        <v>0</v>
      </c>
      <c r="Y159" s="0" t="n">
        <v>0</v>
      </c>
      <c r="Z159" s="0" t="n">
        <v>0</v>
      </c>
      <c r="AA159" s="0" t="n">
        <v>4.28835663696367</v>
      </c>
      <c r="AB159" s="0" t="n">
        <v>0</v>
      </c>
      <c r="AC159" s="0" t="n">
        <v>0</v>
      </c>
      <c r="AD159" s="0" t="n">
        <v>0</v>
      </c>
      <c r="AE159" s="0" t="n">
        <v>1</v>
      </c>
      <c r="AF159" s="0" t="n">
        <v>0</v>
      </c>
      <c r="AG159" s="0" t="n">
        <v>0</v>
      </c>
      <c r="AH159" s="0" t="n">
        <v>0</v>
      </c>
      <c r="AI159" s="0" t="n">
        <v>11.8545528472987</v>
      </c>
      <c r="AK159" s="0" t="n">
        <f aca="false">A159</f>
        <v>142</v>
      </c>
      <c r="AL159" s="0" t="n">
        <v>0</v>
      </c>
      <c r="AM159" s="0" t="n">
        <v>1</v>
      </c>
      <c r="AO159" s="0" t="n">
        <v>142</v>
      </c>
      <c r="AP159" s="0" t="n">
        <v>0</v>
      </c>
      <c r="AQ159" s="0" t="n">
        <v>0.637955926390893</v>
      </c>
      <c r="AR159" s="0" t="n">
        <v>113.295559404644</v>
      </c>
      <c r="AS159" s="0" t="n">
        <v>36</v>
      </c>
      <c r="AT159" s="0" t="n">
        <v>34</v>
      </c>
    </row>
    <row r="160" customFormat="false" ht="12" hidden="false" customHeight="false" outlineLevel="0" collapsed="false">
      <c r="A160" s="0" t="n">
        <v>143</v>
      </c>
      <c r="B160" s="0" t="n">
        <v>1</v>
      </c>
      <c r="C160" s="0" t="n">
        <v>0.0829369659754366</v>
      </c>
      <c r="D160" s="0" t="n">
        <v>160.040941931404</v>
      </c>
      <c r="E160" s="0" t="n">
        <v>6</v>
      </c>
      <c r="F160" s="0" t="n">
        <v>8</v>
      </c>
      <c r="G160" s="0" t="n">
        <v>0.5</v>
      </c>
      <c r="H160" s="0" t="n">
        <v>0</v>
      </c>
      <c r="I160" s="0" t="n">
        <v>1.9915498395407</v>
      </c>
      <c r="J160" s="0" t="n">
        <v>164.577294590402</v>
      </c>
      <c r="K160" s="0" t="n">
        <v>4.53635265899717</v>
      </c>
      <c r="L160" s="0" t="n">
        <v>0</v>
      </c>
      <c r="M160" s="0" t="n">
        <v>164.246361602393</v>
      </c>
      <c r="N160" s="0" t="n">
        <v>0</v>
      </c>
      <c r="O160" s="0" t="n">
        <v>143</v>
      </c>
      <c r="P160" s="0" t="n">
        <v>75</v>
      </c>
      <c r="Q160" s="0" t="n">
        <v>68</v>
      </c>
      <c r="R160" s="0" t="n">
        <v>271.936808729311</v>
      </c>
      <c r="S160" s="0" t="n">
        <v>330.949783927232</v>
      </c>
      <c r="T160" s="0" t="n">
        <v>23</v>
      </c>
      <c r="U160" s="0" t="n">
        <v>25</v>
      </c>
      <c r="V160" s="0" t="n">
        <v>11.8233343693899</v>
      </c>
      <c r="W160" s="0" t="n">
        <v>13.2379384053357</v>
      </c>
      <c r="X160" s="0" t="n">
        <v>4.53635265899717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  <c r="AF160" s="0" t="n">
        <v>8.35908069916767</v>
      </c>
      <c r="AG160" s="0" t="n">
        <v>0</v>
      </c>
      <c r="AH160" s="0" t="n">
        <v>0</v>
      </c>
      <c r="AI160" s="0" t="n">
        <v>0</v>
      </c>
      <c r="AK160" s="0" t="n">
        <f aca="false">A160</f>
        <v>143</v>
      </c>
      <c r="AL160" s="0" t="n">
        <v>1</v>
      </c>
      <c r="AM160" s="0" t="n">
        <v>0</v>
      </c>
      <c r="AO160" s="0" t="n">
        <v>143</v>
      </c>
      <c r="AP160" s="0" t="n">
        <v>1</v>
      </c>
      <c r="AQ160" s="0" t="n">
        <v>2.54735427679218</v>
      </c>
      <c r="AR160" s="0" t="n">
        <v>115.842913681436</v>
      </c>
      <c r="AS160" s="0" t="n">
        <v>32</v>
      </c>
      <c r="AT160" s="0" t="n">
        <v>32</v>
      </c>
    </row>
    <row r="161" customFormat="false" ht="12" hidden="false" customHeight="false" outlineLevel="0" collapsed="false">
      <c r="A161" s="0" t="n">
        <v>144</v>
      </c>
      <c r="B161" s="0" t="n">
        <v>1</v>
      </c>
      <c r="C161" s="0" t="n">
        <v>0.751117367580612</v>
      </c>
      <c r="D161" s="0" t="n">
        <v>160.792059298985</v>
      </c>
      <c r="E161" s="0" t="n">
        <v>6</v>
      </c>
      <c r="F161" s="0" t="n">
        <v>6</v>
      </c>
      <c r="G161" s="0" t="n">
        <v>0.5</v>
      </c>
      <c r="H161" s="0" t="n">
        <v>0</v>
      </c>
      <c r="I161" s="0" t="n">
        <v>1.94946696395539</v>
      </c>
      <c r="J161" s="0" t="n">
        <v>166.526761554357</v>
      </c>
      <c r="K161" s="0" t="n">
        <v>5.73470225537196</v>
      </c>
      <c r="L161" s="0" t="n">
        <v>0</v>
      </c>
      <c r="M161" s="0" t="n">
        <v>164.246361602393</v>
      </c>
      <c r="N161" s="0" t="n">
        <v>0</v>
      </c>
      <c r="O161" s="0" t="n">
        <v>144</v>
      </c>
      <c r="P161" s="0" t="n">
        <v>76</v>
      </c>
      <c r="Q161" s="0" t="n">
        <v>68</v>
      </c>
      <c r="R161" s="0" t="n">
        <v>340.579814132721</v>
      </c>
      <c r="S161" s="0" t="n">
        <v>249.441527818708</v>
      </c>
      <c r="T161" s="0" t="n">
        <v>29</v>
      </c>
      <c r="U161" s="0" t="n">
        <v>19</v>
      </c>
      <c r="V161" s="0" t="n">
        <v>11.7441274721188</v>
      </c>
      <c r="W161" s="0" t="n">
        <v>13.1284323671301</v>
      </c>
      <c r="X161" s="0" t="n">
        <v>5.73470225537196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  <c r="AF161" s="0" t="n">
        <v>2.86576781810999</v>
      </c>
      <c r="AG161" s="0" t="n">
        <v>0</v>
      </c>
      <c r="AH161" s="0" t="n">
        <v>0</v>
      </c>
      <c r="AI161" s="0" t="n">
        <v>0</v>
      </c>
      <c r="AK161" s="0" t="n">
        <f aca="false">A161</f>
        <v>144</v>
      </c>
      <c r="AL161" s="0" t="n">
        <v>0</v>
      </c>
      <c r="AM161" s="0" t="n">
        <v>1</v>
      </c>
      <c r="AO161" s="0" t="n">
        <v>144</v>
      </c>
      <c r="AP161" s="0" t="n">
        <v>1</v>
      </c>
      <c r="AQ161" s="0" t="n">
        <v>0.779633286624182</v>
      </c>
      <c r="AR161" s="0" t="n">
        <v>116.62254696806</v>
      </c>
      <c r="AS161" s="0" t="n">
        <v>34</v>
      </c>
      <c r="AT161" s="0" t="n">
        <v>32</v>
      </c>
    </row>
    <row r="162" customFormat="false" ht="12" hidden="false" customHeight="false" outlineLevel="0" collapsed="false">
      <c r="A162" s="0" t="n">
        <v>145</v>
      </c>
      <c r="B162" s="0" t="n">
        <v>0</v>
      </c>
      <c r="C162" s="0" t="n">
        <v>0.0514870164063657</v>
      </c>
      <c r="D162" s="0" t="n">
        <v>160.843546315391</v>
      </c>
      <c r="E162" s="0" t="n">
        <v>8</v>
      </c>
      <c r="F162" s="0" t="n">
        <v>6</v>
      </c>
      <c r="G162" s="0" t="n">
        <v>0.5</v>
      </c>
      <c r="H162" s="0" t="n">
        <v>1</v>
      </c>
      <c r="I162" s="0" t="n">
        <v>0</v>
      </c>
      <c r="J162" s="0" t="n">
        <v>166.526761554357</v>
      </c>
      <c r="K162" s="0" t="n">
        <v>0</v>
      </c>
      <c r="L162" s="0" t="n">
        <v>1.93921877566669</v>
      </c>
      <c r="M162" s="0" t="n">
        <v>166.185580378059</v>
      </c>
      <c r="N162" s="0" t="n">
        <v>5.34203406266795</v>
      </c>
      <c r="O162" s="0" t="n">
        <v>145</v>
      </c>
      <c r="P162" s="0" t="n">
        <v>76</v>
      </c>
      <c r="Q162" s="0" t="n">
        <v>69</v>
      </c>
      <c r="R162" s="0" t="n">
        <v>324.267017929314</v>
      </c>
      <c r="S162" s="0" t="n">
        <v>272.526217964728</v>
      </c>
      <c r="T162" s="0" t="n">
        <v>22</v>
      </c>
      <c r="U162" s="0" t="n">
        <v>26</v>
      </c>
      <c r="V162" s="0" t="n">
        <v>14.7394032061492</v>
      </c>
      <c r="W162" s="0" t="n">
        <v>10.4817372996538</v>
      </c>
      <c r="X162" s="0" t="n">
        <v>0</v>
      </c>
      <c r="Y162" s="0" t="n">
        <v>0</v>
      </c>
      <c r="Z162" s="0" t="n">
        <v>0</v>
      </c>
      <c r="AA162" s="0" t="n">
        <v>5.34203406266795</v>
      </c>
      <c r="AB162" s="0" t="n">
        <v>0</v>
      </c>
      <c r="AC162" s="0" t="n">
        <v>0</v>
      </c>
      <c r="AD162" s="0" t="n">
        <v>0</v>
      </c>
      <c r="AE162" s="0" t="n">
        <v>1</v>
      </c>
      <c r="AF162" s="0" t="n">
        <v>0</v>
      </c>
      <c r="AG162" s="0" t="n">
        <v>0</v>
      </c>
      <c r="AH162" s="0" t="n">
        <v>0</v>
      </c>
      <c r="AI162" s="0" t="n">
        <v>5.70907322412085</v>
      </c>
      <c r="AK162" s="0" t="n">
        <f aca="false">A162</f>
        <v>145</v>
      </c>
      <c r="AL162" s="0" t="n">
        <v>1</v>
      </c>
      <c r="AM162" s="0" t="n">
        <v>0</v>
      </c>
      <c r="AO162" s="0" t="n">
        <v>145</v>
      </c>
      <c r="AP162" s="0" t="n">
        <v>1</v>
      </c>
      <c r="AQ162" s="0" t="n">
        <v>1.2618337303626</v>
      </c>
      <c r="AR162" s="0" t="n">
        <v>117.884380698423</v>
      </c>
      <c r="AS162" s="0" t="n">
        <v>32</v>
      </c>
      <c r="AT162" s="0" t="n">
        <v>32</v>
      </c>
    </row>
    <row r="163" customFormat="false" ht="12" hidden="false" customHeight="false" outlineLevel="0" collapsed="false">
      <c r="A163" s="0" t="n">
        <v>146</v>
      </c>
      <c r="B163" s="0" t="n">
        <v>1</v>
      </c>
      <c r="C163" s="0" t="n">
        <v>1.22604964188144</v>
      </c>
      <c r="D163" s="0" t="n">
        <v>162.069595957273</v>
      </c>
      <c r="E163" s="0" t="n">
        <v>8</v>
      </c>
      <c r="F163" s="0" t="n">
        <v>8</v>
      </c>
      <c r="G163" s="0" t="n">
        <v>0.5</v>
      </c>
      <c r="H163" s="0" t="n">
        <v>0</v>
      </c>
      <c r="I163" s="0" t="n">
        <v>1.91086826083935</v>
      </c>
      <c r="J163" s="0" t="n">
        <v>168.437629815196</v>
      </c>
      <c r="K163" s="0" t="n">
        <v>6.36803385792351</v>
      </c>
      <c r="L163" s="0" t="n">
        <v>0</v>
      </c>
      <c r="M163" s="0" t="n">
        <v>166.185580378059</v>
      </c>
      <c r="N163" s="0" t="n">
        <v>0</v>
      </c>
      <c r="O163" s="0" t="n">
        <v>146</v>
      </c>
      <c r="P163" s="0" t="n">
        <v>77</v>
      </c>
      <c r="Q163" s="0" t="n">
        <v>69</v>
      </c>
      <c r="R163" s="0" t="n">
        <v>300.878966591754</v>
      </c>
      <c r="S163" s="0" t="n">
        <v>281.435105071866</v>
      </c>
      <c r="T163" s="0" t="n">
        <v>24</v>
      </c>
      <c r="U163" s="0" t="n">
        <v>24</v>
      </c>
      <c r="V163" s="0" t="n">
        <v>12.5366183843987</v>
      </c>
      <c r="W163" s="0" t="n">
        <v>11.72641385127</v>
      </c>
      <c r="X163" s="0" t="n">
        <v>6.36803385792351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  <c r="AF163" s="0" t="n">
        <v>1.122595942763</v>
      </c>
      <c r="AG163" s="0" t="n">
        <v>0</v>
      </c>
      <c r="AH163" s="0" t="n">
        <v>0</v>
      </c>
      <c r="AI163" s="0" t="n">
        <v>0</v>
      </c>
      <c r="AK163" s="0" t="n">
        <f aca="false">A163</f>
        <v>146</v>
      </c>
      <c r="AL163" s="0" t="n">
        <v>0</v>
      </c>
      <c r="AM163" s="0" t="n">
        <v>1</v>
      </c>
      <c r="AO163" s="0" t="n">
        <v>146</v>
      </c>
      <c r="AP163" s="0" t="n">
        <v>1</v>
      </c>
      <c r="AQ163" s="0" t="n">
        <v>0.628824951530729</v>
      </c>
      <c r="AR163" s="0" t="n">
        <v>118.513205649954</v>
      </c>
      <c r="AS163" s="0" t="n">
        <v>34</v>
      </c>
      <c r="AT163" s="0" t="n">
        <v>32</v>
      </c>
    </row>
    <row r="164" customFormat="false" ht="12" hidden="false" customHeight="false" outlineLevel="0" collapsed="false">
      <c r="A164" s="0" t="n">
        <v>147</v>
      </c>
      <c r="B164" s="0" t="n">
        <v>0</v>
      </c>
      <c r="C164" s="0" t="n">
        <v>0.331747288419528</v>
      </c>
      <c r="D164" s="0" t="n">
        <v>162.401343245692</v>
      </c>
      <c r="E164" s="0" t="n">
        <v>10</v>
      </c>
      <c r="F164" s="0" t="n">
        <v>8</v>
      </c>
      <c r="G164" s="0" t="n">
        <v>0.5</v>
      </c>
      <c r="H164" s="0" t="n">
        <v>0</v>
      </c>
      <c r="I164" s="0" t="n">
        <v>2.20201832690388</v>
      </c>
      <c r="J164" s="0" t="n">
        <v>170.6396481421</v>
      </c>
      <c r="K164" s="0" t="n">
        <v>8.23830489640787</v>
      </c>
      <c r="L164" s="0" t="n">
        <v>0</v>
      </c>
      <c r="M164" s="0" t="n">
        <v>166.185580378059</v>
      </c>
      <c r="N164" s="0" t="n">
        <v>0</v>
      </c>
      <c r="O164" s="0" t="n">
        <v>147</v>
      </c>
      <c r="P164" s="0" t="n">
        <v>78</v>
      </c>
      <c r="Q164" s="0" t="n">
        <v>69</v>
      </c>
      <c r="R164" s="0" t="n">
        <v>297.174850066193</v>
      </c>
      <c r="S164" s="0" t="n">
        <v>295.187747301987</v>
      </c>
      <c r="T164" s="0" t="n">
        <v>23</v>
      </c>
      <c r="U164" s="0" t="n">
        <v>25</v>
      </c>
      <c r="V164" s="0" t="n">
        <v>12.9206400373823</v>
      </c>
      <c r="W164" s="0" t="n">
        <v>11.8074626622288</v>
      </c>
      <c r="X164" s="0" t="n">
        <v>0</v>
      </c>
      <c r="Y164" s="0" t="n">
        <v>8.23830489640787</v>
      </c>
      <c r="Z164" s="0" t="n">
        <v>0</v>
      </c>
      <c r="AA164" s="0" t="n">
        <v>0</v>
      </c>
      <c r="AB164" s="0" t="n">
        <v>0</v>
      </c>
      <c r="AC164" s="0" t="n">
        <v>1</v>
      </c>
      <c r="AD164" s="0" t="n">
        <v>0</v>
      </c>
      <c r="AE164" s="0" t="n">
        <v>0</v>
      </c>
      <c r="AF164" s="0" t="n">
        <v>0</v>
      </c>
      <c r="AG164" s="0" t="n">
        <v>0.000414209830174599</v>
      </c>
      <c r="AH164" s="0" t="n">
        <v>0</v>
      </c>
      <c r="AI164" s="0" t="n">
        <v>0</v>
      </c>
      <c r="AK164" s="0" t="n">
        <f aca="false">A164</f>
        <v>147</v>
      </c>
      <c r="AL164" s="0" t="n">
        <v>1</v>
      </c>
      <c r="AM164" s="0" t="n">
        <v>0</v>
      </c>
      <c r="AO164" s="0" t="n">
        <v>147</v>
      </c>
      <c r="AP164" s="0" t="n">
        <v>1</v>
      </c>
      <c r="AQ164" s="0" t="n">
        <v>0.64804245586465</v>
      </c>
      <c r="AR164" s="0" t="n">
        <v>119.161248105818</v>
      </c>
      <c r="AS164" s="0" t="n">
        <v>34</v>
      </c>
      <c r="AT164" s="0" t="n">
        <v>34</v>
      </c>
    </row>
    <row r="165" customFormat="false" ht="12" hidden="false" customHeight="false" outlineLevel="0" collapsed="false">
      <c r="A165" s="0" t="n">
        <v>148</v>
      </c>
      <c r="B165" s="0" t="n">
        <v>0</v>
      </c>
      <c r="C165" s="0" t="n">
        <v>0.988284428111448</v>
      </c>
      <c r="D165" s="0" t="n">
        <v>163.389627673804</v>
      </c>
      <c r="E165" s="0" t="n">
        <v>10</v>
      </c>
      <c r="F165" s="0" t="n">
        <v>6</v>
      </c>
      <c r="G165" s="0" t="n">
        <v>0.5</v>
      </c>
      <c r="H165" s="0" t="n">
        <v>0</v>
      </c>
      <c r="I165" s="0" t="n">
        <v>1.84420882059488</v>
      </c>
      <c r="J165" s="0" t="n">
        <v>172.483856962695</v>
      </c>
      <c r="K165" s="0" t="n">
        <v>9.09422928889129</v>
      </c>
      <c r="L165" s="0" t="n">
        <v>0</v>
      </c>
      <c r="M165" s="0" t="n">
        <v>166.185580378059</v>
      </c>
      <c r="N165" s="0" t="n">
        <v>0</v>
      </c>
      <c r="O165" s="0" t="n">
        <v>148</v>
      </c>
      <c r="P165" s="0" t="n">
        <v>79</v>
      </c>
      <c r="Q165" s="0" t="n">
        <v>69</v>
      </c>
      <c r="R165" s="0" t="n">
        <v>279.329688118359</v>
      </c>
      <c r="S165" s="0" t="n">
        <v>308.908043877072</v>
      </c>
      <c r="T165" s="0" t="n">
        <v>23</v>
      </c>
      <c r="U165" s="0" t="n">
        <v>25</v>
      </c>
      <c r="V165" s="0" t="n">
        <v>12.1447637682923</v>
      </c>
      <c r="W165" s="0" t="n">
        <v>12.3562723299936</v>
      </c>
      <c r="X165" s="0" t="n">
        <v>0</v>
      </c>
      <c r="Y165" s="0" t="n">
        <v>9.09422928889129</v>
      </c>
      <c r="Z165" s="0" t="n">
        <v>0</v>
      </c>
      <c r="AA165" s="0" t="n">
        <v>0</v>
      </c>
      <c r="AB165" s="0" t="n">
        <v>0</v>
      </c>
      <c r="AC165" s="0" t="n">
        <v>1</v>
      </c>
      <c r="AD165" s="0" t="n">
        <v>0</v>
      </c>
      <c r="AE165" s="0" t="n">
        <v>0</v>
      </c>
      <c r="AF165" s="0" t="n">
        <v>0</v>
      </c>
      <c r="AG165" s="0" t="n">
        <v>0.698180979776129</v>
      </c>
      <c r="AH165" s="0" t="n">
        <v>0</v>
      </c>
      <c r="AI165" s="0" t="n">
        <v>0</v>
      </c>
      <c r="AK165" s="0" t="n">
        <f aca="false">A165</f>
        <v>148</v>
      </c>
      <c r="AL165" s="0" t="n">
        <v>2</v>
      </c>
      <c r="AM165" s="0" t="n">
        <v>1</v>
      </c>
      <c r="AO165" s="0" t="n">
        <v>148</v>
      </c>
      <c r="AP165" s="0" t="n">
        <v>1</v>
      </c>
      <c r="AQ165" s="0" t="n">
        <v>0.140532519104421</v>
      </c>
      <c r="AR165" s="0" t="n">
        <v>119.301780624923</v>
      </c>
      <c r="AS165" s="0" t="n">
        <v>34</v>
      </c>
      <c r="AT165" s="0" t="n">
        <v>36</v>
      </c>
    </row>
    <row r="166" customFormat="false" ht="12" hidden="false" customHeight="false" outlineLevel="0" collapsed="false">
      <c r="A166" s="0" t="n">
        <v>149</v>
      </c>
      <c r="B166" s="0" t="n">
        <v>1</v>
      </c>
      <c r="C166" s="0" t="n">
        <v>0.78294436158892</v>
      </c>
      <c r="D166" s="0" t="n">
        <v>164.172572035393</v>
      </c>
      <c r="E166" s="0" t="n">
        <v>12</v>
      </c>
      <c r="F166" s="0" t="n">
        <v>6</v>
      </c>
      <c r="G166" s="0" t="n">
        <v>0.5</v>
      </c>
      <c r="H166" s="0" t="n">
        <v>1</v>
      </c>
      <c r="I166" s="0" t="n">
        <v>0</v>
      </c>
      <c r="J166" s="0" t="n">
        <v>172.483856962695</v>
      </c>
      <c r="K166" s="0" t="n">
        <v>0</v>
      </c>
      <c r="L166" s="0" t="n">
        <v>1.84135546331495</v>
      </c>
      <c r="M166" s="0" t="n">
        <v>168.026935841374</v>
      </c>
      <c r="N166" s="0" t="n">
        <v>3.85436380598154</v>
      </c>
      <c r="O166" s="0" t="n">
        <v>149</v>
      </c>
      <c r="P166" s="0" t="n">
        <v>79</v>
      </c>
      <c r="Q166" s="0" t="n">
        <v>70</v>
      </c>
      <c r="R166" s="0" t="n">
        <v>301.390096369775</v>
      </c>
      <c r="S166" s="0" t="n">
        <v>288.222563153204</v>
      </c>
      <c r="T166" s="0" t="n">
        <v>24</v>
      </c>
      <c r="U166" s="0" t="n">
        <v>24</v>
      </c>
      <c r="V166" s="0" t="n">
        <v>12.5579154496092</v>
      </c>
      <c r="W166" s="0" t="n">
        <v>12.0092234262859</v>
      </c>
      <c r="X166" s="0" t="n">
        <v>0</v>
      </c>
      <c r="Y166" s="0" t="n">
        <v>0</v>
      </c>
      <c r="Z166" s="0" t="n">
        <v>3.85436380598154</v>
      </c>
      <c r="AA166" s="0" t="n">
        <v>0</v>
      </c>
      <c r="AB166" s="0" t="n">
        <v>0</v>
      </c>
      <c r="AC166" s="0" t="n">
        <v>0</v>
      </c>
      <c r="AD166" s="0" t="n">
        <v>1</v>
      </c>
      <c r="AE166" s="0" t="n">
        <v>0</v>
      </c>
      <c r="AF166" s="0" t="n">
        <v>0</v>
      </c>
      <c r="AG166" s="0" t="n">
        <v>0</v>
      </c>
      <c r="AH166" s="0" t="n">
        <v>15.3001410453015</v>
      </c>
      <c r="AI166" s="0" t="n">
        <v>0</v>
      </c>
      <c r="AK166" s="0" t="n">
        <f aca="false">A166</f>
        <v>149</v>
      </c>
      <c r="AL166" s="0" t="n">
        <v>3</v>
      </c>
      <c r="AM166" s="0" t="n">
        <v>0</v>
      </c>
      <c r="AO166" s="0" t="n">
        <v>149</v>
      </c>
      <c r="AP166" s="0" t="n">
        <v>0</v>
      </c>
      <c r="AQ166" s="0" t="n">
        <v>0.528965524435519</v>
      </c>
      <c r="AR166" s="0" t="n">
        <v>119.830746149358</v>
      </c>
      <c r="AS166" s="0" t="n">
        <v>34</v>
      </c>
      <c r="AT166" s="0" t="n">
        <v>34</v>
      </c>
    </row>
    <row r="167" customFormat="false" ht="12" hidden="false" customHeight="false" outlineLevel="0" collapsed="false">
      <c r="A167" s="0" t="n">
        <v>150</v>
      </c>
      <c r="B167" s="0" t="n">
        <v>0</v>
      </c>
      <c r="C167" s="0" t="n">
        <v>0.365045383141944</v>
      </c>
      <c r="D167" s="0" t="n">
        <v>164.537617418535</v>
      </c>
      <c r="E167" s="0" t="n">
        <v>12</v>
      </c>
      <c r="F167" s="0" t="n">
        <v>6</v>
      </c>
      <c r="G167" s="0" t="n">
        <v>0.5</v>
      </c>
      <c r="H167" s="0" t="n">
        <v>0</v>
      </c>
      <c r="I167" s="0" t="n">
        <v>2.17209116618762</v>
      </c>
      <c r="J167" s="0" t="n">
        <v>174.655948128883</v>
      </c>
      <c r="K167" s="0" t="n">
        <v>10.118330710348</v>
      </c>
      <c r="L167" s="0" t="n">
        <v>0</v>
      </c>
      <c r="M167" s="0" t="n">
        <v>168.026935841374</v>
      </c>
      <c r="N167" s="0" t="n">
        <v>0</v>
      </c>
      <c r="O167" s="0" t="n">
        <v>150</v>
      </c>
      <c r="P167" s="0" t="n">
        <v>80</v>
      </c>
      <c r="Q167" s="0" t="n">
        <v>70</v>
      </c>
      <c r="R167" s="0" t="n">
        <v>270.97223030703</v>
      </c>
      <c r="S167" s="0" t="n">
        <v>321.457972315063</v>
      </c>
      <c r="T167" s="0" t="n">
        <v>24</v>
      </c>
      <c r="U167" s="0" t="n">
        <v>24</v>
      </c>
      <c r="V167" s="0" t="n">
        <v>11.2905048917492</v>
      </c>
      <c r="W167" s="0" t="n">
        <v>13.3940263713511</v>
      </c>
      <c r="X167" s="0" t="n">
        <v>0</v>
      </c>
      <c r="Y167" s="0" t="n">
        <v>10.118330710348</v>
      </c>
      <c r="Z167" s="0" t="n">
        <v>0</v>
      </c>
      <c r="AA167" s="0" t="n">
        <v>0</v>
      </c>
      <c r="AB167" s="0" t="n">
        <v>0</v>
      </c>
      <c r="AC167" s="0" t="n">
        <v>1</v>
      </c>
      <c r="AD167" s="0" t="n">
        <v>0</v>
      </c>
      <c r="AE167" s="0" t="n">
        <v>0</v>
      </c>
      <c r="AF167" s="0" t="n">
        <v>0</v>
      </c>
      <c r="AG167" s="0" t="n">
        <v>3.45838615274966</v>
      </c>
      <c r="AH167" s="0" t="n">
        <v>0</v>
      </c>
      <c r="AI167" s="0" t="n">
        <v>0</v>
      </c>
      <c r="AK167" s="0" t="n">
        <f aca="false">A167</f>
        <v>150</v>
      </c>
      <c r="AL167" s="0" t="n">
        <v>3</v>
      </c>
      <c r="AM167" s="0" t="n">
        <v>1</v>
      </c>
      <c r="AO167" s="0" t="n">
        <v>150</v>
      </c>
      <c r="AP167" s="0" t="n">
        <v>0</v>
      </c>
      <c r="AQ167" s="0" t="n">
        <v>0.243802996932956</v>
      </c>
      <c r="AR167" s="0" t="n">
        <v>120.074549146291</v>
      </c>
      <c r="AS167" s="0" t="n">
        <v>34</v>
      </c>
      <c r="AT167" s="0" t="n">
        <v>36</v>
      </c>
    </row>
    <row r="168" customFormat="false" ht="12" hidden="false" customHeight="false" outlineLevel="0" collapsed="false">
      <c r="A168" s="0" t="n">
        <v>151</v>
      </c>
      <c r="B168" s="0" t="n">
        <v>1</v>
      </c>
      <c r="C168" s="0" t="n">
        <v>0.122312829858327</v>
      </c>
      <c r="D168" s="0" t="n">
        <v>164.659930248393</v>
      </c>
      <c r="E168" s="0" t="n">
        <v>12</v>
      </c>
      <c r="F168" s="0" t="n">
        <v>6</v>
      </c>
      <c r="G168" s="0" t="n">
        <v>0.5</v>
      </c>
      <c r="H168" s="0" t="n">
        <v>1</v>
      </c>
      <c r="I168" s="0" t="n">
        <v>0</v>
      </c>
      <c r="J168" s="0" t="n">
        <v>174.655948128883</v>
      </c>
      <c r="K168" s="0" t="n">
        <v>0</v>
      </c>
      <c r="L168" s="0" t="n">
        <v>1.90353940885731</v>
      </c>
      <c r="M168" s="0" t="n">
        <v>169.930475250232</v>
      </c>
      <c r="N168" s="0" t="n">
        <v>5.2705450018386</v>
      </c>
      <c r="O168" s="0" t="n">
        <v>151</v>
      </c>
      <c r="P168" s="0" t="n">
        <v>80</v>
      </c>
      <c r="Q168" s="0" t="n">
        <v>71</v>
      </c>
      <c r="R168" s="0" t="n">
        <v>349.417606225918</v>
      </c>
      <c r="S168" s="0" t="n">
        <v>253.424218276014</v>
      </c>
      <c r="T168" s="0" t="n">
        <v>27</v>
      </c>
      <c r="U168" s="0" t="n">
        <v>21</v>
      </c>
      <c r="V168" s="0" t="n">
        <v>12.9413880300755</v>
      </c>
      <c r="W168" s="0" t="n">
        <v>12.0677624523699</v>
      </c>
      <c r="X168" s="0" t="n">
        <v>0</v>
      </c>
      <c r="Y168" s="0" t="n">
        <v>0</v>
      </c>
      <c r="Z168" s="0" t="n">
        <v>5.2705450018386</v>
      </c>
      <c r="AA168" s="0" t="n">
        <v>0</v>
      </c>
      <c r="AB168" s="0" t="n">
        <v>0</v>
      </c>
      <c r="AC168" s="0" t="n">
        <v>0</v>
      </c>
      <c r="AD168" s="0" t="n">
        <v>1</v>
      </c>
      <c r="AE168" s="0" t="n">
        <v>0</v>
      </c>
      <c r="AF168" s="0" t="n">
        <v>0</v>
      </c>
      <c r="AG168" s="0" t="n">
        <v>0</v>
      </c>
      <c r="AH168" s="0" t="n">
        <v>6.22681292905022</v>
      </c>
      <c r="AI168" s="0" t="n">
        <v>0</v>
      </c>
      <c r="AK168" s="0" t="n">
        <f aca="false">A168</f>
        <v>151</v>
      </c>
      <c r="AL168" s="0" t="n">
        <v>3</v>
      </c>
      <c r="AM168" s="0" t="n">
        <v>2</v>
      </c>
      <c r="AO168" s="0" t="n">
        <v>151</v>
      </c>
      <c r="AP168" s="0" t="n">
        <v>1</v>
      </c>
      <c r="AQ168" s="0" t="n">
        <v>0.372537786734301</v>
      </c>
      <c r="AR168" s="0" t="n">
        <v>120.447086933026</v>
      </c>
      <c r="AS168" s="0" t="n">
        <v>34</v>
      </c>
      <c r="AT168" s="0" t="n">
        <v>38</v>
      </c>
    </row>
    <row r="169" customFormat="false" ht="12" hidden="false" customHeight="false" outlineLevel="0" collapsed="false">
      <c r="A169" s="0" t="n">
        <v>152</v>
      </c>
      <c r="B169" s="0" t="n">
        <v>0</v>
      </c>
      <c r="C169" s="0" t="n">
        <v>0.559825552657073</v>
      </c>
      <c r="D169" s="0" t="n">
        <v>165.21975580105</v>
      </c>
      <c r="E169" s="0" t="n">
        <v>12</v>
      </c>
      <c r="F169" s="0" t="n">
        <v>8</v>
      </c>
      <c r="G169" s="0" t="n">
        <v>0.5</v>
      </c>
      <c r="H169" s="0" t="n">
        <v>1</v>
      </c>
      <c r="I169" s="0" t="n">
        <v>0</v>
      </c>
      <c r="J169" s="0" t="n">
        <v>174.655948128883</v>
      </c>
      <c r="K169" s="0" t="n">
        <v>0</v>
      </c>
      <c r="L169" s="0" t="n">
        <v>1.90769705720989</v>
      </c>
      <c r="M169" s="0" t="n">
        <v>171.838172307442</v>
      </c>
      <c r="N169" s="0" t="n">
        <v>6.61841650639141</v>
      </c>
      <c r="O169" s="0" t="n">
        <v>152</v>
      </c>
      <c r="P169" s="0" t="n">
        <v>80</v>
      </c>
      <c r="Q169" s="0" t="n">
        <v>72</v>
      </c>
      <c r="R169" s="0" t="n">
        <v>222.770792173922</v>
      </c>
      <c r="S169" s="0" t="n">
        <v>365.140890947676</v>
      </c>
      <c r="T169" s="0" t="n">
        <v>22</v>
      </c>
      <c r="U169" s="0" t="n">
        <v>26</v>
      </c>
      <c r="V169" s="0" t="n">
        <v>10.1259404961144</v>
      </c>
      <c r="W169" s="0" t="n">
        <v>14.0438264063475</v>
      </c>
      <c r="X169" s="0" t="n">
        <v>0</v>
      </c>
      <c r="Y169" s="0" t="n">
        <v>0</v>
      </c>
      <c r="Z169" s="0" t="n">
        <v>0</v>
      </c>
      <c r="AA169" s="0" t="n">
        <v>6.61841650639141</v>
      </c>
      <c r="AB169" s="0" t="n">
        <v>0</v>
      </c>
      <c r="AC169" s="0" t="n">
        <v>0</v>
      </c>
      <c r="AD169" s="0" t="n">
        <v>0</v>
      </c>
      <c r="AE169" s="0" t="n">
        <v>1</v>
      </c>
      <c r="AF169" s="0" t="n">
        <v>0</v>
      </c>
      <c r="AG169" s="0" t="n">
        <v>0</v>
      </c>
      <c r="AH169" s="0" t="n">
        <v>0</v>
      </c>
      <c r="AI169" s="0" t="n">
        <v>1.23873395334622</v>
      </c>
      <c r="AK169" s="0" t="n">
        <f aca="false">A169</f>
        <v>152</v>
      </c>
      <c r="AL169" s="0" t="n">
        <v>2</v>
      </c>
      <c r="AM169" s="0" t="n">
        <v>1</v>
      </c>
      <c r="AO169" s="0" t="n">
        <v>152</v>
      </c>
      <c r="AP169" s="0" t="n">
        <v>0</v>
      </c>
      <c r="AQ169" s="0" t="n">
        <v>0.50431803074252</v>
      </c>
      <c r="AR169" s="0" t="n">
        <v>120.951404963768</v>
      </c>
      <c r="AS169" s="0" t="n">
        <v>36</v>
      </c>
      <c r="AT169" s="0" t="n">
        <v>38</v>
      </c>
    </row>
    <row r="170" customFormat="false" ht="12" hidden="false" customHeight="false" outlineLevel="0" collapsed="false">
      <c r="A170" s="0" t="n">
        <v>153</v>
      </c>
      <c r="B170" s="0" t="n">
        <v>1</v>
      </c>
      <c r="C170" s="0" t="n">
        <v>1.28288675541903</v>
      </c>
      <c r="D170" s="0" t="n">
        <v>166.502642556469</v>
      </c>
      <c r="E170" s="0" t="n">
        <v>12</v>
      </c>
      <c r="F170" s="0" t="n">
        <v>8</v>
      </c>
      <c r="G170" s="0" t="n">
        <v>0.5</v>
      </c>
      <c r="H170" s="0" t="n">
        <v>1</v>
      </c>
      <c r="I170" s="0" t="n">
        <v>0</v>
      </c>
      <c r="J170" s="0" t="n">
        <v>174.655948128883</v>
      </c>
      <c r="K170" s="0" t="n">
        <v>0</v>
      </c>
      <c r="L170" s="0" t="n">
        <v>2.24570533537115</v>
      </c>
      <c r="M170" s="0" t="n">
        <v>174.083877642813</v>
      </c>
      <c r="N170" s="0" t="n">
        <v>7.58123508634355</v>
      </c>
      <c r="O170" s="0" t="n">
        <v>153</v>
      </c>
      <c r="P170" s="0" t="n">
        <v>80</v>
      </c>
      <c r="Q170" s="0" t="n">
        <v>73</v>
      </c>
      <c r="R170" s="0" t="n">
        <v>329.594709000003</v>
      </c>
      <c r="S170" s="0" t="n">
        <v>279.147881876646</v>
      </c>
      <c r="T170" s="0" t="n">
        <v>23</v>
      </c>
      <c r="U170" s="0" t="n">
        <v>25</v>
      </c>
      <c r="V170" s="0" t="n">
        <v>14.3301985086095</v>
      </c>
      <c r="W170" s="0" t="n">
        <v>11.1658706115834</v>
      </c>
      <c r="X170" s="0" t="n">
        <v>0</v>
      </c>
      <c r="Y170" s="0" t="n">
        <v>0</v>
      </c>
      <c r="Z170" s="0" t="n">
        <v>7.58123508634355</v>
      </c>
      <c r="AA170" s="0" t="n">
        <v>0</v>
      </c>
      <c r="AB170" s="0" t="n">
        <v>0</v>
      </c>
      <c r="AC170" s="0" t="n">
        <v>0</v>
      </c>
      <c r="AD170" s="0" t="n">
        <v>1</v>
      </c>
      <c r="AE170" s="0" t="n">
        <v>0</v>
      </c>
      <c r="AF170" s="0" t="n">
        <v>0</v>
      </c>
      <c r="AG170" s="0" t="n">
        <v>0</v>
      </c>
      <c r="AH170" s="0" t="n">
        <v>0.0341023412052575</v>
      </c>
      <c r="AI170" s="0" t="n">
        <v>0</v>
      </c>
      <c r="AK170" s="0" t="n">
        <f aca="false">A170</f>
        <v>153</v>
      </c>
      <c r="AL170" s="0" t="n">
        <v>2</v>
      </c>
      <c r="AM170" s="0" t="n">
        <v>2</v>
      </c>
      <c r="AO170" s="0" t="n">
        <v>153</v>
      </c>
      <c r="AP170" s="0" t="n">
        <v>1</v>
      </c>
      <c r="AQ170" s="0" t="n">
        <v>1.14238853282167</v>
      </c>
      <c r="AR170" s="0" t="n">
        <v>122.09379349659</v>
      </c>
      <c r="AS170" s="0" t="n">
        <v>34</v>
      </c>
      <c r="AT170" s="0" t="n">
        <v>38</v>
      </c>
    </row>
    <row r="171" customFormat="false" ht="12" hidden="false" customHeight="false" outlineLevel="0" collapsed="false">
      <c r="A171" s="0" t="n">
        <v>154</v>
      </c>
      <c r="B171" s="0" t="n">
        <v>0</v>
      </c>
      <c r="C171" s="0" t="n">
        <v>0.362046440288568</v>
      </c>
      <c r="D171" s="0" t="n">
        <v>166.864688996758</v>
      </c>
      <c r="E171" s="0" t="n">
        <v>10</v>
      </c>
      <c r="F171" s="0" t="n">
        <v>10</v>
      </c>
      <c r="G171" s="0" t="n">
        <v>0.5</v>
      </c>
      <c r="H171" s="0" t="n">
        <v>0</v>
      </c>
      <c r="I171" s="0" t="n">
        <v>2.22366741651314</v>
      </c>
      <c r="J171" s="0" t="n">
        <v>176.879615545396</v>
      </c>
      <c r="K171" s="0" t="n">
        <v>10.0149265486382</v>
      </c>
      <c r="L171" s="0" t="n">
        <v>0</v>
      </c>
      <c r="M171" s="0" t="n">
        <v>174.083877642813</v>
      </c>
      <c r="N171" s="0" t="n">
        <v>0</v>
      </c>
      <c r="O171" s="0" t="n">
        <v>154</v>
      </c>
      <c r="P171" s="0" t="n">
        <v>81</v>
      </c>
      <c r="Q171" s="0" t="n">
        <v>73</v>
      </c>
      <c r="R171" s="0" t="n">
        <v>314.629904465349</v>
      </c>
      <c r="S171" s="0" t="n">
        <v>285.430522553934</v>
      </c>
      <c r="T171" s="0" t="n">
        <v>24</v>
      </c>
      <c r="U171" s="0" t="n">
        <v>24</v>
      </c>
      <c r="V171" s="0" t="n">
        <v>13.1095738904004</v>
      </c>
      <c r="W171" s="0" t="n">
        <v>11.8928888860435</v>
      </c>
      <c r="X171" s="0" t="n">
        <v>0</v>
      </c>
      <c r="Y171" s="0" t="n">
        <v>10.0149265486382</v>
      </c>
      <c r="Z171" s="0" t="n">
        <v>0</v>
      </c>
      <c r="AA171" s="0" t="n">
        <v>0</v>
      </c>
      <c r="AB171" s="0" t="n">
        <v>0</v>
      </c>
      <c r="AC171" s="0" t="n">
        <v>1</v>
      </c>
      <c r="AD171" s="0" t="n">
        <v>0</v>
      </c>
      <c r="AE171" s="0" t="n">
        <v>0</v>
      </c>
      <c r="AF171" s="0" t="n">
        <v>0</v>
      </c>
      <c r="AG171" s="0" t="n">
        <v>3.08448257994972</v>
      </c>
      <c r="AH171" s="0" t="n">
        <v>0</v>
      </c>
      <c r="AI171" s="0" t="n">
        <v>0</v>
      </c>
      <c r="AK171" s="0" t="n">
        <f aca="false">A171</f>
        <v>154</v>
      </c>
      <c r="AL171" s="0" t="n">
        <v>0</v>
      </c>
      <c r="AM171" s="0" t="n">
        <v>1</v>
      </c>
      <c r="AO171" s="0" t="n">
        <v>154</v>
      </c>
      <c r="AP171" s="0" t="n">
        <v>0</v>
      </c>
      <c r="AQ171" s="0" t="n">
        <v>0.663027360876799</v>
      </c>
      <c r="AR171" s="0" t="n">
        <v>122.756820857467</v>
      </c>
      <c r="AS171" s="0" t="n">
        <v>36</v>
      </c>
      <c r="AT171" s="0" t="n">
        <v>38</v>
      </c>
    </row>
    <row r="172" customFormat="false" ht="12" hidden="false" customHeight="false" outlineLevel="0" collapsed="false">
      <c r="A172" s="0" t="n">
        <v>155</v>
      </c>
      <c r="B172" s="0" t="n">
        <v>1</v>
      </c>
      <c r="C172" s="0" t="n">
        <v>1.24841964501949</v>
      </c>
      <c r="D172" s="0" t="n">
        <v>168.113108641777</v>
      </c>
      <c r="E172" s="0" t="n">
        <v>12</v>
      </c>
      <c r="F172" s="0" t="n">
        <v>8</v>
      </c>
      <c r="G172" s="0" t="n">
        <v>0.5</v>
      </c>
      <c r="H172" s="0" t="n">
        <v>1</v>
      </c>
      <c r="I172" s="0" t="n">
        <v>0</v>
      </c>
      <c r="J172" s="0" t="n">
        <v>176.879615545396</v>
      </c>
      <c r="K172" s="0" t="n">
        <v>0</v>
      </c>
      <c r="L172" s="0" t="n">
        <v>1.7609632538786</v>
      </c>
      <c r="M172" s="0" t="n">
        <v>175.844840896691</v>
      </c>
      <c r="N172" s="0" t="n">
        <v>7.73173225491411</v>
      </c>
      <c r="O172" s="0" t="n">
        <v>155</v>
      </c>
      <c r="P172" s="0" t="n">
        <v>81</v>
      </c>
      <c r="Q172" s="0" t="n">
        <v>74</v>
      </c>
      <c r="R172" s="0" t="n">
        <v>191.674463360525</v>
      </c>
      <c r="S172" s="0" t="n">
        <v>405.721768492819</v>
      </c>
      <c r="T172" s="0" t="n">
        <v>18</v>
      </c>
      <c r="U172" s="0" t="n">
        <v>30</v>
      </c>
      <c r="V172" s="0" t="n">
        <v>10.6485753819318</v>
      </c>
      <c r="W172" s="0" t="n">
        <v>13.5240138697144</v>
      </c>
      <c r="X172" s="0" t="n">
        <v>0</v>
      </c>
      <c r="Y172" s="0" t="n">
        <v>0</v>
      </c>
      <c r="Z172" s="0" t="n">
        <v>7.73173225491411</v>
      </c>
      <c r="AA172" s="0" t="n">
        <v>0</v>
      </c>
      <c r="AB172" s="0" t="n">
        <v>0</v>
      </c>
      <c r="AC172" s="0" t="n">
        <v>0</v>
      </c>
      <c r="AD172" s="0" t="n">
        <v>1</v>
      </c>
      <c r="AE172" s="0" t="n">
        <v>0</v>
      </c>
      <c r="AF172" s="0" t="n">
        <v>0</v>
      </c>
      <c r="AG172" s="0" t="n">
        <v>0</v>
      </c>
      <c r="AH172" s="0" t="n">
        <v>0.00116765885492969</v>
      </c>
      <c r="AI172" s="0" t="n">
        <v>0</v>
      </c>
      <c r="AK172" s="0" t="n">
        <f aca="false">A172</f>
        <v>155</v>
      </c>
      <c r="AL172" s="0" t="n">
        <v>2</v>
      </c>
      <c r="AM172" s="0" t="n">
        <v>1</v>
      </c>
      <c r="AO172" s="0" t="n">
        <v>155</v>
      </c>
      <c r="AP172" s="0" t="n">
        <v>1</v>
      </c>
      <c r="AQ172" s="0" t="n">
        <v>0.937666560346217</v>
      </c>
      <c r="AR172" s="0" t="n">
        <v>123.694487417813</v>
      </c>
      <c r="AS172" s="0" t="n">
        <v>36</v>
      </c>
      <c r="AT172" s="0" t="n">
        <v>38</v>
      </c>
    </row>
    <row r="173" customFormat="false" ht="12" hidden="false" customHeight="false" outlineLevel="0" collapsed="false">
      <c r="A173" s="0" t="n">
        <v>156</v>
      </c>
      <c r="B173" s="0" t="n">
        <v>0</v>
      </c>
      <c r="C173" s="0" t="n">
        <v>0.222367436321005</v>
      </c>
      <c r="D173" s="0" t="n">
        <v>168.335476078098</v>
      </c>
      <c r="E173" s="0" t="n">
        <v>12</v>
      </c>
      <c r="F173" s="0" t="n">
        <v>10</v>
      </c>
      <c r="G173" s="0" t="n">
        <v>0.5</v>
      </c>
      <c r="H173" s="0" t="n">
        <v>0</v>
      </c>
      <c r="I173" s="0" t="n">
        <v>2.1312374875411</v>
      </c>
      <c r="J173" s="0" t="n">
        <v>179.010853032937</v>
      </c>
      <c r="K173" s="0" t="n">
        <v>10.6753769548388</v>
      </c>
      <c r="L173" s="0" t="n">
        <v>0</v>
      </c>
      <c r="M173" s="0" t="n">
        <v>175.844840896691</v>
      </c>
      <c r="N173" s="0" t="n">
        <v>0</v>
      </c>
      <c r="O173" s="0" t="n">
        <v>156</v>
      </c>
      <c r="P173" s="0" t="n">
        <v>82</v>
      </c>
      <c r="Q173" s="0" t="n">
        <v>74</v>
      </c>
      <c r="R173" s="0" t="n">
        <v>359.950970940016</v>
      </c>
      <c r="S173" s="0" t="n">
        <v>229.783082706506</v>
      </c>
      <c r="T173" s="0" t="n">
        <v>28</v>
      </c>
      <c r="U173" s="0" t="n">
        <v>20</v>
      </c>
      <c r="V173" s="0" t="n">
        <v>12.8553872280766</v>
      </c>
      <c r="W173" s="0" t="n">
        <v>11.4890966898418</v>
      </c>
      <c r="X173" s="0" t="n">
        <v>0</v>
      </c>
      <c r="Y173" s="0" t="n">
        <v>10.6753769548388</v>
      </c>
      <c r="Z173" s="0" t="n">
        <v>0</v>
      </c>
      <c r="AA173" s="0" t="n">
        <v>0</v>
      </c>
      <c r="AB173" s="0" t="n">
        <v>0</v>
      </c>
      <c r="AC173" s="0" t="n">
        <v>1</v>
      </c>
      <c r="AD173" s="0" t="n">
        <v>0</v>
      </c>
      <c r="AE173" s="0" t="n">
        <v>0</v>
      </c>
      <c r="AF173" s="0" t="n">
        <v>0</v>
      </c>
      <c r="AG173" s="0" t="n">
        <v>5.84053513711518</v>
      </c>
      <c r="AH173" s="0" t="n">
        <v>0</v>
      </c>
      <c r="AI173" s="0" t="n">
        <v>0</v>
      </c>
      <c r="AK173" s="0" t="n">
        <f aca="false">A173</f>
        <v>156</v>
      </c>
      <c r="AL173" s="0" t="n">
        <v>1</v>
      </c>
      <c r="AM173" s="0" t="n">
        <v>0</v>
      </c>
      <c r="AO173" s="0" t="n">
        <v>156</v>
      </c>
      <c r="AP173" s="0" t="n">
        <v>1</v>
      </c>
      <c r="AQ173" s="0" t="n">
        <v>0.23640603253546</v>
      </c>
      <c r="AR173" s="0" t="n">
        <v>123.930893450348</v>
      </c>
      <c r="AS173" s="0" t="n">
        <v>38</v>
      </c>
      <c r="AT173" s="0" t="n">
        <v>38</v>
      </c>
    </row>
    <row r="174" customFormat="false" ht="12" hidden="false" customHeight="false" outlineLevel="0" collapsed="false">
      <c r="A174" s="0" t="n">
        <v>157</v>
      </c>
      <c r="B174" s="0" t="n">
        <v>1</v>
      </c>
      <c r="C174" s="0" t="n">
        <v>0.15484349662804</v>
      </c>
      <c r="D174" s="0" t="n">
        <v>168.490319574726</v>
      </c>
      <c r="E174" s="0" t="n">
        <v>12</v>
      </c>
      <c r="F174" s="0" t="n">
        <v>10</v>
      </c>
      <c r="G174" s="0" t="n">
        <v>0.5</v>
      </c>
      <c r="H174" s="0" t="n">
        <v>1</v>
      </c>
      <c r="I174" s="0" t="n">
        <v>0</v>
      </c>
      <c r="J174" s="0" t="n">
        <v>179.010853032937</v>
      </c>
      <c r="K174" s="0" t="n">
        <v>0</v>
      </c>
      <c r="L174" s="0" t="n">
        <v>1.87259055137028</v>
      </c>
      <c r="M174" s="0" t="n">
        <v>177.717431448062</v>
      </c>
      <c r="N174" s="0" t="n">
        <v>9.22711187333533</v>
      </c>
      <c r="O174" s="0" t="n">
        <v>157</v>
      </c>
      <c r="P174" s="0" t="n">
        <v>82</v>
      </c>
      <c r="Q174" s="0" t="n">
        <v>75</v>
      </c>
      <c r="R174" s="0" t="n">
        <v>312.75862916078</v>
      </c>
      <c r="S174" s="0" t="n">
        <v>285.428598202518</v>
      </c>
      <c r="T174" s="0" t="n">
        <v>26</v>
      </c>
      <c r="U174" s="0" t="n">
        <v>22</v>
      </c>
      <c r="V174" s="0" t="n">
        <v>12.0291734180402</v>
      </c>
      <c r="W174" s="0" t="n">
        <v>12.9739682184407</v>
      </c>
      <c r="X174" s="0" t="n">
        <v>0</v>
      </c>
      <c r="Y174" s="0" t="n">
        <v>0</v>
      </c>
      <c r="Z174" s="0" t="n">
        <v>9.22711187333533</v>
      </c>
      <c r="AA174" s="0" t="n">
        <v>0</v>
      </c>
      <c r="AB174" s="0" t="n">
        <v>0</v>
      </c>
      <c r="AC174" s="0" t="n">
        <v>0</v>
      </c>
      <c r="AD174" s="0" t="n">
        <v>1</v>
      </c>
      <c r="AE174" s="0" t="n">
        <v>0</v>
      </c>
      <c r="AF174" s="0" t="n">
        <v>0</v>
      </c>
      <c r="AG174" s="0" t="n">
        <v>0</v>
      </c>
      <c r="AH174" s="0" t="n">
        <v>2.13513055753418</v>
      </c>
      <c r="AI174" s="0" t="n">
        <v>0</v>
      </c>
      <c r="AK174" s="0" t="n">
        <f aca="false">A174</f>
        <v>157</v>
      </c>
      <c r="AL174" s="0" t="n">
        <v>1</v>
      </c>
      <c r="AM174" s="0" t="n">
        <v>1</v>
      </c>
      <c r="AO174" s="0" t="n">
        <v>157</v>
      </c>
      <c r="AP174" s="0" t="n">
        <v>0</v>
      </c>
      <c r="AQ174" s="0" t="n">
        <v>1.26850304334473</v>
      </c>
      <c r="AR174" s="0" t="n">
        <v>125.199396493693</v>
      </c>
      <c r="AS174" s="0" t="n">
        <v>36</v>
      </c>
      <c r="AT174" s="0" t="n">
        <v>38</v>
      </c>
    </row>
    <row r="175" customFormat="false" ht="12" hidden="false" customHeight="false" outlineLevel="0" collapsed="false">
      <c r="A175" s="0" t="n">
        <v>158</v>
      </c>
      <c r="B175" s="0" t="n">
        <v>1</v>
      </c>
      <c r="C175" s="0" t="n">
        <v>1.63332435232292</v>
      </c>
      <c r="D175" s="0" t="n">
        <v>170.123643927049</v>
      </c>
      <c r="E175" s="0" t="n">
        <v>12</v>
      </c>
      <c r="F175" s="0" t="n">
        <v>10</v>
      </c>
      <c r="G175" s="0" t="n">
        <v>0.5</v>
      </c>
      <c r="H175" s="0" t="n">
        <v>1</v>
      </c>
      <c r="I175" s="0" t="n">
        <v>0</v>
      </c>
      <c r="J175" s="0" t="n">
        <v>179.010853032937</v>
      </c>
      <c r="K175" s="0" t="n">
        <v>0</v>
      </c>
      <c r="L175" s="0" t="n">
        <v>1.83458716442259</v>
      </c>
      <c r="M175" s="0" t="n">
        <v>179.552018612484</v>
      </c>
      <c r="N175" s="0" t="n">
        <v>9.42837468543502</v>
      </c>
      <c r="O175" s="0" t="n">
        <v>158</v>
      </c>
      <c r="P175" s="0" t="n">
        <v>82</v>
      </c>
      <c r="Q175" s="0" t="n">
        <v>76</v>
      </c>
      <c r="R175" s="0" t="n">
        <v>320.591996949509</v>
      </c>
      <c r="S175" s="0" t="n">
        <v>300.402645769016</v>
      </c>
      <c r="T175" s="0" t="n">
        <v>23</v>
      </c>
      <c r="U175" s="0" t="n">
        <v>25</v>
      </c>
      <c r="V175" s="0" t="n">
        <v>13.938776415728</v>
      </c>
      <c r="W175" s="0" t="n">
        <v>12.0160577665296</v>
      </c>
      <c r="X175" s="0" t="n">
        <v>0</v>
      </c>
      <c r="Y175" s="0" t="n">
        <v>0</v>
      </c>
      <c r="Z175" s="0" t="n">
        <v>9.42837468543502</v>
      </c>
      <c r="AA175" s="0" t="n">
        <v>0</v>
      </c>
      <c r="AB175" s="0" t="n">
        <v>0</v>
      </c>
      <c r="AC175" s="0" t="n">
        <v>0</v>
      </c>
      <c r="AD175" s="0" t="n">
        <v>1</v>
      </c>
      <c r="AE175" s="0" t="n">
        <v>0</v>
      </c>
      <c r="AF175" s="0" t="n">
        <v>0</v>
      </c>
      <c r="AG175" s="0" t="n">
        <v>0</v>
      </c>
      <c r="AH175" s="0" t="n">
        <v>2.76381117877812</v>
      </c>
      <c r="AI175" s="0" t="n">
        <v>0</v>
      </c>
      <c r="AK175" s="0" t="n">
        <f aca="false">A175</f>
        <v>158</v>
      </c>
      <c r="AL175" s="0" t="n">
        <v>1</v>
      </c>
      <c r="AM175" s="0" t="n">
        <v>1</v>
      </c>
      <c r="AO175" s="0" t="n">
        <v>158</v>
      </c>
      <c r="AP175" s="0" t="n">
        <v>0</v>
      </c>
      <c r="AQ175" s="0" t="n">
        <v>1.5055898155263</v>
      </c>
      <c r="AR175" s="0" t="n">
        <v>126.704986309219</v>
      </c>
      <c r="AS175" s="0" t="n">
        <v>36</v>
      </c>
      <c r="AT175" s="0" t="n">
        <v>38</v>
      </c>
    </row>
    <row r="176" customFormat="false" ht="12" hidden="false" customHeight="false" outlineLevel="0" collapsed="false">
      <c r="A176" s="0" t="n">
        <v>159</v>
      </c>
      <c r="B176" s="0" t="n">
        <v>1</v>
      </c>
      <c r="C176" s="0" t="n">
        <v>0.893905675789441</v>
      </c>
      <c r="D176" s="0" t="n">
        <v>171.017549602839</v>
      </c>
      <c r="E176" s="0" t="n">
        <v>10</v>
      </c>
      <c r="F176" s="0" t="n">
        <v>12</v>
      </c>
      <c r="G176" s="0" t="n">
        <v>0.5</v>
      </c>
      <c r="H176" s="0" t="n">
        <v>0</v>
      </c>
      <c r="I176" s="0" t="n">
        <v>1.90057557220213</v>
      </c>
      <c r="J176" s="0" t="n">
        <v>180.911428605139</v>
      </c>
      <c r="K176" s="0" t="n">
        <v>9.89387900230057</v>
      </c>
      <c r="L176" s="0" t="n">
        <v>0</v>
      </c>
      <c r="M176" s="0" t="n">
        <v>179.552018612484</v>
      </c>
      <c r="N176" s="0" t="n">
        <v>0</v>
      </c>
      <c r="O176" s="0" t="n">
        <v>159</v>
      </c>
      <c r="P176" s="0" t="n">
        <v>83</v>
      </c>
      <c r="Q176" s="0" t="n">
        <v>76</v>
      </c>
      <c r="R176" s="0" t="n">
        <v>274.00015195176</v>
      </c>
      <c r="S176" s="0" t="n">
        <v>347.664850583894</v>
      </c>
      <c r="T176" s="0" t="n">
        <v>21</v>
      </c>
      <c r="U176" s="0" t="n">
        <v>27</v>
      </c>
      <c r="V176" s="0" t="n">
        <v>13.0476200702647</v>
      </c>
      <c r="W176" s="0" t="n">
        <v>12.8764282570766</v>
      </c>
      <c r="X176" s="0" t="n">
        <v>9.89387900230057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  <c r="AF176" s="0" t="n">
        <v>6.08272872971982</v>
      </c>
      <c r="AG176" s="0" t="n">
        <v>0</v>
      </c>
      <c r="AH176" s="0" t="n">
        <v>0</v>
      </c>
      <c r="AI176" s="0" t="n">
        <v>0</v>
      </c>
      <c r="AK176" s="0" t="n">
        <f aca="false">A176</f>
        <v>159</v>
      </c>
      <c r="AL176" s="0" t="n">
        <v>1</v>
      </c>
      <c r="AM176" s="0" t="n">
        <v>0</v>
      </c>
      <c r="AO176" s="0" t="n">
        <v>159</v>
      </c>
      <c r="AP176" s="0" t="n">
        <v>0</v>
      </c>
      <c r="AQ176" s="0" t="n">
        <v>0.0906748602471239</v>
      </c>
      <c r="AR176" s="0" t="n">
        <v>126.795661169466</v>
      </c>
      <c r="AS176" s="0" t="n">
        <v>38</v>
      </c>
      <c r="AT176" s="0" t="n">
        <v>38</v>
      </c>
    </row>
    <row r="177" customFormat="false" ht="12" hidden="false" customHeight="false" outlineLevel="0" collapsed="false">
      <c r="A177" s="0" t="n">
        <v>160</v>
      </c>
      <c r="B177" s="0" t="n">
        <v>0</v>
      </c>
      <c r="C177" s="0" t="n">
        <v>0.0476780661431046</v>
      </c>
      <c r="D177" s="0" t="n">
        <v>171.065227668982</v>
      </c>
      <c r="E177" s="0" t="n">
        <v>12</v>
      </c>
      <c r="F177" s="0" t="n">
        <v>12</v>
      </c>
      <c r="G177" s="0" t="n">
        <v>0.5</v>
      </c>
      <c r="H177" s="0" t="n">
        <v>0</v>
      </c>
      <c r="I177" s="0" t="n">
        <v>2.12929108961608</v>
      </c>
      <c r="J177" s="0" t="n">
        <v>183.040719694755</v>
      </c>
      <c r="K177" s="0" t="n">
        <v>11.9754920257735</v>
      </c>
      <c r="L177" s="0" t="n">
        <v>0</v>
      </c>
      <c r="M177" s="0" t="n">
        <v>179.552018612484</v>
      </c>
      <c r="N177" s="0" t="n">
        <v>0</v>
      </c>
      <c r="O177" s="0" t="n">
        <v>160</v>
      </c>
      <c r="P177" s="0" t="n">
        <v>84</v>
      </c>
      <c r="Q177" s="0" t="n">
        <v>76</v>
      </c>
      <c r="R177" s="0" t="n">
        <v>378.485095749528</v>
      </c>
      <c r="S177" s="0" t="n">
        <v>241.542434839</v>
      </c>
      <c r="T177" s="0" t="n">
        <v>29</v>
      </c>
      <c r="U177" s="0" t="n">
        <v>19</v>
      </c>
      <c r="V177" s="0" t="n">
        <v>13.0512056978438</v>
      </c>
      <c r="W177" s="0" t="n">
        <v>12.7126928194588</v>
      </c>
      <c r="X177" s="0" t="n">
        <v>0</v>
      </c>
      <c r="Y177" s="0" t="n">
        <v>11.9754920257735</v>
      </c>
      <c r="Z177" s="0" t="n">
        <v>0</v>
      </c>
      <c r="AA177" s="0" t="n">
        <v>0</v>
      </c>
      <c r="AB177" s="0" t="n">
        <v>0</v>
      </c>
      <c r="AC177" s="0" t="n">
        <v>1</v>
      </c>
      <c r="AD177" s="0" t="n">
        <v>0</v>
      </c>
      <c r="AE177" s="0" t="n">
        <v>0</v>
      </c>
      <c r="AF177" s="0" t="n">
        <v>0</v>
      </c>
      <c r="AG177" s="0" t="n">
        <v>13.8148622966082</v>
      </c>
      <c r="AH177" s="0" t="n">
        <v>0</v>
      </c>
      <c r="AI177" s="0" t="n">
        <v>0</v>
      </c>
      <c r="AK177" s="0" t="n">
        <f aca="false">A177</f>
        <v>160</v>
      </c>
      <c r="AL177" s="0" t="n">
        <v>0</v>
      </c>
      <c r="AM177" s="0" t="n">
        <v>0</v>
      </c>
      <c r="AO177" s="0" t="n">
        <v>160</v>
      </c>
      <c r="AP177" s="0" t="n">
        <v>1</v>
      </c>
      <c r="AQ177" s="0" t="n">
        <v>1.32490859884894</v>
      </c>
      <c r="AR177" s="0" t="n">
        <v>128.120569768315</v>
      </c>
      <c r="AS177" s="0" t="n">
        <v>38</v>
      </c>
      <c r="AT177" s="0" t="n">
        <v>38</v>
      </c>
    </row>
    <row r="178" customFormat="false" ht="12" hidden="false" customHeight="false" outlineLevel="0" collapsed="false">
      <c r="A178" s="0" t="n">
        <v>161</v>
      </c>
      <c r="B178" s="0" t="n">
        <v>1</v>
      </c>
      <c r="C178" s="0" t="n">
        <v>0.70357683673371</v>
      </c>
      <c r="D178" s="0" t="n">
        <v>171.768804505715</v>
      </c>
      <c r="E178" s="0" t="n">
        <v>14</v>
      </c>
      <c r="F178" s="0" t="n">
        <v>12</v>
      </c>
      <c r="G178" s="0" t="n">
        <v>0.5</v>
      </c>
      <c r="H178" s="0" t="n">
        <v>1</v>
      </c>
      <c r="I178" s="0" t="n">
        <v>0</v>
      </c>
      <c r="J178" s="0" t="n">
        <v>183.040719694755</v>
      </c>
      <c r="K178" s="0" t="n">
        <v>0</v>
      </c>
      <c r="L178" s="0" t="n">
        <v>2.10415555862812</v>
      </c>
      <c r="M178" s="0" t="n">
        <v>181.656174171112</v>
      </c>
      <c r="N178" s="0" t="n">
        <v>9.88736966539688</v>
      </c>
      <c r="O178" s="0" t="n">
        <v>161</v>
      </c>
      <c r="P178" s="0" t="n">
        <v>84</v>
      </c>
      <c r="Q178" s="0" t="n">
        <v>77</v>
      </c>
      <c r="R178" s="0" t="n">
        <v>243.469048146006</v>
      </c>
      <c r="S178" s="0" t="n">
        <v>375.636581918829</v>
      </c>
      <c r="T178" s="0" t="n">
        <v>23</v>
      </c>
      <c r="U178" s="0" t="n">
        <v>25</v>
      </c>
      <c r="V178" s="0" t="n">
        <v>10.5856061865193</v>
      </c>
      <c r="W178" s="0" t="n">
        <v>15.0254031751405</v>
      </c>
      <c r="X178" s="0" t="n">
        <v>0</v>
      </c>
      <c r="Y178" s="0" t="n">
        <v>0</v>
      </c>
      <c r="Z178" s="0" t="n">
        <v>9.88736966539688</v>
      </c>
      <c r="AA178" s="0" t="n">
        <v>0</v>
      </c>
      <c r="AB178" s="0" t="n">
        <v>0</v>
      </c>
      <c r="AC178" s="0" t="n">
        <v>0</v>
      </c>
      <c r="AD178" s="0" t="n">
        <v>1</v>
      </c>
      <c r="AE178" s="0" t="n">
        <v>0</v>
      </c>
      <c r="AF178" s="0" t="n">
        <v>0</v>
      </c>
      <c r="AG178" s="0" t="n">
        <v>0</v>
      </c>
      <c r="AH178" s="0" t="n">
        <v>4.50061963060775</v>
      </c>
      <c r="AI178" s="0" t="n">
        <v>0</v>
      </c>
      <c r="AK178" s="0" t="n">
        <f aca="false">A178</f>
        <v>161</v>
      </c>
      <c r="AL178" s="0" t="n">
        <v>1</v>
      </c>
      <c r="AM178" s="0" t="n">
        <v>0</v>
      </c>
      <c r="AO178" s="0" t="n">
        <v>161</v>
      </c>
      <c r="AP178" s="0" t="n">
        <v>1</v>
      </c>
      <c r="AQ178" s="0" t="n">
        <v>0.916568180039358</v>
      </c>
      <c r="AR178" s="0" t="n">
        <v>129.037137948355</v>
      </c>
      <c r="AS178" s="0" t="n">
        <v>38</v>
      </c>
      <c r="AT178" s="0" t="n">
        <v>38</v>
      </c>
    </row>
    <row r="179" customFormat="false" ht="12" hidden="false" customHeight="false" outlineLevel="0" collapsed="false">
      <c r="A179" s="0" t="n">
        <v>162</v>
      </c>
      <c r="B179" s="0" t="n">
        <v>1</v>
      </c>
      <c r="C179" s="0" t="n">
        <v>2.35290482082003</v>
      </c>
      <c r="D179" s="0" t="n">
        <v>174.121709326535</v>
      </c>
      <c r="E179" s="0" t="n">
        <v>12</v>
      </c>
      <c r="F179" s="0" t="n">
        <v>10</v>
      </c>
      <c r="G179" s="0" t="n">
        <v>0.5</v>
      </c>
      <c r="H179" s="0" t="n">
        <v>1</v>
      </c>
      <c r="I179" s="0" t="n">
        <v>0</v>
      </c>
      <c r="J179" s="0" t="n">
        <v>183.040719694755</v>
      </c>
      <c r="K179" s="0" t="n">
        <v>0</v>
      </c>
      <c r="L179" s="0" t="n">
        <v>2.03578381062333</v>
      </c>
      <c r="M179" s="0" t="n">
        <v>183.691957981736</v>
      </c>
      <c r="N179" s="0" t="n">
        <v>9.5702486552002</v>
      </c>
      <c r="O179" s="0" t="n">
        <v>162</v>
      </c>
      <c r="P179" s="0" t="n">
        <v>84</v>
      </c>
      <c r="Q179" s="0" t="n">
        <v>78</v>
      </c>
      <c r="R179" s="0" t="n">
        <v>327.034554704227</v>
      </c>
      <c r="S179" s="0" t="n">
        <v>288.07921776662</v>
      </c>
      <c r="T179" s="0" t="n">
        <v>22</v>
      </c>
      <c r="U179" s="0" t="n">
        <v>26</v>
      </c>
      <c r="V179" s="0" t="n">
        <v>14.8652002751011</v>
      </c>
      <c r="W179" s="0" t="n">
        <v>11.0799272989958</v>
      </c>
      <c r="X179" s="0" t="n">
        <v>0</v>
      </c>
      <c r="Y179" s="0" t="n">
        <v>0</v>
      </c>
      <c r="Z179" s="0" t="n">
        <v>9.5702486552002</v>
      </c>
      <c r="AA179" s="0" t="n">
        <v>0</v>
      </c>
      <c r="AB179" s="0" t="n">
        <v>0</v>
      </c>
      <c r="AC179" s="0" t="n">
        <v>0</v>
      </c>
      <c r="AD179" s="0" t="n">
        <v>1</v>
      </c>
      <c r="AE179" s="0" t="n">
        <v>0</v>
      </c>
      <c r="AF179" s="0" t="n">
        <v>0</v>
      </c>
      <c r="AG179" s="0" t="n">
        <v>0</v>
      </c>
      <c r="AH179" s="0" t="n">
        <v>3.25566223831263</v>
      </c>
      <c r="AI179" s="0" t="n">
        <v>0</v>
      </c>
      <c r="AK179" s="0" t="n">
        <f aca="false">A179</f>
        <v>162</v>
      </c>
      <c r="AL179" s="0" t="n">
        <v>1</v>
      </c>
      <c r="AM179" s="0" t="n">
        <v>0</v>
      </c>
      <c r="AO179" s="0" t="n">
        <v>162</v>
      </c>
      <c r="AP179" s="0" t="n">
        <v>1</v>
      </c>
      <c r="AQ179" s="0" t="n">
        <v>1.15352078394468</v>
      </c>
      <c r="AR179" s="0" t="n">
        <v>130.190658732299</v>
      </c>
      <c r="AS179" s="0" t="n">
        <v>38</v>
      </c>
      <c r="AT179" s="0" t="n">
        <v>38</v>
      </c>
    </row>
    <row r="180" customFormat="false" ht="12" hidden="false" customHeight="false" outlineLevel="0" collapsed="false">
      <c r="A180" s="0" t="n">
        <v>163</v>
      </c>
      <c r="B180" s="0" t="n">
        <v>0</v>
      </c>
      <c r="C180" s="0" t="n">
        <v>0.580409273760235</v>
      </c>
      <c r="D180" s="0" t="n">
        <v>174.702118600296</v>
      </c>
      <c r="E180" s="0" t="n">
        <v>10</v>
      </c>
      <c r="F180" s="0" t="n">
        <v>12</v>
      </c>
      <c r="G180" s="0" t="n">
        <v>0.5</v>
      </c>
      <c r="H180" s="0" t="n">
        <v>0</v>
      </c>
      <c r="I180" s="0" t="n">
        <v>2.01267359210821</v>
      </c>
      <c r="J180" s="0" t="n">
        <v>185.053393286863</v>
      </c>
      <c r="K180" s="0" t="n">
        <v>10.3512746865678</v>
      </c>
      <c r="L180" s="0" t="n">
        <v>0</v>
      </c>
      <c r="M180" s="0" t="n">
        <v>183.691957981736</v>
      </c>
      <c r="N180" s="0" t="n">
        <v>0</v>
      </c>
      <c r="O180" s="0" t="n">
        <v>163</v>
      </c>
      <c r="P180" s="0" t="n">
        <v>85</v>
      </c>
      <c r="Q180" s="0" t="n">
        <v>78</v>
      </c>
      <c r="R180" s="0" t="n">
        <v>270.333340394999</v>
      </c>
      <c r="S180" s="0" t="n">
        <v>349.589165362434</v>
      </c>
      <c r="T180" s="0" t="n">
        <v>25</v>
      </c>
      <c r="U180" s="0" t="n">
        <v>23</v>
      </c>
      <c r="V180" s="0" t="n">
        <v>10.8133292904682</v>
      </c>
      <c r="W180" s="0" t="n">
        <v>15.1994628441804</v>
      </c>
      <c r="X180" s="0" t="n">
        <v>0</v>
      </c>
      <c r="Y180" s="0" t="n">
        <v>10.3512746865678</v>
      </c>
      <c r="Z180" s="0" t="n">
        <v>0</v>
      </c>
      <c r="AA180" s="0" t="n">
        <v>0</v>
      </c>
      <c r="AB180" s="0" t="n">
        <v>0</v>
      </c>
      <c r="AC180" s="0" t="n">
        <v>1</v>
      </c>
      <c r="AD180" s="0" t="n">
        <v>0</v>
      </c>
      <c r="AE180" s="0" t="n">
        <v>0</v>
      </c>
      <c r="AF180" s="0" t="n">
        <v>0</v>
      </c>
      <c r="AG180" s="0" t="n">
        <v>4.3790486063594</v>
      </c>
      <c r="AH180" s="0" t="n">
        <v>0</v>
      </c>
      <c r="AI180" s="0" t="n">
        <v>0</v>
      </c>
      <c r="AK180" s="0" t="n">
        <f aca="false">A180</f>
        <v>163</v>
      </c>
      <c r="AL180" s="0" t="n">
        <v>1</v>
      </c>
      <c r="AM180" s="0" t="n">
        <v>1</v>
      </c>
      <c r="AO180" s="0" t="n">
        <v>163</v>
      </c>
      <c r="AP180" s="0" t="n">
        <v>0</v>
      </c>
      <c r="AQ180" s="0" t="n">
        <v>0.0653974688767976</v>
      </c>
      <c r="AR180" s="0" t="n">
        <v>130.256056201176</v>
      </c>
      <c r="AS180" s="0" t="n">
        <v>40</v>
      </c>
      <c r="AT180" s="0" t="n">
        <v>38</v>
      </c>
    </row>
    <row r="181" customFormat="false" ht="12" hidden="false" customHeight="false" outlineLevel="0" collapsed="false">
      <c r="A181" s="0" t="n">
        <v>164</v>
      </c>
      <c r="B181" s="0" t="n">
        <v>1</v>
      </c>
      <c r="C181" s="0" t="n">
        <v>1.12862207917431</v>
      </c>
      <c r="D181" s="0" t="n">
        <v>175.83074067947</v>
      </c>
      <c r="E181" s="0" t="n">
        <v>12</v>
      </c>
      <c r="F181" s="0" t="n">
        <v>12</v>
      </c>
      <c r="G181" s="0" t="n">
        <v>0.5</v>
      </c>
      <c r="H181" s="0" t="n">
        <v>0</v>
      </c>
      <c r="I181" s="0" t="n">
        <v>2.11705402345473</v>
      </c>
      <c r="J181" s="0" t="n">
        <v>187.170447310318</v>
      </c>
      <c r="K181" s="0" t="n">
        <v>11.3397066308482</v>
      </c>
      <c r="L181" s="0" t="n">
        <v>0</v>
      </c>
      <c r="M181" s="0" t="n">
        <v>183.691957981736</v>
      </c>
      <c r="N181" s="0" t="n">
        <v>0</v>
      </c>
      <c r="O181" s="0" t="n">
        <v>164</v>
      </c>
      <c r="P181" s="0" t="n">
        <v>86</v>
      </c>
      <c r="Q181" s="0" t="n">
        <v>78</v>
      </c>
      <c r="R181" s="0" t="n">
        <v>335.289412521101</v>
      </c>
      <c r="S181" s="0" t="n">
        <v>292.456794289993</v>
      </c>
      <c r="T181" s="0" t="n">
        <v>25</v>
      </c>
      <c r="U181" s="0" t="n">
        <v>23</v>
      </c>
      <c r="V181" s="0" t="n">
        <v>13.4115711362156</v>
      </c>
      <c r="W181" s="0" t="n">
        <v>12.7154575106192</v>
      </c>
      <c r="X181" s="0" t="n">
        <v>11.3397066308482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  <c r="AF181" s="0" t="n">
        <v>15.3048901645557</v>
      </c>
      <c r="AG181" s="0" t="n">
        <v>0</v>
      </c>
      <c r="AH181" s="0" t="n">
        <v>0</v>
      </c>
      <c r="AI181" s="0" t="n">
        <v>0</v>
      </c>
      <c r="AK181" s="0" t="n">
        <f aca="false">A181</f>
        <v>164</v>
      </c>
      <c r="AL181" s="0" t="n">
        <v>0</v>
      </c>
      <c r="AM181" s="0" t="n">
        <v>0</v>
      </c>
      <c r="AO181" s="0" t="n">
        <v>164</v>
      </c>
      <c r="AP181" s="0" t="n">
        <v>0</v>
      </c>
      <c r="AQ181" s="0" t="n">
        <v>1.42025217391585</v>
      </c>
      <c r="AR181" s="0" t="n">
        <v>131.676308375092</v>
      </c>
      <c r="AS181" s="0" t="n">
        <v>38</v>
      </c>
      <c r="AT181" s="0" t="n">
        <v>38</v>
      </c>
    </row>
    <row r="182" customFormat="false" ht="12" hidden="false" customHeight="false" outlineLevel="0" collapsed="false">
      <c r="A182" s="0" t="n">
        <v>165</v>
      </c>
      <c r="B182" s="0" t="n">
        <v>0</v>
      </c>
      <c r="C182" s="0" t="n">
        <v>0.215674819977631</v>
      </c>
      <c r="D182" s="0" t="n">
        <v>176.046415499448</v>
      </c>
      <c r="E182" s="0" t="n">
        <v>14</v>
      </c>
      <c r="F182" s="0" t="n">
        <v>10</v>
      </c>
      <c r="G182" s="0" t="n">
        <v>0.5</v>
      </c>
      <c r="H182" s="0" t="n">
        <v>0</v>
      </c>
      <c r="I182" s="0" t="n">
        <v>1.83857590877251</v>
      </c>
      <c r="J182" s="0" t="n">
        <v>189.009023219091</v>
      </c>
      <c r="K182" s="0" t="n">
        <v>12.9626077196431</v>
      </c>
      <c r="L182" s="0" t="n">
        <v>0</v>
      </c>
      <c r="M182" s="0" t="n">
        <v>183.691957981736</v>
      </c>
      <c r="N182" s="0" t="n">
        <v>0</v>
      </c>
      <c r="O182" s="0" t="n">
        <v>165</v>
      </c>
      <c r="P182" s="0" t="n">
        <v>87</v>
      </c>
      <c r="Q182" s="0" t="n">
        <v>78</v>
      </c>
      <c r="R182" s="0" t="n">
        <v>360.071534603465</v>
      </c>
      <c r="S182" s="0" t="n">
        <v>249.677086572837</v>
      </c>
      <c r="T182" s="0" t="n">
        <v>24</v>
      </c>
      <c r="U182" s="0" t="n">
        <v>24</v>
      </c>
      <c r="V182" s="0" t="n">
        <v>15.0029743572384</v>
      </c>
      <c r="W182" s="0" t="n">
        <v>10.4031685939991</v>
      </c>
      <c r="X182" s="0" t="n">
        <v>0</v>
      </c>
      <c r="Y182" s="0" t="n">
        <v>12.9626077196431</v>
      </c>
      <c r="Z182" s="0" t="n">
        <v>0</v>
      </c>
      <c r="AA182" s="0" t="n">
        <v>0</v>
      </c>
      <c r="AB182" s="0" t="n">
        <v>0</v>
      </c>
      <c r="AC182" s="0" t="n">
        <v>1</v>
      </c>
      <c r="AD182" s="0" t="n">
        <v>0</v>
      </c>
      <c r="AE182" s="0" t="n">
        <v>0</v>
      </c>
      <c r="AF182" s="0" t="n">
        <v>0</v>
      </c>
      <c r="AG182" s="0" t="n">
        <v>22.1271519777054</v>
      </c>
      <c r="AH182" s="0" t="n">
        <v>0</v>
      </c>
      <c r="AI182" s="0" t="n">
        <v>0</v>
      </c>
      <c r="AK182" s="0" t="n">
        <f aca="false">A182</f>
        <v>165</v>
      </c>
      <c r="AL182" s="0" t="n">
        <v>2</v>
      </c>
      <c r="AM182" s="0" t="n">
        <v>2</v>
      </c>
      <c r="AO182" s="0" t="n">
        <v>165</v>
      </c>
      <c r="AP182" s="0" t="n">
        <v>1</v>
      </c>
      <c r="AQ182" s="0" t="n">
        <v>0.72075752464264</v>
      </c>
      <c r="AR182" s="0" t="n">
        <v>132.397065899735</v>
      </c>
      <c r="AS182" s="0" t="n">
        <v>36</v>
      </c>
      <c r="AT182" s="0" t="n">
        <v>40</v>
      </c>
    </row>
    <row r="183" customFormat="false" ht="12" hidden="false" customHeight="false" outlineLevel="0" collapsed="false">
      <c r="A183" s="0" t="n">
        <v>166</v>
      </c>
      <c r="B183" s="0" t="n">
        <v>1</v>
      </c>
      <c r="C183" s="0" t="n">
        <v>0.0307818035383463</v>
      </c>
      <c r="D183" s="0" t="n">
        <v>176.077197302986</v>
      </c>
      <c r="E183" s="0" t="n">
        <v>16</v>
      </c>
      <c r="F183" s="0" t="n">
        <v>10</v>
      </c>
      <c r="G183" s="0" t="n">
        <v>0.5</v>
      </c>
      <c r="H183" s="0" t="n">
        <v>1</v>
      </c>
      <c r="I183" s="0" t="n">
        <v>0</v>
      </c>
      <c r="J183" s="0" t="n">
        <v>189.009023219091</v>
      </c>
      <c r="K183" s="0" t="n">
        <v>0</v>
      </c>
      <c r="L183" s="0" t="n">
        <v>2.16202125624677</v>
      </c>
      <c r="M183" s="0" t="n">
        <v>185.853979237982</v>
      </c>
      <c r="N183" s="0" t="n">
        <v>9.77678193499642</v>
      </c>
      <c r="O183" s="0" t="n">
        <v>166</v>
      </c>
      <c r="P183" s="0" t="n">
        <v>87</v>
      </c>
      <c r="Q183" s="0" t="n">
        <v>79</v>
      </c>
      <c r="R183" s="0" t="n">
        <v>283.227128644681</v>
      </c>
      <c r="S183" s="0" t="n">
        <v>343.496020922059</v>
      </c>
      <c r="T183" s="0" t="n">
        <v>21</v>
      </c>
      <c r="U183" s="0" t="n">
        <v>27</v>
      </c>
      <c r="V183" s="0" t="n">
        <v>13.4869997035564</v>
      </c>
      <c r="W183" s="0" t="n">
        <v>12.7220277303439</v>
      </c>
      <c r="X183" s="0" t="n">
        <v>0</v>
      </c>
      <c r="Y183" s="0" t="n">
        <v>0</v>
      </c>
      <c r="Z183" s="0" t="n">
        <v>9.77678193499642</v>
      </c>
      <c r="AA183" s="0" t="n">
        <v>0</v>
      </c>
      <c r="AB183" s="0" t="n">
        <v>0</v>
      </c>
      <c r="AC183" s="0" t="n">
        <v>0</v>
      </c>
      <c r="AD183" s="0" t="n">
        <v>1</v>
      </c>
      <c r="AE183" s="0" t="n">
        <v>0</v>
      </c>
      <c r="AF183" s="0" t="n">
        <v>0</v>
      </c>
      <c r="AG183" s="0" t="n">
        <v>0</v>
      </c>
      <c r="AH183" s="0" t="n">
        <v>4.04363297103386</v>
      </c>
      <c r="AI183" s="0" t="n">
        <v>0</v>
      </c>
      <c r="AK183" s="0" t="n">
        <f aca="false">A183</f>
        <v>166</v>
      </c>
      <c r="AL183" s="0" t="n">
        <v>3</v>
      </c>
      <c r="AM183" s="0" t="n">
        <v>1</v>
      </c>
      <c r="AO183" s="0" t="n">
        <v>166</v>
      </c>
      <c r="AP183" s="0" t="n">
        <v>0</v>
      </c>
      <c r="AQ183" s="0" t="n">
        <v>0.0930706653396728</v>
      </c>
      <c r="AR183" s="0" t="n">
        <v>132.490136565074</v>
      </c>
      <c r="AS183" s="0" t="n">
        <v>38</v>
      </c>
      <c r="AT183" s="0" t="n">
        <v>40</v>
      </c>
    </row>
    <row r="184" customFormat="false" ht="12" hidden="false" customHeight="false" outlineLevel="0" collapsed="false">
      <c r="A184" s="0" t="n">
        <v>167</v>
      </c>
      <c r="B184" s="0" t="n">
        <v>1</v>
      </c>
      <c r="C184" s="0" t="n">
        <v>3.9767374467578</v>
      </c>
      <c r="D184" s="0" t="n">
        <v>180.053934749744</v>
      </c>
      <c r="E184" s="0" t="n">
        <v>12</v>
      </c>
      <c r="F184" s="0" t="n">
        <v>8</v>
      </c>
      <c r="G184" s="0" t="n">
        <v>0.5</v>
      </c>
      <c r="H184" s="0" t="n">
        <v>1</v>
      </c>
      <c r="I184" s="0" t="n">
        <v>0</v>
      </c>
      <c r="J184" s="0" t="n">
        <v>189.009023219091</v>
      </c>
      <c r="K184" s="0" t="n">
        <v>0</v>
      </c>
      <c r="L184" s="0" t="n">
        <v>2.1869588272342</v>
      </c>
      <c r="M184" s="0" t="n">
        <v>188.040938065217</v>
      </c>
      <c r="N184" s="0" t="n">
        <v>7.98700331547283</v>
      </c>
      <c r="O184" s="0" t="n">
        <v>167</v>
      </c>
      <c r="P184" s="0" t="n">
        <v>87</v>
      </c>
      <c r="Q184" s="0" t="n">
        <v>80</v>
      </c>
      <c r="R184" s="0" t="n">
        <v>310.147378023554</v>
      </c>
      <c r="S184" s="0" t="n">
        <v>318.199593935897</v>
      </c>
      <c r="T184" s="0" t="n">
        <v>23</v>
      </c>
      <c r="U184" s="0" t="n">
        <v>25</v>
      </c>
      <c r="V184" s="0" t="n">
        <v>13.4846627468229</v>
      </c>
      <c r="W184" s="0" t="n">
        <v>12.7279328457045</v>
      </c>
      <c r="X184" s="0" t="n">
        <v>0</v>
      </c>
      <c r="Y184" s="0" t="n">
        <v>0</v>
      </c>
      <c r="Z184" s="0" t="n">
        <v>7.98700331547283</v>
      </c>
      <c r="AA184" s="0" t="n">
        <v>0</v>
      </c>
      <c r="AB184" s="0" t="n">
        <v>0</v>
      </c>
      <c r="AC184" s="0" t="n">
        <v>0</v>
      </c>
      <c r="AD184" s="0" t="n">
        <v>1</v>
      </c>
      <c r="AE184" s="0" t="n">
        <v>0</v>
      </c>
      <c r="AF184" s="0" t="n">
        <v>0</v>
      </c>
      <c r="AG184" s="0" t="n">
        <v>0</v>
      </c>
      <c r="AH184" s="0" t="n">
        <v>0.048885226336305</v>
      </c>
      <c r="AI184" s="0" t="n">
        <v>0</v>
      </c>
      <c r="AK184" s="0" t="n">
        <f aca="false">A184</f>
        <v>167</v>
      </c>
      <c r="AL184" s="0" t="n">
        <v>2</v>
      </c>
      <c r="AM184" s="0" t="n">
        <v>1</v>
      </c>
      <c r="AO184" s="0" t="n">
        <v>167</v>
      </c>
      <c r="AP184" s="0" t="n">
        <v>1</v>
      </c>
      <c r="AQ184" s="0" t="n">
        <v>0.590715260269633</v>
      </c>
      <c r="AR184" s="0" t="n">
        <v>133.080851825344</v>
      </c>
      <c r="AS184" s="0" t="n">
        <v>40</v>
      </c>
      <c r="AT184" s="0" t="n">
        <v>38</v>
      </c>
    </row>
    <row r="185" customFormat="false" ht="12" hidden="false" customHeight="false" outlineLevel="0" collapsed="false">
      <c r="A185" s="0" t="n">
        <v>168</v>
      </c>
      <c r="B185" s="0" t="n">
        <v>1</v>
      </c>
      <c r="C185" s="0" t="n">
        <v>0.165436975961407</v>
      </c>
      <c r="D185" s="0" t="n">
        <v>180.219371725705</v>
      </c>
      <c r="E185" s="0" t="n">
        <v>12</v>
      </c>
      <c r="F185" s="0" t="n">
        <v>10</v>
      </c>
      <c r="G185" s="0" t="n">
        <v>0.5</v>
      </c>
      <c r="H185" s="0" t="n">
        <v>1</v>
      </c>
      <c r="I185" s="0" t="n">
        <v>0</v>
      </c>
      <c r="J185" s="0" t="n">
        <v>189.009023219091</v>
      </c>
      <c r="K185" s="0" t="n">
        <v>0</v>
      </c>
      <c r="L185" s="0" t="n">
        <v>2.03196485177358</v>
      </c>
      <c r="M185" s="0" t="n">
        <v>190.07290291699</v>
      </c>
      <c r="N185" s="0" t="n">
        <v>9.85353119128502</v>
      </c>
      <c r="O185" s="0" t="n">
        <v>168</v>
      </c>
      <c r="P185" s="0" t="n">
        <v>87</v>
      </c>
      <c r="Q185" s="0" t="n">
        <v>81</v>
      </c>
      <c r="R185" s="0" t="n">
        <v>244.094349283108</v>
      </c>
      <c r="S185" s="0" t="n">
        <v>367.644925916235</v>
      </c>
      <c r="T185" s="0" t="n">
        <v>22</v>
      </c>
      <c r="U185" s="0" t="n">
        <v>26</v>
      </c>
      <c r="V185" s="0" t="n">
        <v>11.0951926514173</v>
      </c>
      <c r="W185" s="0" t="n">
        <v>14.1401350731818</v>
      </c>
      <c r="X185" s="0" t="n">
        <v>0</v>
      </c>
      <c r="Y185" s="0" t="n">
        <v>0</v>
      </c>
      <c r="Z185" s="0" t="n">
        <v>9.85353119128502</v>
      </c>
      <c r="AA185" s="0" t="n">
        <v>0</v>
      </c>
      <c r="AB185" s="0" t="n">
        <v>0</v>
      </c>
      <c r="AC185" s="0" t="n">
        <v>0</v>
      </c>
      <c r="AD185" s="0" t="n">
        <v>1</v>
      </c>
      <c r="AE185" s="0" t="n">
        <v>0</v>
      </c>
      <c r="AF185" s="0" t="n">
        <v>0</v>
      </c>
      <c r="AG185" s="0" t="n">
        <v>0</v>
      </c>
      <c r="AH185" s="0" t="n">
        <v>4.35819030211559</v>
      </c>
      <c r="AI185" s="0" t="n">
        <v>0</v>
      </c>
      <c r="AK185" s="0" t="n">
        <f aca="false">A185</f>
        <v>168</v>
      </c>
      <c r="AL185" s="0" t="n">
        <v>1</v>
      </c>
      <c r="AM185" s="0" t="n">
        <v>0</v>
      </c>
      <c r="AO185" s="0" t="n">
        <v>168</v>
      </c>
      <c r="AP185" s="0" t="n">
        <v>0</v>
      </c>
      <c r="AQ185" s="0" t="n">
        <v>2.58754928741521</v>
      </c>
      <c r="AR185" s="0" t="n">
        <v>135.668401112759</v>
      </c>
      <c r="AS185" s="0" t="n">
        <v>38</v>
      </c>
      <c r="AT185" s="0" t="n">
        <v>38</v>
      </c>
    </row>
    <row r="186" customFormat="false" ht="12" hidden="false" customHeight="false" outlineLevel="0" collapsed="false">
      <c r="A186" s="0" t="n">
        <v>169</v>
      </c>
      <c r="B186" s="0" t="n">
        <v>0</v>
      </c>
      <c r="C186" s="0" t="n">
        <v>2.49786197891335</v>
      </c>
      <c r="D186" s="0" t="n">
        <v>182.717233704618</v>
      </c>
      <c r="E186" s="0" t="n">
        <v>10</v>
      </c>
      <c r="F186" s="0" t="n">
        <v>10</v>
      </c>
      <c r="G186" s="0" t="n">
        <v>0.5</v>
      </c>
      <c r="H186" s="0" t="n">
        <v>0</v>
      </c>
      <c r="I186" s="0" t="n">
        <v>1.84049194654023</v>
      </c>
      <c r="J186" s="0" t="n">
        <v>190.849515165631</v>
      </c>
      <c r="K186" s="0" t="n">
        <v>8.13228146101241</v>
      </c>
      <c r="L186" s="0" t="n">
        <v>0</v>
      </c>
      <c r="M186" s="0" t="n">
        <v>190.07290291699</v>
      </c>
      <c r="N186" s="0" t="n">
        <v>0</v>
      </c>
      <c r="O186" s="0" t="n">
        <v>169</v>
      </c>
      <c r="P186" s="0" t="n">
        <v>88</v>
      </c>
      <c r="Q186" s="0" t="n">
        <v>81</v>
      </c>
      <c r="R186" s="0" t="n">
        <v>304.292179858512</v>
      </c>
      <c r="S186" s="0" t="n">
        <v>311.299916151252</v>
      </c>
      <c r="T186" s="0" t="n">
        <v>24</v>
      </c>
      <c r="U186" s="0" t="n">
        <v>24</v>
      </c>
      <c r="V186" s="0" t="n">
        <v>12.6788355445899</v>
      </c>
      <c r="W186" s="0" t="n">
        <v>12.9707757947363</v>
      </c>
      <c r="X186" s="0" t="n">
        <v>0</v>
      </c>
      <c r="Y186" s="0" t="n">
        <v>8.13228146101241</v>
      </c>
      <c r="Z186" s="0" t="n">
        <v>0</v>
      </c>
      <c r="AA186" s="0" t="n">
        <v>0</v>
      </c>
      <c r="AB186" s="0" t="n">
        <v>0</v>
      </c>
      <c r="AC186" s="0" t="n">
        <v>1</v>
      </c>
      <c r="AD186" s="0" t="n">
        <v>0</v>
      </c>
      <c r="AE186" s="0" t="n">
        <v>0</v>
      </c>
      <c r="AF186" s="0" t="n">
        <v>0</v>
      </c>
      <c r="AG186" s="0" t="n">
        <v>0.0159707874697722</v>
      </c>
      <c r="AH186" s="0" t="n">
        <v>0</v>
      </c>
      <c r="AI186" s="0" t="n">
        <v>0</v>
      </c>
      <c r="AK186" s="0" t="n">
        <f aca="false">A186</f>
        <v>169</v>
      </c>
      <c r="AL186" s="0" t="n">
        <v>0</v>
      </c>
      <c r="AM186" s="0" t="n">
        <v>1</v>
      </c>
      <c r="AO186" s="0" t="n">
        <v>169</v>
      </c>
      <c r="AP186" s="0" t="n">
        <v>0</v>
      </c>
      <c r="AQ186" s="0" t="n">
        <v>0.101402775398595</v>
      </c>
      <c r="AR186" s="0" t="n">
        <v>135.769803888158</v>
      </c>
      <c r="AS186" s="0" t="n">
        <v>40</v>
      </c>
      <c r="AT186" s="0" t="n">
        <v>38</v>
      </c>
    </row>
    <row r="187" customFormat="false" ht="12" hidden="false" customHeight="false" outlineLevel="0" collapsed="false">
      <c r="A187" s="0" t="n">
        <v>170</v>
      </c>
      <c r="B187" s="0" t="n">
        <v>0</v>
      </c>
      <c r="C187" s="0" t="n">
        <v>0.346709714628621</v>
      </c>
      <c r="D187" s="0" t="n">
        <v>183.063943419247</v>
      </c>
      <c r="E187" s="0" t="n">
        <v>10</v>
      </c>
      <c r="F187" s="0" t="n">
        <v>10</v>
      </c>
      <c r="G187" s="0" t="n">
        <v>0.5</v>
      </c>
      <c r="H187" s="0" t="n">
        <v>0</v>
      </c>
      <c r="I187" s="0" t="n">
        <v>2.14640015381256</v>
      </c>
      <c r="J187" s="0" t="n">
        <v>192.995915319443</v>
      </c>
      <c r="K187" s="0" t="n">
        <v>9.93197190019635</v>
      </c>
      <c r="L187" s="0" t="n">
        <v>0</v>
      </c>
      <c r="M187" s="0" t="n">
        <v>190.07290291699</v>
      </c>
      <c r="N187" s="0" t="n">
        <v>0</v>
      </c>
      <c r="O187" s="0" t="n">
        <v>170</v>
      </c>
      <c r="P187" s="0" t="n">
        <v>89</v>
      </c>
      <c r="Q187" s="0" t="n">
        <v>81</v>
      </c>
      <c r="R187" s="0" t="n">
        <v>306.119453759664</v>
      </c>
      <c r="S187" s="0" t="n">
        <v>304.216673906253</v>
      </c>
      <c r="T187" s="0" t="n">
        <v>28</v>
      </c>
      <c r="U187" s="0" t="n">
        <v>20</v>
      </c>
      <c r="V187" s="0" t="n">
        <v>10.9328337296903</v>
      </c>
      <c r="W187" s="0" t="n">
        <v>15.2107576415244</v>
      </c>
      <c r="X187" s="0" t="n">
        <v>0</v>
      </c>
      <c r="Y187" s="0" t="n">
        <v>9.93197190019635</v>
      </c>
      <c r="Z187" s="0" t="n">
        <v>0</v>
      </c>
      <c r="AA187" s="0" t="n">
        <v>0</v>
      </c>
      <c r="AB187" s="0" t="n">
        <v>0</v>
      </c>
      <c r="AC187" s="0" t="n">
        <v>1</v>
      </c>
      <c r="AD187" s="0" t="n">
        <v>0</v>
      </c>
      <c r="AE187" s="0" t="n">
        <v>0</v>
      </c>
      <c r="AF187" s="0" t="n">
        <v>0</v>
      </c>
      <c r="AG187" s="0" t="n">
        <v>2.79998261466302</v>
      </c>
      <c r="AH187" s="0" t="n">
        <v>0</v>
      </c>
      <c r="AI187" s="0" t="n">
        <v>0</v>
      </c>
      <c r="AK187" s="0" t="n">
        <f aca="false">A187</f>
        <v>170</v>
      </c>
      <c r="AL187" s="0" t="n">
        <v>0</v>
      </c>
      <c r="AM187" s="0" t="n">
        <v>1</v>
      </c>
      <c r="AO187" s="0" t="n">
        <v>170</v>
      </c>
      <c r="AP187" s="0" t="n">
        <v>1</v>
      </c>
      <c r="AQ187" s="0" t="n">
        <v>0.619246107945612</v>
      </c>
      <c r="AR187" s="0" t="n">
        <v>136.389049996103</v>
      </c>
      <c r="AS187" s="0" t="n">
        <v>38</v>
      </c>
      <c r="AT187" s="0" t="n">
        <v>40</v>
      </c>
    </row>
    <row r="188" customFormat="false" ht="12" hidden="false" customHeight="false" outlineLevel="0" collapsed="false">
      <c r="A188" s="0" t="n">
        <v>171</v>
      </c>
      <c r="B188" s="0" t="n">
        <v>0</v>
      </c>
      <c r="C188" s="0" t="n">
        <v>0.337422081680954</v>
      </c>
      <c r="D188" s="0" t="n">
        <v>183.401365500928</v>
      </c>
      <c r="E188" s="0" t="n">
        <v>12</v>
      </c>
      <c r="F188" s="0" t="n">
        <v>10</v>
      </c>
      <c r="G188" s="0" t="n">
        <v>0.5</v>
      </c>
      <c r="H188" s="0" t="n">
        <v>1</v>
      </c>
      <c r="I188" s="0" t="n">
        <v>0</v>
      </c>
      <c r="J188" s="0" t="n">
        <v>192.995915319443</v>
      </c>
      <c r="K188" s="0" t="n">
        <v>0</v>
      </c>
      <c r="L188" s="0" t="n">
        <v>2.16627882074919</v>
      </c>
      <c r="M188" s="0" t="n">
        <v>192.239181737739</v>
      </c>
      <c r="N188" s="0" t="n">
        <v>8.83781623681131</v>
      </c>
      <c r="O188" s="0" t="n">
        <v>171</v>
      </c>
      <c r="P188" s="0" t="n">
        <v>89</v>
      </c>
      <c r="Q188" s="0" t="n">
        <v>82</v>
      </c>
      <c r="R188" s="0" t="n">
        <v>307.723237733655</v>
      </c>
      <c r="S188" s="0" t="n">
        <v>297.676787817727</v>
      </c>
      <c r="T188" s="0" t="n">
        <v>24</v>
      </c>
      <c r="U188" s="0" t="n">
        <v>24</v>
      </c>
      <c r="V188" s="0" t="n">
        <v>12.8217962298205</v>
      </c>
      <c r="W188" s="0" t="n">
        <v>12.4031478126227</v>
      </c>
      <c r="X188" s="0" t="n">
        <v>0</v>
      </c>
      <c r="Y188" s="0" t="n">
        <v>0</v>
      </c>
      <c r="Z188" s="0" t="n">
        <v>0</v>
      </c>
      <c r="AA188" s="0" t="n">
        <v>8.83781623681131</v>
      </c>
      <c r="AB188" s="0" t="n">
        <v>0</v>
      </c>
      <c r="AC188" s="0" t="n">
        <v>0</v>
      </c>
      <c r="AD188" s="0" t="n">
        <v>0</v>
      </c>
      <c r="AE188" s="0" t="n">
        <v>1</v>
      </c>
      <c r="AF188" s="0" t="n">
        <v>0</v>
      </c>
      <c r="AG188" s="0" t="n">
        <v>0</v>
      </c>
      <c r="AH188" s="0" t="n">
        <v>0</v>
      </c>
      <c r="AI188" s="0" t="n">
        <v>1.22415520278898</v>
      </c>
      <c r="AK188" s="0" t="n">
        <f aca="false">A188</f>
        <v>171</v>
      </c>
      <c r="AL188" s="0" t="n">
        <v>1</v>
      </c>
      <c r="AM188" s="0" t="n">
        <v>1</v>
      </c>
      <c r="AO188" s="0" t="n">
        <v>171</v>
      </c>
      <c r="AP188" s="0" t="n">
        <v>1</v>
      </c>
      <c r="AQ188" s="0" t="n">
        <v>1.570250729139</v>
      </c>
      <c r="AR188" s="0" t="n">
        <v>137.959300725242</v>
      </c>
      <c r="AS188" s="0" t="n">
        <v>40</v>
      </c>
      <c r="AT188" s="0" t="n">
        <v>38</v>
      </c>
    </row>
    <row r="189" customFormat="false" ht="12" hidden="false" customHeight="false" outlineLevel="0" collapsed="false">
      <c r="A189" s="0" t="n">
        <v>172</v>
      </c>
      <c r="B189" s="0" t="n">
        <v>1</v>
      </c>
      <c r="C189" s="0" t="n">
        <v>0.0515507665836696</v>
      </c>
      <c r="D189" s="0" t="n">
        <v>183.452916267512</v>
      </c>
      <c r="E189" s="0" t="n">
        <v>12</v>
      </c>
      <c r="F189" s="0" t="n">
        <v>12</v>
      </c>
      <c r="G189" s="0" t="n">
        <v>0.5</v>
      </c>
      <c r="H189" s="0" t="n">
        <v>0</v>
      </c>
      <c r="I189" s="0" t="n">
        <v>1.8939223834332</v>
      </c>
      <c r="J189" s="0" t="n">
        <v>194.889837702877</v>
      </c>
      <c r="K189" s="0" t="n">
        <v>11.4369214353649</v>
      </c>
      <c r="L189" s="0" t="n">
        <v>0</v>
      </c>
      <c r="M189" s="0" t="n">
        <v>192.239181737739</v>
      </c>
      <c r="N189" s="0" t="n">
        <v>0</v>
      </c>
      <c r="O189" s="0" t="n">
        <v>172</v>
      </c>
      <c r="P189" s="0" t="n">
        <v>90</v>
      </c>
      <c r="Q189" s="0" t="n">
        <v>82</v>
      </c>
      <c r="R189" s="0" t="n">
        <v>290.902330922069</v>
      </c>
      <c r="S189" s="0" t="n">
        <v>302.933497374404</v>
      </c>
      <c r="T189" s="0" t="n">
        <v>24</v>
      </c>
      <c r="U189" s="0" t="n">
        <v>24</v>
      </c>
      <c r="V189" s="0" t="n">
        <v>12.1209254047006</v>
      </c>
      <c r="W189" s="0" t="n">
        <v>12.6221764648649</v>
      </c>
      <c r="X189" s="0" t="n">
        <v>11.4369214353649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  <c r="AF189" s="0" t="n">
        <v>16.0749779954377</v>
      </c>
      <c r="AG189" s="0" t="n">
        <v>0</v>
      </c>
      <c r="AH189" s="0" t="n">
        <v>0</v>
      </c>
      <c r="AI189" s="0" t="n">
        <v>0</v>
      </c>
      <c r="AK189" s="0" t="n">
        <f aca="false">A189</f>
        <v>172</v>
      </c>
      <c r="AL189" s="0" t="n">
        <v>0</v>
      </c>
      <c r="AM189" s="0" t="n">
        <v>1</v>
      </c>
      <c r="AO189" s="0" t="n">
        <v>172</v>
      </c>
      <c r="AP189" s="0" t="n">
        <v>1</v>
      </c>
      <c r="AQ189" s="0" t="n">
        <v>0.356552731422917</v>
      </c>
      <c r="AR189" s="0" t="n">
        <v>138.315853456665</v>
      </c>
      <c r="AS189" s="0" t="n">
        <v>38</v>
      </c>
      <c r="AT189" s="0" t="n">
        <v>40</v>
      </c>
    </row>
    <row r="190" customFormat="false" ht="12" hidden="false" customHeight="false" outlineLevel="0" collapsed="false">
      <c r="A190" s="0" t="n">
        <v>173</v>
      </c>
      <c r="B190" s="0" t="n">
        <v>1</v>
      </c>
      <c r="C190" s="0" t="n">
        <v>0.809872526592174</v>
      </c>
      <c r="D190" s="0" t="n">
        <v>184.262788794104</v>
      </c>
      <c r="E190" s="0" t="n">
        <v>14</v>
      </c>
      <c r="F190" s="0" t="n">
        <v>10</v>
      </c>
      <c r="G190" s="0" t="n">
        <v>0.5</v>
      </c>
      <c r="H190" s="0" t="n">
        <v>1</v>
      </c>
      <c r="I190" s="0" t="n">
        <v>0</v>
      </c>
      <c r="J190" s="0" t="n">
        <v>194.889837702877</v>
      </c>
      <c r="K190" s="0" t="n">
        <v>0</v>
      </c>
      <c r="L190" s="0" t="n">
        <v>2.1159912061409</v>
      </c>
      <c r="M190" s="0" t="n">
        <v>194.35517294388</v>
      </c>
      <c r="N190" s="0" t="n">
        <v>10.0923841497764</v>
      </c>
      <c r="O190" s="0" t="n">
        <v>173</v>
      </c>
      <c r="P190" s="0" t="n">
        <v>90</v>
      </c>
      <c r="Q190" s="0" t="n">
        <v>83</v>
      </c>
      <c r="R190" s="0" t="n">
        <v>371.79827507479</v>
      </c>
      <c r="S190" s="0" t="n">
        <v>222.90608736872</v>
      </c>
      <c r="T190" s="0" t="n">
        <v>29</v>
      </c>
      <c r="U190" s="0" t="n">
        <v>19</v>
      </c>
      <c r="V190" s="0" t="n">
        <v>12.8206257540873</v>
      </c>
      <c r="W190" s="0" t="n">
        <v>11.7318375886822</v>
      </c>
      <c r="X190" s="0" t="n">
        <v>0</v>
      </c>
      <c r="Y190" s="0" t="n">
        <v>0</v>
      </c>
      <c r="Z190" s="0" t="n">
        <v>10.0923841497764</v>
      </c>
      <c r="AA190" s="0" t="n">
        <v>0</v>
      </c>
      <c r="AB190" s="0" t="n">
        <v>0</v>
      </c>
      <c r="AC190" s="0" t="n">
        <v>0</v>
      </c>
      <c r="AD190" s="0" t="n">
        <v>1</v>
      </c>
      <c r="AE190" s="0" t="n">
        <v>0</v>
      </c>
      <c r="AF190" s="0" t="n">
        <v>0</v>
      </c>
      <c r="AG190" s="0" t="n">
        <v>0</v>
      </c>
      <c r="AH190" s="0" t="n">
        <v>5.41251324427717</v>
      </c>
      <c r="AI190" s="0" t="n">
        <v>0</v>
      </c>
      <c r="AK190" s="0" t="n">
        <f aca="false">A190</f>
        <v>173</v>
      </c>
      <c r="AL190" s="0" t="n">
        <v>2</v>
      </c>
      <c r="AM190" s="0" t="n">
        <v>1</v>
      </c>
      <c r="AO190" s="0" t="n">
        <v>173</v>
      </c>
      <c r="AP190" s="0" t="n">
        <v>0</v>
      </c>
      <c r="AQ190" s="0" t="n">
        <v>0.764824327861142</v>
      </c>
      <c r="AR190" s="0" t="n">
        <v>139.080677784526</v>
      </c>
      <c r="AS190" s="0" t="n">
        <v>40</v>
      </c>
      <c r="AT190" s="0" t="n">
        <v>38</v>
      </c>
    </row>
    <row r="191" customFormat="false" ht="12" hidden="false" customHeight="false" outlineLevel="0" collapsed="false">
      <c r="A191" s="0" t="n">
        <v>174</v>
      </c>
      <c r="B191" s="0" t="n">
        <v>1</v>
      </c>
      <c r="C191" s="0" t="n">
        <v>0.100168668140304</v>
      </c>
      <c r="D191" s="0" t="n">
        <v>184.362957462244</v>
      </c>
      <c r="E191" s="0" t="n">
        <v>14</v>
      </c>
      <c r="F191" s="0" t="n">
        <v>12</v>
      </c>
      <c r="G191" s="0" t="n">
        <v>0.5</v>
      </c>
      <c r="H191" s="0" t="n">
        <v>1</v>
      </c>
      <c r="I191" s="0" t="n">
        <v>0</v>
      </c>
      <c r="J191" s="0" t="n">
        <v>194.889837702877</v>
      </c>
      <c r="K191" s="0" t="n">
        <v>0</v>
      </c>
      <c r="L191" s="0" t="n">
        <v>1.88500856873422</v>
      </c>
      <c r="M191" s="0" t="n">
        <v>196.240181512614</v>
      </c>
      <c r="N191" s="0" t="n">
        <v>11.8772240503703</v>
      </c>
      <c r="O191" s="0" t="n">
        <v>174</v>
      </c>
      <c r="P191" s="0" t="n">
        <v>90</v>
      </c>
      <c r="Q191" s="0" t="n">
        <v>84</v>
      </c>
      <c r="R191" s="0" t="n">
        <v>289.276808204348</v>
      </c>
      <c r="S191" s="0" t="n">
        <v>310.201136815015</v>
      </c>
      <c r="T191" s="0" t="n">
        <v>21</v>
      </c>
      <c r="U191" s="0" t="n">
        <v>27</v>
      </c>
      <c r="V191" s="0" t="n">
        <v>13.7750795454073</v>
      </c>
      <c r="W191" s="0" t="n">
        <v>11.48888844171</v>
      </c>
      <c r="X191" s="0" t="n">
        <v>0</v>
      </c>
      <c r="Y191" s="0" t="n">
        <v>0</v>
      </c>
      <c r="Z191" s="0" t="n">
        <v>11.8772240503703</v>
      </c>
      <c r="AA191" s="0" t="n">
        <v>0</v>
      </c>
      <c r="AB191" s="0" t="n">
        <v>0</v>
      </c>
      <c r="AC191" s="0" t="n">
        <v>0</v>
      </c>
      <c r="AD191" s="0" t="n">
        <v>1</v>
      </c>
      <c r="AE191" s="0" t="n">
        <v>0</v>
      </c>
      <c r="AF191" s="0" t="n">
        <v>0</v>
      </c>
      <c r="AG191" s="0" t="n">
        <v>0</v>
      </c>
      <c r="AH191" s="0" t="n">
        <v>16.9029584889687</v>
      </c>
      <c r="AI191" s="0" t="n">
        <v>0</v>
      </c>
      <c r="AK191" s="0" t="n">
        <f aca="false">A191</f>
        <v>174</v>
      </c>
      <c r="AL191" s="0" t="n">
        <v>1</v>
      </c>
      <c r="AM191" s="0" t="n">
        <v>0</v>
      </c>
      <c r="AO191" s="0" t="n">
        <v>174</v>
      </c>
      <c r="AP191" s="0" t="n">
        <v>0</v>
      </c>
      <c r="AQ191" s="0" t="n">
        <v>0.438437432553703</v>
      </c>
      <c r="AR191" s="0" t="n">
        <v>139.51911521708</v>
      </c>
      <c r="AS191" s="0" t="n">
        <v>40</v>
      </c>
      <c r="AT191" s="0" t="n">
        <v>40</v>
      </c>
    </row>
    <row r="192" customFormat="false" ht="12" hidden="false" customHeight="false" outlineLevel="0" collapsed="false">
      <c r="A192" s="0" t="n">
        <v>175</v>
      </c>
      <c r="B192" s="0" t="n">
        <v>1</v>
      </c>
      <c r="C192" s="0" t="n">
        <v>1.28689931802448</v>
      </c>
      <c r="D192" s="0" t="n">
        <v>185.649856780269</v>
      </c>
      <c r="E192" s="0" t="n">
        <v>12</v>
      </c>
      <c r="F192" s="0" t="n">
        <v>14</v>
      </c>
      <c r="G192" s="0" t="n">
        <v>0.5</v>
      </c>
      <c r="H192" s="0" t="n">
        <v>0</v>
      </c>
      <c r="I192" s="0" t="n">
        <v>2.11961268978539</v>
      </c>
      <c r="J192" s="0" t="n">
        <v>197.009450392662</v>
      </c>
      <c r="K192" s="0" t="n">
        <v>11.3595936123933</v>
      </c>
      <c r="L192" s="0" t="n">
        <v>0</v>
      </c>
      <c r="M192" s="0" t="n">
        <v>196.240181512614</v>
      </c>
      <c r="N192" s="0" t="n">
        <v>0</v>
      </c>
      <c r="O192" s="0" t="n">
        <v>175</v>
      </c>
      <c r="P192" s="0" t="n">
        <v>91</v>
      </c>
      <c r="Q192" s="0" t="n">
        <v>84</v>
      </c>
      <c r="R192" s="0" t="n">
        <v>302.474430021791</v>
      </c>
      <c r="S192" s="0" t="n">
        <v>296.475907148678</v>
      </c>
      <c r="T192" s="0" t="n">
        <v>26</v>
      </c>
      <c r="U192" s="0" t="n">
        <v>22</v>
      </c>
      <c r="V192" s="0" t="n">
        <v>11.633627449443</v>
      </c>
      <c r="W192" s="0" t="n">
        <v>13.4761163425929</v>
      </c>
      <c r="X192" s="0" t="n">
        <v>11.3595936123933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  <c r="AF192" s="0" t="n">
        <v>15.4608872267146</v>
      </c>
      <c r="AG192" s="0" t="n">
        <v>0</v>
      </c>
      <c r="AH192" s="0" t="n">
        <v>0</v>
      </c>
      <c r="AI192" s="0" t="n">
        <v>0</v>
      </c>
      <c r="AK192" s="0" t="n">
        <f aca="false">A192</f>
        <v>175</v>
      </c>
      <c r="AL192" s="0" t="n">
        <v>1</v>
      </c>
      <c r="AM192" s="0" t="n">
        <v>1</v>
      </c>
      <c r="AO192" s="0" t="n">
        <v>175</v>
      </c>
      <c r="AP192" s="0" t="n">
        <v>1</v>
      </c>
      <c r="AQ192" s="0" t="n">
        <v>1.04153185237439</v>
      </c>
      <c r="AR192" s="0" t="n">
        <v>140.560647069454</v>
      </c>
      <c r="AS192" s="0" t="n">
        <v>38</v>
      </c>
      <c r="AT192" s="0" t="n">
        <v>40</v>
      </c>
    </row>
    <row r="193" customFormat="false" ht="12" hidden="false" customHeight="false" outlineLevel="0" collapsed="false">
      <c r="A193" s="0" t="n">
        <v>176</v>
      </c>
      <c r="B193" s="0" t="n">
        <v>1</v>
      </c>
      <c r="C193" s="0" t="n">
        <v>0.42532818012984</v>
      </c>
      <c r="D193" s="0" t="n">
        <v>186.075184960399</v>
      </c>
      <c r="E193" s="0" t="n">
        <v>14</v>
      </c>
      <c r="F193" s="0" t="n">
        <v>12</v>
      </c>
      <c r="G193" s="0" t="n">
        <v>0.5</v>
      </c>
      <c r="H193" s="0" t="n">
        <v>1</v>
      </c>
      <c r="I193" s="0" t="n">
        <v>0</v>
      </c>
      <c r="J193" s="0" t="n">
        <v>197.009450392662</v>
      </c>
      <c r="K193" s="0" t="n">
        <v>0</v>
      </c>
      <c r="L193" s="0" t="n">
        <v>1.95362835495467</v>
      </c>
      <c r="M193" s="0" t="n">
        <v>198.193809867569</v>
      </c>
      <c r="N193" s="0" t="n">
        <v>12.1186249071706</v>
      </c>
      <c r="O193" s="0" t="n">
        <v>176</v>
      </c>
      <c r="P193" s="0" t="n">
        <v>91</v>
      </c>
      <c r="Q193" s="0" t="n">
        <v>85</v>
      </c>
      <c r="R193" s="0" t="n">
        <v>265.225555384671</v>
      </c>
      <c r="S193" s="0" t="n">
        <v>333.022570115488</v>
      </c>
      <c r="T193" s="0" t="n">
        <v>21</v>
      </c>
      <c r="U193" s="0" t="n">
        <v>27</v>
      </c>
      <c r="V193" s="0" t="n">
        <v>12.6297823374689</v>
      </c>
      <c r="W193" s="0" t="n">
        <v>12.3341235815974</v>
      </c>
      <c r="X193" s="0" t="n">
        <v>0</v>
      </c>
      <c r="Y193" s="0" t="n">
        <v>0</v>
      </c>
      <c r="Z193" s="0" t="n">
        <v>12.1186249071706</v>
      </c>
      <c r="AA193" s="0" t="n">
        <v>0</v>
      </c>
      <c r="AB193" s="0" t="n">
        <v>0</v>
      </c>
      <c r="AC193" s="0" t="n">
        <v>0</v>
      </c>
      <c r="AD193" s="0" t="n">
        <v>1</v>
      </c>
      <c r="AE193" s="0" t="n">
        <v>0</v>
      </c>
      <c r="AF193" s="0" t="n">
        <v>0</v>
      </c>
      <c r="AG193" s="0" t="n">
        <v>0</v>
      </c>
      <c r="AH193" s="0" t="n">
        <v>18.9461855764394</v>
      </c>
      <c r="AI193" s="0" t="n">
        <v>0</v>
      </c>
      <c r="AK193" s="0" t="n">
        <f aca="false">A193</f>
        <v>176</v>
      </c>
      <c r="AL193" s="0" t="n">
        <v>1</v>
      </c>
      <c r="AM193" s="0" t="n">
        <v>0</v>
      </c>
      <c r="AO193" s="0" t="n">
        <v>176</v>
      </c>
      <c r="AP193" s="0" t="n">
        <v>1</v>
      </c>
      <c r="AQ193" s="0" t="n">
        <v>2.98541151047498</v>
      </c>
      <c r="AR193" s="0" t="n">
        <v>143.546058579929</v>
      </c>
      <c r="AS193" s="0" t="n">
        <v>38</v>
      </c>
      <c r="AT193" s="0" t="n">
        <v>38</v>
      </c>
    </row>
    <row r="194" customFormat="false" ht="12" hidden="false" customHeight="false" outlineLevel="0" collapsed="false">
      <c r="A194" s="0" t="n">
        <v>177</v>
      </c>
      <c r="B194" s="0" t="n">
        <v>1</v>
      </c>
      <c r="C194" s="0" t="n">
        <v>1.36894771343007</v>
      </c>
      <c r="D194" s="0" t="n">
        <v>187.444132673829</v>
      </c>
      <c r="E194" s="0" t="n">
        <v>12</v>
      </c>
      <c r="F194" s="0" t="n">
        <v>14</v>
      </c>
      <c r="G194" s="0" t="n">
        <v>0.5</v>
      </c>
      <c r="H194" s="0" t="n">
        <v>0</v>
      </c>
      <c r="I194" s="0" t="n">
        <v>1.90526558127094</v>
      </c>
      <c r="J194" s="0" t="n">
        <v>198.914715973933</v>
      </c>
      <c r="K194" s="0" t="n">
        <v>11.4705833001044</v>
      </c>
      <c r="L194" s="0" t="n">
        <v>0</v>
      </c>
      <c r="M194" s="0" t="n">
        <v>198.193809867569</v>
      </c>
      <c r="N194" s="0" t="n">
        <v>0</v>
      </c>
      <c r="O194" s="0" t="n">
        <v>177</v>
      </c>
      <c r="P194" s="0" t="n">
        <v>92</v>
      </c>
      <c r="Q194" s="0" t="n">
        <v>85</v>
      </c>
      <c r="R194" s="0" t="n">
        <v>304.991332295384</v>
      </c>
      <c r="S194" s="0" t="n">
        <v>290.655737464443</v>
      </c>
      <c r="T194" s="0" t="n">
        <v>24</v>
      </c>
      <c r="U194" s="0" t="n">
        <v>24</v>
      </c>
      <c r="V194" s="0" t="n">
        <v>12.7079668839881</v>
      </c>
      <c r="W194" s="0" t="n">
        <v>12.1106052668298</v>
      </c>
      <c r="X194" s="0" t="n">
        <v>11.4705833001044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  <c r="AF194" s="0" t="n">
        <v>16.3460362717966</v>
      </c>
      <c r="AG194" s="0" t="n">
        <v>0</v>
      </c>
      <c r="AH194" s="0" t="n">
        <v>0</v>
      </c>
      <c r="AI194" s="0" t="n">
        <v>0</v>
      </c>
      <c r="AK194" s="0" t="n">
        <f aca="false">A194</f>
        <v>177</v>
      </c>
      <c r="AL194" s="0" t="n">
        <v>1</v>
      </c>
      <c r="AM194" s="0" t="n">
        <v>1</v>
      </c>
      <c r="AO194" s="0" t="n">
        <v>177</v>
      </c>
      <c r="AP194" s="0" t="n">
        <v>1</v>
      </c>
      <c r="AQ194" s="0" t="n">
        <v>3.32988089916651</v>
      </c>
      <c r="AR194" s="0" t="n">
        <v>146.875939479096</v>
      </c>
      <c r="AS194" s="0" t="n">
        <v>36</v>
      </c>
      <c r="AT194" s="0" t="n">
        <v>34</v>
      </c>
    </row>
    <row r="195" customFormat="false" ht="12" hidden="false" customHeight="false" outlineLevel="0" collapsed="false">
      <c r="A195" s="0" t="n">
        <v>178</v>
      </c>
      <c r="B195" s="0" t="n">
        <v>0</v>
      </c>
      <c r="C195" s="0" t="n">
        <v>0.657434939003312</v>
      </c>
      <c r="D195" s="0" t="n">
        <v>188.101567612832</v>
      </c>
      <c r="E195" s="0" t="n">
        <v>14</v>
      </c>
      <c r="F195" s="0" t="n">
        <v>12</v>
      </c>
      <c r="G195" s="0" t="n">
        <v>0.5</v>
      </c>
      <c r="H195" s="0" t="n">
        <v>0</v>
      </c>
      <c r="I195" s="0" t="n">
        <v>2.22019810431869</v>
      </c>
      <c r="J195" s="0" t="n">
        <v>201.134914078252</v>
      </c>
      <c r="K195" s="0" t="n">
        <v>13.0333464654198</v>
      </c>
      <c r="L195" s="0" t="n">
        <v>0</v>
      </c>
      <c r="M195" s="0" t="n">
        <v>198.193809867569</v>
      </c>
      <c r="N195" s="0" t="n">
        <v>0</v>
      </c>
      <c r="O195" s="0" t="n">
        <v>178</v>
      </c>
      <c r="P195" s="0" t="n">
        <v>93</v>
      </c>
      <c r="Q195" s="0" t="n">
        <v>85</v>
      </c>
      <c r="R195" s="0" t="n">
        <v>290.631014977865</v>
      </c>
      <c r="S195" s="0" t="n">
        <v>309.67582590903</v>
      </c>
      <c r="T195" s="0" t="n">
        <v>21</v>
      </c>
      <c r="U195" s="0" t="n">
        <v>27</v>
      </c>
      <c r="V195" s="0" t="n">
        <v>13.8395655515338</v>
      </c>
      <c r="W195" s="0" t="n">
        <v>11.4694325542879</v>
      </c>
      <c r="X195" s="0" t="n">
        <v>0</v>
      </c>
      <c r="Y195" s="0" t="n">
        <v>13.0333464654198</v>
      </c>
      <c r="Z195" s="0" t="n">
        <v>0</v>
      </c>
      <c r="AA195" s="0" t="n">
        <v>0</v>
      </c>
      <c r="AB195" s="0" t="n">
        <v>0</v>
      </c>
      <c r="AC195" s="0" t="n">
        <v>1</v>
      </c>
      <c r="AD195" s="0" t="n">
        <v>0</v>
      </c>
      <c r="AE195" s="0" t="n">
        <v>0</v>
      </c>
      <c r="AF195" s="0" t="n">
        <v>0</v>
      </c>
      <c r="AG195" s="0" t="n">
        <v>22.7976590901232</v>
      </c>
      <c r="AH195" s="0" t="n">
        <v>0</v>
      </c>
      <c r="AI195" s="0" t="n">
        <v>0</v>
      </c>
      <c r="AK195" s="0" t="n">
        <f aca="false">A195</f>
        <v>178</v>
      </c>
      <c r="AL195" s="0" t="n">
        <v>1</v>
      </c>
      <c r="AM195" s="0" t="n">
        <v>0</v>
      </c>
      <c r="AO195" s="0" t="n">
        <v>178</v>
      </c>
      <c r="AP195" s="0" t="n">
        <v>1</v>
      </c>
      <c r="AQ195" s="0" t="n">
        <v>0.534697365632099</v>
      </c>
      <c r="AR195" s="0" t="n">
        <v>147.410636844728</v>
      </c>
      <c r="AS195" s="0" t="n">
        <v>36</v>
      </c>
      <c r="AT195" s="0" t="n">
        <v>36</v>
      </c>
    </row>
    <row r="196" customFormat="false" ht="12" hidden="false" customHeight="false" outlineLevel="0" collapsed="false">
      <c r="A196" s="0" t="n">
        <v>179</v>
      </c>
      <c r="B196" s="0" t="n">
        <v>1</v>
      </c>
      <c r="C196" s="0" t="n">
        <v>1.00262350027296</v>
      </c>
      <c r="D196" s="0" t="n">
        <v>189.104191113105</v>
      </c>
      <c r="E196" s="0" t="n">
        <v>14</v>
      </c>
      <c r="F196" s="0" t="n">
        <v>12</v>
      </c>
      <c r="G196" s="0" t="n">
        <v>0.5</v>
      </c>
      <c r="H196" s="0" t="n">
        <v>1</v>
      </c>
      <c r="I196" s="0" t="n">
        <v>0</v>
      </c>
      <c r="J196" s="0" t="n">
        <v>201.134914078252</v>
      </c>
      <c r="K196" s="0" t="n">
        <v>0</v>
      </c>
      <c r="L196" s="0" t="n">
        <v>1.87282948503906</v>
      </c>
      <c r="M196" s="0" t="n">
        <v>200.066639352608</v>
      </c>
      <c r="N196" s="0" t="n">
        <v>10.9624482395033</v>
      </c>
      <c r="O196" s="0" t="n">
        <v>179</v>
      </c>
      <c r="P196" s="0" t="n">
        <v>93</v>
      </c>
      <c r="Q196" s="0" t="n">
        <v>86</v>
      </c>
      <c r="R196" s="0" t="n">
        <v>364.527977412269</v>
      </c>
      <c r="S196" s="0" t="n">
        <v>227.990216462465</v>
      </c>
      <c r="T196" s="0" t="n">
        <v>29</v>
      </c>
      <c r="U196" s="0" t="n">
        <v>19</v>
      </c>
      <c r="V196" s="0" t="n">
        <v>12.5699259211383</v>
      </c>
      <c r="W196" s="0" t="n">
        <v>11.9994219221196</v>
      </c>
      <c r="X196" s="0" t="n">
        <v>0</v>
      </c>
      <c r="Y196" s="0" t="n">
        <v>0</v>
      </c>
      <c r="Z196" s="0" t="n">
        <v>10.9624482395033</v>
      </c>
      <c r="AA196" s="0" t="n">
        <v>0</v>
      </c>
      <c r="AB196" s="0" t="n">
        <v>0</v>
      </c>
      <c r="AC196" s="0" t="n">
        <v>0</v>
      </c>
      <c r="AD196" s="0" t="n">
        <v>1</v>
      </c>
      <c r="AE196" s="0" t="n">
        <v>0</v>
      </c>
      <c r="AF196" s="0" t="n">
        <v>0</v>
      </c>
      <c r="AG196" s="0" t="n">
        <v>0</v>
      </c>
      <c r="AH196" s="0" t="n">
        <v>10.2178996875267</v>
      </c>
      <c r="AI196" s="0" t="n">
        <v>0</v>
      </c>
      <c r="AK196" s="0" t="n">
        <f aca="false">A196</f>
        <v>179</v>
      </c>
      <c r="AL196" s="0" t="n">
        <v>1</v>
      </c>
      <c r="AM196" s="0" t="n">
        <v>1</v>
      </c>
      <c r="AO196" s="0" t="n">
        <v>179</v>
      </c>
      <c r="AP196" s="0" t="n">
        <v>1</v>
      </c>
      <c r="AQ196" s="0" t="n">
        <v>0.934341131584071</v>
      </c>
      <c r="AR196" s="0" t="n">
        <v>148.344977976312</v>
      </c>
      <c r="AS196" s="0" t="n">
        <v>36</v>
      </c>
      <c r="AT196" s="0" t="n">
        <v>38</v>
      </c>
    </row>
    <row r="197" customFormat="false" ht="12" hidden="false" customHeight="false" outlineLevel="0" collapsed="false">
      <c r="A197" s="0" t="n">
        <v>180</v>
      </c>
      <c r="B197" s="0" t="n">
        <v>0</v>
      </c>
      <c r="C197" s="0" t="n">
        <v>1.18136772773401</v>
      </c>
      <c r="D197" s="0" t="n">
        <v>190.285558840839</v>
      </c>
      <c r="E197" s="0" t="n">
        <v>14</v>
      </c>
      <c r="F197" s="0" t="n">
        <v>12</v>
      </c>
      <c r="G197" s="0" t="n">
        <v>0.5</v>
      </c>
      <c r="H197" s="0" t="n">
        <v>0</v>
      </c>
      <c r="I197" s="0" t="n">
        <v>2.13225553477491</v>
      </c>
      <c r="J197" s="0" t="n">
        <v>203.267169613027</v>
      </c>
      <c r="K197" s="0" t="n">
        <v>12.9816107721877</v>
      </c>
      <c r="L197" s="0" t="n">
        <v>0</v>
      </c>
      <c r="M197" s="0" t="n">
        <v>200.066639352608</v>
      </c>
      <c r="N197" s="0" t="n">
        <v>0</v>
      </c>
      <c r="O197" s="0" t="n">
        <v>180</v>
      </c>
      <c r="P197" s="0" t="n">
        <v>94</v>
      </c>
      <c r="Q197" s="0" t="n">
        <v>86</v>
      </c>
      <c r="R197" s="0" t="n">
        <v>257.120782377753</v>
      </c>
      <c r="S197" s="0" t="n">
        <v>353.944718901349</v>
      </c>
      <c r="T197" s="0" t="n">
        <v>25</v>
      </c>
      <c r="U197" s="0" t="n">
        <v>23</v>
      </c>
      <c r="V197" s="0" t="n">
        <v>10.2848271811792</v>
      </c>
      <c r="W197" s="0" t="n">
        <v>15.3888339138242</v>
      </c>
      <c r="X197" s="0" t="n">
        <v>0</v>
      </c>
      <c r="Y197" s="0" t="n">
        <v>12.9816107721877</v>
      </c>
      <c r="Z197" s="0" t="n">
        <v>0</v>
      </c>
      <c r="AA197" s="0" t="n">
        <v>0</v>
      </c>
      <c r="AB197" s="0" t="n">
        <v>0</v>
      </c>
      <c r="AC197" s="0" t="n">
        <v>1</v>
      </c>
      <c r="AD197" s="0" t="n">
        <v>0</v>
      </c>
      <c r="AE197" s="0" t="n">
        <v>0</v>
      </c>
      <c r="AF197" s="0" t="n">
        <v>0</v>
      </c>
      <c r="AG197" s="0" t="n">
        <v>22.3062919375006</v>
      </c>
      <c r="AH197" s="0" t="n">
        <v>0</v>
      </c>
      <c r="AI197" s="0" t="n">
        <v>0</v>
      </c>
      <c r="AK197" s="0" t="n">
        <f aca="false">A197</f>
        <v>180</v>
      </c>
      <c r="AL197" s="0" t="n">
        <v>1</v>
      </c>
      <c r="AM197" s="0" t="n">
        <v>0</v>
      </c>
      <c r="AO197" s="0" t="n">
        <v>180</v>
      </c>
      <c r="AP197" s="0" t="n">
        <v>0</v>
      </c>
      <c r="AQ197" s="0" t="n">
        <v>0.00455764581783655</v>
      </c>
      <c r="AR197" s="0" t="n">
        <v>148.34953562213</v>
      </c>
      <c r="AS197" s="0" t="n">
        <v>38</v>
      </c>
      <c r="AT197" s="0" t="n">
        <v>38</v>
      </c>
    </row>
    <row r="198" customFormat="false" ht="12" hidden="false" customHeight="false" outlineLevel="0" collapsed="false">
      <c r="A198" s="0" t="n">
        <v>181</v>
      </c>
      <c r="B198" s="0" t="n">
        <v>0</v>
      </c>
      <c r="C198" s="0" t="n">
        <v>1.0110409034694</v>
      </c>
      <c r="D198" s="0" t="n">
        <v>191.296599744308</v>
      </c>
      <c r="E198" s="0" t="n">
        <v>14</v>
      </c>
      <c r="F198" s="0" t="n">
        <v>12</v>
      </c>
      <c r="G198" s="0" t="n">
        <v>0.5</v>
      </c>
      <c r="H198" s="0" t="n">
        <v>1</v>
      </c>
      <c r="I198" s="0" t="n">
        <v>0</v>
      </c>
      <c r="J198" s="0" t="n">
        <v>203.267169613027</v>
      </c>
      <c r="K198" s="0" t="n">
        <v>0</v>
      </c>
      <c r="L198" s="0" t="n">
        <v>1.94141959498993</v>
      </c>
      <c r="M198" s="0" t="n">
        <v>202.008058947598</v>
      </c>
      <c r="N198" s="0" t="n">
        <v>10.7114592032899</v>
      </c>
      <c r="O198" s="0" t="n">
        <v>181</v>
      </c>
      <c r="P198" s="0" t="n">
        <v>94</v>
      </c>
      <c r="Q198" s="0" t="n">
        <v>87</v>
      </c>
      <c r="R198" s="0" t="n">
        <v>241.618753430131</v>
      </c>
      <c r="S198" s="0" t="n">
        <v>389.099582590761</v>
      </c>
      <c r="T198" s="0" t="n">
        <v>18</v>
      </c>
      <c r="U198" s="0" t="n">
        <v>30</v>
      </c>
      <c r="V198" s="0" t="n">
        <v>13.4232566220869</v>
      </c>
      <c r="W198" s="0" t="n">
        <v>12.9699428532159</v>
      </c>
      <c r="X198" s="0" t="n">
        <v>0</v>
      </c>
      <c r="Y198" s="0" t="n">
        <v>0</v>
      </c>
      <c r="Z198" s="0" t="n">
        <v>0</v>
      </c>
      <c r="AA198" s="0" t="n">
        <v>10.7114592032899</v>
      </c>
      <c r="AB198" s="0" t="n">
        <v>0</v>
      </c>
      <c r="AC198" s="0" t="n">
        <v>0</v>
      </c>
      <c r="AD198" s="0" t="n">
        <v>0</v>
      </c>
      <c r="AE198" s="0" t="n">
        <v>1</v>
      </c>
      <c r="AF198" s="0" t="n">
        <v>0</v>
      </c>
      <c r="AG198" s="0" t="n">
        <v>0</v>
      </c>
      <c r="AH198" s="0" t="n">
        <v>0</v>
      </c>
      <c r="AI198" s="0" t="n">
        <v>8.88074831319884</v>
      </c>
      <c r="AK198" s="0" t="n">
        <f aca="false">A198</f>
        <v>181</v>
      </c>
      <c r="AL198" s="0" t="n">
        <v>1</v>
      </c>
      <c r="AM198" s="0" t="n">
        <v>1</v>
      </c>
      <c r="AO198" s="0" t="n">
        <v>181</v>
      </c>
      <c r="AP198" s="0" t="n">
        <v>0</v>
      </c>
      <c r="AQ198" s="0" t="n">
        <v>0.892199800076954</v>
      </c>
      <c r="AR198" s="0" t="n">
        <v>149.241735422207</v>
      </c>
      <c r="AS198" s="0" t="n">
        <v>36</v>
      </c>
      <c r="AT198" s="0" t="n">
        <v>38</v>
      </c>
    </row>
    <row r="199" customFormat="false" ht="12" hidden="false" customHeight="false" outlineLevel="0" collapsed="false">
      <c r="A199" s="0" t="n">
        <v>182</v>
      </c>
      <c r="B199" s="0" t="n">
        <v>0</v>
      </c>
      <c r="C199" s="0" t="n">
        <v>1.08962660343684</v>
      </c>
      <c r="D199" s="0" t="n">
        <v>192.386226347745</v>
      </c>
      <c r="E199" s="0" t="n">
        <v>14</v>
      </c>
      <c r="F199" s="0" t="n">
        <v>12</v>
      </c>
      <c r="G199" s="0" t="n">
        <v>0.5</v>
      </c>
      <c r="H199" s="0" t="n">
        <v>1</v>
      </c>
      <c r="I199" s="0" t="n">
        <v>0</v>
      </c>
      <c r="J199" s="0" t="n">
        <v>203.267169613027</v>
      </c>
      <c r="K199" s="0" t="n">
        <v>0</v>
      </c>
      <c r="L199" s="0" t="n">
        <v>1.81371859022923</v>
      </c>
      <c r="M199" s="0" t="n">
        <v>203.821777537827</v>
      </c>
      <c r="N199" s="0" t="n">
        <v>11.4355511900823</v>
      </c>
      <c r="O199" s="0" t="n">
        <v>182</v>
      </c>
      <c r="P199" s="0" t="n">
        <v>94</v>
      </c>
      <c r="Q199" s="0" t="n">
        <v>88</v>
      </c>
      <c r="R199" s="0" t="n">
        <v>303.919893646919</v>
      </c>
      <c r="S199" s="0" t="n">
        <v>322.015122622141</v>
      </c>
      <c r="T199" s="0" t="n">
        <v>23</v>
      </c>
      <c r="U199" s="0" t="n">
        <v>25</v>
      </c>
      <c r="V199" s="0" t="n">
        <v>13.2139026742562</v>
      </c>
      <c r="W199" s="0" t="n">
        <v>12.8805533826721</v>
      </c>
      <c r="X199" s="0" t="n">
        <v>0</v>
      </c>
      <c r="Y199" s="0" t="n">
        <v>0</v>
      </c>
      <c r="Z199" s="0" t="n">
        <v>0</v>
      </c>
      <c r="AA199" s="0" t="n">
        <v>11.4355511900823</v>
      </c>
      <c r="AB199" s="0" t="n">
        <v>0</v>
      </c>
      <c r="AC199" s="0" t="n">
        <v>0</v>
      </c>
      <c r="AD199" s="0" t="n">
        <v>0</v>
      </c>
      <c r="AE199" s="0" t="n">
        <v>1</v>
      </c>
      <c r="AF199" s="0" t="n">
        <v>0</v>
      </c>
      <c r="AG199" s="0" t="n">
        <v>0</v>
      </c>
      <c r="AH199" s="0" t="n">
        <v>0</v>
      </c>
      <c r="AI199" s="0" t="n">
        <v>13.7207303934839</v>
      </c>
      <c r="AK199" s="0" t="n">
        <f aca="false">A199</f>
        <v>182</v>
      </c>
      <c r="AL199" s="0" t="n">
        <v>1</v>
      </c>
      <c r="AM199" s="0" t="n">
        <v>0</v>
      </c>
      <c r="AO199" s="0" t="n">
        <v>182</v>
      </c>
      <c r="AP199" s="0" t="n">
        <v>0</v>
      </c>
      <c r="AQ199" s="0" t="n">
        <v>0.264398098914052</v>
      </c>
      <c r="AR199" s="0" t="n">
        <v>149.506133521121</v>
      </c>
      <c r="AS199" s="0" t="n">
        <v>38</v>
      </c>
      <c r="AT199" s="0" t="n">
        <v>38</v>
      </c>
    </row>
    <row r="200" customFormat="false" ht="12" hidden="false" customHeight="false" outlineLevel="0" collapsed="false">
      <c r="A200" s="0" t="n">
        <v>183</v>
      </c>
      <c r="B200" s="0" t="n">
        <v>0</v>
      </c>
      <c r="C200" s="0" t="n">
        <v>2.39437440210458</v>
      </c>
      <c r="D200" s="0" t="n">
        <v>194.78060074985</v>
      </c>
      <c r="E200" s="0" t="n">
        <v>12</v>
      </c>
      <c r="F200" s="0" t="n">
        <v>12</v>
      </c>
      <c r="G200" s="0" t="n">
        <v>0.5</v>
      </c>
      <c r="H200" s="0" t="n">
        <v>0</v>
      </c>
      <c r="I200" s="0" t="n">
        <v>2.2350245047282</v>
      </c>
      <c r="J200" s="0" t="n">
        <v>205.502194117755</v>
      </c>
      <c r="K200" s="0" t="n">
        <v>10.7215933679051</v>
      </c>
      <c r="L200" s="0" t="n">
        <v>0</v>
      </c>
      <c r="M200" s="0" t="n">
        <v>203.821777537827</v>
      </c>
      <c r="N200" s="0" t="n">
        <v>0</v>
      </c>
      <c r="O200" s="0" t="n">
        <v>183</v>
      </c>
      <c r="P200" s="0" t="n">
        <v>95</v>
      </c>
      <c r="Q200" s="0" t="n">
        <v>88</v>
      </c>
      <c r="R200" s="0" t="n">
        <v>399.428098506769</v>
      </c>
      <c r="S200" s="0" t="n">
        <v>205.922221023144</v>
      </c>
      <c r="T200" s="0" t="n">
        <v>26</v>
      </c>
      <c r="U200" s="0" t="n">
        <v>22</v>
      </c>
      <c r="V200" s="0" t="n">
        <v>15.3626132646399</v>
      </c>
      <c r="W200" s="0" t="n">
        <v>9.36005840987739</v>
      </c>
      <c r="X200" s="0" t="n">
        <v>0</v>
      </c>
      <c r="Y200" s="0" t="n">
        <v>10.7215933679051</v>
      </c>
      <c r="Z200" s="0" t="n">
        <v>0</v>
      </c>
      <c r="AA200" s="0" t="n">
        <v>0</v>
      </c>
      <c r="AB200" s="0" t="n">
        <v>0</v>
      </c>
      <c r="AC200" s="0" t="n">
        <v>1</v>
      </c>
      <c r="AD200" s="0" t="n">
        <v>0</v>
      </c>
      <c r="AE200" s="0" t="n">
        <v>0</v>
      </c>
      <c r="AF200" s="0" t="n">
        <v>0</v>
      </c>
      <c r="AG200" s="0" t="n">
        <v>6.06605534546646</v>
      </c>
      <c r="AH200" s="0" t="n">
        <v>0</v>
      </c>
      <c r="AI200" s="0" t="n">
        <v>0</v>
      </c>
      <c r="AK200" s="0" t="n">
        <f aca="false">A200</f>
        <v>183</v>
      </c>
      <c r="AL200" s="0" t="n">
        <v>0</v>
      </c>
      <c r="AM200" s="0" t="n">
        <v>1</v>
      </c>
      <c r="AO200" s="0" t="n">
        <v>183</v>
      </c>
      <c r="AP200" s="0" t="n">
        <v>0</v>
      </c>
      <c r="AQ200" s="0" t="n">
        <v>0.237411140605192</v>
      </c>
      <c r="AR200" s="0" t="n">
        <v>149.743544661726</v>
      </c>
      <c r="AS200" s="0" t="n">
        <v>38</v>
      </c>
      <c r="AT200" s="0" t="n">
        <v>40</v>
      </c>
    </row>
    <row r="201" customFormat="false" ht="12" hidden="false" customHeight="false" outlineLevel="0" collapsed="false">
      <c r="A201" s="0" t="n">
        <v>184</v>
      </c>
      <c r="B201" s="0" t="n">
        <v>0</v>
      </c>
      <c r="C201" s="0" t="n">
        <v>0.713829419719687</v>
      </c>
      <c r="D201" s="0" t="n">
        <v>195.494430169569</v>
      </c>
      <c r="E201" s="0" t="n">
        <v>12</v>
      </c>
      <c r="F201" s="0" t="n">
        <v>12</v>
      </c>
      <c r="G201" s="0" t="n">
        <v>0.5</v>
      </c>
      <c r="H201" s="0" t="n">
        <v>1</v>
      </c>
      <c r="I201" s="0" t="n">
        <v>0</v>
      </c>
      <c r="J201" s="0" t="n">
        <v>205.502194117755</v>
      </c>
      <c r="K201" s="0" t="n">
        <v>0</v>
      </c>
      <c r="L201" s="0" t="n">
        <v>1.97662023729456</v>
      </c>
      <c r="M201" s="0" t="n">
        <v>205.798397775122</v>
      </c>
      <c r="N201" s="0" t="n">
        <v>10.3039676055526</v>
      </c>
      <c r="O201" s="0" t="n">
        <v>184</v>
      </c>
      <c r="P201" s="0" t="n">
        <v>95</v>
      </c>
      <c r="Q201" s="0" t="n">
        <v>89</v>
      </c>
      <c r="R201" s="0" t="n">
        <v>350.16781593875</v>
      </c>
      <c r="S201" s="0" t="n">
        <v>260.740419735262</v>
      </c>
      <c r="T201" s="0" t="n">
        <v>26</v>
      </c>
      <c r="U201" s="0" t="n">
        <v>22</v>
      </c>
      <c r="V201" s="0" t="n">
        <v>13.4679877407259</v>
      </c>
      <c r="W201" s="0" t="n">
        <v>11.851783388951</v>
      </c>
      <c r="X201" s="0" t="n">
        <v>0</v>
      </c>
      <c r="Y201" s="0" t="n">
        <v>0</v>
      </c>
      <c r="Z201" s="0" t="n">
        <v>0</v>
      </c>
      <c r="AA201" s="0" t="n">
        <v>10.3039676055526</v>
      </c>
      <c r="AB201" s="0" t="n">
        <v>0</v>
      </c>
      <c r="AC201" s="0" t="n">
        <v>0</v>
      </c>
      <c r="AD201" s="0" t="n">
        <v>0</v>
      </c>
      <c r="AE201" s="0" t="n">
        <v>1</v>
      </c>
      <c r="AF201" s="0" t="n">
        <v>0</v>
      </c>
      <c r="AG201" s="0" t="n">
        <v>0</v>
      </c>
      <c r="AH201" s="0" t="n">
        <v>0</v>
      </c>
      <c r="AI201" s="0" t="n">
        <v>6.61810016428343</v>
      </c>
      <c r="AK201" s="0" t="n">
        <f aca="false">A201</f>
        <v>184</v>
      </c>
      <c r="AL201" s="0" t="n">
        <v>0</v>
      </c>
      <c r="AM201" s="0" t="n">
        <v>0</v>
      </c>
      <c r="AO201" s="0" t="n">
        <v>184</v>
      </c>
      <c r="AP201" s="0" t="n">
        <v>1</v>
      </c>
      <c r="AQ201" s="0" t="n">
        <v>2.24603083878159</v>
      </c>
      <c r="AR201" s="0" t="n">
        <v>151.989575500508</v>
      </c>
      <c r="AS201" s="0" t="n">
        <v>38</v>
      </c>
      <c r="AT201" s="0" t="n">
        <v>38</v>
      </c>
    </row>
    <row r="202" customFormat="false" ht="12" hidden="false" customHeight="false" outlineLevel="0" collapsed="false">
      <c r="A202" s="0" t="n">
        <v>185</v>
      </c>
      <c r="B202" s="0" t="n">
        <v>1</v>
      </c>
      <c r="C202" s="0" t="n">
        <v>1.89354344804572</v>
      </c>
      <c r="D202" s="0" t="n">
        <v>197.387973617615</v>
      </c>
      <c r="E202" s="0" t="n">
        <v>10</v>
      </c>
      <c r="F202" s="0" t="n">
        <v>12</v>
      </c>
      <c r="G202" s="0" t="n">
        <v>0.5</v>
      </c>
      <c r="H202" s="0" t="n">
        <v>0</v>
      </c>
      <c r="I202" s="0" t="n">
        <v>1.95972662722093</v>
      </c>
      <c r="J202" s="0" t="n">
        <v>207.461920744976</v>
      </c>
      <c r="K202" s="0" t="n">
        <v>10.0739471273606</v>
      </c>
      <c r="L202" s="0" t="n">
        <v>0</v>
      </c>
      <c r="M202" s="0" t="n">
        <v>205.798397775122</v>
      </c>
      <c r="N202" s="0" t="n">
        <v>0</v>
      </c>
      <c r="O202" s="0" t="n">
        <v>185</v>
      </c>
      <c r="P202" s="0" t="n">
        <v>96</v>
      </c>
      <c r="Q202" s="0" t="n">
        <v>89</v>
      </c>
      <c r="R202" s="0" t="n">
        <v>279.8761171911</v>
      </c>
      <c r="S202" s="0" t="n">
        <v>334.77719888664</v>
      </c>
      <c r="T202" s="0" t="n">
        <v>23</v>
      </c>
      <c r="U202" s="0" t="n">
        <v>25</v>
      </c>
      <c r="V202" s="0" t="n">
        <v>12.1685215437341</v>
      </c>
      <c r="W202" s="0" t="n">
        <v>13.3910343913281</v>
      </c>
      <c r="X202" s="0" t="n">
        <v>10.0739471273606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  <c r="AF202" s="0" t="n">
        <v>7.00336408599213</v>
      </c>
      <c r="AG202" s="0" t="n">
        <v>0</v>
      </c>
      <c r="AH202" s="0" t="n">
        <v>0</v>
      </c>
      <c r="AI202" s="0" t="n">
        <v>0</v>
      </c>
      <c r="AK202" s="0" t="n">
        <f aca="false">A202</f>
        <v>185</v>
      </c>
      <c r="AL202" s="0" t="n">
        <v>1</v>
      </c>
      <c r="AM202" s="0" t="n">
        <v>1</v>
      </c>
      <c r="AO202" s="0" t="n">
        <v>185</v>
      </c>
      <c r="AP202" s="0" t="n">
        <v>1</v>
      </c>
      <c r="AQ202" s="0" t="n">
        <v>3.04397188115622</v>
      </c>
      <c r="AR202" s="0" t="n">
        <v>155.033547381664</v>
      </c>
      <c r="AS202" s="0" t="n">
        <v>36</v>
      </c>
      <c r="AT202" s="0" t="n">
        <v>34</v>
      </c>
    </row>
    <row r="203" customFormat="false" ht="12" hidden="false" customHeight="false" outlineLevel="0" collapsed="false">
      <c r="A203" s="0" t="n">
        <v>186</v>
      </c>
      <c r="B203" s="0" t="n">
        <v>1</v>
      </c>
      <c r="C203" s="0" t="n">
        <v>0.747200468387272</v>
      </c>
      <c r="D203" s="0" t="n">
        <v>198.135174086002</v>
      </c>
      <c r="E203" s="0" t="n">
        <v>12</v>
      </c>
      <c r="F203" s="0" t="n">
        <v>12</v>
      </c>
      <c r="G203" s="0" t="n">
        <v>0.5</v>
      </c>
      <c r="H203" s="0" t="n">
        <v>0</v>
      </c>
      <c r="I203" s="0" t="n">
        <v>2.17465937869978</v>
      </c>
      <c r="J203" s="0" t="n">
        <v>209.636580123676</v>
      </c>
      <c r="K203" s="0" t="n">
        <v>11.5014060376732</v>
      </c>
      <c r="L203" s="0" t="n">
        <v>0</v>
      </c>
      <c r="M203" s="0" t="n">
        <v>205.798397775122</v>
      </c>
      <c r="N203" s="0" t="n">
        <v>0</v>
      </c>
      <c r="O203" s="0" t="n">
        <v>186</v>
      </c>
      <c r="P203" s="0" t="n">
        <v>97</v>
      </c>
      <c r="Q203" s="0" t="n">
        <v>89</v>
      </c>
      <c r="R203" s="0" t="n">
        <v>288.875491864716</v>
      </c>
      <c r="S203" s="0" t="n">
        <v>328.057218845853</v>
      </c>
      <c r="T203" s="0" t="n">
        <v>21</v>
      </c>
      <c r="U203" s="0" t="n">
        <v>27</v>
      </c>
      <c r="V203" s="0" t="n">
        <v>13.7559692526201</v>
      </c>
      <c r="W203" s="0" t="n">
        <v>12.1502223638377</v>
      </c>
      <c r="X203" s="0" t="n">
        <v>11.5014060376732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  <c r="AF203" s="0" t="n">
        <v>16.5962203966343</v>
      </c>
      <c r="AG203" s="0" t="n">
        <v>0</v>
      </c>
      <c r="AH203" s="0" t="n">
        <v>0</v>
      </c>
      <c r="AI203" s="0" t="n">
        <v>0</v>
      </c>
      <c r="AK203" s="0" t="n">
        <f aca="false">A203</f>
        <v>186</v>
      </c>
      <c r="AL203" s="0" t="n">
        <v>0</v>
      </c>
      <c r="AM203" s="0" t="n">
        <v>0</v>
      </c>
      <c r="AO203" s="0" t="n">
        <v>186</v>
      </c>
      <c r="AP203" s="0" t="n">
        <v>1</v>
      </c>
      <c r="AQ203" s="0" t="n">
        <v>3.15223571923655</v>
      </c>
      <c r="AR203" s="0" t="n">
        <v>158.185783100901</v>
      </c>
      <c r="AS203" s="0" t="n">
        <v>34</v>
      </c>
      <c r="AT203" s="0" t="n">
        <v>34</v>
      </c>
    </row>
    <row r="204" customFormat="false" ht="12" hidden="false" customHeight="false" outlineLevel="0" collapsed="false">
      <c r="A204" s="0" t="n">
        <v>187</v>
      </c>
      <c r="B204" s="0" t="n">
        <v>1</v>
      </c>
      <c r="C204" s="0" t="n">
        <v>0.529873654410693</v>
      </c>
      <c r="D204" s="0" t="n">
        <v>198.665047740413</v>
      </c>
      <c r="E204" s="0" t="n">
        <v>14</v>
      </c>
      <c r="F204" s="0" t="n">
        <v>10</v>
      </c>
      <c r="G204" s="0" t="n">
        <v>0.5</v>
      </c>
      <c r="H204" s="0" t="n">
        <v>1</v>
      </c>
      <c r="I204" s="0" t="n">
        <v>0</v>
      </c>
      <c r="J204" s="0" t="n">
        <v>209.636580123676</v>
      </c>
      <c r="K204" s="0" t="n">
        <v>0</v>
      </c>
      <c r="L204" s="0" t="n">
        <v>2.00296318175174</v>
      </c>
      <c r="M204" s="0" t="n">
        <v>207.801360956874</v>
      </c>
      <c r="N204" s="0" t="n">
        <v>9.13631321646062</v>
      </c>
      <c r="O204" s="0" t="n">
        <v>187</v>
      </c>
      <c r="P204" s="0" t="n">
        <v>97</v>
      </c>
      <c r="Q204" s="0" t="n">
        <v>90</v>
      </c>
      <c r="R204" s="0" t="n">
        <v>324.807759582668</v>
      </c>
      <c r="S204" s="0" t="n">
        <v>299.01900192146</v>
      </c>
      <c r="T204" s="0" t="n">
        <v>25</v>
      </c>
      <c r="U204" s="0" t="n">
        <v>23</v>
      </c>
      <c r="V204" s="0" t="n">
        <v>12.9923051863846</v>
      </c>
      <c r="W204" s="0" t="n">
        <v>13.0007696454128</v>
      </c>
      <c r="X204" s="0" t="n">
        <v>0</v>
      </c>
      <c r="Y204" s="0" t="n">
        <v>0</v>
      </c>
      <c r="Z204" s="0" t="n">
        <v>9.13631321646062</v>
      </c>
      <c r="AA204" s="0" t="n">
        <v>0</v>
      </c>
      <c r="AB204" s="0" t="n">
        <v>0</v>
      </c>
      <c r="AC204" s="0" t="n">
        <v>0</v>
      </c>
      <c r="AD204" s="0" t="n">
        <v>1</v>
      </c>
      <c r="AE204" s="0" t="n">
        <v>0</v>
      </c>
      <c r="AF204" s="0" t="n">
        <v>0</v>
      </c>
      <c r="AG204" s="0" t="n">
        <v>0</v>
      </c>
      <c r="AH204" s="0" t="n">
        <v>1.87802339798014</v>
      </c>
      <c r="AI204" s="0" t="n">
        <v>0</v>
      </c>
      <c r="AK204" s="0" t="n">
        <f aca="false">A204</f>
        <v>187</v>
      </c>
      <c r="AL204" s="0" t="n">
        <v>2</v>
      </c>
      <c r="AM204" s="0" t="n">
        <v>1</v>
      </c>
      <c r="AO204" s="0" t="n">
        <v>187</v>
      </c>
      <c r="AP204" s="0" t="n">
        <v>1</v>
      </c>
      <c r="AQ204" s="0" t="n">
        <v>1.46300404609573</v>
      </c>
      <c r="AR204" s="0" t="n">
        <v>159.648787146996</v>
      </c>
      <c r="AS204" s="0" t="n">
        <v>32</v>
      </c>
      <c r="AT204" s="0" t="n">
        <v>34</v>
      </c>
    </row>
    <row r="205" customFormat="false" ht="12" hidden="false" customHeight="false" outlineLevel="0" collapsed="false">
      <c r="A205" s="0" t="n">
        <v>188</v>
      </c>
      <c r="B205" s="0" t="n">
        <v>1</v>
      </c>
      <c r="C205" s="0" t="n">
        <v>1.39965015124394</v>
      </c>
      <c r="D205" s="0" t="n">
        <v>200.064697891657</v>
      </c>
      <c r="E205" s="0" t="n">
        <v>12</v>
      </c>
      <c r="F205" s="0" t="n">
        <v>12</v>
      </c>
      <c r="G205" s="0" t="n">
        <v>0.5</v>
      </c>
      <c r="H205" s="0" t="n">
        <v>0</v>
      </c>
      <c r="I205" s="0" t="n">
        <v>2.09389746613744</v>
      </c>
      <c r="J205" s="0" t="n">
        <v>211.730477589813</v>
      </c>
      <c r="K205" s="0" t="n">
        <v>11.6657796981559</v>
      </c>
      <c r="L205" s="0" t="n">
        <v>0</v>
      </c>
      <c r="M205" s="0" t="n">
        <v>207.801360956874</v>
      </c>
      <c r="N205" s="0" t="n">
        <v>0</v>
      </c>
      <c r="O205" s="0" t="n">
        <v>188</v>
      </c>
      <c r="P205" s="0" t="n">
        <v>98</v>
      </c>
      <c r="Q205" s="0" t="n">
        <v>90</v>
      </c>
      <c r="R205" s="0" t="n">
        <v>218.630769045511</v>
      </c>
      <c r="S205" s="0" t="n">
        <v>385.575191548909</v>
      </c>
      <c r="T205" s="0" t="n">
        <v>21</v>
      </c>
      <c r="U205" s="0" t="n">
        <v>27</v>
      </c>
      <c r="V205" s="0" t="n">
        <v>10.4109840445557</v>
      </c>
      <c r="W205" s="0" t="n">
        <v>14.2805097591827</v>
      </c>
      <c r="X205" s="0" t="n">
        <v>11.6657796981559</v>
      </c>
      <c r="Y205" s="0" t="n">
        <v>0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  <c r="AF205" s="0" t="n">
        <v>17.9625050217269</v>
      </c>
      <c r="AG205" s="0" t="n">
        <v>0</v>
      </c>
      <c r="AH205" s="0" t="n">
        <v>0</v>
      </c>
      <c r="AI205" s="0" t="n">
        <v>0</v>
      </c>
      <c r="AK205" s="0" t="n">
        <f aca="false">A205</f>
        <v>188</v>
      </c>
      <c r="AL205" s="0" t="n">
        <v>0</v>
      </c>
      <c r="AM205" s="0" t="n">
        <v>0</v>
      </c>
      <c r="AO205" s="0" t="n">
        <v>188</v>
      </c>
      <c r="AP205" s="0" t="n">
        <v>1</v>
      </c>
      <c r="AQ205" s="0" t="n">
        <v>0.399055501145852</v>
      </c>
      <c r="AR205" s="0" t="n">
        <v>160.047842648142</v>
      </c>
      <c r="AS205" s="0" t="n">
        <v>34</v>
      </c>
      <c r="AT205" s="0" t="n">
        <v>34</v>
      </c>
    </row>
    <row r="206" customFormat="false" ht="12" hidden="false" customHeight="false" outlineLevel="0" collapsed="false">
      <c r="A206" s="0" t="n">
        <v>189</v>
      </c>
      <c r="B206" s="0" t="n">
        <v>1</v>
      </c>
      <c r="C206" s="0" t="n">
        <v>0.444944282818832</v>
      </c>
      <c r="D206" s="0" t="n">
        <v>200.509642174476</v>
      </c>
      <c r="E206" s="0" t="n">
        <v>14</v>
      </c>
      <c r="F206" s="0" t="n">
        <v>10</v>
      </c>
      <c r="G206" s="0" t="n">
        <v>0.5</v>
      </c>
      <c r="H206" s="0" t="n">
        <v>1</v>
      </c>
      <c r="I206" s="0" t="n">
        <v>0</v>
      </c>
      <c r="J206" s="0" t="n">
        <v>211.730477589813</v>
      </c>
      <c r="K206" s="0" t="n">
        <v>0</v>
      </c>
      <c r="L206" s="0" t="n">
        <v>2.00041560646757</v>
      </c>
      <c r="M206" s="0" t="n">
        <v>209.801776563341</v>
      </c>
      <c r="N206" s="0" t="n">
        <v>9.29213438886544</v>
      </c>
      <c r="O206" s="0" t="n">
        <v>189</v>
      </c>
      <c r="P206" s="0" t="n">
        <v>98</v>
      </c>
      <c r="Q206" s="0" t="n">
        <v>91</v>
      </c>
      <c r="R206" s="0" t="n">
        <v>339.554530137529</v>
      </c>
      <c r="S206" s="0" t="n">
        <v>279.980283369435</v>
      </c>
      <c r="T206" s="0" t="n">
        <v>27</v>
      </c>
      <c r="U206" s="0" t="n">
        <v>21</v>
      </c>
      <c r="V206" s="0" t="n">
        <v>12.5760890509866</v>
      </c>
      <c r="W206" s="0" t="n">
        <v>13.3323309588733</v>
      </c>
      <c r="X206" s="0" t="n">
        <v>0</v>
      </c>
      <c r="Y206" s="0" t="n">
        <v>0</v>
      </c>
      <c r="Z206" s="0" t="n">
        <v>9.29213438886544</v>
      </c>
      <c r="AA206" s="0" t="n">
        <v>0</v>
      </c>
      <c r="AB206" s="0" t="n">
        <v>0</v>
      </c>
      <c r="AC206" s="0" t="n">
        <v>0</v>
      </c>
      <c r="AD206" s="0" t="n">
        <v>1</v>
      </c>
      <c r="AE206" s="0" t="n">
        <v>0</v>
      </c>
      <c r="AF206" s="0" t="n">
        <v>0</v>
      </c>
      <c r="AG206" s="0" t="n">
        <v>0</v>
      </c>
      <c r="AH206" s="0" t="n">
        <v>2.329381402157</v>
      </c>
      <c r="AI206" s="0" t="n">
        <v>0</v>
      </c>
      <c r="AK206" s="0" t="n">
        <f aca="false">A206</f>
        <v>189</v>
      </c>
      <c r="AL206" s="0" t="n">
        <v>2</v>
      </c>
      <c r="AM206" s="0" t="n">
        <v>2</v>
      </c>
      <c r="AO206" s="0" t="n">
        <v>189</v>
      </c>
      <c r="AP206" s="0" t="n">
        <v>0</v>
      </c>
      <c r="AQ206" s="0" t="n">
        <v>0.744074604554691</v>
      </c>
      <c r="AR206" s="0" t="n">
        <v>160.791917252697</v>
      </c>
      <c r="AS206" s="0" t="n">
        <v>36</v>
      </c>
      <c r="AT206" s="0" t="n">
        <v>32</v>
      </c>
    </row>
    <row r="207" customFormat="false" ht="12" hidden="false" customHeight="false" outlineLevel="0" collapsed="false">
      <c r="A207" s="0" t="n">
        <v>190</v>
      </c>
      <c r="B207" s="0" t="n">
        <v>1</v>
      </c>
      <c r="C207" s="0" t="n">
        <v>0.43553020054387</v>
      </c>
      <c r="D207" s="0" t="n">
        <v>200.94517237502</v>
      </c>
      <c r="E207" s="0" t="n">
        <v>14</v>
      </c>
      <c r="F207" s="0" t="n">
        <v>12</v>
      </c>
      <c r="G207" s="0" t="n">
        <v>0.5</v>
      </c>
      <c r="H207" s="0" t="n">
        <v>1</v>
      </c>
      <c r="I207" s="0" t="n">
        <v>0</v>
      </c>
      <c r="J207" s="0" t="n">
        <v>211.730477589813</v>
      </c>
      <c r="K207" s="0" t="n">
        <v>0</v>
      </c>
      <c r="L207" s="0" t="n">
        <v>2.08742378841339</v>
      </c>
      <c r="M207" s="0" t="n">
        <v>211.889200351755</v>
      </c>
      <c r="N207" s="0" t="n">
        <v>10.944027976735</v>
      </c>
      <c r="O207" s="0" t="n">
        <v>190</v>
      </c>
      <c r="P207" s="0" t="n">
        <v>98</v>
      </c>
      <c r="Q207" s="0" t="n">
        <v>92</v>
      </c>
      <c r="R207" s="0" t="n">
        <v>342.060865579109</v>
      </c>
      <c r="S207" s="0" t="n">
        <v>271.131675554642</v>
      </c>
      <c r="T207" s="0" t="n">
        <v>25</v>
      </c>
      <c r="U207" s="0" t="n">
        <v>23</v>
      </c>
      <c r="V207" s="0" t="n">
        <v>13.6824291501927</v>
      </c>
      <c r="W207" s="0" t="n">
        <v>11.788282466365</v>
      </c>
      <c r="X207" s="0" t="n">
        <v>0</v>
      </c>
      <c r="Y207" s="0" t="n">
        <v>0</v>
      </c>
      <c r="Z207" s="0" t="n">
        <v>10.944027976735</v>
      </c>
      <c r="AA207" s="0" t="n">
        <v>0</v>
      </c>
      <c r="AB207" s="0" t="n">
        <v>0</v>
      </c>
      <c r="AC207" s="0" t="n">
        <v>0</v>
      </c>
      <c r="AD207" s="0" t="n">
        <v>1</v>
      </c>
      <c r="AE207" s="0" t="n">
        <v>0</v>
      </c>
      <c r="AF207" s="0" t="n">
        <v>0</v>
      </c>
      <c r="AG207" s="0" t="n">
        <v>0</v>
      </c>
      <c r="AH207" s="0" t="n">
        <v>10.100476597343</v>
      </c>
      <c r="AI207" s="0" t="n">
        <v>0</v>
      </c>
      <c r="AK207" s="0" t="n">
        <f aca="false">A207</f>
        <v>190</v>
      </c>
      <c r="AL207" s="0" t="n">
        <v>1</v>
      </c>
      <c r="AM207" s="0" t="n">
        <v>2</v>
      </c>
      <c r="AO207" s="0" t="n">
        <v>190</v>
      </c>
      <c r="AP207" s="0" t="n">
        <v>0</v>
      </c>
      <c r="AQ207" s="0" t="n">
        <v>1.07398097449649</v>
      </c>
      <c r="AR207" s="0" t="n">
        <v>161.865898227193</v>
      </c>
      <c r="AS207" s="0" t="n">
        <v>36</v>
      </c>
      <c r="AT207" s="0" t="n">
        <v>32</v>
      </c>
    </row>
    <row r="208" customFormat="false" ht="12" hidden="false" customHeight="false" outlineLevel="0" collapsed="false">
      <c r="A208" s="0" t="n">
        <v>191</v>
      </c>
      <c r="B208" s="0" t="n">
        <v>0</v>
      </c>
      <c r="C208" s="0" t="n">
        <v>1.14212744144935</v>
      </c>
      <c r="D208" s="0" t="n">
        <v>202.087299816469</v>
      </c>
      <c r="E208" s="0" t="n">
        <v>12</v>
      </c>
      <c r="F208" s="0" t="n">
        <v>12</v>
      </c>
      <c r="G208" s="0" t="n">
        <v>0.5</v>
      </c>
      <c r="H208" s="0" t="n">
        <v>0</v>
      </c>
      <c r="I208" s="0" t="n">
        <v>2.19323636996692</v>
      </c>
      <c r="J208" s="0" t="n">
        <v>213.92371395978</v>
      </c>
      <c r="K208" s="0" t="n">
        <v>11.8364141433108</v>
      </c>
      <c r="L208" s="0" t="n">
        <v>0</v>
      </c>
      <c r="M208" s="0" t="n">
        <v>211.889200351755</v>
      </c>
      <c r="N208" s="0" t="n">
        <v>0</v>
      </c>
      <c r="O208" s="0" t="n">
        <v>191</v>
      </c>
      <c r="P208" s="0" t="n">
        <v>99</v>
      </c>
      <c r="Q208" s="0" t="n">
        <v>92</v>
      </c>
      <c r="R208" s="0" t="n">
        <v>326.473974004354</v>
      </c>
      <c r="S208" s="0" t="n">
        <v>311.20592201441</v>
      </c>
      <c r="T208" s="0" t="n">
        <v>24</v>
      </c>
      <c r="U208" s="0" t="n">
        <v>24</v>
      </c>
      <c r="V208" s="0" t="n">
        <v>13.6030765822329</v>
      </c>
      <c r="W208" s="0" t="n">
        <v>12.9668593886863</v>
      </c>
      <c r="X208" s="0" t="n">
        <v>0</v>
      </c>
      <c r="Y208" s="0" t="n">
        <v>11.8364141433108</v>
      </c>
      <c r="Z208" s="0" t="n">
        <v>0</v>
      </c>
      <c r="AA208" s="0" t="n">
        <v>0</v>
      </c>
      <c r="AB208" s="0" t="n">
        <v>0</v>
      </c>
      <c r="AC208" s="0" t="n">
        <v>1</v>
      </c>
      <c r="AD208" s="0" t="n">
        <v>0</v>
      </c>
      <c r="AE208" s="0" t="n">
        <v>0</v>
      </c>
      <c r="AF208" s="0" t="n">
        <v>0</v>
      </c>
      <c r="AG208" s="0" t="n">
        <v>12.8003458759849</v>
      </c>
      <c r="AH208" s="0" t="n">
        <v>0</v>
      </c>
      <c r="AI208" s="0" t="n">
        <v>0</v>
      </c>
      <c r="AK208" s="0" t="n">
        <f aca="false">A208</f>
        <v>191</v>
      </c>
      <c r="AL208" s="0" t="n">
        <v>0</v>
      </c>
      <c r="AM208" s="0" t="n">
        <v>2</v>
      </c>
      <c r="AO208" s="0" t="n">
        <v>191</v>
      </c>
      <c r="AP208" s="0" t="n">
        <v>1</v>
      </c>
      <c r="AQ208" s="0" t="n">
        <v>0.92490709554194</v>
      </c>
      <c r="AR208" s="0" t="n">
        <v>162.790805322735</v>
      </c>
      <c r="AS208" s="0" t="n">
        <v>36</v>
      </c>
      <c r="AT208" s="0" t="n">
        <v>32</v>
      </c>
    </row>
    <row r="209" customFormat="false" ht="12" hidden="false" customHeight="false" outlineLevel="0" collapsed="false">
      <c r="A209" s="0" t="n">
        <v>192</v>
      </c>
      <c r="B209" s="0" t="n">
        <v>0</v>
      </c>
      <c r="C209" s="0" t="n">
        <v>0.0632027751546465</v>
      </c>
      <c r="D209" s="0" t="n">
        <v>202.150502591624</v>
      </c>
      <c r="E209" s="0" t="n">
        <v>14</v>
      </c>
      <c r="F209" s="0" t="n">
        <v>12</v>
      </c>
      <c r="G209" s="0" t="n">
        <v>0.5</v>
      </c>
      <c r="H209" s="0" t="n">
        <v>1</v>
      </c>
      <c r="I209" s="0" t="n">
        <v>0</v>
      </c>
      <c r="J209" s="0" t="n">
        <v>213.92371395978</v>
      </c>
      <c r="K209" s="0" t="n">
        <v>0</v>
      </c>
      <c r="L209" s="0" t="n">
        <v>2.1933314121964</v>
      </c>
      <c r="M209" s="0" t="n">
        <v>214.082531763951</v>
      </c>
      <c r="N209" s="0" t="n">
        <v>11.9320291723273</v>
      </c>
      <c r="O209" s="0" t="n">
        <v>192</v>
      </c>
      <c r="P209" s="0" t="n">
        <v>99</v>
      </c>
      <c r="Q209" s="0" t="n">
        <v>93</v>
      </c>
      <c r="R209" s="0" t="n">
        <v>293.997584036471</v>
      </c>
      <c r="S209" s="0" t="n">
        <v>334.490131191629</v>
      </c>
      <c r="T209" s="0" t="n">
        <v>27</v>
      </c>
      <c r="U209" s="0" t="n">
        <v>21</v>
      </c>
      <c r="V209" s="0" t="n">
        <v>10.888795375871</v>
      </c>
      <c r="W209" s="0" t="n">
        <v>15.9280256375745</v>
      </c>
      <c r="X209" s="0" t="n">
        <v>0</v>
      </c>
      <c r="Y209" s="0" t="n">
        <v>0</v>
      </c>
      <c r="Z209" s="0" t="n">
        <v>0</v>
      </c>
      <c r="AA209" s="0" t="n">
        <v>11.9320291723273</v>
      </c>
      <c r="AB209" s="0" t="n">
        <v>0</v>
      </c>
      <c r="AC209" s="0" t="n">
        <v>0</v>
      </c>
      <c r="AD209" s="0" t="n">
        <v>0</v>
      </c>
      <c r="AE209" s="0" t="n">
        <v>1</v>
      </c>
      <c r="AF209" s="0" t="n">
        <v>0</v>
      </c>
      <c r="AG209" s="0" t="n">
        <v>0</v>
      </c>
      <c r="AH209" s="0" t="n">
        <v>0</v>
      </c>
      <c r="AI209" s="0" t="n">
        <v>17.6452790412203</v>
      </c>
      <c r="AK209" s="0" t="n">
        <f aca="false">A209</f>
        <v>192</v>
      </c>
      <c r="AL209" s="0" t="n">
        <v>1</v>
      </c>
      <c r="AM209" s="0" t="n">
        <v>0</v>
      </c>
      <c r="AO209" s="0" t="n">
        <v>192</v>
      </c>
      <c r="AP209" s="0" t="n">
        <v>1</v>
      </c>
      <c r="AQ209" s="0" t="n">
        <v>1.43151451100779</v>
      </c>
      <c r="AR209" s="0" t="n">
        <v>164.222319833743</v>
      </c>
      <c r="AS209" s="0" t="n">
        <v>34</v>
      </c>
      <c r="AT209" s="0" t="n">
        <v>34</v>
      </c>
    </row>
    <row r="210" customFormat="false" ht="12" hidden="false" customHeight="false" outlineLevel="0" collapsed="false">
      <c r="A210" s="0" t="n">
        <v>193</v>
      </c>
      <c r="B210" s="0" t="n">
        <v>0</v>
      </c>
      <c r="C210" s="0" t="n">
        <v>0.449994426619157</v>
      </c>
      <c r="D210" s="0" t="n">
        <v>202.600497018243</v>
      </c>
      <c r="E210" s="0" t="n">
        <v>14</v>
      </c>
      <c r="F210" s="0" t="n">
        <v>14</v>
      </c>
      <c r="G210" s="0" t="n">
        <v>0.5</v>
      </c>
      <c r="H210" s="0" t="n">
        <v>1</v>
      </c>
      <c r="I210" s="0" t="n">
        <v>0</v>
      </c>
      <c r="J210" s="0" t="n">
        <v>213.92371395978</v>
      </c>
      <c r="K210" s="0" t="n">
        <v>0</v>
      </c>
      <c r="L210" s="0" t="n">
        <v>2.15940010653754</v>
      </c>
      <c r="M210" s="0" t="n">
        <v>216.241931870489</v>
      </c>
      <c r="N210" s="0" t="n">
        <v>13.6414348522457</v>
      </c>
      <c r="O210" s="0" t="n">
        <v>193</v>
      </c>
      <c r="P210" s="0" t="n">
        <v>99</v>
      </c>
      <c r="Q210" s="0" t="n">
        <v>94</v>
      </c>
      <c r="R210" s="0" t="n">
        <v>394.742789749882</v>
      </c>
      <c r="S210" s="0" t="n">
        <v>231.337515302886</v>
      </c>
      <c r="T210" s="0" t="n">
        <v>26</v>
      </c>
      <c r="U210" s="0" t="n">
        <v>22</v>
      </c>
      <c r="V210" s="0" t="n">
        <v>15.1824091509919</v>
      </c>
      <c r="W210" s="0" t="n">
        <v>10.5152938078866</v>
      </c>
      <c r="X210" s="0" t="n">
        <v>0</v>
      </c>
      <c r="Y210" s="0" t="n">
        <v>0</v>
      </c>
      <c r="Z210" s="0" t="n">
        <v>0</v>
      </c>
      <c r="AA210" s="0" t="n">
        <v>13.6414348522457</v>
      </c>
      <c r="AB210" s="0" t="n">
        <v>0</v>
      </c>
      <c r="AC210" s="0" t="n">
        <v>0</v>
      </c>
      <c r="AD210" s="0" t="n">
        <v>0</v>
      </c>
      <c r="AE210" s="0" t="n">
        <v>1</v>
      </c>
      <c r="AF210" s="0" t="n">
        <v>0</v>
      </c>
      <c r="AG210" s="0" t="n">
        <v>0</v>
      </c>
      <c r="AH210" s="0" t="n">
        <v>0</v>
      </c>
      <c r="AI210" s="0" t="n">
        <v>34.9285029472631</v>
      </c>
      <c r="AK210" s="0" t="n">
        <f aca="false">A210</f>
        <v>193</v>
      </c>
      <c r="AL210" s="0" t="n">
        <v>0</v>
      </c>
      <c r="AM210" s="0" t="n">
        <v>1</v>
      </c>
      <c r="AO210" s="0" t="n">
        <v>193</v>
      </c>
      <c r="AP210" s="0" t="n">
        <v>1</v>
      </c>
      <c r="AQ210" s="0" t="n">
        <v>0.772135834982821</v>
      </c>
      <c r="AR210" s="0" t="n">
        <v>164.994455668726</v>
      </c>
      <c r="AS210" s="0" t="n">
        <v>34</v>
      </c>
      <c r="AT210" s="0" t="n">
        <v>32</v>
      </c>
    </row>
    <row r="211" customFormat="false" ht="12" hidden="false" customHeight="false" outlineLevel="0" collapsed="false">
      <c r="A211" s="0" t="n">
        <v>194</v>
      </c>
      <c r="B211" s="0" t="n">
        <v>0</v>
      </c>
      <c r="C211" s="0" t="n">
        <v>0.181876566036211</v>
      </c>
      <c r="D211" s="0" t="n">
        <v>202.782373584279</v>
      </c>
      <c r="E211" s="0" t="n">
        <v>14</v>
      </c>
      <c r="F211" s="0" t="n">
        <v>16</v>
      </c>
      <c r="G211" s="0" t="n">
        <v>0.5</v>
      </c>
      <c r="H211" s="0" t="n">
        <v>0</v>
      </c>
      <c r="I211" s="0" t="n">
        <v>2.18945861977643</v>
      </c>
      <c r="J211" s="0" t="n">
        <v>216.113172579556</v>
      </c>
      <c r="K211" s="0" t="n">
        <v>13.3307989952772</v>
      </c>
      <c r="L211" s="0" t="n">
        <v>0</v>
      </c>
      <c r="M211" s="0" t="n">
        <v>216.241931870489</v>
      </c>
      <c r="N211" s="0" t="n">
        <v>0</v>
      </c>
      <c r="O211" s="0" t="n">
        <v>194</v>
      </c>
      <c r="P211" s="0" t="n">
        <v>100</v>
      </c>
      <c r="Q211" s="0" t="n">
        <v>94</v>
      </c>
      <c r="R211" s="0" t="n">
        <v>216.801286406505</v>
      </c>
      <c r="S211" s="0" t="n">
        <v>429.368068008973</v>
      </c>
      <c r="T211" s="0" t="n">
        <v>20</v>
      </c>
      <c r="U211" s="0" t="n">
        <v>28</v>
      </c>
      <c r="V211" s="0" t="n">
        <v>10.8400589002958</v>
      </c>
      <c r="W211" s="0" t="n">
        <v>15.3345190913237</v>
      </c>
      <c r="X211" s="0" t="n">
        <v>0</v>
      </c>
      <c r="Y211" s="0" t="n">
        <v>13.3307989952772</v>
      </c>
      <c r="Z211" s="0" t="n">
        <v>0</v>
      </c>
      <c r="AA211" s="0" t="n">
        <v>0</v>
      </c>
      <c r="AB211" s="0" t="n">
        <v>0</v>
      </c>
      <c r="AC211" s="0" t="n">
        <v>1</v>
      </c>
      <c r="AD211" s="0" t="n">
        <v>0</v>
      </c>
      <c r="AE211" s="0" t="n">
        <v>0</v>
      </c>
      <c r="AF211" s="0" t="n">
        <v>0</v>
      </c>
      <c r="AG211" s="0" t="n">
        <v>25.7266239942022</v>
      </c>
      <c r="AH211" s="0" t="n">
        <v>0</v>
      </c>
      <c r="AI211" s="0" t="n">
        <v>0</v>
      </c>
      <c r="AK211" s="0" t="n">
        <f aca="false">A211</f>
        <v>194</v>
      </c>
      <c r="AL211" s="0" t="n">
        <v>1</v>
      </c>
      <c r="AM211" s="0" t="n">
        <v>0</v>
      </c>
      <c r="AO211" s="0" t="n">
        <v>194</v>
      </c>
      <c r="AP211" s="0" t="n">
        <v>0</v>
      </c>
      <c r="AQ211" s="0" t="n">
        <v>0.38799067473642</v>
      </c>
      <c r="AR211" s="0" t="n">
        <v>165.382446343462</v>
      </c>
      <c r="AS211" s="0" t="n">
        <v>34</v>
      </c>
      <c r="AT211" s="0" t="n">
        <v>34</v>
      </c>
    </row>
    <row r="212" customFormat="false" ht="12" hidden="false" customHeight="false" outlineLevel="0" collapsed="false">
      <c r="A212" s="0" t="n">
        <v>195</v>
      </c>
      <c r="B212" s="0" t="n">
        <v>1</v>
      </c>
      <c r="C212" s="0" t="n">
        <v>2.59625629379427</v>
      </c>
      <c r="D212" s="0" t="n">
        <v>205.378629878073</v>
      </c>
      <c r="E212" s="0" t="n">
        <v>14</v>
      </c>
      <c r="F212" s="0" t="n">
        <v>14</v>
      </c>
      <c r="G212" s="0" t="n">
        <v>0.5</v>
      </c>
      <c r="H212" s="0" t="n">
        <v>1</v>
      </c>
      <c r="I212" s="0" t="n">
        <v>0</v>
      </c>
      <c r="J212" s="0" t="n">
        <v>216.113172579556</v>
      </c>
      <c r="K212" s="0" t="n">
        <v>0</v>
      </c>
      <c r="L212" s="0" t="n">
        <v>1.77545642087308</v>
      </c>
      <c r="M212" s="0" t="n">
        <v>218.017388291362</v>
      </c>
      <c r="N212" s="0" t="n">
        <v>12.6387584132883</v>
      </c>
      <c r="O212" s="0" t="n">
        <v>195</v>
      </c>
      <c r="P212" s="0" t="n">
        <v>100</v>
      </c>
      <c r="Q212" s="0" t="n">
        <v>95</v>
      </c>
      <c r="R212" s="0" t="n">
        <v>335.296610983153</v>
      </c>
      <c r="S212" s="0" t="n">
        <v>316.660034229652</v>
      </c>
      <c r="T212" s="0" t="n">
        <v>25</v>
      </c>
      <c r="U212" s="0" t="n">
        <v>23</v>
      </c>
      <c r="V212" s="0" t="n">
        <v>13.4118590745825</v>
      </c>
      <c r="W212" s="0" t="n">
        <v>13.7677677153426</v>
      </c>
      <c r="X212" s="0" t="n">
        <v>0</v>
      </c>
      <c r="Y212" s="0" t="n">
        <v>0</v>
      </c>
      <c r="Z212" s="0" t="n">
        <v>12.6387584132883</v>
      </c>
      <c r="AA212" s="0" t="n">
        <v>0</v>
      </c>
      <c r="AB212" s="0" t="n">
        <v>0</v>
      </c>
      <c r="AC212" s="0" t="n">
        <v>0</v>
      </c>
      <c r="AD212" s="0" t="n">
        <v>1</v>
      </c>
      <c r="AE212" s="0" t="n">
        <v>0</v>
      </c>
      <c r="AF212" s="0" t="n">
        <v>0</v>
      </c>
      <c r="AG212" s="0" t="n">
        <v>0</v>
      </c>
      <c r="AH212" s="0" t="n">
        <v>23.7447171643445</v>
      </c>
      <c r="AI212" s="0" t="n">
        <v>0</v>
      </c>
      <c r="AK212" s="0" t="n">
        <f aca="false">A212</f>
        <v>195</v>
      </c>
      <c r="AL212" s="0" t="n">
        <v>0</v>
      </c>
      <c r="AM212" s="0" t="n">
        <v>1</v>
      </c>
      <c r="AO212" s="0" t="n">
        <v>195</v>
      </c>
      <c r="AP212" s="0" t="n">
        <v>1</v>
      </c>
      <c r="AQ212" s="0" t="n">
        <v>1.14915964046145</v>
      </c>
      <c r="AR212" s="0" t="n">
        <v>166.531605983924</v>
      </c>
      <c r="AS212" s="0" t="n">
        <v>36</v>
      </c>
      <c r="AT212" s="0" t="n">
        <v>34</v>
      </c>
    </row>
    <row r="213" customFormat="false" ht="12" hidden="false" customHeight="false" outlineLevel="0" collapsed="false">
      <c r="A213" s="0" t="n">
        <v>196</v>
      </c>
      <c r="B213" s="0" t="n">
        <v>1</v>
      </c>
      <c r="C213" s="0" t="n">
        <v>0.163910809537197</v>
      </c>
      <c r="D213" s="0" t="n">
        <v>205.54254068761</v>
      </c>
      <c r="E213" s="0" t="n">
        <v>12</v>
      </c>
      <c r="F213" s="0" t="n">
        <v>16</v>
      </c>
      <c r="G213" s="0" t="n">
        <v>0.5</v>
      </c>
      <c r="H213" s="0" t="n">
        <v>0</v>
      </c>
      <c r="I213" s="0" t="n">
        <v>2.24002592731892</v>
      </c>
      <c r="J213" s="0" t="n">
        <v>218.353198506875</v>
      </c>
      <c r="K213" s="0" t="n">
        <v>12.8106578192647</v>
      </c>
      <c r="L213" s="0" t="n">
        <v>0</v>
      </c>
      <c r="M213" s="0" t="n">
        <v>218.017388291362</v>
      </c>
      <c r="N213" s="0" t="n">
        <v>0</v>
      </c>
      <c r="O213" s="0" t="n">
        <v>196</v>
      </c>
      <c r="P213" s="0" t="n">
        <v>101</v>
      </c>
      <c r="Q213" s="0" t="n">
        <v>95</v>
      </c>
      <c r="R213" s="0" t="n">
        <v>312.46569477993</v>
      </c>
      <c r="S213" s="0" t="n">
        <v>321.271499308873</v>
      </c>
      <c r="T213" s="0" t="n">
        <v>24</v>
      </c>
      <c r="U213" s="0" t="n">
        <v>24</v>
      </c>
      <c r="V213" s="0" t="n">
        <v>13.0193985244143</v>
      </c>
      <c r="W213" s="0" t="n">
        <v>13.3862566951335</v>
      </c>
      <c r="X213" s="0" t="n">
        <v>12.8106578192647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  <c r="AF213" s="0" t="n">
        <v>28.977740622716</v>
      </c>
      <c r="AG213" s="0" t="n">
        <v>0</v>
      </c>
      <c r="AH213" s="0" t="n">
        <v>0</v>
      </c>
      <c r="AI213" s="0" t="n">
        <v>0</v>
      </c>
      <c r="AK213" s="0" t="n">
        <f aca="false">A213</f>
        <v>196</v>
      </c>
      <c r="AL213" s="0" t="n">
        <v>2</v>
      </c>
      <c r="AM213" s="0" t="n">
        <v>0</v>
      </c>
      <c r="AO213" s="0" t="n">
        <v>196</v>
      </c>
      <c r="AP213" s="0" t="n">
        <v>0</v>
      </c>
      <c r="AQ213" s="0" t="n">
        <v>0.45467071857612</v>
      </c>
      <c r="AR213" s="0" t="n">
        <v>166.9862767025</v>
      </c>
      <c r="AS213" s="0" t="n">
        <v>34</v>
      </c>
      <c r="AT213" s="0" t="n">
        <v>34</v>
      </c>
    </row>
    <row r="214" customFormat="false" ht="12" hidden="false" customHeight="false" outlineLevel="0" collapsed="false">
      <c r="A214" s="0" t="n">
        <v>197</v>
      </c>
      <c r="B214" s="0" t="n">
        <v>1</v>
      </c>
      <c r="C214" s="0" t="n">
        <v>1.97391515973107</v>
      </c>
      <c r="D214" s="0" t="n">
        <v>207.516455847342</v>
      </c>
      <c r="E214" s="0" t="n">
        <v>12</v>
      </c>
      <c r="F214" s="0" t="n">
        <v>14</v>
      </c>
      <c r="G214" s="0" t="n">
        <v>0.5</v>
      </c>
      <c r="H214" s="0" t="n">
        <v>0</v>
      </c>
      <c r="I214" s="0" t="n">
        <v>2.00992635731464</v>
      </c>
      <c r="J214" s="0" t="n">
        <v>220.36312486419</v>
      </c>
      <c r="K214" s="0" t="n">
        <v>12.8466690168483</v>
      </c>
      <c r="L214" s="0" t="n">
        <v>0</v>
      </c>
      <c r="M214" s="0" t="n">
        <v>218.017388291362</v>
      </c>
      <c r="N214" s="0" t="n">
        <v>0</v>
      </c>
      <c r="O214" s="0" t="n">
        <v>197</v>
      </c>
      <c r="P214" s="0" t="n">
        <v>102</v>
      </c>
      <c r="Q214" s="0" t="n">
        <v>95</v>
      </c>
      <c r="R214" s="0" t="n">
        <v>336.842088838622</v>
      </c>
      <c r="S214" s="0" t="n">
        <v>300.352925727179</v>
      </c>
      <c r="T214" s="0" t="n">
        <v>22</v>
      </c>
      <c r="U214" s="0" t="n">
        <v>26</v>
      </c>
      <c r="V214" s="0" t="n">
        <v>15.3109970785751</v>
      </c>
      <c r="W214" s="0" t="n">
        <v>11.5519911741562</v>
      </c>
      <c r="X214" s="0" t="n">
        <v>12.8466690168483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  <c r="AF214" s="0" t="n">
        <v>29.3667410173348</v>
      </c>
      <c r="AG214" s="0" t="n">
        <v>0</v>
      </c>
      <c r="AH214" s="0" t="n">
        <v>0</v>
      </c>
      <c r="AI214" s="0" t="n">
        <v>0</v>
      </c>
      <c r="AK214" s="0" t="n">
        <f aca="false">A214</f>
        <v>197</v>
      </c>
      <c r="AL214" s="0" t="n">
        <v>1</v>
      </c>
      <c r="AM214" s="0" t="n">
        <v>1</v>
      </c>
      <c r="AO214" s="0" t="n">
        <v>197</v>
      </c>
      <c r="AP214" s="0" t="n">
        <v>0</v>
      </c>
      <c r="AQ214" s="0" t="n">
        <v>0.836952216036424</v>
      </c>
      <c r="AR214" s="0" t="n">
        <v>167.823228918536</v>
      </c>
      <c r="AS214" s="0" t="n">
        <v>36</v>
      </c>
      <c r="AT214" s="0" t="n">
        <v>34</v>
      </c>
    </row>
    <row r="215" customFormat="false" ht="12" hidden="false" customHeight="false" outlineLevel="0" collapsed="false">
      <c r="A215" s="0" t="n">
        <v>198</v>
      </c>
      <c r="B215" s="0" t="n">
        <v>1</v>
      </c>
      <c r="C215" s="0" t="n">
        <v>1.2012186055165</v>
      </c>
      <c r="D215" s="0" t="n">
        <v>208.717674452858</v>
      </c>
      <c r="E215" s="0" t="n">
        <v>14</v>
      </c>
      <c r="F215" s="0" t="n">
        <v>12</v>
      </c>
      <c r="G215" s="0" t="n">
        <v>0.5</v>
      </c>
      <c r="H215" s="0" t="n">
        <v>1</v>
      </c>
      <c r="I215" s="0" t="n">
        <v>0</v>
      </c>
      <c r="J215" s="0" t="n">
        <v>220.36312486419</v>
      </c>
      <c r="K215" s="0" t="n">
        <v>0</v>
      </c>
      <c r="L215" s="0" t="n">
        <v>1.82475199343608</v>
      </c>
      <c r="M215" s="0" t="n">
        <v>219.842140284798</v>
      </c>
      <c r="N215" s="0" t="n">
        <v>11.1244658319397</v>
      </c>
      <c r="O215" s="0" t="n">
        <v>198</v>
      </c>
      <c r="P215" s="0" t="n">
        <v>102</v>
      </c>
      <c r="Q215" s="0" t="n">
        <v>96</v>
      </c>
      <c r="R215" s="0" t="n">
        <v>386.882574162094</v>
      </c>
      <c r="S215" s="0" t="n">
        <v>260.78164163945</v>
      </c>
      <c r="T215" s="0" t="n">
        <v>29</v>
      </c>
      <c r="U215" s="0" t="n">
        <v>19</v>
      </c>
      <c r="V215" s="0" t="n">
        <v>13.3407738191157</v>
      </c>
      <c r="W215" s="0" t="n">
        <v>13.7252773216693</v>
      </c>
      <c r="X215" s="0" t="n">
        <v>0</v>
      </c>
      <c r="Y215" s="0" t="n">
        <v>0</v>
      </c>
      <c r="Z215" s="0" t="n">
        <v>11.1244658319397</v>
      </c>
      <c r="AA215" s="0" t="n">
        <v>0</v>
      </c>
      <c r="AB215" s="0" t="n">
        <v>0</v>
      </c>
      <c r="AC215" s="0" t="n">
        <v>0</v>
      </c>
      <c r="AD215" s="0" t="n">
        <v>1</v>
      </c>
      <c r="AE215" s="0" t="n">
        <v>0</v>
      </c>
      <c r="AF215" s="0" t="n">
        <v>0</v>
      </c>
      <c r="AG215" s="0" t="n">
        <v>0</v>
      </c>
      <c r="AH215" s="0" t="n">
        <v>11.2799424251684</v>
      </c>
      <c r="AI215" s="0" t="n">
        <v>0</v>
      </c>
      <c r="AK215" s="0" t="n">
        <f aca="false">A215</f>
        <v>198</v>
      </c>
      <c r="AL215" s="0" t="n">
        <v>1</v>
      </c>
      <c r="AM215" s="0" t="n">
        <v>2</v>
      </c>
      <c r="AO215" s="0" t="n">
        <v>198</v>
      </c>
      <c r="AP215" s="0" t="n">
        <v>0</v>
      </c>
      <c r="AQ215" s="0" t="n">
        <v>0.249943500038766</v>
      </c>
      <c r="AR215" s="0" t="n">
        <v>168.073172418575</v>
      </c>
      <c r="AS215" s="0" t="n">
        <v>38</v>
      </c>
      <c r="AT215" s="0" t="n">
        <v>34</v>
      </c>
    </row>
    <row r="216" customFormat="false" ht="12" hidden="false" customHeight="false" outlineLevel="0" collapsed="false">
      <c r="A216" s="0" t="n">
        <v>199</v>
      </c>
      <c r="B216" s="0" t="n">
        <v>0</v>
      </c>
      <c r="C216" s="0" t="n">
        <v>0.000864434825853096</v>
      </c>
      <c r="D216" s="0" t="n">
        <v>208.718538887684</v>
      </c>
      <c r="E216" s="0" t="n">
        <v>14</v>
      </c>
      <c r="F216" s="0" t="n">
        <v>14</v>
      </c>
      <c r="G216" s="0" t="n">
        <v>0.5</v>
      </c>
      <c r="H216" s="0" t="n">
        <v>1</v>
      </c>
      <c r="I216" s="0" t="n">
        <v>0</v>
      </c>
      <c r="J216" s="0" t="n">
        <v>220.36312486419</v>
      </c>
      <c r="K216" s="0" t="n">
        <v>0</v>
      </c>
      <c r="L216" s="0" t="n">
        <v>1.92214505370458</v>
      </c>
      <c r="M216" s="0" t="n">
        <v>221.764285338502</v>
      </c>
      <c r="N216" s="0" t="n">
        <v>13.0457464508184</v>
      </c>
      <c r="O216" s="0" t="n">
        <v>199</v>
      </c>
      <c r="P216" s="0" t="n">
        <v>102</v>
      </c>
      <c r="Q216" s="0" t="n">
        <v>97</v>
      </c>
      <c r="R216" s="0" t="n">
        <v>322.515744105956</v>
      </c>
      <c r="S216" s="0" t="n">
        <v>310.039529428164</v>
      </c>
      <c r="T216" s="0" t="n">
        <v>24</v>
      </c>
      <c r="U216" s="0" t="n">
        <v>24</v>
      </c>
      <c r="V216" s="0" t="n">
        <v>13.4381504051855</v>
      </c>
      <c r="W216" s="0" t="n">
        <v>12.9182599000906</v>
      </c>
      <c r="X216" s="0" t="n">
        <v>0</v>
      </c>
      <c r="Y216" s="0" t="n">
        <v>0</v>
      </c>
      <c r="Z216" s="0" t="n">
        <v>0</v>
      </c>
      <c r="AA216" s="0" t="n">
        <v>13.0457464508184</v>
      </c>
      <c r="AB216" s="0" t="n">
        <v>0</v>
      </c>
      <c r="AC216" s="0" t="n">
        <v>0</v>
      </c>
      <c r="AD216" s="0" t="n">
        <v>0</v>
      </c>
      <c r="AE216" s="0" t="n">
        <v>1</v>
      </c>
      <c r="AF216" s="0" t="n">
        <v>0</v>
      </c>
      <c r="AG216" s="0" t="n">
        <v>0</v>
      </c>
      <c r="AH216" s="0" t="n">
        <v>0</v>
      </c>
      <c r="AI216" s="0" t="n">
        <v>28.2422700997202</v>
      </c>
      <c r="AK216" s="0" t="n">
        <f aca="false">A216</f>
        <v>199</v>
      </c>
      <c r="AL216" s="0" t="n">
        <v>0</v>
      </c>
      <c r="AM216" s="0" t="n">
        <v>1</v>
      </c>
      <c r="AO216" s="0" t="n">
        <v>199</v>
      </c>
      <c r="AP216" s="0" t="n">
        <v>1</v>
      </c>
      <c r="AQ216" s="0" t="n">
        <v>0.378019520828295</v>
      </c>
      <c r="AR216" s="0" t="n">
        <v>168.451191939403</v>
      </c>
      <c r="AS216" s="0" t="n">
        <v>38</v>
      </c>
      <c r="AT216" s="0" t="n">
        <v>36</v>
      </c>
    </row>
    <row r="217" customFormat="false" ht="12" hidden="false" customHeight="false" outlineLevel="0" collapsed="false">
      <c r="A217" s="0" t="n">
        <v>200</v>
      </c>
      <c r="B217" s="0" t="n">
        <v>1</v>
      </c>
      <c r="C217" s="0" t="n">
        <v>0.720316610445626</v>
      </c>
      <c r="D217" s="0" t="n">
        <v>209.43885549813</v>
      </c>
      <c r="E217" s="0" t="n">
        <v>14</v>
      </c>
      <c r="F217" s="0" t="n">
        <v>16</v>
      </c>
      <c r="G217" s="0" t="n">
        <v>0.5</v>
      </c>
      <c r="H217" s="0" t="n">
        <v>0</v>
      </c>
      <c r="I217" s="0" t="n">
        <v>2.18775235753641</v>
      </c>
      <c r="J217" s="0" t="n">
        <v>222.550877221726</v>
      </c>
      <c r="K217" s="0" t="n">
        <v>13.1120217235968</v>
      </c>
      <c r="L217" s="0" t="n">
        <v>0</v>
      </c>
      <c r="M217" s="0" t="n">
        <v>221.764285338502</v>
      </c>
      <c r="N217" s="0" t="n">
        <v>0</v>
      </c>
      <c r="O217" s="0" t="n">
        <v>200</v>
      </c>
      <c r="P217" s="0" t="n">
        <v>103</v>
      </c>
      <c r="Q217" s="0" t="n">
        <v>97</v>
      </c>
      <c r="R217" s="0" t="n">
        <v>339.789584845688</v>
      </c>
      <c r="S217" s="0" t="n">
        <v>302.340903032089</v>
      </c>
      <c r="T217" s="0" t="n">
        <v>29</v>
      </c>
      <c r="U217" s="0" t="n">
        <v>19</v>
      </c>
      <c r="V217" s="0" t="n">
        <v>11.7168781957554</v>
      </c>
      <c r="W217" s="0" t="n">
        <v>15.9125953564502</v>
      </c>
      <c r="X217" s="0" t="n">
        <v>13.1120217235968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  <c r="AF217" s="0" t="n">
        <v>32.3131034934981</v>
      </c>
      <c r="AG217" s="0" t="n">
        <v>0</v>
      </c>
      <c r="AH217" s="0" t="n">
        <v>0</v>
      </c>
      <c r="AI217" s="0" t="n">
        <v>0</v>
      </c>
      <c r="AK217" s="0" t="n">
        <f aca="false">A217</f>
        <v>200</v>
      </c>
      <c r="AL217" s="0" t="n">
        <v>1</v>
      </c>
      <c r="AM217" s="0" t="n">
        <v>1</v>
      </c>
      <c r="AO217" s="0" t="n">
        <v>200</v>
      </c>
      <c r="AP217" s="0" t="n">
        <v>1</v>
      </c>
      <c r="AQ217" s="0" t="n">
        <v>0.550931289464708</v>
      </c>
      <c r="AR217" s="0" t="n">
        <v>169.002123228868</v>
      </c>
      <c r="AS217" s="0" t="n">
        <v>38</v>
      </c>
      <c r="AT217" s="0" t="n">
        <v>36</v>
      </c>
    </row>
    <row r="218" customFormat="false" ht="12" hidden="false" customHeight="false" outlineLevel="0" collapsed="false">
      <c r="A218" s="0" t="n">
        <v>201</v>
      </c>
      <c r="B218" s="0" t="n">
        <v>1</v>
      </c>
      <c r="C218" s="0" t="n">
        <v>1.64521211055973</v>
      </c>
      <c r="D218" s="0" t="n">
        <v>211.084067608689</v>
      </c>
      <c r="E218" s="0" t="n">
        <v>14</v>
      </c>
      <c r="F218" s="0" t="n">
        <v>14</v>
      </c>
      <c r="G218" s="0" t="n">
        <v>0.5</v>
      </c>
      <c r="H218" s="0" t="n">
        <v>0</v>
      </c>
      <c r="I218" s="0" t="n">
        <v>1.95207400775219</v>
      </c>
      <c r="J218" s="0" t="n">
        <v>224.502951229478</v>
      </c>
      <c r="K218" s="0" t="n">
        <v>13.4188836207892</v>
      </c>
      <c r="L218" s="0" t="n">
        <v>0</v>
      </c>
      <c r="M218" s="0" t="n">
        <v>221.764285338502</v>
      </c>
      <c r="N218" s="0" t="n">
        <v>0</v>
      </c>
      <c r="O218" s="0" t="n">
        <v>201</v>
      </c>
      <c r="P218" s="0" t="n">
        <v>104</v>
      </c>
      <c r="Q218" s="0" t="n">
        <v>97</v>
      </c>
      <c r="R218" s="0" t="n">
        <v>267.265561798017</v>
      </c>
      <c r="S218" s="0" t="n">
        <v>384.503266176557</v>
      </c>
      <c r="T218" s="0" t="n">
        <v>23</v>
      </c>
      <c r="U218" s="0" t="n">
        <v>25</v>
      </c>
      <c r="V218" s="0" t="n">
        <v>11.6202367650282</v>
      </c>
      <c r="W218" s="0" t="n">
        <v>15.3800691267858</v>
      </c>
      <c r="X218" s="0" t="n">
        <v>13.4188836207892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  <c r="AF218" s="0" t="n">
        <v>35.8959570494652</v>
      </c>
      <c r="AG218" s="0" t="n">
        <v>0</v>
      </c>
      <c r="AH218" s="0" t="n">
        <v>0</v>
      </c>
      <c r="AI218" s="0" t="n">
        <v>0</v>
      </c>
      <c r="AK218" s="0" t="n">
        <f aca="false">A218</f>
        <v>201</v>
      </c>
      <c r="AL218" s="0" t="n">
        <v>0</v>
      </c>
      <c r="AM218" s="0" t="n">
        <v>1</v>
      </c>
      <c r="AO218" s="0" t="n">
        <v>201</v>
      </c>
      <c r="AP218" s="0" t="n">
        <v>1</v>
      </c>
      <c r="AQ218" s="0" t="n">
        <v>1.42159223522164</v>
      </c>
      <c r="AR218" s="0" t="n">
        <v>170.42371546409</v>
      </c>
      <c r="AS218" s="0" t="n">
        <v>36</v>
      </c>
      <c r="AT218" s="0" t="n">
        <v>38</v>
      </c>
    </row>
    <row r="219" customFormat="false" ht="12" hidden="false" customHeight="false" outlineLevel="0" collapsed="false">
      <c r="A219" s="0" t="n">
        <v>202</v>
      </c>
      <c r="B219" s="0" t="n">
        <v>1</v>
      </c>
      <c r="C219" s="0" t="n">
        <v>0.790590436812289</v>
      </c>
      <c r="D219" s="0" t="n">
        <v>211.874658045502</v>
      </c>
      <c r="E219" s="0" t="n">
        <v>14</v>
      </c>
      <c r="F219" s="0" t="n">
        <v>14</v>
      </c>
      <c r="G219" s="0" t="n">
        <v>0.5</v>
      </c>
      <c r="H219" s="0" t="n">
        <v>1</v>
      </c>
      <c r="I219" s="0" t="n">
        <v>0</v>
      </c>
      <c r="J219" s="0" t="n">
        <v>224.502951229478</v>
      </c>
      <c r="K219" s="0" t="n">
        <v>0</v>
      </c>
      <c r="L219" s="0" t="n">
        <v>1.87704396180475</v>
      </c>
      <c r="M219" s="0" t="n">
        <v>223.641329300307</v>
      </c>
      <c r="N219" s="0" t="n">
        <v>11.7666712548055</v>
      </c>
      <c r="O219" s="0" t="n">
        <v>202</v>
      </c>
      <c r="P219" s="0" t="n">
        <v>104</v>
      </c>
      <c r="Q219" s="0" t="n">
        <v>98</v>
      </c>
      <c r="R219" s="0" t="n">
        <v>365.446849246756</v>
      </c>
      <c r="S219" s="0" t="n">
        <v>281.732587812314</v>
      </c>
      <c r="T219" s="0" t="n">
        <v>25</v>
      </c>
      <c r="U219" s="0" t="n">
        <v>23</v>
      </c>
      <c r="V219" s="0" t="n">
        <v>14.617868122723</v>
      </c>
      <c r="W219" s="0" t="n">
        <v>12.249189691015</v>
      </c>
      <c r="X219" s="0" t="n">
        <v>0</v>
      </c>
      <c r="Y219" s="0" t="n">
        <v>0</v>
      </c>
      <c r="Z219" s="0" t="n">
        <v>11.7666712548055</v>
      </c>
      <c r="AA219" s="0" t="n">
        <v>0</v>
      </c>
      <c r="AB219" s="0" t="n">
        <v>0</v>
      </c>
      <c r="AC219" s="0" t="n">
        <v>0</v>
      </c>
      <c r="AD219" s="0" t="n">
        <v>1</v>
      </c>
      <c r="AE219" s="0" t="n">
        <v>0</v>
      </c>
      <c r="AF219" s="0" t="n">
        <v>0</v>
      </c>
      <c r="AG219" s="0" t="n">
        <v>0</v>
      </c>
      <c r="AH219" s="0" t="n">
        <v>16.006144399995</v>
      </c>
      <c r="AI219" s="0" t="n">
        <v>0</v>
      </c>
      <c r="AK219" s="0" t="n">
        <f aca="false">A219</f>
        <v>202</v>
      </c>
      <c r="AL219" s="0" t="n">
        <v>0</v>
      </c>
      <c r="AM219" s="0" t="n">
        <v>0</v>
      </c>
      <c r="AO219" s="0" t="n">
        <v>202</v>
      </c>
      <c r="AP219" s="0" t="n">
        <v>1</v>
      </c>
      <c r="AQ219" s="0" t="n">
        <v>2.92565909806649</v>
      </c>
      <c r="AR219" s="0" t="n">
        <v>173.349374562156</v>
      </c>
      <c r="AS219" s="0" t="n">
        <v>34</v>
      </c>
      <c r="AT219" s="0" t="n">
        <v>34</v>
      </c>
    </row>
    <row r="220" customFormat="false" ht="12" hidden="false" customHeight="false" outlineLevel="0" collapsed="false">
      <c r="A220" s="0" t="n">
        <v>203</v>
      </c>
      <c r="B220" s="0" t="n">
        <v>0</v>
      </c>
      <c r="C220" s="0" t="n">
        <v>0.01554378470141</v>
      </c>
      <c r="D220" s="0" t="n">
        <v>211.890201830203</v>
      </c>
      <c r="E220" s="0" t="n">
        <v>14</v>
      </c>
      <c r="F220" s="0" t="n">
        <v>14</v>
      </c>
      <c r="G220" s="0" t="n">
        <v>0.5</v>
      </c>
      <c r="H220" s="0" t="n">
        <v>0</v>
      </c>
      <c r="I220" s="0" t="n">
        <v>2.09645076693844</v>
      </c>
      <c r="J220" s="0" t="n">
        <v>226.599401996417</v>
      </c>
      <c r="K220" s="0" t="n">
        <v>14.709200166214</v>
      </c>
      <c r="L220" s="0" t="n">
        <v>0</v>
      </c>
      <c r="M220" s="0" t="n">
        <v>223.641329300307</v>
      </c>
      <c r="N220" s="0" t="n">
        <v>0</v>
      </c>
      <c r="O220" s="0" t="n">
        <v>203</v>
      </c>
      <c r="P220" s="0" t="n">
        <v>105</v>
      </c>
      <c r="Q220" s="0" t="n">
        <v>98</v>
      </c>
      <c r="R220" s="0" t="n">
        <v>340.361140637601</v>
      </c>
      <c r="S220" s="0" t="n">
        <v>304.027329008518</v>
      </c>
      <c r="T220" s="0" t="n">
        <v>22</v>
      </c>
      <c r="U220" s="0" t="n">
        <v>26</v>
      </c>
      <c r="V220" s="0" t="n">
        <v>15.470953905821</v>
      </c>
      <c r="W220" s="0" t="n">
        <v>11.6933138337359</v>
      </c>
      <c r="X220" s="0" t="n">
        <v>0</v>
      </c>
      <c r="Y220" s="0" t="n">
        <v>14.709200166214</v>
      </c>
      <c r="Z220" s="0" t="n">
        <v>0</v>
      </c>
      <c r="AA220" s="0" t="n">
        <v>0</v>
      </c>
      <c r="AB220" s="0" t="n">
        <v>0</v>
      </c>
      <c r="AC220" s="0" t="n">
        <v>1</v>
      </c>
      <c r="AD220" s="0" t="n">
        <v>0</v>
      </c>
      <c r="AE220" s="0" t="n">
        <v>0</v>
      </c>
      <c r="AF220" s="0" t="n">
        <v>0</v>
      </c>
      <c r="AG220" s="0" t="n">
        <v>41.6095065973533</v>
      </c>
      <c r="AH220" s="0" t="n">
        <v>0</v>
      </c>
      <c r="AI220" s="0" t="n">
        <v>0</v>
      </c>
      <c r="AK220" s="0" t="n">
        <f aca="false">A220</f>
        <v>203</v>
      </c>
      <c r="AL220" s="0" t="n">
        <v>0</v>
      </c>
      <c r="AM220" s="0" t="n">
        <v>1</v>
      </c>
      <c r="AO220" s="0" t="n">
        <v>203</v>
      </c>
      <c r="AP220" s="0" t="n">
        <v>0</v>
      </c>
      <c r="AQ220" s="0" t="n">
        <v>0.983210993466369</v>
      </c>
      <c r="AR220" s="0" t="n">
        <v>174.332585555623</v>
      </c>
      <c r="AS220" s="0" t="n">
        <v>36</v>
      </c>
      <c r="AT220" s="0" t="n">
        <v>34</v>
      </c>
    </row>
    <row r="221" customFormat="false" ht="12" hidden="false" customHeight="false" outlineLevel="0" collapsed="false">
      <c r="A221" s="0" t="n">
        <v>204</v>
      </c>
      <c r="B221" s="0" t="n">
        <v>1</v>
      </c>
      <c r="C221" s="0" t="n">
        <v>1.56315690727968</v>
      </c>
      <c r="D221" s="0" t="n">
        <v>213.453358737483</v>
      </c>
      <c r="E221" s="0" t="n">
        <v>16</v>
      </c>
      <c r="F221" s="0" t="n">
        <v>14</v>
      </c>
      <c r="G221" s="0" t="n">
        <v>0.5</v>
      </c>
      <c r="H221" s="0" t="n">
        <v>1</v>
      </c>
      <c r="I221" s="0" t="n">
        <v>0</v>
      </c>
      <c r="J221" s="0" t="n">
        <v>226.599401996417</v>
      </c>
      <c r="K221" s="0" t="n">
        <v>0</v>
      </c>
      <c r="L221" s="0" t="n">
        <v>1.76497348314434</v>
      </c>
      <c r="M221" s="0" t="n">
        <v>225.406302783451</v>
      </c>
      <c r="N221" s="0" t="n">
        <v>11.9529440459688</v>
      </c>
      <c r="O221" s="0" t="n">
        <v>204</v>
      </c>
      <c r="P221" s="0" t="n">
        <v>105</v>
      </c>
      <c r="Q221" s="0" t="n">
        <v>99</v>
      </c>
      <c r="R221" s="0" t="n">
        <v>233.435109002292</v>
      </c>
      <c r="S221" s="0" t="n">
        <v>432.754165915719</v>
      </c>
      <c r="T221" s="0" t="n">
        <v>20</v>
      </c>
      <c r="U221" s="0" t="n">
        <v>28</v>
      </c>
      <c r="V221" s="0" t="n">
        <v>11.6717496142398</v>
      </c>
      <c r="W221" s="0" t="n">
        <v>15.4554507275231</v>
      </c>
      <c r="X221" s="0" t="n">
        <v>0</v>
      </c>
      <c r="Y221" s="0" t="n">
        <v>0</v>
      </c>
      <c r="Z221" s="0" t="n">
        <v>11.9529440459688</v>
      </c>
      <c r="AA221" s="0" t="n">
        <v>0</v>
      </c>
      <c r="AB221" s="0" t="n">
        <v>0</v>
      </c>
      <c r="AC221" s="0" t="n">
        <v>0</v>
      </c>
      <c r="AD221" s="0" t="n">
        <v>1</v>
      </c>
      <c r="AE221" s="0" t="n">
        <v>0</v>
      </c>
      <c r="AF221" s="0" t="n">
        <v>0</v>
      </c>
      <c r="AG221" s="0" t="n">
        <v>0</v>
      </c>
      <c r="AH221" s="0" t="n">
        <v>17.5313103881977</v>
      </c>
      <c r="AI221" s="0" t="n">
        <v>0</v>
      </c>
      <c r="AK221" s="0" t="n">
        <f aca="false">A221</f>
        <v>204</v>
      </c>
      <c r="AL221" s="0" t="n">
        <v>1</v>
      </c>
      <c r="AM221" s="0" t="n">
        <v>2</v>
      </c>
      <c r="AO221" s="0" t="n">
        <v>204</v>
      </c>
      <c r="AP221" s="0" t="n">
        <v>1</v>
      </c>
      <c r="AQ221" s="0" t="n">
        <v>0.650770366560846</v>
      </c>
      <c r="AR221" s="0" t="n">
        <v>174.983355922183</v>
      </c>
      <c r="AS221" s="0" t="n">
        <v>36</v>
      </c>
      <c r="AT221" s="0" t="n">
        <v>32</v>
      </c>
    </row>
    <row r="222" customFormat="false" ht="12" hidden="false" customHeight="false" outlineLevel="0" collapsed="false">
      <c r="A222" s="0" t="n">
        <v>205</v>
      </c>
      <c r="B222" s="0" t="n">
        <v>1</v>
      </c>
      <c r="C222" s="0" t="n">
        <v>0.224088890172994</v>
      </c>
      <c r="D222" s="0" t="n">
        <v>213.677447627656</v>
      </c>
      <c r="E222" s="0" t="n">
        <v>16</v>
      </c>
      <c r="F222" s="0" t="n">
        <v>16</v>
      </c>
      <c r="G222" s="0" t="n">
        <v>0.5</v>
      </c>
      <c r="H222" s="0" t="n">
        <v>1</v>
      </c>
      <c r="I222" s="0" t="n">
        <v>0</v>
      </c>
      <c r="J222" s="0" t="n">
        <v>226.599401996417</v>
      </c>
      <c r="K222" s="0" t="n">
        <v>0</v>
      </c>
      <c r="L222" s="0" t="n">
        <v>2.11361751703961</v>
      </c>
      <c r="M222" s="0" t="n">
        <v>227.519920300491</v>
      </c>
      <c r="N222" s="0" t="n">
        <v>13.8424726728354</v>
      </c>
      <c r="O222" s="0" t="n">
        <v>205</v>
      </c>
      <c r="P222" s="0" t="n">
        <v>105</v>
      </c>
      <c r="Q222" s="0" t="n">
        <v>100</v>
      </c>
      <c r="R222" s="0" t="n">
        <v>405.850235382824</v>
      </c>
      <c r="S222" s="0" t="n">
        <v>256.980911625875</v>
      </c>
      <c r="T222" s="0" t="n">
        <v>31</v>
      </c>
      <c r="U222" s="0" t="n">
        <v>17</v>
      </c>
      <c r="V222" s="0" t="n">
        <v>13.0919388536592</v>
      </c>
      <c r="W222" s="0" t="n">
        <v>15.1164352930792</v>
      </c>
      <c r="X222" s="0" t="n">
        <v>0</v>
      </c>
      <c r="Y222" s="0" t="n">
        <v>0</v>
      </c>
      <c r="Z222" s="0" t="n">
        <v>13.8424726728354</v>
      </c>
      <c r="AA222" s="0" t="n">
        <v>0</v>
      </c>
      <c r="AB222" s="0" t="n">
        <v>0</v>
      </c>
      <c r="AC222" s="0" t="n">
        <v>0</v>
      </c>
      <c r="AD222" s="0" t="n">
        <v>1</v>
      </c>
      <c r="AE222" s="0" t="n">
        <v>0</v>
      </c>
      <c r="AF222" s="0" t="n">
        <v>0</v>
      </c>
      <c r="AG222" s="0" t="n">
        <v>0</v>
      </c>
      <c r="AH222" s="0" t="n">
        <v>36.9246956038139</v>
      </c>
      <c r="AI222" s="0" t="n">
        <v>0</v>
      </c>
      <c r="AK222" s="0" t="n">
        <f aca="false">A222</f>
        <v>205</v>
      </c>
      <c r="AL222" s="0" t="n">
        <v>0</v>
      </c>
      <c r="AM222" s="0" t="n">
        <v>1</v>
      </c>
      <c r="AO222" s="0" t="n">
        <v>205</v>
      </c>
      <c r="AP222" s="0" t="n">
        <v>0</v>
      </c>
      <c r="AQ222" s="0" t="n">
        <v>0.958734647052714</v>
      </c>
      <c r="AR222" s="0" t="n">
        <v>175.942090569236</v>
      </c>
      <c r="AS222" s="0" t="n">
        <v>36</v>
      </c>
      <c r="AT222" s="0" t="n">
        <v>34</v>
      </c>
    </row>
    <row r="223" customFormat="false" ht="12" hidden="false" customHeight="false" outlineLevel="0" collapsed="false">
      <c r="A223" s="0" t="n">
        <v>206</v>
      </c>
      <c r="B223" s="0" t="n">
        <v>0</v>
      </c>
      <c r="C223" s="0" t="n">
        <v>0.713036313545175</v>
      </c>
      <c r="D223" s="0" t="n">
        <v>214.390483941201</v>
      </c>
      <c r="E223" s="0" t="n">
        <v>14</v>
      </c>
      <c r="F223" s="0" t="n">
        <v>16</v>
      </c>
      <c r="G223" s="0" t="n">
        <v>0.5</v>
      </c>
      <c r="H223" s="0" t="n">
        <v>1</v>
      </c>
      <c r="I223" s="0" t="n">
        <v>0</v>
      </c>
      <c r="J223" s="0" t="n">
        <v>226.599401996417</v>
      </c>
      <c r="K223" s="0" t="n">
        <v>0</v>
      </c>
      <c r="L223" s="0" t="n">
        <v>1.79726562873244</v>
      </c>
      <c r="M223" s="0" t="n">
        <v>229.317185929223</v>
      </c>
      <c r="N223" s="0" t="n">
        <v>14.9267019880226</v>
      </c>
      <c r="O223" s="0" t="n">
        <v>206</v>
      </c>
      <c r="P223" s="0" t="n">
        <v>105</v>
      </c>
      <c r="Q223" s="0" t="n">
        <v>101</v>
      </c>
      <c r="R223" s="0" t="n">
        <v>284.213527097272</v>
      </c>
      <c r="S223" s="0" t="n">
        <v>375.930706340946</v>
      </c>
      <c r="T223" s="0" t="n">
        <v>22</v>
      </c>
      <c r="U223" s="0" t="n">
        <v>26</v>
      </c>
      <c r="V223" s="0" t="n">
        <v>12.918790814062</v>
      </c>
      <c r="W223" s="0" t="n">
        <v>14.4588177099683</v>
      </c>
      <c r="X223" s="0" t="n">
        <v>0</v>
      </c>
      <c r="Y223" s="0" t="n">
        <v>0</v>
      </c>
      <c r="Z223" s="0" t="n">
        <v>0</v>
      </c>
      <c r="AA223" s="0" t="n">
        <v>14.9267019880226</v>
      </c>
      <c r="AB223" s="0" t="n">
        <v>0</v>
      </c>
      <c r="AC223" s="0" t="n">
        <v>0</v>
      </c>
      <c r="AD223" s="0" t="n">
        <v>0</v>
      </c>
      <c r="AE223" s="0" t="n">
        <v>1</v>
      </c>
      <c r="AF223" s="0" t="n">
        <v>0</v>
      </c>
      <c r="AG223" s="0" t="n">
        <v>0</v>
      </c>
      <c r="AH223" s="0" t="n">
        <v>0</v>
      </c>
      <c r="AI223" s="0" t="n">
        <v>51.7723597324684</v>
      </c>
      <c r="AK223" s="0" t="n">
        <f aca="false">A223</f>
        <v>206</v>
      </c>
      <c r="AL223" s="0" t="n">
        <v>1</v>
      </c>
      <c r="AM223" s="0" t="n">
        <v>2</v>
      </c>
      <c r="AO223" s="0" t="n">
        <v>206</v>
      </c>
      <c r="AP223" s="0" t="n">
        <v>1</v>
      </c>
      <c r="AQ223" s="0" t="n">
        <v>0.474571535505632</v>
      </c>
      <c r="AR223" s="0" t="n">
        <v>176.416662104742</v>
      </c>
      <c r="AS223" s="0" t="n">
        <v>38</v>
      </c>
      <c r="AT223" s="0" t="n">
        <v>34</v>
      </c>
    </row>
    <row r="224" customFormat="false" ht="12" hidden="false" customHeight="false" outlineLevel="0" collapsed="false">
      <c r="A224" s="0" t="n">
        <v>207</v>
      </c>
      <c r="B224" s="0" t="n">
        <v>0</v>
      </c>
      <c r="C224" s="0" t="n">
        <v>0.465356705857634</v>
      </c>
      <c r="D224" s="0" t="n">
        <v>214.855840647058</v>
      </c>
      <c r="E224" s="0" t="n">
        <v>14</v>
      </c>
      <c r="F224" s="0" t="n">
        <v>18</v>
      </c>
      <c r="G224" s="0" t="n">
        <v>0.5</v>
      </c>
      <c r="H224" s="0" t="n">
        <v>0</v>
      </c>
      <c r="I224" s="0" t="n">
        <v>1.79290800719959</v>
      </c>
      <c r="J224" s="0" t="n">
        <v>228.392310003617</v>
      </c>
      <c r="K224" s="0" t="n">
        <v>13.5364693565581</v>
      </c>
      <c r="L224" s="0" t="n">
        <v>0</v>
      </c>
      <c r="M224" s="0" t="n">
        <v>229.317185929223</v>
      </c>
      <c r="N224" s="0" t="n">
        <v>0</v>
      </c>
      <c r="O224" s="0" t="n">
        <v>207</v>
      </c>
      <c r="P224" s="0" t="n">
        <v>106</v>
      </c>
      <c r="Q224" s="0" t="n">
        <v>101</v>
      </c>
      <c r="R224" s="0" t="n">
        <v>311.37382353492</v>
      </c>
      <c r="S224" s="0" t="n">
        <v>350.73860580744</v>
      </c>
      <c r="T224" s="0" t="n">
        <v>20</v>
      </c>
      <c r="U224" s="0" t="n">
        <v>28</v>
      </c>
      <c r="V224" s="0" t="n">
        <v>15.5686833924043</v>
      </c>
      <c r="W224" s="0" t="n">
        <v>12.5263340419299</v>
      </c>
      <c r="X224" s="0" t="n">
        <v>0</v>
      </c>
      <c r="Y224" s="0" t="n">
        <v>13.5364693565581</v>
      </c>
      <c r="Z224" s="0" t="n">
        <v>0</v>
      </c>
      <c r="AA224" s="0" t="n">
        <v>0</v>
      </c>
      <c r="AB224" s="0" t="n">
        <v>0</v>
      </c>
      <c r="AC224" s="0" t="n">
        <v>1</v>
      </c>
      <c r="AD224" s="0" t="n">
        <v>0</v>
      </c>
      <c r="AE224" s="0" t="n">
        <v>0</v>
      </c>
      <c r="AF224" s="0" t="n">
        <v>0</v>
      </c>
      <c r="AG224" s="0" t="n">
        <v>27.8553028277084</v>
      </c>
      <c r="AH224" s="0" t="n">
        <v>0</v>
      </c>
      <c r="AI224" s="0" t="n">
        <v>0</v>
      </c>
      <c r="AK224" s="0" t="n">
        <f aca="false">A224</f>
        <v>207</v>
      </c>
      <c r="AL224" s="0" t="n">
        <v>2</v>
      </c>
      <c r="AM224" s="0" t="n">
        <v>2</v>
      </c>
      <c r="AO224" s="0" t="n">
        <v>207</v>
      </c>
      <c r="AP224" s="0" t="n">
        <v>0</v>
      </c>
      <c r="AQ224" s="0" t="n">
        <v>2.32654559122304</v>
      </c>
      <c r="AR224" s="0" t="n">
        <v>178.743207695965</v>
      </c>
      <c r="AS224" s="0" t="n">
        <v>36</v>
      </c>
      <c r="AT224" s="0" t="n">
        <v>32</v>
      </c>
    </row>
    <row r="225" customFormat="false" ht="12" hidden="false" customHeight="false" outlineLevel="0" collapsed="false">
      <c r="A225" s="0" t="n">
        <v>208</v>
      </c>
      <c r="B225" s="0" t="n">
        <v>1</v>
      </c>
      <c r="C225" s="0" t="n">
        <v>0.0570521188768925</v>
      </c>
      <c r="D225" s="0" t="n">
        <v>214.912892765935</v>
      </c>
      <c r="E225" s="0" t="n">
        <v>16</v>
      </c>
      <c r="F225" s="0" t="n">
        <v>18</v>
      </c>
      <c r="G225" s="0" t="n">
        <v>0.5</v>
      </c>
      <c r="H225" s="0" t="n">
        <v>0</v>
      </c>
      <c r="I225" s="0" t="n">
        <v>2.0785610541006</v>
      </c>
      <c r="J225" s="0" t="n">
        <v>230.470871057717</v>
      </c>
      <c r="K225" s="0" t="n">
        <v>15.5579782917818</v>
      </c>
      <c r="L225" s="0" t="n">
        <v>0</v>
      </c>
      <c r="M225" s="0" t="n">
        <v>229.317185929223</v>
      </c>
      <c r="N225" s="0" t="n">
        <v>0</v>
      </c>
      <c r="O225" s="0" t="n">
        <v>208</v>
      </c>
      <c r="P225" s="0" t="n">
        <v>107</v>
      </c>
      <c r="Q225" s="0" t="n">
        <v>101</v>
      </c>
      <c r="R225" s="0" t="n">
        <v>375.528630583536</v>
      </c>
      <c r="S225" s="0" t="n">
        <v>269.976134176203</v>
      </c>
      <c r="T225" s="0" t="n">
        <v>28</v>
      </c>
      <c r="U225" s="0" t="n">
        <v>20</v>
      </c>
      <c r="V225" s="0" t="n">
        <v>13.4117320166506</v>
      </c>
      <c r="W225" s="0" t="n">
        <v>13.4987392151141</v>
      </c>
      <c r="X225" s="0" t="n">
        <v>15.5579782917818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  <c r="AF225" s="0" t="n">
        <v>66.1036993201203</v>
      </c>
      <c r="AG225" s="0" t="n">
        <v>0</v>
      </c>
      <c r="AH225" s="0" t="n">
        <v>0</v>
      </c>
      <c r="AI225" s="0" t="n">
        <v>0</v>
      </c>
      <c r="AK225" s="0" t="n">
        <f aca="false">A225</f>
        <v>208</v>
      </c>
      <c r="AL225" s="0" t="n">
        <v>1</v>
      </c>
      <c r="AM225" s="0" t="n">
        <v>2</v>
      </c>
      <c r="AO225" s="0" t="n">
        <v>208</v>
      </c>
      <c r="AP225" s="0" t="n">
        <v>1</v>
      </c>
      <c r="AQ225" s="0" t="n">
        <v>0.231572163187749</v>
      </c>
      <c r="AR225" s="0" t="n">
        <v>178.974779859153</v>
      </c>
      <c r="AS225" s="0" t="n">
        <v>36</v>
      </c>
      <c r="AT225" s="0" t="n">
        <v>32</v>
      </c>
    </row>
    <row r="226" customFormat="false" ht="12" hidden="false" customHeight="false" outlineLevel="0" collapsed="false">
      <c r="A226" s="0" t="n">
        <v>209</v>
      </c>
      <c r="B226" s="0" t="n">
        <v>1</v>
      </c>
      <c r="C226" s="0" t="n">
        <v>0.982884507796623</v>
      </c>
      <c r="D226" s="0" t="n">
        <v>215.895777273732</v>
      </c>
      <c r="E226" s="0" t="n">
        <v>18</v>
      </c>
      <c r="F226" s="0" t="n">
        <v>18</v>
      </c>
      <c r="G226" s="0" t="n">
        <v>0.5</v>
      </c>
      <c r="H226" s="0" t="n">
        <v>0</v>
      </c>
      <c r="I226" s="0" t="n">
        <v>1.92145791225677</v>
      </c>
      <c r="J226" s="0" t="n">
        <v>232.392328969974</v>
      </c>
      <c r="K226" s="0" t="n">
        <v>16.4965516962419</v>
      </c>
      <c r="L226" s="0" t="n">
        <v>0</v>
      </c>
      <c r="M226" s="0" t="n">
        <v>229.317185929223</v>
      </c>
      <c r="N226" s="0" t="n">
        <v>0</v>
      </c>
      <c r="O226" s="0" t="n">
        <v>209</v>
      </c>
      <c r="P226" s="0" t="n">
        <v>108</v>
      </c>
      <c r="Q226" s="0" t="n">
        <v>101</v>
      </c>
      <c r="R226" s="0" t="n">
        <v>372.109849244027</v>
      </c>
      <c r="S226" s="0" t="n">
        <v>277.14617768133</v>
      </c>
      <c r="T226" s="0" t="n">
        <v>24</v>
      </c>
      <c r="U226" s="0" t="n">
        <v>24</v>
      </c>
      <c r="V226" s="0" t="n">
        <v>15.5045705915967</v>
      </c>
      <c r="W226" s="0" t="n">
        <v>11.5477092879334</v>
      </c>
      <c r="X226" s="0" t="n">
        <v>16.4965516962419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  <c r="AF226" s="0" t="n">
        <v>82.2466078441728</v>
      </c>
      <c r="AG226" s="0" t="n">
        <v>0</v>
      </c>
      <c r="AH226" s="0" t="n">
        <v>0</v>
      </c>
      <c r="AI226" s="0" t="n">
        <v>0</v>
      </c>
      <c r="AK226" s="0" t="n">
        <f aca="false">A226</f>
        <v>209</v>
      </c>
      <c r="AL226" s="0" t="n">
        <v>0</v>
      </c>
      <c r="AM226" s="0" t="n">
        <v>1</v>
      </c>
      <c r="AO226" s="0" t="n">
        <v>209</v>
      </c>
      <c r="AP226" s="0" t="n">
        <v>0</v>
      </c>
      <c r="AQ226" s="0" t="n">
        <v>0.441957079297509</v>
      </c>
      <c r="AR226" s="0" t="n">
        <v>179.41673693845</v>
      </c>
      <c r="AS226" s="0" t="n">
        <v>36</v>
      </c>
      <c r="AT226" s="0" t="n">
        <v>34</v>
      </c>
    </row>
    <row r="227" customFormat="false" ht="12" hidden="false" customHeight="false" outlineLevel="0" collapsed="false">
      <c r="A227" s="0" t="n">
        <v>210</v>
      </c>
      <c r="B227" s="0" t="n">
        <v>1</v>
      </c>
      <c r="C227" s="0" t="n">
        <v>0.0779354922045361</v>
      </c>
      <c r="D227" s="0" t="n">
        <v>215.973712765936</v>
      </c>
      <c r="E227" s="0" t="n">
        <v>20</v>
      </c>
      <c r="F227" s="0" t="n">
        <v>18</v>
      </c>
      <c r="G227" s="0" t="n">
        <v>0.5</v>
      </c>
      <c r="H227" s="0" t="n">
        <v>1</v>
      </c>
      <c r="I227" s="0" t="n">
        <v>0</v>
      </c>
      <c r="J227" s="0" t="n">
        <v>232.392328969974</v>
      </c>
      <c r="K227" s="0" t="n">
        <v>0</v>
      </c>
      <c r="L227" s="0" t="n">
        <v>2.13535429698517</v>
      </c>
      <c r="M227" s="0" t="n">
        <v>231.452540226209</v>
      </c>
      <c r="N227" s="0" t="n">
        <v>15.4788274602721</v>
      </c>
      <c r="O227" s="0" t="n">
        <v>210</v>
      </c>
      <c r="P227" s="0" t="n">
        <v>108</v>
      </c>
      <c r="Q227" s="0" t="n">
        <v>102</v>
      </c>
      <c r="R227" s="0" t="n">
        <v>447.64074546397</v>
      </c>
      <c r="S227" s="0" t="n">
        <v>215.663769488326</v>
      </c>
      <c r="T227" s="0" t="n">
        <v>31</v>
      </c>
      <c r="U227" s="0" t="n">
        <v>17</v>
      </c>
      <c r="V227" s="0" t="n">
        <v>14.4400193891541</v>
      </c>
      <c r="W227" s="0" t="n">
        <v>12.6860294638458</v>
      </c>
      <c r="X227" s="0" t="n">
        <v>0</v>
      </c>
      <c r="Y227" s="0" t="n">
        <v>0</v>
      </c>
      <c r="Z227" s="0" t="n">
        <v>15.4788274602721</v>
      </c>
      <c r="AA227" s="0" t="n">
        <v>0</v>
      </c>
      <c r="AB227" s="0" t="n">
        <v>0</v>
      </c>
      <c r="AC227" s="0" t="n">
        <v>0</v>
      </c>
      <c r="AD227" s="0" t="n">
        <v>1</v>
      </c>
      <c r="AE227" s="0" t="n">
        <v>0</v>
      </c>
      <c r="AF227" s="0" t="n">
        <v>0</v>
      </c>
      <c r="AG227" s="0" t="n">
        <v>0</v>
      </c>
      <c r="AH227" s="0" t="n">
        <v>59.4891994333089</v>
      </c>
      <c r="AI227" s="0" t="n">
        <v>0</v>
      </c>
      <c r="AK227" s="0" t="n">
        <f aca="false">A227</f>
        <v>210</v>
      </c>
      <c r="AL227" s="0" t="n">
        <v>1</v>
      </c>
      <c r="AM227" s="0" t="n">
        <v>0</v>
      </c>
      <c r="AO227" s="0" t="n">
        <v>210</v>
      </c>
      <c r="AP227" s="0" t="n">
        <v>0</v>
      </c>
      <c r="AQ227" s="0" t="n">
        <v>0.190490752445243</v>
      </c>
      <c r="AR227" s="0" t="n">
        <v>179.607227690895</v>
      </c>
      <c r="AS227" s="0" t="n">
        <v>36</v>
      </c>
      <c r="AT227" s="0" t="n">
        <v>36</v>
      </c>
    </row>
    <row r="228" customFormat="false" ht="12" hidden="false" customHeight="false" outlineLevel="0" collapsed="false">
      <c r="A228" s="0" t="n">
        <v>211</v>
      </c>
      <c r="B228" s="0" t="n">
        <v>0</v>
      </c>
      <c r="C228" s="0" t="n">
        <v>0.209766690655074</v>
      </c>
      <c r="D228" s="0" t="n">
        <v>216.183479456592</v>
      </c>
      <c r="E228" s="0" t="n">
        <v>18</v>
      </c>
      <c r="F228" s="0" t="n">
        <v>20</v>
      </c>
      <c r="G228" s="0" t="n">
        <v>0.5</v>
      </c>
      <c r="H228" s="0" t="n">
        <v>1</v>
      </c>
      <c r="I228" s="0" t="n">
        <v>0</v>
      </c>
      <c r="J228" s="0" t="n">
        <v>232.392328969974</v>
      </c>
      <c r="K228" s="0" t="n">
        <v>0</v>
      </c>
      <c r="L228" s="0" t="n">
        <v>1.82587609232935</v>
      </c>
      <c r="M228" s="0" t="n">
        <v>233.278416318538</v>
      </c>
      <c r="N228" s="0" t="n">
        <v>17.0949368619464</v>
      </c>
      <c r="O228" s="0" t="n">
        <v>211</v>
      </c>
      <c r="P228" s="0" t="n">
        <v>108</v>
      </c>
      <c r="Q228" s="0" t="n">
        <v>103</v>
      </c>
      <c r="R228" s="0" t="n">
        <v>247.682983304455</v>
      </c>
      <c r="S228" s="0" t="n">
        <v>402.301333674782</v>
      </c>
      <c r="T228" s="0" t="n">
        <v>15</v>
      </c>
      <c r="U228" s="0" t="n">
        <v>33</v>
      </c>
      <c r="V228" s="0" t="n">
        <v>16.5121878788384</v>
      </c>
      <c r="W228" s="0" t="n">
        <v>12.1909125631372</v>
      </c>
      <c r="X228" s="0" t="n">
        <v>0</v>
      </c>
      <c r="Y228" s="0" t="n">
        <v>0</v>
      </c>
      <c r="Z228" s="0" t="n">
        <v>0</v>
      </c>
      <c r="AA228" s="0" t="n">
        <v>17.0949368619464</v>
      </c>
      <c r="AB228" s="0" t="n">
        <v>0</v>
      </c>
      <c r="AC228" s="0" t="n">
        <v>0</v>
      </c>
      <c r="AD228" s="0" t="n">
        <v>0</v>
      </c>
      <c r="AE228" s="0" t="n">
        <v>1</v>
      </c>
      <c r="AF228" s="0" t="n">
        <v>0</v>
      </c>
      <c r="AG228" s="0" t="n">
        <v>0</v>
      </c>
      <c r="AH228" s="0" t="n">
        <v>0</v>
      </c>
      <c r="AI228" s="0" t="n">
        <v>87.6758082940435</v>
      </c>
      <c r="AK228" s="0" t="n">
        <f aca="false">A228</f>
        <v>211</v>
      </c>
      <c r="AL228" s="0" t="n">
        <v>1</v>
      </c>
      <c r="AM228" s="0" t="n">
        <v>0</v>
      </c>
      <c r="AO228" s="0" t="n">
        <v>211</v>
      </c>
      <c r="AP228" s="0" t="n">
        <v>0</v>
      </c>
      <c r="AQ228" s="0" t="n">
        <v>7.0527128669329</v>
      </c>
      <c r="AR228" s="0" t="n">
        <v>186.659940557828</v>
      </c>
      <c r="AS228" s="0" t="n">
        <v>30</v>
      </c>
      <c r="AT228" s="0" t="n">
        <v>30</v>
      </c>
    </row>
    <row r="229" customFormat="false" ht="12" hidden="false" customHeight="false" outlineLevel="0" collapsed="false">
      <c r="A229" s="0" t="n">
        <v>212</v>
      </c>
      <c r="B229" s="0" t="n">
        <v>0</v>
      </c>
      <c r="C229" s="0" t="n">
        <v>0.0122966450199357</v>
      </c>
      <c r="D229" s="0" t="n">
        <v>216.195776101612</v>
      </c>
      <c r="E229" s="0" t="n">
        <v>18</v>
      </c>
      <c r="F229" s="0" t="n">
        <v>22</v>
      </c>
      <c r="G229" s="0" t="n">
        <v>0.5</v>
      </c>
      <c r="H229" s="0" t="n">
        <v>0</v>
      </c>
      <c r="I229" s="0" t="n">
        <v>2.02562571409907</v>
      </c>
      <c r="J229" s="0" t="n">
        <v>234.417954684073</v>
      </c>
      <c r="K229" s="0" t="n">
        <v>18.2221785824614</v>
      </c>
      <c r="L229" s="0" t="n">
        <v>0</v>
      </c>
      <c r="M229" s="0" t="n">
        <v>233.278416318538</v>
      </c>
      <c r="N229" s="0" t="n">
        <v>0</v>
      </c>
      <c r="O229" s="0" t="n">
        <v>212</v>
      </c>
      <c r="P229" s="0" t="n">
        <v>109</v>
      </c>
      <c r="Q229" s="0" t="n">
        <v>103</v>
      </c>
      <c r="R229" s="0" t="n">
        <v>322.489897802183</v>
      </c>
      <c r="S229" s="0" t="n">
        <v>333.866531109102</v>
      </c>
      <c r="T229" s="0" t="n">
        <v>24</v>
      </c>
      <c r="U229" s="0" t="n">
        <v>24</v>
      </c>
      <c r="V229" s="0" t="n">
        <v>13.4370734763104</v>
      </c>
      <c r="W229" s="0" t="n">
        <v>13.9110475001813</v>
      </c>
      <c r="X229" s="0" t="n">
        <v>0</v>
      </c>
      <c r="Y229" s="0" t="n">
        <v>18.2221785824614</v>
      </c>
      <c r="Z229" s="0" t="n">
        <v>0</v>
      </c>
      <c r="AA229" s="0" t="n">
        <v>0</v>
      </c>
      <c r="AB229" s="0" t="n">
        <v>0</v>
      </c>
      <c r="AC229" s="0" t="n">
        <v>1</v>
      </c>
      <c r="AD229" s="0" t="n">
        <v>0</v>
      </c>
      <c r="AE229" s="0" t="n">
        <v>0</v>
      </c>
      <c r="AF229" s="0" t="n">
        <v>0</v>
      </c>
      <c r="AG229" s="0" t="n">
        <v>99.2717614872529</v>
      </c>
      <c r="AH229" s="0" t="n">
        <v>0</v>
      </c>
      <c r="AI229" s="0" t="n">
        <v>0</v>
      </c>
      <c r="AK229" s="0" t="n">
        <f aca="false">A229</f>
        <v>212</v>
      </c>
      <c r="AL229" s="0" t="n">
        <v>2</v>
      </c>
      <c r="AM229" s="0" t="n">
        <v>1</v>
      </c>
      <c r="AO229" s="0" t="n">
        <v>212</v>
      </c>
      <c r="AP229" s="0" t="n">
        <v>1</v>
      </c>
      <c r="AQ229" s="0" t="n">
        <v>0.00748822828296692</v>
      </c>
      <c r="AR229" s="0" t="n">
        <v>186.667428786111</v>
      </c>
      <c r="AS229" s="0" t="n">
        <v>32</v>
      </c>
      <c r="AT229" s="0" t="n">
        <v>30</v>
      </c>
    </row>
    <row r="230" customFormat="false" ht="12" hidden="false" customHeight="false" outlineLevel="0" collapsed="false">
      <c r="A230" s="0" t="n">
        <v>213</v>
      </c>
      <c r="B230" s="0" t="n">
        <v>0</v>
      </c>
      <c r="C230" s="0" t="n">
        <v>0.129839014992966</v>
      </c>
      <c r="D230" s="0" t="n">
        <v>216.325615116604</v>
      </c>
      <c r="E230" s="0" t="n">
        <v>20</v>
      </c>
      <c r="F230" s="0" t="n">
        <v>20</v>
      </c>
      <c r="G230" s="0" t="n">
        <v>0.5</v>
      </c>
      <c r="H230" s="0" t="n">
        <v>1</v>
      </c>
      <c r="I230" s="0" t="n">
        <v>0</v>
      </c>
      <c r="J230" s="0" t="n">
        <v>234.417954684073</v>
      </c>
      <c r="K230" s="0" t="n">
        <v>0</v>
      </c>
      <c r="L230" s="0" t="n">
        <v>1.88098550803965</v>
      </c>
      <c r="M230" s="0" t="n">
        <v>235.159401826578</v>
      </c>
      <c r="N230" s="0" t="n">
        <v>18.8337867099731</v>
      </c>
      <c r="O230" s="0" t="n">
        <v>213</v>
      </c>
      <c r="P230" s="0" t="n">
        <v>109</v>
      </c>
      <c r="Q230" s="0" t="n">
        <v>104</v>
      </c>
      <c r="R230" s="0" t="n">
        <v>326.277261713309</v>
      </c>
      <c r="S230" s="0" t="n">
        <v>328.889161881202</v>
      </c>
      <c r="T230" s="0" t="n">
        <v>24</v>
      </c>
      <c r="U230" s="0" t="n">
        <v>24</v>
      </c>
      <c r="V230" s="0" t="n">
        <v>13.5948802401878</v>
      </c>
      <c r="W230" s="0" t="n">
        <v>13.7036579798085</v>
      </c>
      <c r="X230" s="0" t="n">
        <v>0</v>
      </c>
      <c r="Y230" s="0" t="n">
        <v>0</v>
      </c>
      <c r="Z230" s="0" t="n">
        <v>0</v>
      </c>
      <c r="AA230" s="0" t="n">
        <v>18.8337867099731</v>
      </c>
      <c r="AB230" s="0" t="n">
        <v>0</v>
      </c>
      <c r="AC230" s="0" t="n">
        <v>0</v>
      </c>
      <c r="AD230" s="0" t="n">
        <v>0</v>
      </c>
      <c r="AE230" s="0" t="n">
        <v>1</v>
      </c>
      <c r="AF230" s="0" t="n">
        <v>0</v>
      </c>
      <c r="AG230" s="0" t="n">
        <v>0</v>
      </c>
      <c r="AH230" s="0" t="n">
        <v>0</v>
      </c>
      <c r="AI230" s="0" t="n">
        <v>123.262973736618</v>
      </c>
      <c r="AK230" s="0" t="n">
        <f aca="false">A230</f>
        <v>213</v>
      </c>
      <c r="AL230" s="0" t="n">
        <v>0</v>
      </c>
      <c r="AM230" s="0" t="n">
        <v>0</v>
      </c>
      <c r="AO230" s="0" t="n">
        <v>213</v>
      </c>
      <c r="AP230" s="0" t="n">
        <v>0</v>
      </c>
      <c r="AQ230" s="0" t="n">
        <v>0.00822370681057296</v>
      </c>
      <c r="AR230" s="0" t="n">
        <v>186.675652492922</v>
      </c>
      <c r="AS230" s="0" t="n">
        <v>32</v>
      </c>
      <c r="AT230" s="0" t="n">
        <v>32</v>
      </c>
    </row>
    <row r="231" customFormat="false" ht="12" hidden="false" customHeight="false" outlineLevel="0" collapsed="false">
      <c r="A231" s="0" t="n">
        <v>214</v>
      </c>
      <c r="B231" s="0" t="n">
        <v>1</v>
      </c>
      <c r="C231" s="0" t="n">
        <v>0.664070623520221</v>
      </c>
      <c r="D231" s="0" t="n">
        <v>216.989685740125</v>
      </c>
      <c r="E231" s="0" t="n">
        <v>20</v>
      </c>
      <c r="F231" s="0" t="n">
        <v>22</v>
      </c>
      <c r="G231" s="0" t="n">
        <v>0.5</v>
      </c>
      <c r="H231" s="0" t="n">
        <v>0</v>
      </c>
      <c r="I231" s="0" t="n">
        <v>1.82818929809235</v>
      </c>
      <c r="J231" s="0" t="n">
        <v>236.246143982165</v>
      </c>
      <c r="K231" s="0" t="n">
        <v>19.2564582420406</v>
      </c>
      <c r="L231" s="0" t="n">
        <v>0</v>
      </c>
      <c r="M231" s="0" t="n">
        <v>235.159401826578</v>
      </c>
      <c r="N231" s="0" t="n">
        <v>0</v>
      </c>
      <c r="O231" s="0" t="n">
        <v>214</v>
      </c>
      <c r="P231" s="0" t="n">
        <v>110</v>
      </c>
      <c r="Q231" s="0" t="n">
        <v>104</v>
      </c>
      <c r="R231" s="0" t="n">
        <v>384.568517761711</v>
      </c>
      <c r="S231" s="0" t="n">
        <v>278.772057698378</v>
      </c>
      <c r="T231" s="0" t="n">
        <v>26</v>
      </c>
      <c r="U231" s="0" t="n">
        <v>22</v>
      </c>
      <c r="V231" s="0" t="n">
        <v>14.7910911481077</v>
      </c>
      <c r="W231" s="0" t="n">
        <v>12.6713995708373</v>
      </c>
      <c r="X231" s="0" t="n">
        <v>19.2564582420406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  <c r="AF231" s="0" t="n">
        <v>139.922830304528</v>
      </c>
      <c r="AG231" s="0" t="n">
        <v>0</v>
      </c>
      <c r="AH231" s="0" t="n">
        <v>0</v>
      </c>
      <c r="AI231" s="0" t="n">
        <v>0</v>
      </c>
      <c r="AK231" s="0" t="n">
        <f aca="false">A231</f>
        <v>214</v>
      </c>
      <c r="AL231" s="0" t="n">
        <v>1</v>
      </c>
      <c r="AM231" s="0" t="n">
        <v>2</v>
      </c>
      <c r="AO231" s="0" t="n">
        <v>214</v>
      </c>
      <c r="AP231" s="0" t="n">
        <v>1</v>
      </c>
      <c r="AQ231" s="0" t="n">
        <v>0.704077579733718</v>
      </c>
      <c r="AR231" s="0" t="n">
        <v>187.379730072655</v>
      </c>
      <c r="AS231" s="0" t="n">
        <v>30</v>
      </c>
      <c r="AT231" s="0" t="n">
        <v>34</v>
      </c>
    </row>
    <row r="232" customFormat="false" ht="12" hidden="false" customHeight="false" outlineLevel="0" collapsed="false">
      <c r="A232" s="0" t="n">
        <v>215</v>
      </c>
      <c r="B232" s="0" t="n">
        <v>1</v>
      </c>
      <c r="C232" s="0" t="n">
        <v>0.18668561495107</v>
      </c>
      <c r="D232" s="0" t="n">
        <v>217.176371355076</v>
      </c>
      <c r="E232" s="0" t="n">
        <v>22</v>
      </c>
      <c r="F232" s="0" t="n">
        <v>22</v>
      </c>
      <c r="G232" s="0" t="n">
        <v>0.5</v>
      </c>
      <c r="H232" s="0" t="n">
        <v>1</v>
      </c>
      <c r="I232" s="0" t="n">
        <v>0</v>
      </c>
      <c r="J232" s="0" t="n">
        <v>236.246143982165</v>
      </c>
      <c r="K232" s="0" t="n">
        <v>0</v>
      </c>
      <c r="L232" s="0" t="n">
        <v>1.7733748209533</v>
      </c>
      <c r="M232" s="0" t="n">
        <v>236.932776647531</v>
      </c>
      <c r="N232" s="0" t="n">
        <v>19.7564052924552</v>
      </c>
      <c r="O232" s="0" t="n">
        <v>215</v>
      </c>
      <c r="P232" s="0" t="n">
        <v>110</v>
      </c>
      <c r="Q232" s="0" t="n">
        <v>105</v>
      </c>
      <c r="R232" s="0" t="n">
        <v>224.684692047787</v>
      </c>
      <c r="S232" s="0" t="n">
        <v>443.164223201967</v>
      </c>
      <c r="T232" s="0" t="n">
        <v>18</v>
      </c>
      <c r="U232" s="0" t="n">
        <v>30</v>
      </c>
      <c r="V232" s="0" t="n">
        <v>12.4824759568349</v>
      </c>
      <c r="W232" s="0" t="n">
        <v>14.7720915330938</v>
      </c>
      <c r="X232" s="0" t="n">
        <v>0</v>
      </c>
      <c r="Y232" s="0" t="n">
        <v>0</v>
      </c>
      <c r="Z232" s="0" t="n">
        <v>19.7564052924552</v>
      </c>
      <c r="AA232" s="0" t="n">
        <v>0</v>
      </c>
      <c r="AB232" s="0" t="n">
        <v>0</v>
      </c>
      <c r="AC232" s="0" t="n">
        <v>0</v>
      </c>
      <c r="AD232" s="0" t="n">
        <v>1</v>
      </c>
      <c r="AE232" s="0" t="n">
        <v>0</v>
      </c>
      <c r="AF232" s="0" t="n">
        <v>0</v>
      </c>
      <c r="AG232" s="0" t="n">
        <v>0</v>
      </c>
      <c r="AH232" s="0" t="n">
        <v>143.772138545953</v>
      </c>
      <c r="AI232" s="0" t="n">
        <v>0</v>
      </c>
      <c r="AK232" s="0" t="n">
        <f aca="false">A232</f>
        <v>215</v>
      </c>
      <c r="AL232" s="0" t="n">
        <v>0</v>
      </c>
      <c r="AM232" s="0" t="n">
        <v>1</v>
      </c>
      <c r="AO232" s="0" t="n">
        <v>215</v>
      </c>
      <c r="AP232" s="0" t="n">
        <v>0</v>
      </c>
      <c r="AQ232" s="0" t="n">
        <v>0.18414539850788</v>
      </c>
      <c r="AR232" s="0" t="n">
        <v>187.563875471163</v>
      </c>
      <c r="AS232" s="0" t="n">
        <v>32</v>
      </c>
      <c r="AT232" s="0" t="n">
        <v>34</v>
      </c>
    </row>
    <row r="233" customFormat="false" ht="12" hidden="false" customHeight="false" outlineLevel="0" collapsed="false">
      <c r="A233" s="0" t="n">
        <v>216</v>
      </c>
      <c r="B233" s="0" t="n">
        <v>1</v>
      </c>
      <c r="C233" s="0" t="n">
        <v>0.8514554262222</v>
      </c>
      <c r="D233" s="0" t="n">
        <v>218.027826781298</v>
      </c>
      <c r="E233" s="0" t="n">
        <v>22</v>
      </c>
      <c r="F233" s="0" t="n">
        <v>22</v>
      </c>
      <c r="G233" s="0" t="n">
        <v>0.5</v>
      </c>
      <c r="H233" s="0" t="n">
        <v>1</v>
      </c>
      <c r="I233" s="0" t="n">
        <v>0</v>
      </c>
      <c r="J233" s="0" t="n">
        <v>236.246143982165</v>
      </c>
      <c r="K233" s="0" t="n">
        <v>0</v>
      </c>
      <c r="L233" s="0" t="n">
        <v>2.15821176669864</v>
      </c>
      <c r="M233" s="0" t="n">
        <v>239.09098841423</v>
      </c>
      <c r="N233" s="0" t="n">
        <v>21.0631616329316</v>
      </c>
      <c r="O233" s="0" t="n">
        <v>216</v>
      </c>
      <c r="P233" s="0" t="n">
        <v>110</v>
      </c>
      <c r="Q233" s="0" t="n">
        <v>106</v>
      </c>
      <c r="R233" s="0" t="n">
        <v>344.030587530374</v>
      </c>
      <c r="S233" s="0" t="n">
        <v>332.572282893781</v>
      </c>
      <c r="T233" s="0" t="n">
        <v>24</v>
      </c>
      <c r="U233" s="0" t="n">
        <v>24</v>
      </c>
      <c r="V233" s="0" t="n">
        <v>14.3346018410148</v>
      </c>
      <c r="W233" s="0" t="n">
        <v>13.8571207159046</v>
      </c>
      <c r="X233" s="0" t="n">
        <v>0</v>
      </c>
      <c r="Y233" s="0" t="n">
        <v>0</v>
      </c>
      <c r="Z233" s="0" t="n">
        <v>21.0631616329316</v>
      </c>
      <c r="AA233" s="0" t="n">
        <v>0</v>
      </c>
      <c r="AB233" s="0" t="n">
        <v>0</v>
      </c>
      <c r="AC233" s="0" t="n">
        <v>0</v>
      </c>
      <c r="AD233" s="0" t="n">
        <v>1</v>
      </c>
      <c r="AE233" s="0" t="n">
        <v>0</v>
      </c>
      <c r="AF233" s="0" t="n">
        <v>0</v>
      </c>
      <c r="AG233" s="0" t="n">
        <v>0</v>
      </c>
      <c r="AH233" s="0" t="n">
        <v>176.817079743714</v>
      </c>
      <c r="AI233" s="0" t="n">
        <v>0</v>
      </c>
      <c r="AK233" s="0" t="n">
        <f aca="false">A233</f>
        <v>216</v>
      </c>
      <c r="AL233" s="0" t="n">
        <v>0</v>
      </c>
      <c r="AM233" s="0" t="n">
        <v>0</v>
      </c>
      <c r="AO233" s="0" t="n">
        <v>216</v>
      </c>
      <c r="AP233" s="0" t="n">
        <v>1</v>
      </c>
      <c r="AQ233" s="0" t="n">
        <v>1.27487562230743</v>
      </c>
      <c r="AR233" s="0" t="n">
        <v>188.838751093471</v>
      </c>
      <c r="AS233" s="0" t="n">
        <v>32</v>
      </c>
      <c r="AT233" s="0" t="n">
        <v>32</v>
      </c>
    </row>
    <row r="234" customFormat="false" ht="12" hidden="false" customHeight="false" outlineLevel="0" collapsed="false">
      <c r="A234" s="0" t="n">
        <v>217</v>
      </c>
      <c r="B234" s="0" t="n">
        <v>1</v>
      </c>
      <c r="C234" s="0" t="n">
        <v>0.580549763500354</v>
      </c>
      <c r="D234" s="0" t="n">
        <v>218.608376544798</v>
      </c>
      <c r="E234" s="0" t="n">
        <v>20</v>
      </c>
      <c r="F234" s="0" t="n">
        <v>24</v>
      </c>
      <c r="G234" s="0" t="n">
        <v>0.5</v>
      </c>
      <c r="H234" s="0" t="n">
        <v>0</v>
      </c>
      <c r="I234" s="0" t="n">
        <v>1.87122934572812</v>
      </c>
      <c r="J234" s="0" t="n">
        <v>238.117373327893</v>
      </c>
      <c r="K234" s="0" t="n">
        <v>19.5089967830951</v>
      </c>
      <c r="L234" s="0" t="n">
        <v>0</v>
      </c>
      <c r="M234" s="0" t="n">
        <v>239.09098841423</v>
      </c>
      <c r="N234" s="0" t="n">
        <v>0</v>
      </c>
      <c r="O234" s="0" t="n">
        <v>217</v>
      </c>
      <c r="P234" s="0" t="n">
        <v>111</v>
      </c>
      <c r="Q234" s="0" t="n">
        <v>106</v>
      </c>
      <c r="R234" s="0" t="n">
        <v>362.907427473646</v>
      </c>
      <c r="S234" s="0" t="n">
        <v>312.359579270115</v>
      </c>
      <c r="T234" s="0" t="n">
        <v>26</v>
      </c>
      <c r="U234" s="0" t="n">
        <v>22</v>
      </c>
      <c r="V234" s="0" t="n">
        <v>13.9579726113046</v>
      </c>
      <c r="W234" s="0" t="n">
        <v>14.1980981572863</v>
      </c>
      <c r="X234" s="0" t="n">
        <v>19.5089967830951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145.961111357105</v>
      </c>
      <c r="AG234" s="0" t="n">
        <v>0</v>
      </c>
      <c r="AH234" s="0" t="n">
        <v>0</v>
      </c>
      <c r="AI234" s="0" t="n">
        <v>0</v>
      </c>
      <c r="AK234" s="0" t="n">
        <f aca="false">A234</f>
        <v>217</v>
      </c>
      <c r="AL234" s="0" t="n">
        <v>2</v>
      </c>
      <c r="AM234" s="0" t="n">
        <v>1</v>
      </c>
      <c r="AO234" s="0" t="n">
        <v>217</v>
      </c>
      <c r="AP234" s="0" t="n">
        <v>1</v>
      </c>
      <c r="AQ234" s="0" t="n">
        <v>0.866829539380517</v>
      </c>
      <c r="AR234" s="0" t="n">
        <v>189.705580632851</v>
      </c>
      <c r="AS234" s="0" t="n">
        <v>34</v>
      </c>
      <c r="AT234" s="0" t="n">
        <v>32</v>
      </c>
    </row>
    <row r="235" customFormat="false" ht="12" hidden="false" customHeight="false" outlineLevel="0" collapsed="false">
      <c r="A235" s="0" t="n">
        <v>218</v>
      </c>
      <c r="B235" s="0" t="n">
        <v>1</v>
      </c>
      <c r="C235" s="0" t="n">
        <v>0.274583483463454</v>
      </c>
      <c r="D235" s="0" t="n">
        <v>218.882960028262</v>
      </c>
      <c r="E235" s="0" t="n">
        <v>22</v>
      </c>
      <c r="F235" s="0" t="n">
        <v>24</v>
      </c>
      <c r="G235" s="0" t="n">
        <v>0.5</v>
      </c>
      <c r="H235" s="0" t="n">
        <v>0</v>
      </c>
      <c r="I235" s="0" t="n">
        <v>1.93368764554383</v>
      </c>
      <c r="J235" s="0" t="n">
        <v>240.051060973437</v>
      </c>
      <c r="K235" s="0" t="n">
        <v>21.1681009451754</v>
      </c>
      <c r="L235" s="0" t="n">
        <v>0</v>
      </c>
      <c r="M235" s="0" t="n">
        <v>239.09098841423</v>
      </c>
      <c r="N235" s="0" t="n">
        <v>0</v>
      </c>
      <c r="O235" s="0" t="n">
        <v>218</v>
      </c>
      <c r="P235" s="0" t="n">
        <v>112</v>
      </c>
      <c r="Q235" s="0" t="n">
        <v>106</v>
      </c>
      <c r="R235" s="0" t="n">
        <v>361.671393199276</v>
      </c>
      <c r="S235" s="0" t="n">
        <v>322.452518117794</v>
      </c>
      <c r="T235" s="0" t="n">
        <v>25</v>
      </c>
      <c r="U235" s="0" t="n">
        <v>23</v>
      </c>
      <c r="V235" s="0" t="n">
        <v>14.4668499412311</v>
      </c>
      <c r="W235" s="0" t="n">
        <v>14.0196137459313</v>
      </c>
      <c r="X235" s="0" t="n">
        <v>21.1681009451754</v>
      </c>
      <c r="Y235" s="0" t="n">
        <v>0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  <c r="AF235" s="0" t="n">
        <v>188.802461614124</v>
      </c>
      <c r="AG235" s="0" t="n">
        <v>0</v>
      </c>
      <c r="AH235" s="0" t="n">
        <v>0</v>
      </c>
      <c r="AI235" s="0" t="n">
        <v>0</v>
      </c>
      <c r="AK235" s="0" t="n">
        <f aca="false">A235</f>
        <v>218</v>
      </c>
      <c r="AL235" s="0" t="n">
        <v>1</v>
      </c>
      <c r="AM235" s="0" t="n">
        <v>0</v>
      </c>
      <c r="AO235" s="0" t="n">
        <v>218</v>
      </c>
      <c r="AP235" s="0" t="n">
        <v>0</v>
      </c>
      <c r="AQ235" s="0" t="n">
        <v>1.39664654449961</v>
      </c>
      <c r="AR235" s="0" t="n">
        <v>191.102227177351</v>
      </c>
      <c r="AS235" s="0" t="n">
        <v>32</v>
      </c>
      <c r="AT235" s="0" t="n">
        <v>32</v>
      </c>
    </row>
    <row r="236" customFormat="false" ht="12" hidden="false" customHeight="false" outlineLevel="0" collapsed="false">
      <c r="A236" s="0" t="n">
        <v>219</v>
      </c>
      <c r="B236" s="0" t="n">
        <v>1</v>
      </c>
      <c r="C236" s="0" t="n">
        <v>1.25708048352271</v>
      </c>
      <c r="D236" s="0" t="n">
        <v>220.140040511785</v>
      </c>
      <c r="E236" s="0" t="n">
        <v>24</v>
      </c>
      <c r="F236" s="0" t="n">
        <v>22</v>
      </c>
      <c r="G236" s="0" t="n">
        <v>0.5</v>
      </c>
      <c r="H236" s="0" t="n">
        <v>1</v>
      </c>
      <c r="I236" s="0" t="n">
        <v>0</v>
      </c>
      <c r="J236" s="0" t="n">
        <v>240.051060973437</v>
      </c>
      <c r="K236" s="0" t="n">
        <v>0</v>
      </c>
      <c r="L236" s="0" t="n">
        <v>2.04137384179867</v>
      </c>
      <c r="M236" s="0" t="n">
        <v>241.132362256028</v>
      </c>
      <c r="N236" s="0" t="n">
        <v>20.9923217442437</v>
      </c>
      <c r="O236" s="0" t="n">
        <v>219</v>
      </c>
      <c r="P236" s="0" t="n">
        <v>112</v>
      </c>
      <c r="Q236" s="0" t="n">
        <v>107</v>
      </c>
      <c r="R236" s="0" t="n">
        <v>370.689599038172</v>
      </c>
      <c r="S236" s="0" t="n">
        <v>309.403662334954</v>
      </c>
      <c r="T236" s="0" t="n">
        <v>28</v>
      </c>
      <c r="U236" s="0" t="n">
        <v>20</v>
      </c>
      <c r="V236" s="0" t="n">
        <v>13.2389095231813</v>
      </c>
      <c r="W236" s="0" t="n">
        <v>15.4701057662189</v>
      </c>
      <c r="X236" s="0" t="n">
        <v>0</v>
      </c>
      <c r="Y236" s="0" t="n">
        <v>0</v>
      </c>
      <c r="Z236" s="0" t="n">
        <v>20.9923217442437</v>
      </c>
      <c r="AA236" s="0" t="n">
        <v>0</v>
      </c>
      <c r="AB236" s="0" t="n">
        <v>0</v>
      </c>
      <c r="AC236" s="0" t="n">
        <v>0</v>
      </c>
      <c r="AD236" s="0" t="n">
        <v>1</v>
      </c>
      <c r="AE236" s="0" t="n">
        <v>0</v>
      </c>
      <c r="AF236" s="0" t="n">
        <v>0</v>
      </c>
      <c r="AG236" s="0" t="n">
        <v>0</v>
      </c>
      <c r="AH236" s="0" t="n">
        <v>174.938145430184</v>
      </c>
      <c r="AI236" s="0" t="n">
        <v>0</v>
      </c>
      <c r="AK236" s="0" t="n">
        <f aca="false">A236</f>
        <v>219</v>
      </c>
      <c r="AL236" s="0" t="n">
        <v>1</v>
      </c>
      <c r="AM236" s="0" t="n">
        <v>1</v>
      </c>
      <c r="AO236" s="0" t="n">
        <v>219</v>
      </c>
      <c r="AP236" s="0" t="n">
        <v>1</v>
      </c>
      <c r="AQ236" s="0" t="n">
        <v>0.21917092313261</v>
      </c>
      <c r="AR236" s="0" t="n">
        <v>191.321398100483</v>
      </c>
      <c r="AS236" s="0" t="n">
        <v>34</v>
      </c>
      <c r="AT236" s="0" t="n">
        <v>32</v>
      </c>
    </row>
    <row r="237" customFormat="false" ht="12" hidden="false" customHeight="false" outlineLevel="0" collapsed="false">
      <c r="A237" s="0" t="n">
        <v>220</v>
      </c>
      <c r="B237" s="0" t="n">
        <v>1</v>
      </c>
      <c r="C237" s="0" t="n">
        <v>1.29518943323715</v>
      </c>
      <c r="D237" s="0" t="n">
        <v>221.435229945022</v>
      </c>
      <c r="E237" s="0" t="n">
        <v>22</v>
      </c>
      <c r="F237" s="0" t="n">
        <v>24</v>
      </c>
      <c r="G237" s="0" t="n">
        <v>0.5</v>
      </c>
      <c r="H237" s="0" t="n">
        <v>0</v>
      </c>
      <c r="I237" s="0" t="n">
        <v>2.08472352383893</v>
      </c>
      <c r="J237" s="0" t="n">
        <v>242.135784497276</v>
      </c>
      <c r="K237" s="0" t="n">
        <v>20.7005545522545</v>
      </c>
      <c r="L237" s="0" t="n">
        <v>0</v>
      </c>
      <c r="M237" s="0" t="n">
        <v>241.132362256028</v>
      </c>
      <c r="N237" s="0" t="n">
        <v>0</v>
      </c>
      <c r="O237" s="0" t="n">
        <v>220</v>
      </c>
      <c r="P237" s="0" t="n">
        <v>113</v>
      </c>
      <c r="Q237" s="0" t="n">
        <v>107</v>
      </c>
      <c r="R237" s="0" t="n">
        <v>199.233631787428</v>
      </c>
      <c r="S237" s="0" t="n">
        <v>502.416815069563</v>
      </c>
      <c r="T237" s="0" t="n">
        <v>14</v>
      </c>
      <c r="U237" s="0" t="n">
        <v>34</v>
      </c>
      <c r="V237" s="0" t="n">
        <v>14.230963534128</v>
      </c>
      <c r="W237" s="0" t="n">
        <v>14.7769216875704</v>
      </c>
      <c r="X237" s="0" t="n">
        <v>20.7005545522545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  <c r="AF237" s="0" t="n">
        <v>176.172380663328</v>
      </c>
      <c r="AG237" s="0" t="n">
        <v>0</v>
      </c>
      <c r="AH237" s="0" t="n">
        <v>0</v>
      </c>
      <c r="AI237" s="0" t="n">
        <v>0</v>
      </c>
      <c r="AK237" s="0" t="n">
        <f aca="false">A237</f>
        <v>220</v>
      </c>
      <c r="AL237" s="0" t="n">
        <v>1</v>
      </c>
      <c r="AM237" s="0" t="n">
        <v>0</v>
      </c>
      <c r="AO237" s="0" t="n">
        <v>220</v>
      </c>
      <c r="AP237" s="0" t="n">
        <v>1</v>
      </c>
      <c r="AQ237" s="0" t="n">
        <v>5.155173177258</v>
      </c>
      <c r="AR237" s="0" t="n">
        <v>196.476571277741</v>
      </c>
      <c r="AS237" s="0" t="n">
        <v>30</v>
      </c>
      <c r="AT237" s="0" t="n">
        <v>30</v>
      </c>
    </row>
    <row r="238" customFormat="false" ht="12" hidden="false" customHeight="false" outlineLevel="0" collapsed="false">
      <c r="A238" s="0" t="n">
        <v>221</v>
      </c>
      <c r="B238" s="0" t="n">
        <v>1</v>
      </c>
      <c r="C238" s="0" t="n">
        <v>2.19074547425395</v>
      </c>
      <c r="D238" s="0" t="n">
        <v>223.625975419276</v>
      </c>
      <c r="E238" s="0" t="n">
        <v>22</v>
      </c>
      <c r="F238" s="0" t="n">
        <v>22</v>
      </c>
      <c r="G238" s="0" t="n">
        <v>0.5</v>
      </c>
      <c r="H238" s="0" t="n">
        <v>0</v>
      </c>
      <c r="I238" s="0" t="n">
        <v>1.83360912136223</v>
      </c>
      <c r="J238" s="0" t="n">
        <v>243.969393618638</v>
      </c>
      <c r="K238" s="0" t="n">
        <v>20.3434181993628</v>
      </c>
      <c r="L238" s="0" t="n">
        <v>0</v>
      </c>
      <c r="M238" s="0" t="n">
        <v>241.132362256028</v>
      </c>
      <c r="N238" s="0" t="n">
        <v>0</v>
      </c>
      <c r="O238" s="0" t="n">
        <v>221</v>
      </c>
      <c r="P238" s="0" t="n">
        <v>114</v>
      </c>
      <c r="Q238" s="0" t="n">
        <v>107</v>
      </c>
      <c r="R238" s="0" t="n">
        <v>425.331791964406</v>
      </c>
      <c r="S238" s="0" t="n">
        <v>254.759436979344</v>
      </c>
      <c r="T238" s="0" t="n">
        <v>27</v>
      </c>
      <c r="U238" s="0" t="n">
        <v>21</v>
      </c>
      <c r="V238" s="0" t="n">
        <v>15.7530234975619</v>
      </c>
      <c r="W238" s="0" t="n">
        <v>12.1313439926164</v>
      </c>
      <c r="X238" s="0" t="n">
        <v>20.3434181993628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  <c r="AF238" s="0" t="n">
        <v>166.819389405314</v>
      </c>
      <c r="AG238" s="0" t="n">
        <v>0</v>
      </c>
      <c r="AH238" s="0" t="n">
        <v>0</v>
      </c>
      <c r="AI238" s="0" t="n">
        <v>0</v>
      </c>
      <c r="AK238" s="0" t="n">
        <f aca="false">A238</f>
        <v>221</v>
      </c>
      <c r="AL238" s="0" t="n">
        <v>0</v>
      </c>
      <c r="AM238" s="0" t="n">
        <v>0</v>
      </c>
      <c r="AO238" s="0" t="n">
        <v>221</v>
      </c>
      <c r="AP238" s="0" t="n">
        <v>0</v>
      </c>
      <c r="AQ238" s="0" t="n">
        <v>0.4444284952101</v>
      </c>
      <c r="AR238" s="0" t="n">
        <v>196.920999772952</v>
      </c>
      <c r="AS238" s="0" t="n">
        <v>30</v>
      </c>
      <c r="AT238" s="0" t="n">
        <v>30</v>
      </c>
    </row>
    <row r="239" customFormat="false" ht="12" hidden="false" customHeight="false" outlineLevel="0" collapsed="false">
      <c r="A239" s="0" t="n">
        <v>222</v>
      </c>
      <c r="B239" s="0" t="n">
        <v>0</v>
      </c>
      <c r="C239" s="0" t="n">
        <v>0.600581899569777</v>
      </c>
      <c r="D239" s="0" t="n">
        <v>224.226557318845</v>
      </c>
      <c r="E239" s="0" t="n">
        <v>24</v>
      </c>
      <c r="F239" s="0" t="n">
        <v>20</v>
      </c>
      <c r="G239" s="0" t="n">
        <v>0.5</v>
      </c>
      <c r="H239" s="0" t="n">
        <v>1</v>
      </c>
      <c r="I239" s="0" t="n">
        <v>0</v>
      </c>
      <c r="J239" s="0" t="n">
        <v>243.969393618638</v>
      </c>
      <c r="K239" s="0" t="n">
        <v>0</v>
      </c>
      <c r="L239" s="0" t="n">
        <v>2.04814323426475</v>
      </c>
      <c r="M239" s="0" t="n">
        <v>243.180505490293</v>
      </c>
      <c r="N239" s="0" t="n">
        <v>18.9539481714476</v>
      </c>
      <c r="O239" s="0" t="n">
        <v>222</v>
      </c>
      <c r="P239" s="0" t="n">
        <v>114</v>
      </c>
      <c r="Q239" s="0" t="n">
        <v>108</v>
      </c>
      <c r="R239" s="0" t="n">
        <v>233.339224252215</v>
      </c>
      <c r="S239" s="0" t="n">
        <v>448.306558378129</v>
      </c>
      <c r="T239" s="0" t="n">
        <v>19</v>
      </c>
      <c r="U239" s="0" t="n">
        <v>29</v>
      </c>
      <c r="V239" s="0" t="n">
        <v>12.2810053390612</v>
      </c>
      <c r="W239" s="0" t="n">
        <v>15.4587935344405</v>
      </c>
      <c r="X239" s="0" t="n">
        <v>0</v>
      </c>
      <c r="Y239" s="0" t="n">
        <v>0</v>
      </c>
      <c r="Z239" s="0" t="n">
        <v>0</v>
      </c>
      <c r="AA239" s="0" t="n">
        <v>18.9539481714476</v>
      </c>
      <c r="AB239" s="0" t="n">
        <v>0</v>
      </c>
      <c r="AC239" s="0" t="n">
        <v>0</v>
      </c>
      <c r="AD239" s="0" t="n">
        <v>0</v>
      </c>
      <c r="AE239" s="0" t="n">
        <v>1</v>
      </c>
      <c r="AF239" s="0" t="n">
        <v>0</v>
      </c>
      <c r="AG239" s="0" t="n">
        <v>0</v>
      </c>
      <c r="AH239" s="0" t="n">
        <v>0</v>
      </c>
      <c r="AI239" s="0" t="n">
        <v>125.945570356153</v>
      </c>
      <c r="AK239" s="0" t="n">
        <f aca="false">A239</f>
        <v>222</v>
      </c>
      <c r="AL239" s="0" t="n">
        <v>2</v>
      </c>
      <c r="AM239" s="0" t="n">
        <v>1</v>
      </c>
      <c r="AO239" s="0" t="n">
        <v>222</v>
      </c>
      <c r="AP239" s="0" t="n">
        <v>1</v>
      </c>
      <c r="AQ239" s="0" t="n">
        <v>1.84789002832818</v>
      </c>
      <c r="AR239" s="0" t="n">
        <v>198.76888980128</v>
      </c>
      <c r="AS239" s="0" t="n">
        <v>30</v>
      </c>
      <c r="AT239" s="0" t="n">
        <v>28</v>
      </c>
    </row>
    <row r="240" customFormat="false" ht="12" hidden="false" customHeight="false" outlineLevel="0" collapsed="false">
      <c r="A240" s="0" t="n">
        <v>223</v>
      </c>
      <c r="B240" s="0" t="n">
        <v>1</v>
      </c>
      <c r="C240" s="0" t="n">
        <v>0.92455959305221</v>
      </c>
      <c r="D240" s="0" t="n">
        <v>225.151116911898</v>
      </c>
      <c r="E240" s="0" t="n">
        <v>22</v>
      </c>
      <c r="F240" s="0" t="n">
        <v>22</v>
      </c>
      <c r="G240" s="0" t="n">
        <v>0.5</v>
      </c>
      <c r="H240" s="0" t="n">
        <v>1</v>
      </c>
      <c r="I240" s="0" t="n">
        <v>0</v>
      </c>
      <c r="J240" s="0" t="n">
        <v>243.969393618638</v>
      </c>
      <c r="K240" s="0" t="n">
        <v>0</v>
      </c>
      <c r="L240" s="0" t="n">
        <v>1.84470899841755</v>
      </c>
      <c r="M240" s="0" t="n">
        <v>245.025214488711</v>
      </c>
      <c r="N240" s="0" t="n">
        <v>19.8740975768129</v>
      </c>
      <c r="O240" s="0" t="n">
        <v>223</v>
      </c>
      <c r="P240" s="0" t="n">
        <v>114</v>
      </c>
      <c r="Q240" s="0" t="n">
        <v>109</v>
      </c>
      <c r="R240" s="0" t="n">
        <v>425.73072213978</v>
      </c>
      <c r="S240" s="0" t="n">
        <v>242.045200772163</v>
      </c>
      <c r="T240" s="0" t="n">
        <v>29</v>
      </c>
      <c r="U240" s="0" t="n">
        <v>19</v>
      </c>
      <c r="V240" s="0" t="n">
        <v>14.6803646667632</v>
      </c>
      <c r="W240" s="0" t="n">
        <v>12.7391540450926</v>
      </c>
      <c r="X240" s="0" t="n">
        <v>0</v>
      </c>
      <c r="Y240" s="0" t="n">
        <v>0</v>
      </c>
      <c r="Z240" s="0" t="n">
        <v>19.8740975768129</v>
      </c>
      <c r="AA240" s="0" t="n">
        <v>0</v>
      </c>
      <c r="AB240" s="0" t="n">
        <v>0</v>
      </c>
      <c r="AC240" s="0" t="n">
        <v>0</v>
      </c>
      <c r="AD240" s="0" t="n">
        <v>1</v>
      </c>
      <c r="AE240" s="0" t="n">
        <v>0</v>
      </c>
      <c r="AF240" s="0" t="n">
        <v>0</v>
      </c>
      <c r="AG240" s="0" t="n">
        <v>0</v>
      </c>
      <c r="AH240" s="0" t="n">
        <v>146.608369164982</v>
      </c>
      <c r="AI240" s="0" t="n">
        <v>0</v>
      </c>
      <c r="AK240" s="0" t="n">
        <f aca="false">A240</f>
        <v>223</v>
      </c>
      <c r="AL240" s="0" t="n">
        <v>0</v>
      </c>
      <c r="AM240" s="0" t="n">
        <v>0</v>
      </c>
      <c r="AO240" s="0" t="n">
        <v>223</v>
      </c>
      <c r="AP240" s="0" t="n">
        <v>0</v>
      </c>
      <c r="AQ240" s="0" t="n">
        <v>0.116443364318196</v>
      </c>
      <c r="AR240" s="0" t="n">
        <v>198.885333165598</v>
      </c>
      <c r="AS240" s="0" t="n">
        <v>30</v>
      </c>
      <c r="AT240" s="0" t="n">
        <v>30</v>
      </c>
    </row>
    <row r="241" customFormat="false" ht="12" hidden="false" customHeight="false" outlineLevel="0" collapsed="false">
      <c r="A241" s="0" t="n">
        <v>224</v>
      </c>
      <c r="B241" s="0" t="n">
        <v>0</v>
      </c>
      <c r="C241" s="0" t="n">
        <v>0.372346964690338</v>
      </c>
      <c r="D241" s="0" t="n">
        <v>225.523463876588</v>
      </c>
      <c r="E241" s="0" t="n">
        <v>22</v>
      </c>
      <c r="F241" s="0" t="n">
        <v>22</v>
      </c>
      <c r="G241" s="0" t="n">
        <v>0.5</v>
      </c>
      <c r="H241" s="0" t="n">
        <v>1</v>
      </c>
      <c r="I241" s="0" t="n">
        <v>0</v>
      </c>
      <c r="J241" s="0" t="n">
        <v>243.969393618638</v>
      </c>
      <c r="K241" s="0" t="n">
        <v>0</v>
      </c>
      <c r="L241" s="0" t="n">
        <v>2.0582265813373</v>
      </c>
      <c r="M241" s="0" t="n">
        <v>247.083441070048</v>
      </c>
      <c r="N241" s="0" t="n">
        <v>21.5599771934599</v>
      </c>
      <c r="O241" s="0" t="n">
        <v>224</v>
      </c>
      <c r="P241" s="0" t="n">
        <v>114</v>
      </c>
      <c r="Q241" s="0" t="n">
        <v>110</v>
      </c>
      <c r="R241" s="0" t="n">
        <v>274.567029846029</v>
      </c>
      <c r="S241" s="0" t="n">
        <v>414.250424254873</v>
      </c>
      <c r="T241" s="0" t="n">
        <v>19</v>
      </c>
      <c r="U241" s="0" t="n">
        <v>29</v>
      </c>
      <c r="V241" s="0" t="n">
        <v>14.4508887019549</v>
      </c>
      <c r="W241" s="0" t="n">
        <v>14.2844481313814</v>
      </c>
      <c r="X241" s="0" t="n">
        <v>0</v>
      </c>
      <c r="Y241" s="0" t="n">
        <v>0</v>
      </c>
      <c r="Z241" s="0" t="n">
        <v>0</v>
      </c>
      <c r="AA241" s="0" t="n">
        <v>21.5599771934599</v>
      </c>
      <c r="AB241" s="0" t="n">
        <v>0</v>
      </c>
      <c r="AC241" s="0" t="n">
        <v>0</v>
      </c>
      <c r="AD241" s="0" t="n">
        <v>0</v>
      </c>
      <c r="AE241" s="0" t="n">
        <v>1</v>
      </c>
      <c r="AF241" s="0" t="n">
        <v>0</v>
      </c>
      <c r="AG241" s="0" t="n">
        <v>0</v>
      </c>
      <c r="AH241" s="0" t="n">
        <v>0</v>
      </c>
      <c r="AI241" s="0" t="n">
        <v>191.229526119317</v>
      </c>
      <c r="AK241" s="0" t="n">
        <f aca="false">A241</f>
        <v>224</v>
      </c>
      <c r="AL241" s="0" t="n">
        <v>0</v>
      </c>
      <c r="AM241" s="0" t="n">
        <v>2</v>
      </c>
      <c r="AO241" s="0" t="n">
        <v>224</v>
      </c>
      <c r="AP241" s="0" t="n">
        <v>0</v>
      </c>
      <c r="AQ241" s="0" t="n">
        <v>0.314864155158256</v>
      </c>
      <c r="AR241" s="0" t="n">
        <v>199.200197320756</v>
      </c>
      <c r="AS241" s="0" t="n">
        <v>32</v>
      </c>
      <c r="AT241" s="0" t="n">
        <v>28</v>
      </c>
    </row>
    <row r="242" customFormat="false" ht="12" hidden="false" customHeight="false" outlineLevel="0" collapsed="false">
      <c r="A242" s="0" t="n">
        <v>225</v>
      </c>
      <c r="B242" s="0" t="n">
        <v>1</v>
      </c>
      <c r="C242" s="0" t="n">
        <v>0.169868381966113</v>
      </c>
      <c r="D242" s="0" t="n">
        <v>225.693332258554</v>
      </c>
      <c r="E242" s="0" t="n">
        <v>22</v>
      </c>
      <c r="F242" s="0" t="n">
        <v>24</v>
      </c>
      <c r="G242" s="0" t="n">
        <v>0.5</v>
      </c>
      <c r="H242" s="0" t="n">
        <v>0</v>
      </c>
      <c r="I242" s="0" t="n">
        <v>2.14791592292169</v>
      </c>
      <c r="J242" s="0" t="n">
        <v>246.11730954156</v>
      </c>
      <c r="K242" s="0" t="n">
        <v>20.423977283006</v>
      </c>
      <c r="L242" s="0" t="n">
        <v>0</v>
      </c>
      <c r="M242" s="0" t="n">
        <v>247.083441070048</v>
      </c>
      <c r="N242" s="0" t="n">
        <v>0</v>
      </c>
      <c r="O242" s="0" t="n">
        <v>225</v>
      </c>
      <c r="P242" s="0" t="n">
        <v>115</v>
      </c>
      <c r="Q242" s="0" t="n">
        <v>110</v>
      </c>
      <c r="R242" s="0" t="n">
        <v>395.291989907054</v>
      </c>
      <c r="S242" s="0" t="n">
        <v>285.671796339676</v>
      </c>
      <c r="T242" s="0" t="n">
        <v>28</v>
      </c>
      <c r="U242" s="0" t="n">
        <v>20</v>
      </c>
      <c r="V242" s="0" t="n">
        <v>14.1175660261212</v>
      </c>
      <c r="W242" s="0" t="n">
        <v>14.2835183993918</v>
      </c>
      <c r="X242" s="0" t="n">
        <v>20.423977283006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  <c r="AF242" s="0" t="n">
        <v>168.906858550701</v>
      </c>
      <c r="AG242" s="0" t="n">
        <v>0</v>
      </c>
      <c r="AH242" s="0" t="n">
        <v>0</v>
      </c>
      <c r="AI242" s="0" t="n">
        <v>0</v>
      </c>
      <c r="AK242" s="0" t="n">
        <f aca="false">A242</f>
        <v>225</v>
      </c>
      <c r="AL242" s="0" t="n">
        <v>1</v>
      </c>
      <c r="AM242" s="0" t="n">
        <v>1</v>
      </c>
      <c r="AO242" s="0" t="n">
        <v>225</v>
      </c>
      <c r="AP242" s="0" t="n">
        <v>1</v>
      </c>
      <c r="AQ242" s="0" t="n">
        <v>0.314564628763231</v>
      </c>
      <c r="AR242" s="0" t="n">
        <v>199.514761949519</v>
      </c>
      <c r="AS242" s="0" t="n">
        <v>32</v>
      </c>
      <c r="AT242" s="0" t="n">
        <v>30</v>
      </c>
    </row>
    <row r="243" customFormat="false" ht="12" hidden="false" customHeight="false" outlineLevel="0" collapsed="false">
      <c r="A243" s="0" t="n">
        <v>226</v>
      </c>
      <c r="B243" s="0" t="n">
        <v>1</v>
      </c>
      <c r="C243" s="0" t="n">
        <v>1.0333927480643</v>
      </c>
      <c r="D243" s="0" t="n">
        <v>226.726725006618</v>
      </c>
      <c r="E243" s="0" t="n">
        <v>22</v>
      </c>
      <c r="F243" s="0" t="n">
        <v>24</v>
      </c>
      <c r="G243" s="0" t="n">
        <v>0.5</v>
      </c>
      <c r="H243" s="0" t="n">
        <v>0</v>
      </c>
      <c r="I243" s="0" t="n">
        <v>1.98299746249525</v>
      </c>
      <c r="J243" s="0" t="n">
        <v>248.100307004055</v>
      </c>
      <c r="K243" s="0" t="n">
        <v>21.373581997437</v>
      </c>
      <c r="L243" s="0" t="n">
        <v>0</v>
      </c>
      <c r="M243" s="0" t="n">
        <v>247.083441070048</v>
      </c>
      <c r="N243" s="0" t="n">
        <v>0</v>
      </c>
      <c r="O243" s="0" t="n">
        <v>226</v>
      </c>
      <c r="P243" s="0" t="n">
        <v>116</v>
      </c>
      <c r="Q243" s="0" t="n">
        <v>110</v>
      </c>
      <c r="R243" s="0" t="n">
        <v>275.758769540378</v>
      </c>
      <c r="S243" s="0" t="n">
        <v>398.329563906187</v>
      </c>
      <c r="T243" s="0" t="n">
        <v>24</v>
      </c>
      <c r="U243" s="0" t="n">
        <v>24</v>
      </c>
      <c r="V243" s="0" t="n">
        <v>11.4899439433725</v>
      </c>
      <c r="W243" s="0" t="n">
        <v>16.5969960086077</v>
      </c>
      <c r="X243" s="0" t="n">
        <v>21.373581997437</v>
      </c>
      <c r="Y243" s="0" t="n">
        <v>0</v>
      </c>
      <c r="Z243" s="0" t="n">
        <v>0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  <c r="AF243" s="0" t="n">
        <v>194.491525643475</v>
      </c>
      <c r="AG243" s="0" t="n">
        <v>0</v>
      </c>
      <c r="AH243" s="0" t="n">
        <v>0</v>
      </c>
      <c r="AI243" s="0" t="n">
        <v>0</v>
      </c>
      <c r="AK243" s="0" t="n">
        <f aca="false">A243</f>
        <v>226</v>
      </c>
      <c r="AL243" s="0" t="n">
        <v>1</v>
      </c>
      <c r="AM243" s="0" t="n">
        <v>0</v>
      </c>
      <c r="AO243" s="0" t="n">
        <v>226</v>
      </c>
      <c r="AP243" s="0" t="n">
        <v>0</v>
      </c>
      <c r="AQ243" s="0" t="n">
        <v>0.86687790488686</v>
      </c>
      <c r="AR243" s="0" t="n">
        <v>200.381639854406</v>
      </c>
      <c r="AS243" s="0" t="n">
        <v>32</v>
      </c>
      <c r="AT243" s="0" t="n">
        <v>32</v>
      </c>
    </row>
    <row r="244" customFormat="false" ht="12" hidden="false" customHeight="false" outlineLevel="0" collapsed="false">
      <c r="A244" s="0" t="n">
        <v>227</v>
      </c>
      <c r="B244" s="0" t="n">
        <v>1</v>
      </c>
      <c r="C244" s="0" t="n">
        <v>0.776586987685789</v>
      </c>
      <c r="D244" s="0" t="n">
        <v>227.503311994304</v>
      </c>
      <c r="E244" s="0" t="n">
        <v>24</v>
      </c>
      <c r="F244" s="0" t="n">
        <v>24</v>
      </c>
      <c r="G244" s="0" t="n">
        <v>0.5</v>
      </c>
      <c r="H244" s="0" t="n">
        <v>0</v>
      </c>
      <c r="I244" s="0" t="n">
        <v>2.16021487795927</v>
      </c>
      <c r="J244" s="0" t="n">
        <v>250.260521882015</v>
      </c>
      <c r="K244" s="0" t="n">
        <v>22.7572098877105</v>
      </c>
      <c r="L244" s="0" t="n">
        <v>0</v>
      </c>
      <c r="M244" s="0" t="n">
        <v>247.083441070048</v>
      </c>
      <c r="N244" s="0" t="n">
        <v>0</v>
      </c>
      <c r="O244" s="0" t="n">
        <v>227</v>
      </c>
      <c r="P244" s="0" t="n">
        <v>117</v>
      </c>
      <c r="Q244" s="0" t="n">
        <v>110</v>
      </c>
      <c r="R244" s="0" t="n">
        <v>399.70006978667</v>
      </c>
      <c r="S244" s="0" t="n">
        <v>282.718465783999</v>
      </c>
      <c r="T244" s="0" t="n">
        <v>26</v>
      </c>
      <c r="U244" s="0" t="n">
        <v>22</v>
      </c>
      <c r="V244" s="0" t="n">
        <v>15.373073694459</v>
      </c>
      <c r="W244" s="0" t="n">
        <v>12.8507809411775</v>
      </c>
      <c r="X244" s="0" t="n">
        <v>22.7572098877105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  <c r="AF244" s="0" t="n">
        <v>234.998161382385</v>
      </c>
      <c r="AG244" s="0" t="n">
        <v>0</v>
      </c>
      <c r="AH244" s="0" t="n">
        <v>0</v>
      </c>
      <c r="AI244" s="0" t="n">
        <v>0</v>
      </c>
      <c r="AK244" s="0" t="n">
        <f aca="false">A244</f>
        <v>227</v>
      </c>
      <c r="AL244" s="0" t="n">
        <v>0</v>
      </c>
      <c r="AM244" s="0" t="n">
        <v>2</v>
      </c>
      <c r="AO244" s="0" t="n">
        <v>227</v>
      </c>
      <c r="AP244" s="0" t="n">
        <v>1</v>
      </c>
      <c r="AQ244" s="0" t="n">
        <v>0.597161092842525</v>
      </c>
      <c r="AR244" s="0" t="n">
        <v>200.978800947249</v>
      </c>
      <c r="AS244" s="0" t="n">
        <v>30</v>
      </c>
      <c r="AT244" s="0" t="n">
        <v>34</v>
      </c>
    </row>
    <row r="245" customFormat="false" ht="12" hidden="false" customHeight="false" outlineLevel="0" collapsed="false">
      <c r="A245" s="0" t="n">
        <v>228</v>
      </c>
      <c r="B245" s="0" t="n">
        <v>1</v>
      </c>
      <c r="C245" s="0" t="n">
        <v>0.687995551844512</v>
      </c>
      <c r="D245" s="0" t="n">
        <v>228.191307546149</v>
      </c>
      <c r="E245" s="0" t="n">
        <v>26</v>
      </c>
      <c r="F245" s="0" t="n">
        <v>22</v>
      </c>
      <c r="G245" s="0" t="n">
        <v>0.5</v>
      </c>
      <c r="H245" s="0" t="n">
        <v>1</v>
      </c>
      <c r="I245" s="0" t="n">
        <v>0</v>
      </c>
      <c r="J245" s="0" t="n">
        <v>250.260521882015</v>
      </c>
      <c r="K245" s="0" t="n">
        <v>0</v>
      </c>
      <c r="L245" s="0" t="n">
        <v>1.9232823570974</v>
      </c>
      <c r="M245" s="0" t="n">
        <v>249.006723427145</v>
      </c>
      <c r="N245" s="0" t="n">
        <v>20.8154158809966</v>
      </c>
      <c r="O245" s="0" t="n">
        <v>228</v>
      </c>
      <c r="P245" s="0" t="n">
        <v>117</v>
      </c>
      <c r="Q245" s="0" t="n">
        <v>111</v>
      </c>
      <c r="R245" s="0" t="n">
        <v>259.247403730197</v>
      </c>
      <c r="S245" s="0" t="n">
        <v>438.961119551284</v>
      </c>
      <c r="T245" s="0" t="n">
        <v>19</v>
      </c>
      <c r="U245" s="0" t="n">
        <v>29</v>
      </c>
      <c r="V245" s="0" t="n">
        <v>13.6445930149614</v>
      </c>
      <c r="W245" s="0" t="n">
        <v>15.1365381343955</v>
      </c>
      <c r="X245" s="0" t="n">
        <v>0</v>
      </c>
      <c r="Y245" s="0" t="n">
        <v>0</v>
      </c>
      <c r="Z245" s="0" t="n">
        <v>20.8154158809966</v>
      </c>
      <c r="AA245" s="0" t="n">
        <v>0</v>
      </c>
      <c r="AB245" s="0" t="n">
        <v>0</v>
      </c>
      <c r="AC245" s="0" t="n">
        <v>0</v>
      </c>
      <c r="AD245" s="0" t="n">
        <v>1</v>
      </c>
      <c r="AE245" s="0" t="n">
        <v>0</v>
      </c>
      <c r="AF245" s="0" t="n">
        <v>0</v>
      </c>
      <c r="AG245" s="0" t="n">
        <v>0</v>
      </c>
      <c r="AH245" s="0" t="n">
        <v>170.289779161945</v>
      </c>
      <c r="AI245" s="0" t="n">
        <v>0</v>
      </c>
      <c r="AK245" s="0" t="n">
        <f aca="false">A245</f>
        <v>228</v>
      </c>
      <c r="AL245" s="0" t="n">
        <v>2</v>
      </c>
      <c r="AM245" s="0" t="n">
        <v>0</v>
      </c>
      <c r="AO245" s="0" t="n">
        <v>228</v>
      </c>
      <c r="AP245" s="0" t="n">
        <v>1</v>
      </c>
      <c r="AQ245" s="0" t="n">
        <v>3.40900825093312</v>
      </c>
      <c r="AR245" s="0" t="n">
        <v>204.387809198182</v>
      </c>
      <c r="AS245" s="0" t="n">
        <v>30</v>
      </c>
      <c r="AT245" s="0" t="n">
        <v>30</v>
      </c>
    </row>
    <row r="246" customFormat="false" ht="12" hidden="false" customHeight="false" outlineLevel="0" collapsed="false">
      <c r="A246" s="0" t="n">
        <v>229</v>
      </c>
      <c r="B246" s="0" t="n">
        <v>0</v>
      </c>
      <c r="C246" s="0" t="n">
        <v>2.33046153416503</v>
      </c>
      <c r="D246" s="0" t="n">
        <v>230.521769080314</v>
      </c>
      <c r="E246" s="0" t="n">
        <v>22</v>
      </c>
      <c r="F246" s="0" t="n">
        <v>22</v>
      </c>
      <c r="G246" s="0" t="n">
        <v>0.5</v>
      </c>
      <c r="H246" s="0" t="n">
        <v>0</v>
      </c>
      <c r="I246" s="0" t="n">
        <v>2.101855617125</v>
      </c>
      <c r="J246" s="0" t="n">
        <v>252.36237749914</v>
      </c>
      <c r="K246" s="0" t="n">
        <v>21.8406084188259</v>
      </c>
      <c r="L246" s="0" t="n">
        <v>0</v>
      </c>
      <c r="M246" s="0" t="n">
        <v>249.006723427145</v>
      </c>
      <c r="N246" s="0" t="n">
        <v>0</v>
      </c>
      <c r="O246" s="0" t="n">
        <v>229</v>
      </c>
      <c r="P246" s="0" t="n">
        <v>118</v>
      </c>
      <c r="Q246" s="0" t="n">
        <v>111</v>
      </c>
      <c r="R246" s="0" t="n">
        <v>427.992197172603</v>
      </c>
      <c r="S246" s="0" t="n">
        <v>257.577029115443</v>
      </c>
      <c r="T246" s="0" t="n">
        <v>28</v>
      </c>
      <c r="U246" s="0" t="n">
        <v>20</v>
      </c>
      <c r="V246" s="0" t="n">
        <v>15.2854301542251</v>
      </c>
      <c r="W246" s="0" t="n">
        <v>12.8787870618369</v>
      </c>
      <c r="X246" s="0" t="n">
        <v>0</v>
      </c>
      <c r="Y246" s="0" t="n">
        <v>21.8406084188259</v>
      </c>
      <c r="Z246" s="0" t="n">
        <v>0</v>
      </c>
      <c r="AA246" s="0" t="n">
        <v>0</v>
      </c>
      <c r="AB246" s="0" t="n">
        <v>0</v>
      </c>
      <c r="AC246" s="0" t="n">
        <v>1</v>
      </c>
      <c r="AD246" s="0" t="n">
        <v>0</v>
      </c>
      <c r="AE246" s="0" t="n">
        <v>0</v>
      </c>
      <c r="AF246" s="0" t="n">
        <v>0</v>
      </c>
      <c r="AG246" s="0" t="n">
        <v>184.469403202482</v>
      </c>
      <c r="AH246" s="0" t="n">
        <v>0</v>
      </c>
      <c r="AI246" s="0" t="n">
        <v>0</v>
      </c>
      <c r="AK246" s="0" t="n">
        <f aca="false">A246</f>
        <v>229</v>
      </c>
      <c r="AL246" s="0" t="n">
        <v>0</v>
      </c>
      <c r="AM246" s="0" t="n">
        <v>1</v>
      </c>
      <c r="AO246" s="0" t="n">
        <v>229</v>
      </c>
      <c r="AP246" s="0" t="n">
        <v>1</v>
      </c>
      <c r="AQ246" s="0" t="n">
        <v>2.80435228716804</v>
      </c>
      <c r="AR246" s="0" t="n">
        <v>207.19216148535</v>
      </c>
      <c r="AS246" s="0" t="n">
        <v>28</v>
      </c>
      <c r="AT246" s="0" t="n">
        <v>26</v>
      </c>
    </row>
    <row r="247" customFormat="false" ht="12" hidden="false" customHeight="false" outlineLevel="0" collapsed="false">
      <c r="A247" s="0" t="n">
        <v>230</v>
      </c>
      <c r="B247" s="0" t="n">
        <v>0</v>
      </c>
      <c r="C247" s="0" t="n">
        <v>0.279679287461524</v>
      </c>
      <c r="D247" s="0" t="n">
        <v>230.801448367775</v>
      </c>
      <c r="E247" s="0" t="n">
        <v>24</v>
      </c>
      <c r="F247" s="0" t="n">
        <v>22</v>
      </c>
      <c r="G247" s="0" t="n">
        <v>0.5</v>
      </c>
      <c r="H247" s="0" t="n">
        <v>1</v>
      </c>
      <c r="I247" s="0" t="n">
        <v>0</v>
      </c>
      <c r="J247" s="0" t="n">
        <v>252.36237749914</v>
      </c>
      <c r="K247" s="0" t="n">
        <v>0</v>
      </c>
      <c r="L247" s="0" t="n">
        <v>1.90436434973581</v>
      </c>
      <c r="M247" s="0" t="n">
        <v>250.911087776881</v>
      </c>
      <c r="N247" s="0" t="n">
        <v>20.1096394091058</v>
      </c>
      <c r="O247" s="0" t="n">
        <v>230</v>
      </c>
      <c r="P247" s="0" t="n">
        <v>118</v>
      </c>
      <c r="Q247" s="0" t="n">
        <v>112</v>
      </c>
      <c r="R247" s="0" t="n">
        <v>352.981229898204</v>
      </c>
      <c r="S247" s="0" t="n">
        <v>337.676398362317</v>
      </c>
      <c r="T247" s="0" t="n">
        <v>25</v>
      </c>
      <c r="U247" s="0" t="n">
        <v>23</v>
      </c>
      <c r="V247" s="0" t="n">
        <v>14.1192435482308</v>
      </c>
      <c r="W247" s="0" t="n">
        <v>14.681518704802</v>
      </c>
      <c r="X247" s="0" t="n">
        <v>0</v>
      </c>
      <c r="Y247" s="0" t="n">
        <v>0</v>
      </c>
      <c r="Z247" s="0" t="n">
        <v>0</v>
      </c>
      <c r="AA247" s="0" t="n">
        <v>20.1096394091058</v>
      </c>
      <c r="AB247" s="0" t="n">
        <v>0</v>
      </c>
      <c r="AC247" s="0" t="n">
        <v>0</v>
      </c>
      <c r="AD247" s="0" t="n">
        <v>0</v>
      </c>
      <c r="AE247" s="0" t="n">
        <v>1</v>
      </c>
      <c r="AF247" s="0" t="n">
        <v>0</v>
      </c>
      <c r="AG247" s="0" t="n">
        <v>0</v>
      </c>
      <c r="AH247" s="0" t="n">
        <v>0</v>
      </c>
      <c r="AI247" s="0" t="n">
        <v>153.22079200344</v>
      </c>
      <c r="AK247" s="0" t="n">
        <f aca="false">A247</f>
        <v>230</v>
      </c>
      <c r="AL247" s="0" t="n">
        <v>1</v>
      </c>
      <c r="AM247" s="0" t="n">
        <v>1</v>
      </c>
      <c r="AO247" s="0" t="n">
        <v>230</v>
      </c>
      <c r="AP247" s="0" t="n">
        <v>1</v>
      </c>
      <c r="AQ247" s="0" t="n">
        <v>0.901514032145922</v>
      </c>
      <c r="AR247" s="0" t="n">
        <v>208.093675517496</v>
      </c>
      <c r="AS247" s="0" t="n">
        <v>26</v>
      </c>
      <c r="AT247" s="0" t="n">
        <v>28</v>
      </c>
    </row>
    <row r="248" customFormat="false" ht="12" hidden="false" customHeight="false" outlineLevel="0" collapsed="false">
      <c r="A248" s="0" t="n">
        <v>231</v>
      </c>
      <c r="B248" s="0" t="n">
        <v>1</v>
      </c>
      <c r="C248" s="0" t="n">
        <v>2.42377656700563</v>
      </c>
      <c r="D248" s="0" t="n">
        <v>233.225224934781</v>
      </c>
      <c r="E248" s="0" t="n">
        <v>22</v>
      </c>
      <c r="F248" s="0" t="n">
        <v>22</v>
      </c>
      <c r="G248" s="0" t="n">
        <v>0.5</v>
      </c>
      <c r="H248" s="0" t="n">
        <v>1</v>
      </c>
      <c r="I248" s="0" t="n">
        <v>0</v>
      </c>
      <c r="J248" s="0" t="n">
        <v>252.36237749914</v>
      </c>
      <c r="K248" s="0" t="n">
        <v>0</v>
      </c>
      <c r="L248" s="0" t="n">
        <v>1.85720368948275</v>
      </c>
      <c r="M248" s="0" t="n">
        <v>252.768291466364</v>
      </c>
      <c r="N248" s="0" t="n">
        <v>19.5430665315829</v>
      </c>
      <c r="O248" s="0" t="n">
        <v>231</v>
      </c>
      <c r="P248" s="0" t="n">
        <v>118</v>
      </c>
      <c r="Q248" s="0" t="n">
        <v>113</v>
      </c>
      <c r="R248" s="0" t="n">
        <v>408.932618705619</v>
      </c>
      <c r="S248" s="0" t="n">
        <v>277.608306528945</v>
      </c>
      <c r="T248" s="0" t="n">
        <v>27</v>
      </c>
      <c r="U248" s="0" t="n">
        <v>21</v>
      </c>
      <c r="V248" s="0" t="n">
        <v>15.1456469351537</v>
      </c>
      <c r="W248" s="0" t="n">
        <v>13.2193802186154</v>
      </c>
      <c r="X248" s="0" t="n">
        <v>0</v>
      </c>
      <c r="Y248" s="0" t="n">
        <v>0</v>
      </c>
      <c r="Z248" s="0" t="n">
        <v>19.5430665315829</v>
      </c>
      <c r="AA248" s="0" t="n">
        <v>0</v>
      </c>
      <c r="AB248" s="0" t="n">
        <v>0</v>
      </c>
      <c r="AC248" s="0" t="n">
        <v>0</v>
      </c>
      <c r="AD248" s="0" t="n">
        <v>1</v>
      </c>
      <c r="AE248" s="0" t="n">
        <v>0</v>
      </c>
      <c r="AF248" s="0" t="n">
        <v>0</v>
      </c>
      <c r="AG248" s="0" t="n">
        <v>0</v>
      </c>
      <c r="AH248" s="0" t="n">
        <v>138.70157428907</v>
      </c>
      <c r="AI248" s="0" t="n">
        <v>0</v>
      </c>
      <c r="AK248" s="0" t="n">
        <f aca="false">A248</f>
        <v>231</v>
      </c>
      <c r="AL248" s="0" t="n">
        <v>0</v>
      </c>
      <c r="AM248" s="0" t="n">
        <v>0</v>
      </c>
      <c r="AO248" s="0" t="n">
        <v>231</v>
      </c>
      <c r="AP248" s="0" t="n">
        <v>1</v>
      </c>
      <c r="AQ248" s="0" t="n">
        <v>0.21607951791404</v>
      </c>
      <c r="AR248" s="0" t="n">
        <v>208.30975503541</v>
      </c>
      <c r="AS248" s="0" t="n">
        <v>28</v>
      </c>
      <c r="AT248" s="0" t="n">
        <v>28</v>
      </c>
    </row>
    <row r="249" customFormat="false" ht="12" hidden="false" customHeight="false" outlineLevel="0" collapsed="false">
      <c r="A249" s="0" t="n">
        <v>232</v>
      </c>
      <c r="B249" s="0" t="n">
        <v>0</v>
      </c>
      <c r="C249" s="0" t="n">
        <v>1.95504667464037</v>
      </c>
      <c r="D249" s="0" t="n">
        <v>235.180271609421</v>
      </c>
      <c r="E249" s="0" t="n">
        <v>20</v>
      </c>
      <c r="F249" s="0" t="n">
        <v>20</v>
      </c>
      <c r="G249" s="0" t="n">
        <v>0.5</v>
      </c>
      <c r="H249" s="0" t="n">
        <v>0</v>
      </c>
      <c r="I249" s="0" t="n">
        <v>1.96231341893804</v>
      </c>
      <c r="J249" s="0" t="n">
        <v>254.324690918078</v>
      </c>
      <c r="K249" s="0" t="n">
        <v>19.1444193086564</v>
      </c>
      <c r="L249" s="0" t="n">
        <v>0</v>
      </c>
      <c r="M249" s="0" t="n">
        <v>252.768291466364</v>
      </c>
      <c r="N249" s="0" t="n">
        <v>0</v>
      </c>
      <c r="O249" s="0" t="n">
        <v>232</v>
      </c>
      <c r="P249" s="0" t="n">
        <v>119</v>
      </c>
      <c r="Q249" s="0" t="n">
        <v>113</v>
      </c>
      <c r="R249" s="0" t="n">
        <v>235.096954585079</v>
      </c>
      <c r="S249" s="0" t="n">
        <v>448.553853075124</v>
      </c>
      <c r="T249" s="0" t="n">
        <v>18</v>
      </c>
      <c r="U249" s="0" t="n">
        <v>30</v>
      </c>
      <c r="V249" s="0" t="n">
        <v>13.0609346653185</v>
      </c>
      <c r="W249" s="0" t="n">
        <v>14.9517452633533</v>
      </c>
      <c r="X249" s="0" t="n">
        <v>0</v>
      </c>
      <c r="Y249" s="0" t="n">
        <v>19.1444193086564</v>
      </c>
      <c r="Z249" s="0" t="n">
        <v>0</v>
      </c>
      <c r="AA249" s="0" t="n">
        <v>0</v>
      </c>
      <c r="AB249" s="0" t="n">
        <v>0</v>
      </c>
      <c r="AC249" s="0" t="n">
        <v>1</v>
      </c>
      <c r="AD249" s="0" t="n">
        <v>0</v>
      </c>
      <c r="AE249" s="0" t="n">
        <v>0</v>
      </c>
      <c r="AF249" s="0" t="n">
        <v>0</v>
      </c>
      <c r="AG249" s="0" t="n">
        <v>118.499820126175</v>
      </c>
      <c r="AH249" s="0" t="n">
        <v>0</v>
      </c>
      <c r="AI249" s="0" t="n">
        <v>0</v>
      </c>
      <c r="AK249" s="0" t="n">
        <f aca="false">A249</f>
        <v>232</v>
      </c>
      <c r="AL249" s="0" t="n">
        <v>0</v>
      </c>
      <c r="AM249" s="0" t="n">
        <v>0</v>
      </c>
      <c r="AO249" s="0" t="n">
        <v>232</v>
      </c>
      <c r="AP249" s="0" t="n">
        <v>0</v>
      </c>
      <c r="AQ249" s="0" t="n">
        <v>1.29272715901298</v>
      </c>
      <c r="AR249" s="0" t="n">
        <v>209.602482194423</v>
      </c>
      <c r="AS249" s="0" t="n">
        <v>28</v>
      </c>
      <c r="AT249" s="0" t="n">
        <v>28</v>
      </c>
    </row>
    <row r="250" customFormat="false" ht="12" hidden="false" customHeight="false" outlineLevel="0" collapsed="false">
      <c r="A250" s="0" t="n">
        <v>233</v>
      </c>
      <c r="B250" s="0" t="n">
        <v>0</v>
      </c>
      <c r="C250" s="0" t="n">
        <v>3.22625624556583</v>
      </c>
      <c r="D250" s="0" t="n">
        <v>238.406527854987</v>
      </c>
      <c r="E250" s="0" t="n">
        <v>18</v>
      </c>
      <c r="F250" s="0" t="n">
        <v>18</v>
      </c>
      <c r="G250" s="0" t="n">
        <v>0.5</v>
      </c>
      <c r="H250" s="0" t="n">
        <v>1</v>
      </c>
      <c r="I250" s="0" t="n">
        <v>0</v>
      </c>
      <c r="J250" s="0" t="n">
        <v>254.324690918078</v>
      </c>
      <c r="K250" s="0" t="n">
        <v>0</v>
      </c>
      <c r="L250" s="0" t="n">
        <v>2.23480666851065</v>
      </c>
      <c r="M250" s="0" t="n">
        <v>255.003098134874</v>
      </c>
      <c r="N250" s="0" t="n">
        <v>16.5965702798874</v>
      </c>
      <c r="O250" s="0" t="n">
        <v>233</v>
      </c>
      <c r="P250" s="0" t="n">
        <v>119</v>
      </c>
      <c r="Q250" s="0" t="n">
        <v>114</v>
      </c>
      <c r="R250" s="0" t="n">
        <v>361.566132280192</v>
      </c>
      <c r="S250" s="0" t="n">
        <v>327.318995592846</v>
      </c>
      <c r="T250" s="0" t="n">
        <v>28</v>
      </c>
      <c r="U250" s="0" t="n">
        <v>20</v>
      </c>
      <c r="V250" s="0" t="n">
        <v>12.9130715410527</v>
      </c>
      <c r="W250" s="0" t="n">
        <v>16.3658679503026</v>
      </c>
      <c r="X250" s="0" t="n">
        <v>0</v>
      </c>
      <c r="Y250" s="0" t="n">
        <v>0</v>
      </c>
      <c r="Z250" s="0" t="n">
        <v>0</v>
      </c>
      <c r="AA250" s="0" t="n">
        <v>16.5965702798874</v>
      </c>
      <c r="AB250" s="0" t="n">
        <v>0</v>
      </c>
      <c r="AC250" s="0" t="n">
        <v>0</v>
      </c>
      <c r="AD250" s="0" t="n">
        <v>0</v>
      </c>
      <c r="AE250" s="0" t="n">
        <v>1</v>
      </c>
      <c r="AF250" s="0" t="n">
        <v>0</v>
      </c>
      <c r="AG250" s="0" t="n">
        <v>0</v>
      </c>
      <c r="AH250" s="0" t="n">
        <v>0</v>
      </c>
      <c r="AI250" s="0" t="n">
        <v>78.5912305799745</v>
      </c>
      <c r="AK250" s="0" t="n">
        <f aca="false">A250</f>
        <v>233</v>
      </c>
      <c r="AL250" s="0" t="n">
        <v>0</v>
      </c>
      <c r="AM250" s="0" t="n">
        <v>1</v>
      </c>
      <c r="AO250" s="0" t="n">
        <v>233</v>
      </c>
      <c r="AP250" s="0" t="n">
        <v>1</v>
      </c>
      <c r="AQ250" s="0" t="n">
        <v>1.70247085387335</v>
      </c>
      <c r="AR250" s="0" t="n">
        <v>211.304953048296</v>
      </c>
      <c r="AS250" s="0" t="n">
        <v>28</v>
      </c>
      <c r="AT250" s="0" t="n">
        <v>26</v>
      </c>
    </row>
    <row r="251" customFormat="false" ht="12" hidden="false" customHeight="false" outlineLevel="0" collapsed="false">
      <c r="A251" s="0" t="n">
        <v>234</v>
      </c>
      <c r="B251" s="0" t="n">
        <v>0</v>
      </c>
      <c r="C251" s="0" t="n">
        <v>0.270178640755127</v>
      </c>
      <c r="D251" s="0" t="n">
        <v>238.676706495742</v>
      </c>
      <c r="E251" s="0" t="n">
        <v>18</v>
      </c>
      <c r="F251" s="0" t="n">
        <v>20</v>
      </c>
      <c r="G251" s="0" t="n">
        <v>0.5</v>
      </c>
      <c r="H251" s="0" t="n">
        <v>0</v>
      </c>
      <c r="I251" s="0" t="n">
        <v>1.92678852660433</v>
      </c>
      <c r="J251" s="0" t="n">
        <v>256.251479444682</v>
      </c>
      <c r="K251" s="0" t="n">
        <v>17.5747729489398</v>
      </c>
      <c r="L251" s="0" t="n">
        <v>0</v>
      </c>
      <c r="M251" s="0" t="n">
        <v>255.003098134874</v>
      </c>
      <c r="N251" s="0" t="n">
        <v>0</v>
      </c>
      <c r="O251" s="0" t="n">
        <v>234</v>
      </c>
      <c r="P251" s="0" t="n">
        <v>120</v>
      </c>
      <c r="Q251" s="0" t="n">
        <v>114</v>
      </c>
      <c r="R251" s="0" t="n">
        <v>319.565792075527</v>
      </c>
      <c r="S251" s="0" t="n">
        <v>369.459329286675</v>
      </c>
      <c r="T251" s="0" t="n">
        <v>24</v>
      </c>
      <c r="U251" s="0" t="n">
        <v>24</v>
      </c>
      <c r="V251" s="0" t="n">
        <v>13.3152357884654</v>
      </c>
      <c r="W251" s="0" t="n">
        <v>15.3940745783007</v>
      </c>
      <c r="X251" s="0" t="n">
        <v>0</v>
      </c>
      <c r="Y251" s="0" t="n">
        <v>17.5747729489398</v>
      </c>
      <c r="Z251" s="0" t="n">
        <v>0</v>
      </c>
      <c r="AA251" s="0" t="n">
        <v>0</v>
      </c>
      <c r="AB251" s="0" t="n">
        <v>0</v>
      </c>
      <c r="AC251" s="0" t="n">
        <v>1</v>
      </c>
      <c r="AD251" s="0" t="n">
        <v>0</v>
      </c>
      <c r="AE251" s="0" t="n">
        <v>0</v>
      </c>
      <c r="AF251" s="0" t="n">
        <v>0</v>
      </c>
      <c r="AG251" s="0" t="n">
        <v>86.7900155915499</v>
      </c>
      <c r="AH251" s="0" t="n">
        <v>0</v>
      </c>
      <c r="AI251" s="0" t="n">
        <v>0</v>
      </c>
      <c r="AK251" s="0" t="n">
        <f aca="false">A251</f>
        <v>234</v>
      </c>
      <c r="AL251" s="0" t="n">
        <v>1</v>
      </c>
      <c r="AM251" s="0" t="n">
        <v>0</v>
      </c>
      <c r="AO251" s="0" t="n">
        <v>234</v>
      </c>
      <c r="AP251" s="0" t="n">
        <v>1</v>
      </c>
      <c r="AQ251" s="0" t="n">
        <v>2.2853080281688</v>
      </c>
      <c r="AR251" s="0" t="n">
        <v>213.590261076465</v>
      </c>
      <c r="AS251" s="0" t="n">
        <v>26</v>
      </c>
      <c r="AT251" s="0" t="n">
        <v>26</v>
      </c>
    </row>
    <row r="252" customFormat="false" ht="12" hidden="false" customHeight="false" outlineLevel="0" collapsed="false">
      <c r="A252" s="0" t="n">
        <v>235</v>
      </c>
      <c r="B252" s="0" t="n">
        <v>0</v>
      </c>
      <c r="C252" s="0" t="n">
        <v>2.02595109362914</v>
      </c>
      <c r="D252" s="0" t="n">
        <v>240.702657589371</v>
      </c>
      <c r="E252" s="0" t="n">
        <v>18</v>
      </c>
      <c r="F252" s="0" t="n">
        <v>18</v>
      </c>
      <c r="G252" s="0" t="n">
        <v>0.5</v>
      </c>
      <c r="H252" s="0" t="n">
        <v>0</v>
      </c>
      <c r="I252" s="0" t="n">
        <v>2.13047869587495</v>
      </c>
      <c r="J252" s="0" t="n">
        <v>258.381958140557</v>
      </c>
      <c r="K252" s="0" t="n">
        <v>17.6793005511856</v>
      </c>
      <c r="L252" s="0" t="n">
        <v>0</v>
      </c>
      <c r="M252" s="0" t="n">
        <v>255.003098134874</v>
      </c>
      <c r="N252" s="0" t="n">
        <v>0</v>
      </c>
      <c r="O252" s="0" t="n">
        <v>235</v>
      </c>
      <c r="P252" s="0" t="n">
        <v>121</v>
      </c>
      <c r="Q252" s="0" t="n">
        <v>114</v>
      </c>
      <c r="R252" s="0" t="n">
        <v>414.926394915403</v>
      </c>
      <c r="S252" s="0" t="n">
        <v>297.751423077102</v>
      </c>
      <c r="T252" s="0" t="n">
        <v>25</v>
      </c>
      <c r="U252" s="0" t="n">
        <v>23</v>
      </c>
      <c r="V252" s="0" t="n">
        <v>16.5970491577965</v>
      </c>
      <c r="W252" s="0" t="n">
        <v>12.945657761362</v>
      </c>
      <c r="X252" s="0" t="n">
        <v>0</v>
      </c>
      <c r="Y252" s="0" t="n">
        <v>17.6793005511856</v>
      </c>
      <c r="Z252" s="0" t="n">
        <v>0</v>
      </c>
      <c r="AA252" s="0" t="n">
        <v>0</v>
      </c>
      <c r="AB252" s="0" t="n">
        <v>0</v>
      </c>
      <c r="AC252" s="0" t="n">
        <v>1</v>
      </c>
      <c r="AD252" s="0" t="n">
        <v>0</v>
      </c>
      <c r="AE252" s="0" t="n">
        <v>0</v>
      </c>
      <c r="AF252" s="0" t="n">
        <v>0</v>
      </c>
      <c r="AG252" s="0" t="n">
        <v>88.7485241271742</v>
      </c>
      <c r="AH252" s="0" t="n">
        <v>0</v>
      </c>
      <c r="AI252" s="0" t="n">
        <v>0</v>
      </c>
      <c r="AK252" s="0" t="n">
        <f aca="false">A252</f>
        <v>235</v>
      </c>
      <c r="AL252" s="0" t="n">
        <v>0</v>
      </c>
      <c r="AM252" s="0" t="n">
        <v>0</v>
      </c>
      <c r="AO252" s="0" t="n">
        <v>235</v>
      </c>
      <c r="AP252" s="0" t="n">
        <v>1</v>
      </c>
      <c r="AQ252" s="0" t="n">
        <v>0.518272861957949</v>
      </c>
      <c r="AR252" s="0" t="n">
        <v>214.108533938423</v>
      </c>
      <c r="AS252" s="0" t="n">
        <v>26</v>
      </c>
      <c r="AT252" s="0" t="n">
        <v>26</v>
      </c>
    </row>
    <row r="253" customFormat="false" ht="12" hidden="false" customHeight="false" outlineLevel="0" collapsed="false">
      <c r="A253" s="0" t="n">
        <v>236</v>
      </c>
      <c r="B253" s="0" t="n">
        <v>1</v>
      </c>
      <c r="C253" s="0" t="n">
        <v>2.84286421606062</v>
      </c>
      <c r="D253" s="0" t="n">
        <v>243.545521805432</v>
      </c>
      <c r="E253" s="0" t="n">
        <v>18</v>
      </c>
      <c r="F253" s="0" t="n">
        <v>14</v>
      </c>
      <c r="G253" s="0" t="n">
        <v>0.5</v>
      </c>
      <c r="H253" s="0" t="n">
        <v>1</v>
      </c>
      <c r="I253" s="0" t="n">
        <v>0</v>
      </c>
      <c r="J253" s="0" t="n">
        <v>258.381958140557</v>
      </c>
      <c r="K253" s="0" t="n">
        <v>0</v>
      </c>
      <c r="L253" s="0" t="n">
        <v>1.80760351030885</v>
      </c>
      <c r="M253" s="0" t="n">
        <v>256.810701645183</v>
      </c>
      <c r="N253" s="0" t="n">
        <v>13.2651798397513</v>
      </c>
      <c r="O253" s="0" t="n">
        <v>236</v>
      </c>
      <c r="P253" s="0" t="n">
        <v>121</v>
      </c>
      <c r="Q253" s="0" t="n">
        <v>115</v>
      </c>
      <c r="R253" s="0" t="n">
        <v>335.863206856397</v>
      </c>
      <c r="S253" s="0" t="n">
        <v>357.795858826628</v>
      </c>
      <c r="T253" s="0" t="n">
        <v>23</v>
      </c>
      <c r="U253" s="0" t="n">
        <v>25</v>
      </c>
      <c r="V253" s="0" t="n">
        <v>14.602741775173</v>
      </c>
      <c r="W253" s="0" t="n">
        <v>14.3117771059567</v>
      </c>
      <c r="X253" s="0" t="n">
        <v>0</v>
      </c>
      <c r="Y253" s="0" t="n">
        <v>0</v>
      </c>
      <c r="Z253" s="0" t="n">
        <v>13.2651798397513</v>
      </c>
      <c r="AA253" s="0" t="n">
        <v>0</v>
      </c>
      <c r="AB253" s="0" t="n">
        <v>0</v>
      </c>
      <c r="AC253" s="0" t="n">
        <v>0</v>
      </c>
      <c r="AD253" s="0" t="n">
        <v>1</v>
      </c>
      <c r="AE253" s="0" t="n">
        <v>0</v>
      </c>
      <c r="AF253" s="0" t="n">
        <v>0</v>
      </c>
      <c r="AG253" s="0" t="n">
        <v>0</v>
      </c>
      <c r="AH253" s="0" t="n">
        <v>30.242042696803</v>
      </c>
      <c r="AI253" s="0" t="n">
        <v>0</v>
      </c>
      <c r="AK253" s="0" t="n">
        <f aca="false">A253</f>
        <v>236</v>
      </c>
      <c r="AL253" s="0" t="n">
        <v>2</v>
      </c>
      <c r="AM253" s="0" t="n">
        <v>1</v>
      </c>
      <c r="AO253" s="0" t="n">
        <v>236</v>
      </c>
      <c r="AP253" s="0" t="n">
        <v>1</v>
      </c>
      <c r="AQ253" s="0" t="n">
        <v>0.252074320923655</v>
      </c>
      <c r="AR253" s="0" t="n">
        <v>214.360608259347</v>
      </c>
      <c r="AS253" s="0" t="n">
        <v>28</v>
      </c>
      <c r="AT253" s="0" t="n">
        <v>26</v>
      </c>
    </row>
    <row r="254" customFormat="false" ht="12" hidden="false" customHeight="false" outlineLevel="0" collapsed="false">
      <c r="A254" s="0" t="n">
        <v>237</v>
      </c>
      <c r="B254" s="0" t="n">
        <v>0</v>
      </c>
      <c r="C254" s="0" t="n">
        <v>1.68310785302352</v>
      </c>
      <c r="D254" s="0" t="n">
        <v>245.228629658456</v>
      </c>
      <c r="E254" s="0" t="n">
        <v>16</v>
      </c>
      <c r="F254" s="0" t="n">
        <v>14</v>
      </c>
      <c r="G254" s="0" t="n">
        <v>0.5</v>
      </c>
      <c r="H254" s="0" t="n">
        <v>0</v>
      </c>
      <c r="I254" s="0" t="n">
        <v>1.97108615858555</v>
      </c>
      <c r="J254" s="0" t="n">
        <v>260.353044299143</v>
      </c>
      <c r="K254" s="0" t="n">
        <v>15.124414640687</v>
      </c>
      <c r="L254" s="0" t="n">
        <v>0</v>
      </c>
      <c r="M254" s="0" t="n">
        <v>256.810701645183</v>
      </c>
      <c r="N254" s="0" t="n">
        <v>0</v>
      </c>
      <c r="O254" s="0" t="n">
        <v>237</v>
      </c>
      <c r="P254" s="0" t="n">
        <v>122</v>
      </c>
      <c r="Q254" s="0" t="n">
        <v>115</v>
      </c>
      <c r="R254" s="0" t="n">
        <v>289.149883100477</v>
      </c>
      <c r="S254" s="0" t="n">
        <v>417.368089571596</v>
      </c>
      <c r="T254" s="0" t="n">
        <v>22</v>
      </c>
      <c r="U254" s="0" t="n">
        <v>26</v>
      </c>
      <c r="V254" s="0" t="n">
        <v>13.1431705303987</v>
      </c>
      <c r="W254" s="0" t="n">
        <v>16.0525570890726</v>
      </c>
      <c r="X254" s="0" t="n">
        <v>0</v>
      </c>
      <c r="Y254" s="0" t="n">
        <v>15.124414640687</v>
      </c>
      <c r="Z254" s="0" t="n">
        <v>0</v>
      </c>
      <c r="AA254" s="0" t="n">
        <v>0</v>
      </c>
      <c r="AB254" s="0" t="n">
        <v>0</v>
      </c>
      <c r="AC254" s="0" t="n">
        <v>1</v>
      </c>
      <c r="AD254" s="0" t="n">
        <v>0</v>
      </c>
      <c r="AE254" s="0" t="n">
        <v>0</v>
      </c>
      <c r="AF254" s="0" t="n">
        <v>0</v>
      </c>
      <c r="AG254" s="0" t="n">
        <v>47.1386274039377</v>
      </c>
      <c r="AH254" s="0" t="n">
        <v>0</v>
      </c>
      <c r="AI254" s="0" t="n">
        <v>0</v>
      </c>
      <c r="AK254" s="0" t="n">
        <f aca="false">A254</f>
        <v>237</v>
      </c>
      <c r="AL254" s="0" t="n">
        <v>1</v>
      </c>
      <c r="AM254" s="0" t="n">
        <v>0</v>
      </c>
      <c r="AO254" s="0" t="n">
        <v>237</v>
      </c>
      <c r="AP254" s="0" t="n">
        <v>1</v>
      </c>
      <c r="AQ254" s="0" t="n">
        <v>0.512640590650513</v>
      </c>
      <c r="AR254" s="0" t="n">
        <v>214.873248849997</v>
      </c>
      <c r="AS254" s="0" t="n">
        <v>28</v>
      </c>
      <c r="AT254" s="0" t="n">
        <v>28</v>
      </c>
    </row>
    <row r="255" customFormat="false" ht="12" hidden="false" customHeight="false" outlineLevel="0" collapsed="false">
      <c r="A255" s="0" t="n">
        <v>238</v>
      </c>
      <c r="B255" s="0" t="n">
        <v>0</v>
      </c>
      <c r="C255" s="0" t="n">
        <v>0.292374197558503</v>
      </c>
      <c r="D255" s="0" t="n">
        <v>245.521003856014</v>
      </c>
      <c r="E255" s="0" t="n">
        <v>18</v>
      </c>
      <c r="F255" s="0" t="n">
        <v>14</v>
      </c>
      <c r="G255" s="0" t="n">
        <v>0.5</v>
      </c>
      <c r="H255" s="0" t="n">
        <v>0</v>
      </c>
      <c r="I255" s="0" t="n">
        <v>2.03267957935467</v>
      </c>
      <c r="J255" s="0" t="n">
        <v>262.385723878497</v>
      </c>
      <c r="K255" s="0" t="n">
        <v>16.8647200224832</v>
      </c>
      <c r="L255" s="0" t="n">
        <v>0</v>
      </c>
      <c r="M255" s="0" t="n">
        <v>256.810701645183</v>
      </c>
      <c r="N255" s="0" t="n">
        <v>0</v>
      </c>
      <c r="O255" s="0" t="n">
        <v>238</v>
      </c>
      <c r="P255" s="0" t="n">
        <v>123</v>
      </c>
      <c r="Q255" s="0" t="n">
        <v>115</v>
      </c>
      <c r="R255" s="0" t="n">
        <v>353.183526208468</v>
      </c>
      <c r="S255" s="0" t="n">
        <v>344.620900167436</v>
      </c>
      <c r="T255" s="0" t="n">
        <v>26</v>
      </c>
      <c r="U255" s="0" t="n">
        <v>22</v>
      </c>
      <c r="V255" s="0" t="n">
        <v>13.5839765526424</v>
      </c>
      <c r="W255" s="0" t="n">
        <v>15.6645151689054</v>
      </c>
      <c r="X255" s="0" t="n">
        <v>0</v>
      </c>
      <c r="Y255" s="0" t="n">
        <v>16.8647200224832</v>
      </c>
      <c r="Z255" s="0" t="n">
        <v>0</v>
      </c>
      <c r="AA255" s="0" t="n">
        <v>0</v>
      </c>
      <c r="AB255" s="0" t="n">
        <v>0</v>
      </c>
      <c r="AC255" s="0" t="n">
        <v>1</v>
      </c>
      <c r="AD255" s="0" t="n">
        <v>0</v>
      </c>
      <c r="AE255" s="0" t="n">
        <v>0</v>
      </c>
      <c r="AF255" s="0" t="n">
        <v>0</v>
      </c>
      <c r="AG255" s="0" t="n">
        <v>74.064320024055</v>
      </c>
      <c r="AH255" s="0" t="n">
        <v>0</v>
      </c>
      <c r="AI255" s="0" t="n">
        <v>0</v>
      </c>
      <c r="AK255" s="0" t="n">
        <f aca="false">A255</f>
        <v>238</v>
      </c>
      <c r="AL255" s="0" t="n">
        <v>2</v>
      </c>
      <c r="AM255" s="0" t="n">
        <v>1</v>
      </c>
      <c r="AO255" s="0" t="n">
        <v>238</v>
      </c>
      <c r="AP255" s="0" t="n">
        <v>1</v>
      </c>
      <c r="AQ255" s="0" t="n">
        <v>0.200786821724911</v>
      </c>
      <c r="AR255" s="0" t="n">
        <v>215.074035671722</v>
      </c>
      <c r="AS255" s="0" t="n">
        <v>28</v>
      </c>
      <c r="AT255" s="0" t="n">
        <v>30</v>
      </c>
    </row>
    <row r="256" customFormat="false" ht="12" hidden="false" customHeight="false" outlineLevel="0" collapsed="false">
      <c r="A256" s="0" t="n">
        <v>239</v>
      </c>
      <c r="B256" s="0" t="n">
        <v>1</v>
      </c>
      <c r="C256" s="0" t="n">
        <v>0.863918717347632</v>
      </c>
      <c r="D256" s="0" t="n">
        <v>246.384922573362</v>
      </c>
      <c r="E256" s="0" t="n">
        <v>18</v>
      </c>
      <c r="F256" s="0" t="n">
        <v>14</v>
      </c>
      <c r="G256" s="0" t="n">
        <v>0.5</v>
      </c>
      <c r="H256" s="0" t="n">
        <v>1</v>
      </c>
      <c r="I256" s="0" t="n">
        <v>0</v>
      </c>
      <c r="J256" s="0" t="n">
        <v>262.385723878497</v>
      </c>
      <c r="K256" s="0" t="n">
        <v>0</v>
      </c>
      <c r="L256" s="0" t="n">
        <v>1.98488148596954</v>
      </c>
      <c r="M256" s="0" t="n">
        <v>258.795583131153</v>
      </c>
      <c r="N256" s="0" t="n">
        <v>12.4106605577912</v>
      </c>
      <c r="O256" s="0" t="n">
        <v>239</v>
      </c>
      <c r="P256" s="0" t="n">
        <v>123</v>
      </c>
      <c r="Q256" s="0" t="n">
        <v>116</v>
      </c>
      <c r="R256" s="0" t="n">
        <v>402.613214566168</v>
      </c>
      <c r="S256" s="0" t="n">
        <v>319.161253144293</v>
      </c>
      <c r="T256" s="0" t="n">
        <v>25</v>
      </c>
      <c r="U256" s="0" t="n">
        <v>23</v>
      </c>
      <c r="V256" s="0" t="n">
        <v>16.1045221408379</v>
      </c>
      <c r="W256" s="0" t="n">
        <v>13.8765158909871</v>
      </c>
      <c r="X256" s="0" t="n">
        <v>0</v>
      </c>
      <c r="Y256" s="0" t="n">
        <v>0</v>
      </c>
      <c r="Z256" s="0" t="n">
        <v>12.4106605577912</v>
      </c>
      <c r="AA256" s="0" t="n">
        <v>0</v>
      </c>
      <c r="AB256" s="0" t="n">
        <v>0</v>
      </c>
      <c r="AC256" s="0" t="n">
        <v>0</v>
      </c>
      <c r="AD256" s="0" t="n">
        <v>1</v>
      </c>
      <c r="AE256" s="0" t="n">
        <v>0</v>
      </c>
      <c r="AF256" s="0" t="n">
        <v>0</v>
      </c>
      <c r="AG256" s="0" t="n">
        <v>0</v>
      </c>
      <c r="AH256" s="0" t="n">
        <v>21.5737701832538</v>
      </c>
      <c r="AI256" s="0" t="n">
        <v>0</v>
      </c>
      <c r="AK256" s="0" t="n">
        <f aca="false">A256</f>
        <v>239</v>
      </c>
      <c r="AL256" s="0" t="n">
        <v>2</v>
      </c>
      <c r="AM256" s="0" t="n">
        <v>0</v>
      </c>
      <c r="AO256" s="0" t="n">
        <v>239</v>
      </c>
      <c r="AP256" s="0" t="n">
        <v>0</v>
      </c>
      <c r="AQ256" s="0" t="n">
        <v>1.12150586745153</v>
      </c>
      <c r="AR256" s="0" t="n">
        <v>216.195541539174</v>
      </c>
      <c r="AS256" s="0" t="n">
        <v>28</v>
      </c>
      <c r="AT256" s="0" t="n">
        <v>28</v>
      </c>
    </row>
    <row r="257" customFormat="false" ht="12" hidden="false" customHeight="false" outlineLevel="0" collapsed="false">
      <c r="A257" s="0" t="n">
        <v>240</v>
      </c>
      <c r="B257" s="0" t="n">
        <v>0</v>
      </c>
      <c r="C257" s="0" t="n">
        <v>0.940186065321953</v>
      </c>
      <c r="D257" s="0" t="n">
        <v>247.325108638684</v>
      </c>
      <c r="E257" s="0" t="n">
        <v>18</v>
      </c>
      <c r="F257" s="0" t="n">
        <v>14</v>
      </c>
      <c r="G257" s="0" t="n">
        <v>0.5</v>
      </c>
      <c r="H257" s="0" t="n">
        <v>0</v>
      </c>
      <c r="I257" s="0" t="n">
        <v>2.11274179329822</v>
      </c>
      <c r="J257" s="0" t="n">
        <v>264.498465671795</v>
      </c>
      <c r="K257" s="0" t="n">
        <v>17.1733570331118</v>
      </c>
      <c r="L257" s="0" t="n">
        <v>0</v>
      </c>
      <c r="M257" s="0" t="n">
        <v>258.795583131153</v>
      </c>
      <c r="N257" s="0" t="n">
        <v>0</v>
      </c>
      <c r="O257" s="0" t="n">
        <v>240</v>
      </c>
      <c r="P257" s="0" t="n">
        <v>124</v>
      </c>
      <c r="Q257" s="0" t="n">
        <v>116</v>
      </c>
      <c r="R257" s="0" t="n">
        <v>301.019071037159</v>
      </c>
      <c r="S257" s="0" t="n">
        <v>418.514824614496</v>
      </c>
      <c r="T257" s="0" t="n">
        <v>21</v>
      </c>
      <c r="U257" s="0" t="n">
        <v>27</v>
      </c>
      <c r="V257" s="0" t="n">
        <v>14.3342346521339</v>
      </c>
      <c r="W257" s="0" t="n">
        <v>15.5004916505678</v>
      </c>
      <c r="X257" s="0" t="n">
        <v>0</v>
      </c>
      <c r="Y257" s="0" t="n">
        <v>17.1733570331118</v>
      </c>
      <c r="Z257" s="0" t="n">
        <v>0</v>
      </c>
      <c r="AA257" s="0" t="n">
        <v>0</v>
      </c>
      <c r="AB257" s="0" t="n">
        <v>0</v>
      </c>
      <c r="AC257" s="0" t="n">
        <v>1</v>
      </c>
      <c r="AD257" s="0" t="n">
        <v>0</v>
      </c>
      <c r="AE257" s="0" t="n">
        <v>0</v>
      </c>
      <c r="AF257" s="0" t="n">
        <v>0</v>
      </c>
      <c r="AG257" s="0" t="n">
        <v>79.471875931541</v>
      </c>
      <c r="AH257" s="0" t="n">
        <v>0</v>
      </c>
      <c r="AI257" s="0" t="n">
        <v>0</v>
      </c>
      <c r="AK257" s="0" t="n">
        <f aca="false">A257</f>
        <v>240</v>
      </c>
      <c r="AL257" s="0" t="n">
        <v>2</v>
      </c>
      <c r="AM257" s="0" t="n">
        <v>1</v>
      </c>
      <c r="AO257" s="0" t="n">
        <v>240</v>
      </c>
      <c r="AP257" s="0" t="n">
        <v>0</v>
      </c>
      <c r="AQ257" s="0" t="n">
        <v>0.358259473028184</v>
      </c>
      <c r="AR257" s="0" t="n">
        <v>216.553801012202</v>
      </c>
      <c r="AS257" s="0" t="n">
        <v>30</v>
      </c>
      <c r="AT257" s="0" t="n">
        <v>28</v>
      </c>
    </row>
    <row r="258" customFormat="false" ht="12" hidden="false" customHeight="false" outlineLevel="0" collapsed="false">
      <c r="A258" s="0" t="n">
        <v>241</v>
      </c>
      <c r="B258" s="0" t="n">
        <v>1</v>
      </c>
      <c r="C258" s="0" t="n">
        <v>0.373945669449498</v>
      </c>
      <c r="D258" s="0" t="n">
        <v>247.699054308133</v>
      </c>
      <c r="E258" s="0" t="n">
        <v>20</v>
      </c>
      <c r="F258" s="0" t="n">
        <v>14</v>
      </c>
      <c r="G258" s="0" t="n">
        <v>0.5</v>
      </c>
      <c r="H258" s="0" t="n">
        <v>1</v>
      </c>
      <c r="I258" s="0" t="n">
        <v>0</v>
      </c>
      <c r="J258" s="0" t="n">
        <v>264.498465671795</v>
      </c>
      <c r="K258" s="0" t="n">
        <v>0</v>
      </c>
      <c r="L258" s="0" t="n">
        <v>2.2306891357467</v>
      </c>
      <c r="M258" s="0" t="n">
        <v>261.0262722669</v>
      </c>
      <c r="N258" s="0" t="n">
        <v>13.3272179587665</v>
      </c>
      <c r="O258" s="0" t="n">
        <v>241</v>
      </c>
      <c r="P258" s="0" t="n">
        <v>124</v>
      </c>
      <c r="Q258" s="0" t="n">
        <v>117</v>
      </c>
      <c r="R258" s="0" t="n">
        <v>438.278210483966</v>
      </c>
      <c r="S258" s="0" t="n">
        <v>295.823235913204</v>
      </c>
      <c r="T258" s="0" t="n">
        <v>25</v>
      </c>
      <c r="U258" s="0" t="n">
        <v>23</v>
      </c>
      <c r="V258" s="0" t="n">
        <v>17.5311214069101</v>
      </c>
      <c r="W258" s="0" t="n">
        <v>12.8618239013397</v>
      </c>
      <c r="X258" s="0" t="n">
        <v>0</v>
      </c>
      <c r="Y258" s="0" t="n">
        <v>0</v>
      </c>
      <c r="Z258" s="0" t="n">
        <v>13.3272179587665</v>
      </c>
      <c r="AA258" s="0" t="n">
        <v>0</v>
      </c>
      <c r="AB258" s="0" t="n">
        <v>0</v>
      </c>
      <c r="AC258" s="0" t="n">
        <v>0</v>
      </c>
      <c r="AD258" s="0" t="n">
        <v>1</v>
      </c>
      <c r="AE258" s="0" t="n">
        <v>0</v>
      </c>
      <c r="AF258" s="0" t="n">
        <v>0</v>
      </c>
      <c r="AG258" s="0" t="n">
        <v>0</v>
      </c>
      <c r="AH258" s="0" t="n">
        <v>30.9282209726184</v>
      </c>
      <c r="AI258" s="0" t="n">
        <v>0</v>
      </c>
      <c r="AK258" s="0" t="n">
        <f aca="false">A258</f>
        <v>241</v>
      </c>
      <c r="AL258" s="0" t="n">
        <v>3</v>
      </c>
      <c r="AM258" s="0" t="n">
        <v>2</v>
      </c>
      <c r="AO258" s="0" t="n">
        <v>241</v>
      </c>
      <c r="AP258" s="0" t="n">
        <v>1</v>
      </c>
      <c r="AQ258" s="0" t="n">
        <v>0.604836274299345</v>
      </c>
      <c r="AR258" s="0" t="n">
        <v>217.158637286501</v>
      </c>
      <c r="AS258" s="0" t="n">
        <v>32</v>
      </c>
      <c r="AT258" s="0" t="n">
        <v>28</v>
      </c>
    </row>
    <row r="259" customFormat="false" ht="12" hidden="false" customHeight="false" outlineLevel="0" collapsed="false">
      <c r="A259" s="0" t="n">
        <v>242</v>
      </c>
      <c r="B259" s="0" t="n">
        <v>1</v>
      </c>
      <c r="C259" s="0" t="n">
        <v>1.29212020373272</v>
      </c>
      <c r="D259" s="0" t="n">
        <v>248.991174511866</v>
      </c>
      <c r="E259" s="0" t="n">
        <v>18</v>
      </c>
      <c r="F259" s="0" t="n">
        <v>16</v>
      </c>
      <c r="G259" s="0" t="n">
        <v>0.5</v>
      </c>
      <c r="H259" s="0" t="n">
        <v>1</v>
      </c>
      <c r="I259" s="0" t="n">
        <v>0</v>
      </c>
      <c r="J259" s="0" t="n">
        <v>264.498465671795</v>
      </c>
      <c r="K259" s="0" t="n">
        <v>0</v>
      </c>
      <c r="L259" s="0" t="n">
        <v>2.22064105827957</v>
      </c>
      <c r="M259" s="0" t="n">
        <v>263.246913325179</v>
      </c>
      <c r="N259" s="0" t="n">
        <v>14.2557388133133</v>
      </c>
      <c r="O259" s="0" t="n">
        <v>242</v>
      </c>
      <c r="P259" s="0" t="n">
        <v>124</v>
      </c>
      <c r="Q259" s="0" t="n">
        <v>118</v>
      </c>
      <c r="R259" s="0" t="n">
        <v>344.943604054917</v>
      </c>
      <c r="S259" s="0" t="n">
        <v>392.106389613033</v>
      </c>
      <c r="T259" s="0" t="n">
        <v>24</v>
      </c>
      <c r="U259" s="0" t="n">
        <v>24</v>
      </c>
      <c r="V259" s="0" t="n">
        <v>14.3726441803531</v>
      </c>
      <c r="W259" s="0" t="n">
        <v>16.337698160134</v>
      </c>
      <c r="X259" s="0" t="n">
        <v>0</v>
      </c>
      <c r="Y259" s="0" t="n">
        <v>0</v>
      </c>
      <c r="Z259" s="0" t="n">
        <v>14.2557388133133</v>
      </c>
      <c r="AA259" s="0" t="n">
        <v>0</v>
      </c>
      <c r="AB259" s="0" t="n">
        <v>0</v>
      </c>
      <c r="AC259" s="0" t="n">
        <v>0</v>
      </c>
      <c r="AD259" s="0" t="n">
        <v>1</v>
      </c>
      <c r="AE259" s="0" t="n">
        <v>0</v>
      </c>
      <c r="AF259" s="0" t="n">
        <v>0</v>
      </c>
      <c r="AG259" s="0" t="n">
        <v>0</v>
      </c>
      <c r="AH259" s="0" t="n">
        <v>42.117965268542</v>
      </c>
      <c r="AI259" s="0" t="n">
        <v>0</v>
      </c>
      <c r="AK259" s="0" t="n">
        <f aca="false">A259</f>
        <v>242</v>
      </c>
      <c r="AL259" s="0" t="n">
        <v>1</v>
      </c>
      <c r="AM259" s="0" t="n">
        <v>1</v>
      </c>
      <c r="AO259" s="0" t="n">
        <v>242</v>
      </c>
      <c r="AP259" s="0" t="n">
        <v>0</v>
      </c>
      <c r="AQ259" s="0" t="n">
        <v>0.216628092499701</v>
      </c>
      <c r="AR259" s="0" t="n">
        <v>217.375265379001</v>
      </c>
      <c r="AS259" s="0" t="n">
        <v>32</v>
      </c>
      <c r="AT259" s="0" t="n">
        <v>30</v>
      </c>
    </row>
    <row r="260" customFormat="false" ht="12" hidden="false" customHeight="false" outlineLevel="0" collapsed="false">
      <c r="A260" s="0" t="n">
        <v>243</v>
      </c>
      <c r="B260" s="0" t="n">
        <v>0</v>
      </c>
      <c r="C260" s="0" t="n">
        <v>2.30087119801506</v>
      </c>
      <c r="D260" s="0" t="n">
        <v>251.292045709881</v>
      </c>
      <c r="E260" s="0" t="n">
        <v>16</v>
      </c>
      <c r="F260" s="0" t="n">
        <v>14</v>
      </c>
      <c r="G260" s="0" t="n">
        <v>0.5</v>
      </c>
      <c r="H260" s="0" t="n">
        <v>0</v>
      </c>
      <c r="I260" s="0" t="n">
        <v>1.88765989822507</v>
      </c>
      <c r="J260" s="0" t="n">
        <v>266.38612557002</v>
      </c>
      <c r="K260" s="0" t="n">
        <v>15.0940798601396</v>
      </c>
      <c r="L260" s="0" t="n">
        <v>0</v>
      </c>
      <c r="M260" s="0" t="n">
        <v>263.246913325179</v>
      </c>
      <c r="N260" s="0" t="n">
        <v>0</v>
      </c>
      <c r="O260" s="0" t="n">
        <v>243</v>
      </c>
      <c r="P260" s="0" t="n">
        <v>125</v>
      </c>
      <c r="Q260" s="0" t="n">
        <v>118</v>
      </c>
      <c r="R260" s="0" t="n">
        <v>329.507551052192</v>
      </c>
      <c r="S260" s="0" t="n">
        <v>417.06831333425</v>
      </c>
      <c r="T260" s="0" t="n">
        <v>19</v>
      </c>
      <c r="U260" s="0" t="n">
        <v>29</v>
      </c>
      <c r="V260" s="0" t="n">
        <v>17.3424935593293</v>
      </c>
      <c r="W260" s="0" t="n">
        <v>14.3816163852625</v>
      </c>
      <c r="X260" s="0" t="n">
        <v>0</v>
      </c>
      <c r="Y260" s="0" t="n">
        <v>15.0940798601396</v>
      </c>
      <c r="Z260" s="0" t="n">
        <v>0</v>
      </c>
      <c r="AA260" s="0" t="n">
        <v>0</v>
      </c>
      <c r="AB260" s="0" t="n">
        <v>0</v>
      </c>
      <c r="AC260" s="0" t="n">
        <v>1</v>
      </c>
      <c r="AD260" s="0" t="n">
        <v>0</v>
      </c>
      <c r="AE260" s="0" t="n">
        <v>0</v>
      </c>
      <c r="AF260" s="0" t="n">
        <v>0</v>
      </c>
      <c r="AG260" s="0" t="n">
        <v>46.7230051027528</v>
      </c>
      <c r="AH260" s="0" t="n">
        <v>0</v>
      </c>
      <c r="AI260" s="0" t="n">
        <v>0</v>
      </c>
      <c r="AK260" s="0" t="n">
        <f aca="false">A260</f>
        <v>243</v>
      </c>
      <c r="AL260" s="0" t="n">
        <v>1</v>
      </c>
      <c r="AM260" s="0" t="n">
        <v>2</v>
      </c>
      <c r="AO260" s="0" t="n">
        <v>243</v>
      </c>
      <c r="AP260" s="0" t="n">
        <v>1</v>
      </c>
      <c r="AQ260" s="0" t="n">
        <v>1.51889574481779</v>
      </c>
      <c r="AR260" s="0" t="n">
        <v>218.894161123819</v>
      </c>
      <c r="AS260" s="0" t="n">
        <v>32</v>
      </c>
      <c r="AT260" s="0" t="n">
        <v>28</v>
      </c>
    </row>
    <row r="261" customFormat="false" ht="12" hidden="false" customHeight="false" outlineLevel="0" collapsed="false">
      <c r="A261" s="0" t="n">
        <v>244</v>
      </c>
      <c r="B261" s="0" t="n">
        <v>0</v>
      </c>
      <c r="C261" s="0" t="n">
        <v>0.103410306338291</v>
      </c>
      <c r="D261" s="0" t="n">
        <v>251.395456016219</v>
      </c>
      <c r="E261" s="0" t="n">
        <v>18</v>
      </c>
      <c r="F261" s="0" t="n">
        <v>14</v>
      </c>
      <c r="G261" s="0" t="n">
        <v>0.5</v>
      </c>
      <c r="H261" s="0" t="n">
        <v>1</v>
      </c>
      <c r="I261" s="0" t="n">
        <v>0</v>
      </c>
      <c r="J261" s="0" t="n">
        <v>266.38612557002</v>
      </c>
      <c r="K261" s="0" t="n">
        <v>0</v>
      </c>
      <c r="L261" s="0" t="n">
        <v>1.82586125025031</v>
      </c>
      <c r="M261" s="0" t="n">
        <v>265.072774575429</v>
      </c>
      <c r="N261" s="0" t="n">
        <v>13.6773185592103</v>
      </c>
      <c r="O261" s="0" t="n">
        <v>244</v>
      </c>
      <c r="P261" s="0" t="n">
        <v>125</v>
      </c>
      <c r="Q261" s="0" t="n">
        <v>119</v>
      </c>
      <c r="R261" s="0" t="n">
        <v>382.129741811785</v>
      </c>
      <c r="S261" s="0" t="n">
        <v>362.047079707575</v>
      </c>
      <c r="T261" s="0" t="n">
        <v>29</v>
      </c>
      <c r="U261" s="0" t="n">
        <v>19</v>
      </c>
      <c r="V261" s="0" t="n">
        <v>13.1768831049295</v>
      </c>
      <c r="W261" s="0" t="n">
        <v>19.0550091687715</v>
      </c>
      <c r="X261" s="0" t="n">
        <v>0</v>
      </c>
      <c r="Y261" s="0" t="n">
        <v>0</v>
      </c>
      <c r="Z261" s="0" t="n">
        <v>0</v>
      </c>
      <c r="AA261" s="0" t="n">
        <v>13.6773185592103</v>
      </c>
      <c r="AB261" s="0" t="n">
        <v>0</v>
      </c>
      <c r="AC261" s="0" t="n">
        <v>0</v>
      </c>
      <c r="AD261" s="0" t="n">
        <v>0</v>
      </c>
      <c r="AE261" s="0" t="n">
        <v>1</v>
      </c>
      <c r="AF261" s="0" t="n">
        <v>0</v>
      </c>
      <c r="AG261" s="0" t="n">
        <v>0</v>
      </c>
      <c r="AH261" s="0" t="n">
        <v>0</v>
      </c>
      <c r="AI261" s="0" t="n">
        <v>35.3539384505746</v>
      </c>
      <c r="AK261" s="0" t="n">
        <f aca="false">A261</f>
        <v>244</v>
      </c>
      <c r="AL261" s="0" t="n">
        <v>2</v>
      </c>
      <c r="AM261" s="0" t="n">
        <v>1</v>
      </c>
      <c r="AO261" s="0" t="n">
        <v>244</v>
      </c>
      <c r="AP261" s="0" t="n">
        <v>0</v>
      </c>
      <c r="AQ261" s="0" t="n">
        <v>0.276008899050491</v>
      </c>
      <c r="AR261" s="0" t="n">
        <v>219.170170022869</v>
      </c>
      <c r="AS261" s="0" t="n">
        <v>32</v>
      </c>
      <c r="AT261" s="0" t="n">
        <v>30</v>
      </c>
    </row>
    <row r="262" customFormat="false" ht="12" hidden="false" customHeight="false" outlineLevel="0" collapsed="false">
      <c r="A262" s="0" t="n">
        <v>245</v>
      </c>
      <c r="B262" s="0" t="n">
        <v>0</v>
      </c>
      <c r="C262" s="0" t="n">
        <v>0.791556795476177</v>
      </c>
      <c r="D262" s="0" t="n">
        <v>252.187012811695</v>
      </c>
      <c r="E262" s="0" t="n">
        <v>18</v>
      </c>
      <c r="F262" s="0" t="n">
        <v>16</v>
      </c>
      <c r="G262" s="0" t="n">
        <v>0.5</v>
      </c>
      <c r="H262" s="0" t="n">
        <v>1</v>
      </c>
      <c r="I262" s="0" t="n">
        <v>0</v>
      </c>
      <c r="J262" s="0" t="n">
        <v>266.38612557002</v>
      </c>
      <c r="K262" s="0" t="n">
        <v>0</v>
      </c>
      <c r="L262" s="0" t="n">
        <v>1.88147334541892</v>
      </c>
      <c r="M262" s="0" t="n">
        <v>266.954247920848</v>
      </c>
      <c r="N262" s="0" t="n">
        <v>14.767235109153</v>
      </c>
      <c r="O262" s="0" t="n">
        <v>245</v>
      </c>
      <c r="P262" s="0" t="n">
        <v>125</v>
      </c>
      <c r="Q262" s="0" t="n">
        <v>120</v>
      </c>
      <c r="R262" s="0" t="n">
        <v>357.761192530993</v>
      </c>
      <c r="S262" s="0" t="n">
        <v>376.114031871183</v>
      </c>
      <c r="T262" s="0" t="n">
        <v>27</v>
      </c>
      <c r="U262" s="0" t="n">
        <v>21</v>
      </c>
      <c r="V262" s="0" t="n">
        <v>13.2504096306258</v>
      </c>
      <c r="W262" s="0" t="n">
        <v>17.9101067076434</v>
      </c>
      <c r="X262" s="0" t="n">
        <v>0</v>
      </c>
      <c r="Y262" s="0" t="n">
        <v>0</v>
      </c>
      <c r="Z262" s="0" t="n">
        <v>0</v>
      </c>
      <c r="AA262" s="0" t="n">
        <v>14.767235109153</v>
      </c>
      <c r="AB262" s="0" t="n">
        <v>0</v>
      </c>
      <c r="AC262" s="0" t="n">
        <v>0</v>
      </c>
      <c r="AD262" s="0" t="n">
        <v>0</v>
      </c>
      <c r="AE262" s="0" t="n">
        <v>1</v>
      </c>
      <c r="AF262" s="0" t="n">
        <v>0</v>
      </c>
      <c r="AG262" s="0" t="n">
        <v>0</v>
      </c>
      <c r="AH262" s="0" t="n">
        <v>0</v>
      </c>
      <c r="AI262" s="0" t="n">
        <v>49.5029649598593</v>
      </c>
      <c r="AK262" s="0" t="n">
        <f aca="false">A262</f>
        <v>245</v>
      </c>
      <c r="AL262" s="0" t="n">
        <v>1</v>
      </c>
      <c r="AM262" s="0" t="n">
        <v>0</v>
      </c>
      <c r="AO262" s="0" t="n">
        <v>245</v>
      </c>
      <c r="AP262" s="0" t="n">
        <v>0</v>
      </c>
      <c r="AQ262" s="0" t="n">
        <v>0.669954572594761</v>
      </c>
      <c r="AR262" s="0" t="n">
        <v>219.840124595464</v>
      </c>
      <c r="AS262" s="0" t="n">
        <v>30</v>
      </c>
      <c r="AT262" s="0" t="n">
        <v>30</v>
      </c>
    </row>
    <row r="263" customFormat="false" ht="12" hidden="false" customHeight="false" outlineLevel="0" collapsed="false">
      <c r="A263" s="0" t="n">
        <v>246</v>
      </c>
      <c r="B263" s="0" t="n">
        <v>1</v>
      </c>
      <c r="C263" s="0" t="n">
        <v>3.50667889669325</v>
      </c>
      <c r="D263" s="0" t="n">
        <v>255.693691708389</v>
      </c>
      <c r="E263" s="0" t="n">
        <v>14</v>
      </c>
      <c r="F263" s="0" t="n">
        <v>14</v>
      </c>
      <c r="G263" s="0" t="n">
        <v>0.5</v>
      </c>
      <c r="H263" s="0" t="n">
        <v>0</v>
      </c>
      <c r="I263" s="0" t="n">
        <v>1.7618070715902</v>
      </c>
      <c r="J263" s="0" t="n">
        <v>268.147932641611</v>
      </c>
      <c r="K263" s="0" t="n">
        <v>12.4542409332221</v>
      </c>
      <c r="L263" s="0" t="n">
        <v>0</v>
      </c>
      <c r="M263" s="0" t="n">
        <v>266.954247920848</v>
      </c>
      <c r="N263" s="0" t="n">
        <v>0</v>
      </c>
      <c r="O263" s="0" t="n">
        <v>246</v>
      </c>
      <c r="P263" s="0" t="n">
        <v>126</v>
      </c>
      <c r="Q263" s="0" t="n">
        <v>120</v>
      </c>
      <c r="R263" s="0" t="n">
        <v>392.780669921963</v>
      </c>
      <c r="S263" s="0" t="n">
        <v>347.548974907792</v>
      </c>
      <c r="T263" s="0" t="n">
        <v>24</v>
      </c>
      <c r="U263" s="0" t="n">
        <v>24</v>
      </c>
      <c r="V263" s="0" t="n">
        <v>16.3658544276424</v>
      </c>
      <c r="W263" s="0" t="n">
        <v>14.4811469497124</v>
      </c>
      <c r="X263" s="0" t="n">
        <v>12.4542409332221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  <c r="AF263" s="0" t="n">
        <v>25.267519795277</v>
      </c>
      <c r="AG263" s="0" t="n">
        <v>0</v>
      </c>
      <c r="AH263" s="0" t="n">
        <v>0</v>
      </c>
      <c r="AI263" s="0" t="n">
        <v>0</v>
      </c>
      <c r="AK263" s="0" t="n">
        <f aca="false">A263</f>
        <v>246</v>
      </c>
      <c r="AL263" s="0" t="n">
        <v>0</v>
      </c>
      <c r="AM263" s="0" t="n">
        <v>1</v>
      </c>
      <c r="AO263" s="0" t="n">
        <v>246</v>
      </c>
      <c r="AP263" s="0" t="n">
        <v>0</v>
      </c>
      <c r="AQ263" s="0" t="n">
        <v>0.164348135587965</v>
      </c>
      <c r="AR263" s="0" t="n">
        <v>220.004472731052</v>
      </c>
      <c r="AS263" s="0" t="n">
        <v>30</v>
      </c>
      <c r="AT263" s="0" t="n">
        <v>32</v>
      </c>
    </row>
    <row r="264" customFormat="false" ht="12" hidden="false" customHeight="false" outlineLevel="0" collapsed="false">
      <c r="A264" s="0" t="n">
        <v>247</v>
      </c>
      <c r="B264" s="0" t="n">
        <v>0</v>
      </c>
      <c r="C264" s="0" t="n">
        <v>1.76989807365773</v>
      </c>
      <c r="D264" s="0" t="n">
        <v>257.463589782046</v>
      </c>
      <c r="E264" s="0" t="n">
        <v>14</v>
      </c>
      <c r="F264" s="0" t="n">
        <v>12</v>
      </c>
      <c r="G264" s="0" t="n">
        <v>0.5</v>
      </c>
      <c r="H264" s="0" t="n">
        <v>1</v>
      </c>
      <c r="I264" s="0" t="n">
        <v>0</v>
      </c>
      <c r="J264" s="0" t="n">
        <v>268.147932641611</v>
      </c>
      <c r="K264" s="0" t="n">
        <v>0</v>
      </c>
      <c r="L264" s="0" t="n">
        <v>2.18114899654378</v>
      </c>
      <c r="M264" s="0" t="n">
        <v>269.135396917392</v>
      </c>
      <c r="N264" s="0" t="n">
        <v>11.6718071353458</v>
      </c>
      <c r="O264" s="0" t="n">
        <v>247</v>
      </c>
      <c r="P264" s="0" t="n">
        <v>126</v>
      </c>
      <c r="Q264" s="0" t="n">
        <v>121</v>
      </c>
      <c r="R264" s="0" t="n">
        <v>497.828739961566</v>
      </c>
      <c r="S264" s="0" t="n">
        <v>246.150872313384</v>
      </c>
      <c r="T264" s="0" t="n">
        <v>29</v>
      </c>
      <c r="U264" s="0" t="n">
        <v>19</v>
      </c>
      <c r="V264" s="0" t="n">
        <v>17.1665023550532</v>
      </c>
      <c r="W264" s="0" t="n">
        <v>12.9552408836471</v>
      </c>
      <c r="X264" s="0" t="n">
        <v>0</v>
      </c>
      <c r="Y264" s="0" t="n">
        <v>0</v>
      </c>
      <c r="Z264" s="0" t="n">
        <v>0</v>
      </c>
      <c r="AA264" s="0" t="n">
        <v>11.6718071353458</v>
      </c>
      <c r="AB264" s="0" t="n">
        <v>0</v>
      </c>
      <c r="AC264" s="0" t="n">
        <v>0</v>
      </c>
      <c r="AD264" s="0" t="n">
        <v>0</v>
      </c>
      <c r="AE264" s="0" t="n">
        <v>1</v>
      </c>
      <c r="AF264" s="0" t="n">
        <v>0</v>
      </c>
      <c r="AG264" s="0" t="n">
        <v>0</v>
      </c>
      <c r="AH264" s="0" t="n">
        <v>0</v>
      </c>
      <c r="AI264" s="0" t="n">
        <v>15.5268023867017</v>
      </c>
      <c r="AK264" s="0" t="n">
        <f aca="false">A264</f>
        <v>247</v>
      </c>
      <c r="AL264" s="0" t="n">
        <v>1</v>
      </c>
      <c r="AM264" s="0" t="n">
        <v>2</v>
      </c>
      <c r="AO264" s="0" t="n">
        <v>247</v>
      </c>
      <c r="AP264" s="0" t="n">
        <v>1</v>
      </c>
      <c r="AQ264" s="0" t="n">
        <v>0.404436246864023</v>
      </c>
      <c r="AR264" s="0" t="n">
        <v>220.408908977916</v>
      </c>
      <c r="AS264" s="0" t="n">
        <v>30</v>
      </c>
      <c r="AT264" s="0" t="n">
        <v>34</v>
      </c>
    </row>
    <row r="265" customFormat="false" ht="12" hidden="false" customHeight="false" outlineLevel="0" collapsed="false">
      <c r="A265" s="0" t="n">
        <v>248</v>
      </c>
      <c r="B265" s="0" t="n">
        <v>0</v>
      </c>
      <c r="C265" s="0" t="n">
        <v>0.782116225254233</v>
      </c>
      <c r="D265" s="0" t="n">
        <v>258.245706007301</v>
      </c>
      <c r="E265" s="0" t="n">
        <v>14</v>
      </c>
      <c r="F265" s="0" t="n">
        <v>14</v>
      </c>
      <c r="G265" s="0" t="n">
        <v>0.5</v>
      </c>
      <c r="H265" s="0" t="n">
        <v>0</v>
      </c>
      <c r="I265" s="0" t="n">
        <v>1.94634610353149</v>
      </c>
      <c r="J265" s="0" t="n">
        <v>270.094278745142</v>
      </c>
      <c r="K265" s="0" t="n">
        <v>11.8485727378416</v>
      </c>
      <c r="L265" s="0" t="n">
        <v>0</v>
      </c>
      <c r="M265" s="0" t="n">
        <v>269.135396917392</v>
      </c>
      <c r="N265" s="0" t="n">
        <v>0</v>
      </c>
      <c r="O265" s="0" t="n">
        <v>248</v>
      </c>
      <c r="P265" s="0" t="n">
        <v>127</v>
      </c>
      <c r="Q265" s="0" t="n">
        <v>121</v>
      </c>
      <c r="R265" s="0" t="n">
        <v>282.124396131967</v>
      </c>
      <c r="S265" s="0" t="n">
        <v>462.736453484663</v>
      </c>
      <c r="T265" s="0" t="n">
        <v>20</v>
      </c>
      <c r="U265" s="0" t="n">
        <v>28</v>
      </c>
      <c r="V265" s="0" t="n">
        <v>14.106212753492</v>
      </c>
      <c r="W265" s="0" t="n">
        <v>16.5262428878705</v>
      </c>
      <c r="X265" s="0" t="n">
        <v>0</v>
      </c>
      <c r="Y265" s="0" t="n">
        <v>11.8485727378416</v>
      </c>
      <c r="Z265" s="0" t="n">
        <v>0</v>
      </c>
      <c r="AA265" s="0" t="n">
        <v>0</v>
      </c>
      <c r="AB265" s="0" t="n">
        <v>0</v>
      </c>
      <c r="AC265" s="0" t="n">
        <v>1</v>
      </c>
      <c r="AD265" s="0" t="n">
        <v>0</v>
      </c>
      <c r="AE265" s="0" t="n">
        <v>0</v>
      </c>
      <c r="AF265" s="0" t="n">
        <v>0</v>
      </c>
      <c r="AG265" s="0" t="n">
        <v>12.887494703255</v>
      </c>
      <c r="AH265" s="0" t="n">
        <v>0</v>
      </c>
      <c r="AI265" s="0" t="n">
        <v>0</v>
      </c>
      <c r="AK265" s="0" t="n">
        <f aca="false">A265</f>
        <v>248</v>
      </c>
      <c r="AL265" s="0" t="n">
        <v>0</v>
      </c>
      <c r="AM265" s="0" t="n">
        <v>0</v>
      </c>
      <c r="AO265" s="0" t="n">
        <v>248</v>
      </c>
      <c r="AP265" s="0" t="n">
        <v>1</v>
      </c>
      <c r="AQ265" s="0" t="n">
        <v>0.801828048771438</v>
      </c>
      <c r="AR265" s="0" t="n">
        <v>221.210737026687</v>
      </c>
      <c r="AS265" s="0" t="n">
        <v>32</v>
      </c>
      <c r="AT265" s="0" t="n">
        <v>32</v>
      </c>
    </row>
    <row r="266" customFormat="false" ht="12" hidden="false" customHeight="false" outlineLevel="0" collapsed="false">
      <c r="A266" s="0" t="n">
        <v>249</v>
      </c>
      <c r="B266" s="0" t="n">
        <v>1</v>
      </c>
      <c r="C266" s="0" t="n">
        <v>0.809385695972256</v>
      </c>
      <c r="D266" s="0" t="n">
        <v>259.055091703273</v>
      </c>
      <c r="E266" s="0" t="n">
        <v>14</v>
      </c>
      <c r="F266" s="0" t="n">
        <v>12</v>
      </c>
      <c r="G266" s="0" t="n">
        <v>0.5</v>
      </c>
      <c r="H266" s="0" t="n">
        <v>1</v>
      </c>
      <c r="I266" s="0" t="n">
        <v>0</v>
      </c>
      <c r="J266" s="0" t="n">
        <v>270.094278745142</v>
      </c>
      <c r="K266" s="0" t="n">
        <v>0</v>
      </c>
      <c r="L266" s="0" t="n">
        <v>1.79001490966211</v>
      </c>
      <c r="M266" s="0" t="n">
        <v>270.925411827054</v>
      </c>
      <c r="N266" s="0" t="n">
        <v>11.8703201237814</v>
      </c>
      <c r="O266" s="0" t="n">
        <v>249</v>
      </c>
      <c r="P266" s="0" t="n">
        <v>127</v>
      </c>
      <c r="Q266" s="0" t="n">
        <v>122</v>
      </c>
      <c r="R266" s="0" t="n">
        <v>351.6428840633</v>
      </c>
      <c r="S266" s="0" t="n">
        <v>390.551139501007</v>
      </c>
      <c r="T266" s="0" t="n">
        <v>22</v>
      </c>
      <c r="U266" s="0" t="n">
        <v>26</v>
      </c>
      <c r="V266" s="0" t="n">
        <v>15.9837601920772</v>
      </c>
      <c r="W266" s="0" t="n">
        <v>15.0211398995007</v>
      </c>
      <c r="X266" s="0" t="n">
        <v>0</v>
      </c>
      <c r="Y266" s="0" t="n">
        <v>0</v>
      </c>
      <c r="Z266" s="0" t="n">
        <v>11.8703201237814</v>
      </c>
      <c r="AA266" s="0" t="n">
        <v>0</v>
      </c>
      <c r="AB266" s="0" t="n">
        <v>0</v>
      </c>
      <c r="AC266" s="0" t="n">
        <v>0</v>
      </c>
      <c r="AD266" s="0" t="n">
        <v>1</v>
      </c>
      <c r="AE266" s="0" t="n">
        <v>0</v>
      </c>
      <c r="AF266" s="0" t="n">
        <v>0</v>
      </c>
      <c r="AG266" s="0" t="n">
        <v>0</v>
      </c>
      <c r="AH266" s="0" t="n">
        <v>16.8462376395866</v>
      </c>
      <c r="AI266" s="0" t="n">
        <v>0</v>
      </c>
      <c r="AK266" s="0" t="n">
        <f aca="false">A266</f>
        <v>249</v>
      </c>
      <c r="AL266" s="0" t="n">
        <v>1</v>
      </c>
      <c r="AM266" s="0" t="n">
        <v>1</v>
      </c>
      <c r="AO266" s="0" t="n">
        <v>249</v>
      </c>
      <c r="AP266" s="0" t="n">
        <v>0</v>
      </c>
      <c r="AQ266" s="0" t="n">
        <v>0.423690957774108</v>
      </c>
      <c r="AR266" s="0" t="n">
        <v>221.634427984461</v>
      </c>
      <c r="AS266" s="0" t="n">
        <v>34</v>
      </c>
      <c r="AT266" s="0" t="n">
        <v>32</v>
      </c>
    </row>
    <row r="267" customFormat="false" ht="12" hidden="false" customHeight="false" outlineLevel="0" collapsed="false">
      <c r="A267" s="0" t="n">
        <v>250</v>
      </c>
      <c r="B267" s="0" t="n">
        <v>0</v>
      </c>
      <c r="C267" s="0" t="n">
        <v>0.709170778837866</v>
      </c>
      <c r="D267" s="0" t="n">
        <v>259.764262482111</v>
      </c>
      <c r="E267" s="0" t="n">
        <v>14</v>
      </c>
      <c r="F267" s="0" t="n">
        <v>14</v>
      </c>
      <c r="G267" s="0" t="n">
        <v>0.5</v>
      </c>
      <c r="H267" s="0" t="n">
        <v>1</v>
      </c>
      <c r="I267" s="0" t="n">
        <v>0</v>
      </c>
      <c r="J267" s="0" t="n">
        <v>270.094278745142</v>
      </c>
      <c r="K267" s="0" t="n">
        <v>0</v>
      </c>
      <c r="L267" s="0" t="n">
        <v>1.83336546888237</v>
      </c>
      <c r="M267" s="0" t="n">
        <v>272.758777295937</v>
      </c>
      <c r="N267" s="0" t="n">
        <v>12.9945148138259</v>
      </c>
      <c r="O267" s="0" t="n">
        <v>250</v>
      </c>
      <c r="P267" s="0" t="n">
        <v>127</v>
      </c>
      <c r="Q267" s="0" t="n">
        <v>123</v>
      </c>
      <c r="R267" s="0" t="n">
        <v>390.016880658513</v>
      </c>
      <c r="S267" s="0" t="n">
        <v>357.18434652095</v>
      </c>
      <c r="T267" s="0" t="n">
        <v>25</v>
      </c>
      <c r="U267" s="0" t="n">
        <v>23</v>
      </c>
      <c r="V267" s="0" t="n">
        <v>15.6006689860729</v>
      </c>
      <c r="W267" s="0" t="n">
        <v>15.5296866761862</v>
      </c>
      <c r="X267" s="0" t="n">
        <v>0</v>
      </c>
      <c r="Y267" s="0" t="n">
        <v>0</v>
      </c>
      <c r="Z267" s="0" t="n">
        <v>0</v>
      </c>
      <c r="AA267" s="0" t="n">
        <v>12.9945148138259</v>
      </c>
      <c r="AB267" s="0" t="n">
        <v>0</v>
      </c>
      <c r="AC267" s="0" t="n">
        <v>0</v>
      </c>
      <c r="AD267" s="0" t="n">
        <v>0</v>
      </c>
      <c r="AE267" s="0" t="n">
        <v>1</v>
      </c>
      <c r="AF267" s="0" t="n">
        <v>0</v>
      </c>
      <c r="AG267" s="0" t="n">
        <v>0</v>
      </c>
      <c r="AH267" s="0" t="n">
        <v>0</v>
      </c>
      <c r="AI267" s="0" t="n">
        <v>27.70036952199</v>
      </c>
      <c r="AK267" s="0" t="n">
        <f aca="false">A267</f>
        <v>250</v>
      </c>
      <c r="AL267" s="0" t="n">
        <v>0</v>
      </c>
      <c r="AM267" s="0" t="n">
        <v>1</v>
      </c>
      <c r="AO267" s="0" t="n">
        <v>250</v>
      </c>
      <c r="AP267" s="0" t="n">
        <v>1</v>
      </c>
      <c r="AQ267" s="0" t="n">
        <v>0.804134162750406</v>
      </c>
      <c r="AR267" s="0" t="n">
        <v>222.438562147212</v>
      </c>
      <c r="AS267" s="0" t="n">
        <v>32</v>
      </c>
      <c r="AT267" s="0" t="n">
        <v>34</v>
      </c>
    </row>
    <row r="268" customFormat="false" ht="12" hidden="false" customHeight="false" outlineLevel="0" collapsed="false">
      <c r="A268" s="0" t="n">
        <v>251</v>
      </c>
      <c r="B268" s="0" t="n">
        <v>1</v>
      </c>
      <c r="C268" s="0" t="n">
        <v>0.35478838614886</v>
      </c>
      <c r="D268" s="0" t="n">
        <v>260.11905086826</v>
      </c>
      <c r="E268" s="0" t="n">
        <v>14</v>
      </c>
      <c r="F268" s="0" t="n">
        <v>16</v>
      </c>
      <c r="G268" s="0" t="n">
        <v>0.5</v>
      </c>
      <c r="H268" s="0" t="n">
        <v>0</v>
      </c>
      <c r="I268" s="0" t="n">
        <v>2.1279151580856</v>
      </c>
      <c r="J268" s="0" t="n">
        <v>272.222193903228</v>
      </c>
      <c r="K268" s="0" t="n">
        <v>12.1031430349682</v>
      </c>
      <c r="L268" s="0" t="n">
        <v>0</v>
      </c>
      <c r="M268" s="0" t="n">
        <v>272.758777295937</v>
      </c>
      <c r="N268" s="0" t="n">
        <v>0</v>
      </c>
      <c r="O268" s="0" t="n">
        <v>251</v>
      </c>
      <c r="P268" s="0" t="n">
        <v>128</v>
      </c>
      <c r="Q268" s="0" t="n">
        <v>123</v>
      </c>
      <c r="R268" s="0" t="n">
        <v>441.229356984773</v>
      </c>
      <c r="S268" s="0" t="n">
        <v>313.267631851723</v>
      </c>
      <c r="T268" s="0" t="n">
        <v>24</v>
      </c>
      <c r="U268" s="0" t="n">
        <v>24</v>
      </c>
      <c r="V268" s="0" t="n">
        <v>18.3845488808035</v>
      </c>
      <c r="W268" s="0" t="n">
        <v>13.0527636073068</v>
      </c>
      <c r="X268" s="0" t="n">
        <v>12.1031430349682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  <c r="AF268" s="0" t="n">
        <v>21.8610754061656</v>
      </c>
      <c r="AG268" s="0" t="n">
        <v>0</v>
      </c>
      <c r="AH268" s="0" t="n">
        <v>0</v>
      </c>
      <c r="AI268" s="0" t="n">
        <v>0</v>
      </c>
      <c r="AK268" s="0" t="n">
        <f aca="false">A268</f>
        <v>251</v>
      </c>
      <c r="AL268" s="0" t="n">
        <v>1</v>
      </c>
      <c r="AM268" s="0" t="n">
        <v>0</v>
      </c>
      <c r="AO268" s="0" t="n">
        <v>251</v>
      </c>
      <c r="AP268" s="0" t="n">
        <v>1</v>
      </c>
      <c r="AQ268" s="0" t="n">
        <v>0.0697677729245967</v>
      </c>
      <c r="AR268" s="0" t="n">
        <v>222.508329920136</v>
      </c>
      <c r="AS268" s="0" t="n">
        <v>34</v>
      </c>
      <c r="AT268" s="0" t="n">
        <v>34</v>
      </c>
    </row>
    <row r="269" customFormat="false" ht="12" hidden="false" customHeight="false" outlineLevel="0" collapsed="false">
      <c r="A269" s="0" t="n">
        <v>252</v>
      </c>
      <c r="B269" s="0" t="n">
        <v>0</v>
      </c>
      <c r="C269" s="0" t="n">
        <v>0.112020549493404</v>
      </c>
      <c r="D269" s="0" t="n">
        <v>260.231071417753</v>
      </c>
      <c r="E269" s="0" t="n">
        <v>16</v>
      </c>
      <c r="F269" s="0" t="n">
        <v>16</v>
      </c>
      <c r="G269" s="0" t="n">
        <v>0.5</v>
      </c>
      <c r="H269" s="0" t="n">
        <v>1</v>
      </c>
      <c r="I269" s="0" t="n">
        <v>0</v>
      </c>
      <c r="J269" s="0" t="n">
        <v>272.222193903228</v>
      </c>
      <c r="K269" s="0" t="n">
        <v>0</v>
      </c>
      <c r="L269" s="0" t="n">
        <v>2.12291670758417</v>
      </c>
      <c r="M269" s="0" t="n">
        <v>274.881694003521</v>
      </c>
      <c r="N269" s="0" t="n">
        <v>14.6506225857678</v>
      </c>
      <c r="O269" s="0" t="n">
        <v>252</v>
      </c>
      <c r="P269" s="0" t="n">
        <v>128</v>
      </c>
      <c r="Q269" s="0" t="n">
        <v>124</v>
      </c>
      <c r="R269" s="0" t="n">
        <v>327.90957902267</v>
      </c>
      <c r="S269" s="0" t="n">
        <v>416.539808096658</v>
      </c>
      <c r="T269" s="0" t="n">
        <v>26</v>
      </c>
      <c r="U269" s="0" t="n">
        <v>22</v>
      </c>
      <c r="V269" s="0" t="n">
        <v>12.6119020347558</v>
      </c>
      <c r="W269" s="0" t="n">
        <v>18.9335415792045</v>
      </c>
      <c r="X269" s="0" t="n">
        <v>0</v>
      </c>
      <c r="Y269" s="0" t="n">
        <v>0</v>
      </c>
      <c r="Z269" s="0" t="n">
        <v>0</v>
      </c>
      <c r="AA269" s="0" t="n">
        <v>14.6506225857678</v>
      </c>
      <c r="AB269" s="0" t="n">
        <v>0</v>
      </c>
      <c r="AC269" s="0" t="n">
        <v>0</v>
      </c>
      <c r="AD269" s="0" t="n">
        <v>0</v>
      </c>
      <c r="AE269" s="0" t="n">
        <v>1</v>
      </c>
      <c r="AF269" s="0" t="n">
        <v>0</v>
      </c>
      <c r="AG269" s="0" t="n">
        <v>0</v>
      </c>
      <c r="AH269" s="0" t="n">
        <v>0</v>
      </c>
      <c r="AI269" s="0" t="n">
        <v>47.8756306457982</v>
      </c>
      <c r="AK269" s="0" t="n">
        <f aca="false">A269</f>
        <v>252</v>
      </c>
      <c r="AL269" s="0" t="n">
        <v>0</v>
      </c>
      <c r="AM269" s="0" t="n">
        <v>0</v>
      </c>
      <c r="AO269" s="0" t="n">
        <v>252</v>
      </c>
      <c r="AP269" s="0" t="n">
        <v>1</v>
      </c>
      <c r="AQ269" s="0" t="n">
        <v>1.16192089888094</v>
      </c>
      <c r="AR269" s="0" t="n">
        <v>223.670250819017</v>
      </c>
      <c r="AS269" s="0" t="n">
        <v>34</v>
      </c>
      <c r="AT269" s="0" t="n">
        <v>34</v>
      </c>
    </row>
    <row r="270" customFormat="false" ht="12" hidden="false" customHeight="false" outlineLevel="0" collapsed="false">
      <c r="A270" s="0" t="n">
        <v>253</v>
      </c>
      <c r="B270" s="0" t="n">
        <v>1</v>
      </c>
      <c r="C270" s="0" t="n">
        <v>0.452650578745362</v>
      </c>
      <c r="D270" s="0" t="n">
        <v>260.683721996498</v>
      </c>
      <c r="E270" s="0" t="n">
        <v>14</v>
      </c>
      <c r="F270" s="0" t="n">
        <v>18</v>
      </c>
      <c r="G270" s="0" t="n">
        <v>0.5</v>
      </c>
      <c r="H270" s="0" t="n">
        <v>0</v>
      </c>
      <c r="I270" s="0" t="n">
        <v>1.80149909536133</v>
      </c>
      <c r="J270" s="0" t="n">
        <v>274.023692998589</v>
      </c>
      <c r="K270" s="0" t="n">
        <v>13.3399710020908</v>
      </c>
      <c r="L270" s="0" t="n">
        <v>0</v>
      </c>
      <c r="M270" s="0" t="n">
        <v>274.881694003521</v>
      </c>
      <c r="N270" s="0" t="n">
        <v>0</v>
      </c>
      <c r="O270" s="0" t="n">
        <v>253</v>
      </c>
      <c r="P270" s="0" t="n">
        <v>129</v>
      </c>
      <c r="Q270" s="0" t="n">
        <v>124</v>
      </c>
      <c r="R270" s="0" t="n">
        <v>377.486567205712</v>
      </c>
      <c r="S270" s="0" t="n">
        <v>373.347683879299</v>
      </c>
      <c r="T270" s="0" t="n">
        <v>22</v>
      </c>
      <c r="U270" s="0" t="n">
        <v>26</v>
      </c>
      <c r="V270" s="0" t="n">
        <v>17.1584725282267</v>
      </c>
      <c r="W270" s="0" t="n">
        <v>14.359471074315</v>
      </c>
      <c r="X270" s="0" t="n">
        <v>13.3399710020908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  <c r="AF270" s="0" t="n">
        <v>34.9566022002042</v>
      </c>
      <c r="AG270" s="0" t="n">
        <v>0</v>
      </c>
      <c r="AH270" s="0" t="n">
        <v>0</v>
      </c>
      <c r="AI270" s="0" t="n">
        <v>0</v>
      </c>
      <c r="AK270" s="0" t="n">
        <f aca="false">A270</f>
        <v>253</v>
      </c>
      <c r="AL270" s="0" t="n">
        <v>2</v>
      </c>
      <c r="AM270" s="0" t="n">
        <v>2</v>
      </c>
      <c r="AO270" s="0" t="n">
        <v>253</v>
      </c>
      <c r="AP270" s="0" t="n">
        <v>0</v>
      </c>
      <c r="AQ270" s="0" t="n">
        <v>0.33352920405086</v>
      </c>
      <c r="AR270" s="0" t="n">
        <v>224.003780023068</v>
      </c>
      <c r="AS270" s="0" t="n">
        <v>32</v>
      </c>
      <c r="AT270" s="0" t="n">
        <v>36</v>
      </c>
    </row>
    <row r="271" customFormat="false" ht="12" hidden="false" customHeight="false" outlineLevel="0" collapsed="false">
      <c r="A271" s="0" t="n">
        <v>254</v>
      </c>
      <c r="B271" s="0" t="n">
        <v>1</v>
      </c>
      <c r="C271" s="0" t="n">
        <v>0.244431173016423</v>
      </c>
      <c r="D271" s="0" t="n">
        <v>260.928153169515</v>
      </c>
      <c r="E271" s="0" t="n">
        <v>16</v>
      </c>
      <c r="F271" s="0" t="n">
        <v>18</v>
      </c>
      <c r="G271" s="0" t="n">
        <v>0.5</v>
      </c>
      <c r="H271" s="0" t="n">
        <v>0</v>
      </c>
      <c r="I271" s="0" t="n">
        <v>1.89893602970616</v>
      </c>
      <c r="J271" s="0" t="n">
        <v>275.922629028295</v>
      </c>
      <c r="K271" s="0" t="n">
        <v>14.9944758587805</v>
      </c>
      <c r="L271" s="0" t="n">
        <v>0</v>
      </c>
      <c r="M271" s="0" t="n">
        <v>274.881694003521</v>
      </c>
      <c r="N271" s="0" t="n">
        <v>0</v>
      </c>
      <c r="O271" s="0" t="n">
        <v>254</v>
      </c>
      <c r="P271" s="0" t="n">
        <v>130</v>
      </c>
      <c r="Q271" s="0" t="n">
        <v>124</v>
      </c>
      <c r="R271" s="0" t="n">
        <v>403.7595593627</v>
      </c>
      <c r="S271" s="0" t="n">
        <v>353.651368529848</v>
      </c>
      <c r="T271" s="0" t="n">
        <v>26</v>
      </c>
      <c r="U271" s="0" t="n">
        <v>22</v>
      </c>
      <c r="V271" s="0" t="n">
        <v>15.5292078488701</v>
      </c>
      <c r="W271" s="0" t="n">
        <v>16.0749891377697</v>
      </c>
      <c r="X271" s="0" t="n">
        <v>14.9944758587805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  <c r="AF271" s="0" t="n">
        <v>57.2582134926124</v>
      </c>
      <c r="AG271" s="0" t="n">
        <v>0</v>
      </c>
      <c r="AH271" s="0" t="n">
        <v>0</v>
      </c>
      <c r="AI271" s="0" t="n">
        <v>0</v>
      </c>
      <c r="AK271" s="0" t="n">
        <f aca="false">A271</f>
        <v>254</v>
      </c>
      <c r="AL271" s="0" t="n">
        <v>1</v>
      </c>
      <c r="AM271" s="0" t="n">
        <v>1</v>
      </c>
      <c r="AO271" s="0" t="n">
        <v>254</v>
      </c>
      <c r="AP271" s="0" t="n">
        <v>1</v>
      </c>
      <c r="AQ271" s="0" t="n">
        <v>0.0542510834394524</v>
      </c>
      <c r="AR271" s="0" t="n">
        <v>224.058031106508</v>
      </c>
      <c r="AS271" s="0" t="n">
        <v>34</v>
      </c>
      <c r="AT271" s="0" t="n">
        <v>36</v>
      </c>
    </row>
    <row r="272" customFormat="false" ht="12" hidden="false" customHeight="false" outlineLevel="0" collapsed="false">
      <c r="A272" s="0" t="n">
        <v>255</v>
      </c>
      <c r="B272" s="0" t="n">
        <v>0</v>
      </c>
      <c r="C272" s="0" t="n">
        <v>1.05142533703968</v>
      </c>
      <c r="D272" s="0" t="n">
        <v>261.979578506554</v>
      </c>
      <c r="E272" s="0" t="n">
        <v>18</v>
      </c>
      <c r="F272" s="0" t="n">
        <v>16</v>
      </c>
      <c r="G272" s="0" t="n">
        <v>0.5</v>
      </c>
      <c r="H272" s="0" t="n">
        <v>0</v>
      </c>
      <c r="I272" s="0" t="n">
        <v>2.02363520221645</v>
      </c>
      <c r="J272" s="0" t="n">
        <v>277.946264230512</v>
      </c>
      <c r="K272" s="0" t="n">
        <v>15.9666857239573</v>
      </c>
      <c r="L272" s="0" t="n">
        <v>0</v>
      </c>
      <c r="M272" s="0" t="n">
        <v>274.881694003521</v>
      </c>
      <c r="N272" s="0" t="n">
        <v>0</v>
      </c>
      <c r="O272" s="0" t="n">
        <v>255</v>
      </c>
      <c r="P272" s="0" t="n">
        <v>131</v>
      </c>
      <c r="Q272" s="0" t="n">
        <v>124</v>
      </c>
      <c r="R272" s="0" t="n">
        <v>410.375620058477</v>
      </c>
      <c r="S272" s="0" t="n">
        <v>340.553892734373</v>
      </c>
      <c r="T272" s="0" t="n">
        <v>26</v>
      </c>
      <c r="U272" s="0" t="n">
        <v>22</v>
      </c>
      <c r="V272" s="0" t="n">
        <v>15.7836716239139</v>
      </c>
      <c r="W272" s="0" t="n">
        <v>15.4796520349623</v>
      </c>
      <c r="X272" s="0" t="n">
        <v>0</v>
      </c>
      <c r="Y272" s="0" t="n">
        <v>15.9666857239573</v>
      </c>
      <c r="Z272" s="0" t="n">
        <v>0</v>
      </c>
      <c r="AA272" s="0" t="n">
        <v>0</v>
      </c>
      <c r="AB272" s="0" t="n">
        <v>0</v>
      </c>
      <c r="AC272" s="0" t="n">
        <v>1</v>
      </c>
      <c r="AD272" s="0" t="n">
        <v>0</v>
      </c>
      <c r="AE272" s="0" t="n">
        <v>0</v>
      </c>
      <c r="AF272" s="0" t="n">
        <v>0</v>
      </c>
      <c r="AG272" s="0" t="n">
        <v>59.4137061618866</v>
      </c>
      <c r="AH272" s="0" t="n">
        <v>0</v>
      </c>
      <c r="AI272" s="0" t="n">
        <v>0</v>
      </c>
      <c r="AK272" s="0" t="n">
        <f aca="false">A272</f>
        <v>255</v>
      </c>
      <c r="AL272" s="0" t="n">
        <v>1</v>
      </c>
      <c r="AM272" s="0" t="n">
        <v>0</v>
      </c>
      <c r="AO272" s="0" t="n">
        <v>255</v>
      </c>
      <c r="AP272" s="0" t="n">
        <v>0</v>
      </c>
      <c r="AQ272" s="0" t="n">
        <v>0.431073043291911</v>
      </c>
      <c r="AR272" s="0" t="n">
        <v>224.4891041498</v>
      </c>
      <c r="AS272" s="0" t="n">
        <v>36</v>
      </c>
      <c r="AT272" s="0" t="n">
        <v>36</v>
      </c>
    </row>
    <row r="273" customFormat="false" ht="12" hidden="false" customHeight="false" outlineLevel="0" collapsed="false">
      <c r="A273" s="0" t="n">
        <v>256</v>
      </c>
      <c r="B273" s="0" t="n">
        <v>0</v>
      </c>
      <c r="C273" s="0" t="n">
        <v>0.888811892589814</v>
      </c>
      <c r="D273" s="0" t="n">
        <v>262.868390399144</v>
      </c>
      <c r="E273" s="0" t="n">
        <v>18</v>
      </c>
      <c r="F273" s="0" t="n">
        <v>16</v>
      </c>
      <c r="G273" s="0" t="n">
        <v>0.5</v>
      </c>
      <c r="H273" s="0" t="n">
        <v>0</v>
      </c>
      <c r="I273" s="0" t="n">
        <v>2.24370039384351</v>
      </c>
      <c r="J273" s="0" t="n">
        <v>280.189964624355</v>
      </c>
      <c r="K273" s="0" t="n">
        <v>17.321574225211</v>
      </c>
      <c r="L273" s="0" t="n">
        <v>0</v>
      </c>
      <c r="M273" s="0" t="n">
        <v>274.881694003521</v>
      </c>
      <c r="N273" s="0" t="n">
        <v>0</v>
      </c>
      <c r="O273" s="0" t="n">
        <v>256</v>
      </c>
      <c r="P273" s="0" t="n">
        <v>132</v>
      </c>
      <c r="Q273" s="0" t="n">
        <v>124</v>
      </c>
      <c r="R273" s="0" t="n">
        <v>240.365518216114</v>
      </c>
      <c r="S273" s="0" t="n">
        <v>516.311984540989</v>
      </c>
      <c r="T273" s="0" t="n">
        <v>20</v>
      </c>
      <c r="U273" s="0" t="n">
        <v>28</v>
      </c>
      <c r="V273" s="0" t="n">
        <v>12.0182699016708</v>
      </c>
      <c r="W273" s="0" t="n">
        <v>18.4396478777215</v>
      </c>
      <c r="X273" s="0" t="n">
        <v>0</v>
      </c>
      <c r="Y273" s="0" t="n">
        <v>17.321574225211</v>
      </c>
      <c r="Z273" s="0" t="n">
        <v>0</v>
      </c>
      <c r="AA273" s="0" t="n">
        <v>0</v>
      </c>
      <c r="AB273" s="0" t="n">
        <v>0</v>
      </c>
      <c r="AC273" s="0" t="n">
        <v>1</v>
      </c>
      <c r="AD273" s="0" t="n">
        <v>0</v>
      </c>
      <c r="AE273" s="0" t="n">
        <v>0</v>
      </c>
      <c r="AF273" s="0" t="n">
        <v>0</v>
      </c>
      <c r="AG273" s="0" t="n">
        <v>82.1364678697531</v>
      </c>
      <c r="AH273" s="0" t="n">
        <v>0</v>
      </c>
      <c r="AI273" s="0" t="n">
        <v>0</v>
      </c>
      <c r="AK273" s="0" t="n">
        <f aca="false">A273</f>
        <v>256</v>
      </c>
      <c r="AL273" s="0" t="n">
        <v>1</v>
      </c>
      <c r="AM273" s="0" t="n">
        <v>1</v>
      </c>
      <c r="AO273" s="0" t="n">
        <v>256</v>
      </c>
      <c r="AP273" s="0" t="n">
        <v>0</v>
      </c>
      <c r="AQ273" s="0" t="n">
        <v>0.469911392960065</v>
      </c>
      <c r="AR273" s="0" t="n">
        <v>224.95901554276</v>
      </c>
      <c r="AS273" s="0" t="n">
        <v>36</v>
      </c>
      <c r="AT273" s="0" t="n">
        <v>38</v>
      </c>
    </row>
    <row r="274" customFormat="false" ht="12" hidden="false" customHeight="false" outlineLevel="0" collapsed="false">
      <c r="A274" s="0" t="n">
        <v>257</v>
      </c>
      <c r="B274" s="0" t="n">
        <v>1</v>
      </c>
      <c r="C274" s="0" t="n">
        <v>0.644370832984432</v>
      </c>
      <c r="D274" s="0" t="n">
        <v>263.512761232129</v>
      </c>
      <c r="E274" s="0" t="n">
        <v>20</v>
      </c>
      <c r="F274" s="0" t="n">
        <v>14</v>
      </c>
      <c r="G274" s="0" t="n">
        <v>0.5</v>
      </c>
      <c r="H274" s="0" t="n">
        <v>1</v>
      </c>
      <c r="I274" s="0" t="n">
        <v>0</v>
      </c>
      <c r="J274" s="0" t="n">
        <v>280.189964624355</v>
      </c>
      <c r="K274" s="0" t="n">
        <v>0</v>
      </c>
      <c r="L274" s="0" t="n">
        <v>1.88015340781479</v>
      </c>
      <c r="M274" s="0" t="n">
        <v>276.761847411336</v>
      </c>
      <c r="N274" s="0" t="n">
        <v>13.2490861792069</v>
      </c>
      <c r="O274" s="0" t="n">
        <v>257</v>
      </c>
      <c r="P274" s="0" t="n">
        <v>132</v>
      </c>
      <c r="Q274" s="0" t="n">
        <v>125</v>
      </c>
      <c r="R274" s="0" t="n">
        <v>464.897157319067</v>
      </c>
      <c r="S274" s="0" t="n">
        <v>288.428192707996</v>
      </c>
      <c r="T274" s="0" t="n">
        <v>24</v>
      </c>
      <c r="U274" s="0" t="n">
        <v>24</v>
      </c>
      <c r="V274" s="0" t="n">
        <v>19.3707068171666</v>
      </c>
      <c r="W274" s="0" t="n">
        <v>12.0177912887028</v>
      </c>
      <c r="X274" s="0" t="n">
        <v>0</v>
      </c>
      <c r="Y274" s="0" t="n">
        <v>0</v>
      </c>
      <c r="Z274" s="0" t="n">
        <v>13.2490861792069</v>
      </c>
      <c r="AA274" s="0" t="n">
        <v>0</v>
      </c>
      <c r="AB274" s="0" t="n">
        <v>0</v>
      </c>
      <c r="AC274" s="0" t="n">
        <v>0</v>
      </c>
      <c r="AD274" s="0" t="n">
        <v>1</v>
      </c>
      <c r="AE274" s="0" t="n">
        <v>0</v>
      </c>
      <c r="AF274" s="0" t="n">
        <v>0</v>
      </c>
      <c r="AG274" s="0" t="n">
        <v>0</v>
      </c>
      <c r="AH274" s="0" t="n">
        <v>30.0652947222797</v>
      </c>
      <c r="AI274" s="0" t="n">
        <v>0</v>
      </c>
      <c r="AK274" s="0" t="n">
        <f aca="false">A274</f>
        <v>257</v>
      </c>
      <c r="AL274" s="0" t="n">
        <v>3</v>
      </c>
      <c r="AM274" s="0" t="n">
        <v>2</v>
      </c>
      <c r="AO274" s="0" t="n">
        <v>257</v>
      </c>
      <c r="AP274" s="0" t="n">
        <v>0</v>
      </c>
      <c r="AQ274" s="0" t="n">
        <v>1.62788443361728</v>
      </c>
      <c r="AR274" s="0" t="n">
        <v>226.586899976377</v>
      </c>
      <c r="AS274" s="0" t="n">
        <v>34</v>
      </c>
      <c r="AT274" s="0" t="n">
        <v>38</v>
      </c>
    </row>
    <row r="275" customFormat="false" ht="12" hidden="false" customHeight="false" outlineLevel="0" collapsed="false">
      <c r="A275" s="0" t="n">
        <v>258</v>
      </c>
      <c r="B275" s="0" t="n">
        <v>1</v>
      </c>
      <c r="C275" s="0" t="n">
        <v>0.0978691397613297</v>
      </c>
      <c r="D275" s="0" t="n">
        <v>263.61063037189</v>
      </c>
      <c r="E275" s="0" t="n">
        <v>20</v>
      </c>
      <c r="F275" s="0" t="n">
        <v>16</v>
      </c>
      <c r="G275" s="0" t="n">
        <v>0.5</v>
      </c>
      <c r="H275" s="0" t="n">
        <v>1</v>
      </c>
      <c r="I275" s="0" t="n">
        <v>0</v>
      </c>
      <c r="J275" s="0" t="n">
        <v>280.189964624355</v>
      </c>
      <c r="K275" s="0" t="n">
        <v>0</v>
      </c>
      <c r="L275" s="0" t="n">
        <v>2.22855719519183</v>
      </c>
      <c r="M275" s="0" t="n">
        <v>278.990404606527</v>
      </c>
      <c r="N275" s="0" t="n">
        <v>15.3797742346374</v>
      </c>
      <c r="O275" s="0" t="n">
        <v>258</v>
      </c>
      <c r="P275" s="0" t="n">
        <v>132</v>
      </c>
      <c r="Q275" s="0" t="n">
        <v>126</v>
      </c>
      <c r="R275" s="0" t="n">
        <v>414.608545115733</v>
      </c>
      <c r="S275" s="0" t="n">
        <v>348.452163092135</v>
      </c>
      <c r="T275" s="0" t="n">
        <v>25</v>
      </c>
      <c r="U275" s="0" t="n">
        <v>23</v>
      </c>
      <c r="V275" s="0" t="n">
        <v>16.5843351708953</v>
      </c>
      <c r="W275" s="0" t="n">
        <v>15.1500281777964</v>
      </c>
      <c r="X275" s="0" t="n">
        <v>0</v>
      </c>
      <c r="Y275" s="0" t="n">
        <v>0</v>
      </c>
      <c r="Z275" s="0" t="n">
        <v>15.3797742346374</v>
      </c>
      <c r="AA275" s="0" t="n">
        <v>0</v>
      </c>
      <c r="AB275" s="0" t="n">
        <v>0</v>
      </c>
      <c r="AC275" s="0" t="n">
        <v>0</v>
      </c>
      <c r="AD275" s="0" t="n">
        <v>1</v>
      </c>
      <c r="AE275" s="0" t="n">
        <v>0</v>
      </c>
      <c r="AF275" s="0" t="n">
        <v>0</v>
      </c>
      <c r="AG275" s="0" t="n">
        <v>0</v>
      </c>
      <c r="AH275" s="0" t="n">
        <v>57.9710309362622</v>
      </c>
      <c r="AI275" s="0" t="n">
        <v>0</v>
      </c>
      <c r="AK275" s="0" t="n">
        <f aca="false">A275</f>
        <v>258</v>
      </c>
      <c r="AL275" s="0" t="n">
        <v>2</v>
      </c>
      <c r="AM275" s="0" t="n">
        <v>1</v>
      </c>
      <c r="AO275" s="0" t="n">
        <v>258</v>
      </c>
      <c r="AP275" s="0" t="n">
        <v>1</v>
      </c>
      <c r="AQ275" s="0" t="n">
        <v>0.948508454075061</v>
      </c>
      <c r="AR275" s="0" t="n">
        <v>227.535408430452</v>
      </c>
      <c r="AS275" s="0" t="n">
        <v>36</v>
      </c>
      <c r="AT275" s="0" t="n">
        <v>38</v>
      </c>
    </row>
    <row r="276" customFormat="false" ht="12" hidden="false" customHeight="false" outlineLevel="0" collapsed="false">
      <c r="A276" s="0" t="n">
        <v>259</v>
      </c>
      <c r="B276" s="0" t="n">
        <v>0</v>
      </c>
      <c r="C276" s="0" t="n">
        <v>1.24142136704493</v>
      </c>
      <c r="D276" s="0" t="n">
        <v>264.852051738935</v>
      </c>
      <c r="E276" s="0" t="n">
        <v>18</v>
      </c>
      <c r="F276" s="0" t="n">
        <v>18</v>
      </c>
      <c r="G276" s="0" t="n">
        <v>0.5</v>
      </c>
      <c r="H276" s="0" t="n">
        <v>1</v>
      </c>
      <c r="I276" s="0" t="n">
        <v>0</v>
      </c>
      <c r="J276" s="0" t="n">
        <v>280.189964624355</v>
      </c>
      <c r="K276" s="0" t="n">
        <v>0</v>
      </c>
      <c r="L276" s="0" t="n">
        <v>2.11713273888382</v>
      </c>
      <c r="M276" s="0" t="n">
        <v>281.107537345411</v>
      </c>
      <c r="N276" s="0" t="n">
        <v>16.2554856064763</v>
      </c>
      <c r="O276" s="0" t="n">
        <v>259</v>
      </c>
      <c r="P276" s="0" t="n">
        <v>132</v>
      </c>
      <c r="Q276" s="0" t="n">
        <v>127</v>
      </c>
      <c r="R276" s="0" t="n">
        <v>274.379454958214</v>
      </c>
      <c r="S276" s="0" t="n">
        <v>500.847701034191</v>
      </c>
      <c r="T276" s="0" t="n">
        <v>21</v>
      </c>
      <c r="U276" s="0" t="n">
        <v>27</v>
      </c>
      <c r="V276" s="0" t="n">
        <v>13.0656821095902</v>
      </c>
      <c r="W276" s="0" t="n">
        <v>18.5498461499843</v>
      </c>
      <c r="X276" s="0" t="n">
        <v>0</v>
      </c>
      <c r="Y276" s="0" t="n">
        <v>0</v>
      </c>
      <c r="Z276" s="0" t="n">
        <v>0</v>
      </c>
      <c r="AA276" s="0" t="n">
        <v>16.2554856064763</v>
      </c>
      <c r="AB276" s="0" t="n">
        <v>0</v>
      </c>
      <c r="AC276" s="0" t="n">
        <v>0</v>
      </c>
      <c r="AD276" s="0" t="n">
        <v>0</v>
      </c>
      <c r="AE276" s="0" t="n">
        <v>1</v>
      </c>
      <c r="AF276" s="0" t="n">
        <v>0</v>
      </c>
      <c r="AG276" s="0" t="n">
        <v>0</v>
      </c>
      <c r="AH276" s="0" t="n">
        <v>0</v>
      </c>
      <c r="AI276" s="0" t="n">
        <v>72.6600224349599</v>
      </c>
      <c r="AK276" s="0" t="n">
        <f aca="false">A276</f>
        <v>259</v>
      </c>
      <c r="AL276" s="0" t="n">
        <v>0</v>
      </c>
      <c r="AM276" s="0" t="n">
        <v>0</v>
      </c>
      <c r="AO276" s="0" t="n">
        <v>259</v>
      </c>
      <c r="AP276" s="0" t="n">
        <v>1</v>
      </c>
      <c r="AQ276" s="0" t="n">
        <v>0.266704590658655</v>
      </c>
      <c r="AR276" s="0" t="n">
        <v>227.802113021111</v>
      </c>
      <c r="AS276" s="0" t="n">
        <v>36</v>
      </c>
      <c r="AT276" s="0" t="n">
        <v>36</v>
      </c>
    </row>
    <row r="277" customFormat="false" ht="12" hidden="false" customHeight="false" outlineLevel="0" collapsed="false">
      <c r="A277" s="0" t="n">
        <v>260</v>
      </c>
      <c r="B277" s="0" t="n">
        <v>1</v>
      </c>
      <c r="C277" s="0" t="n">
        <v>1.99384837347534</v>
      </c>
      <c r="D277" s="0" t="n">
        <v>266.84590011241</v>
      </c>
      <c r="E277" s="0" t="n">
        <v>16</v>
      </c>
      <c r="F277" s="0" t="n">
        <v>18</v>
      </c>
      <c r="G277" s="0" t="n">
        <v>0.5</v>
      </c>
      <c r="H277" s="0" t="n">
        <v>0</v>
      </c>
      <c r="I277" s="0" t="n">
        <v>1.94947946625663</v>
      </c>
      <c r="J277" s="0" t="n">
        <v>282.139444090612</v>
      </c>
      <c r="K277" s="0" t="n">
        <v>15.2935439782016</v>
      </c>
      <c r="L277" s="0" t="n">
        <v>0</v>
      </c>
      <c r="M277" s="0" t="n">
        <v>281.107537345411</v>
      </c>
      <c r="N277" s="0" t="n">
        <v>0</v>
      </c>
      <c r="O277" s="0" t="n">
        <v>260</v>
      </c>
      <c r="P277" s="0" t="n">
        <v>133</v>
      </c>
      <c r="Q277" s="0" t="n">
        <v>127</v>
      </c>
      <c r="R277" s="0" t="n">
        <v>346.203834689721</v>
      </c>
      <c r="S277" s="0" t="n">
        <v>433.406548119786</v>
      </c>
      <c r="T277" s="0" t="n">
        <v>22</v>
      </c>
      <c r="U277" s="0" t="n">
        <v>26</v>
      </c>
      <c r="V277" s="0" t="n">
        <v>15.7365307874733</v>
      </c>
      <c r="W277" s="0" t="n">
        <v>16.6694185068437</v>
      </c>
      <c r="X277" s="0" t="n">
        <v>15.2935439782016</v>
      </c>
      <c r="Y277" s="0" t="n">
        <v>0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  <c r="AF277" s="0" t="n">
        <v>61.8737017402339</v>
      </c>
      <c r="AG277" s="0" t="n">
        <v>0</v>
      </c>
      <c r="AH277" s="0" t="n">
        <v>0</v>
      </c>
      <c r="AI277" s="0" t="n">
        <v>0</v>
      </c>
      <c r="AK277" s="0" t="n">
        <f aca="false">A277</f>
        <v>260</v>
      </c>
      <c r="AL277" s="0" t="n">
        <v>1</v>
      </c>
      <c r="AM277" s="0" t="n">
        <v>1</v>
      </c>
      <c r="AO277" s="0" t="n">
        <v>260</v>
      </c>
      <c r="AP277" s="0" t="n">
        <v>0</v>
      </c>
      <c r="AQ277" s="0" t="n">
        <v>0.0438860823479932</v>
      </c>
      <c r="AR277" s="0" t="n">
        <v>227.845999103459</v>
      </c>
      <c r="AS277" s="0" t="n">
        <v>36</v>
      </c>
      <c r="AT277" s="0" t="n">
        <v>38</v>
      </c>
    </row>
    <row r="278" customFormat="false" ht="12" hidden="false" customHeight="false" outlineLevel="0" collapsed="false">
      <c r="A278" s="0" t="n">
        <v>261</v>
      </c>
      <c r="B278" s="0" t="n">
        <v>1</v>
      </c>
      <c r="C278" s="0" t="n">
        <v>0.502648121990254</v>
      </c>
      <c r="D278" s="0" t="n">
        <v>267.348548234401</v>
      </c>
      <c r="E278" s="0" t="n">
        <v>18</v>
      </c>
      <c r="F278" s="0" t="n">
        <v>16</v>
      </c>
      <c r="G278" s="0" t="n">
        <v>0.5</v>
      </c>
      <c r="H278" s="0" t="n">
        <v>1</v>
      </c>
      <c r="I278" s="0" t="n">
        <v>0</v>
      </c>
      <c r="J278" s="0" t="n">
        <v>282.139444090612</v>
      </c>
      <c r="K278" s="0" t="n">
        <v>0</v>
      </c>
      <c r="L278" s="0" t="n">
        <v>1.95029097757022</v>
      </c>
      <c r="M278" s="0" t="n">
        <v>283.057828322981</v>
      </c>
      <c r="N278" s="0" t="n">
        <v>15.7092800885809</v>
      </c>
      <c r="O278" s="0" t="n">
        <v>261</v>
      </c>
      <c r="P278" s="0" t="n">
        <v>133</v>
      </c>
      <c r="Q278" s="0" t="n">
        <v>128</v>
      </c>
      <c r="R278" s="0" t="n">
        <v>450.536762140007</v>
      </c>
      <c r="S278" s="0" t="n">
        <v>338.009588907108</v>
      </c>
      <c r="T278" s="0" t="n">
        <v>29</v>
      </c>
      <c r="U278" s="0" t="n">
        <v>19</v>
      </c>
      <c r="V278" s="0" t="n">
        <v>15.5357450614675</v>
      </c>
      <c r="W278" s="0" t="n">
        <v>17.7898847325597</v>
      </c>
      <c r="X278" s="0" t="n">
        <v>0</v>
      </c>
      <c r="Y278" s="0" t="n">
        <v>0</v>
      </c>
      <c r="Z278" s="0" t="n">
        <v>15.7092800885809</v>
      </c>
      <c r="AA278" s="0" t="n">
        <v>0</v>
      </c>
      <c r="AB278" s="0" t="n">
        <v>0</v>
      </c>
      <c r="AC278" s="0" t="n">
        <v>0</v>
      </c>
      <c r="AD278" s="0" t="n">
        <v>1</v>
      </c>
      <c r="AE278" s="0" t="n">
        <v>0</v>
      </c>
      <c r="AF278" s="0" t="n">
        <v>0</v>
      </c>
      <c r="AG278" s="0" t="n">
        <v>0</v>
      </c>
      <c r="AH278" s="0" t="n">
        <v>63.0972351464609</v>
      </c>
      <c r="AI278" s="0" t="n">
        <v>0</v>
      </c>
      <c r="AK278" s="0" t="n">
        <f aca="false">A278</f>
        <v>261</v>
      </c>
      <c r="AL278" s="0" t="n">
        <v>1</v>
      </c>
      <c r="AM278" s="0" t="n">
        <v>0</v>
      </c>
      <c r="AO278" s="0" t="n">
        <v>261</v>
      </c>
      <c r="AP278" s="0" t="n">
        <v>1</v>
      </c>
      <c r="AQ278" s="0" t="n">
        <v>0.590902483432736</v>
      </c>
      <c r="AR278" s="0" t="n">
        <v>228.436901586891</v>
      </c>
      <c r="AS278" s="0" t="n">
        <v>38</v>
      </c>
      <c r="AT278" s="0" t="n">
        <v>38</v>
      </c>
    </row>
    <row r="279" customFormat="false" ht="12" hidden="false" customHeight="false" outlineLevel="0" collapsed="false">
      <c r="A279" s="0" t="n">
        <v>262</v>
      </c>
      <c r="B279" s="0" t="n">
        <v>1</v>
      </c>
      <c r="C279" s="0" t="n">
        <v>0.0321928000775108</v>
      </c>
      <c r="D279" s="0" t="n">
        <v>267.380741034478</v>
      </c>
      <c r="E279" s="0" t="n">
        <v>18</v>
      </c>
      <c r="F279" s="0" t="n">
        <v>18</v>
      </c>
      <c r="G279" s="0" t="n">
        <v>0.5</v>
      </c>
      <c r="H279" s="0" t="n">
        <v>1</v>
      </c>
      <c r="I279" s="0" t="n">
        <v>0</v>
      </c>
      <c r="J279" s="0" t="n">
        <v>282.139444090612</v>
      </c>
      <c r="K279" s="0" t="n">
        <v>0</v>
      </c>
      <c r="L279" s="0" t="n">
        <v>1.98270954897563</v>
      </c>
      <c r="M279" s="0" t="n">
        <v>285.040537871957</v>
      </c>
      <c r="N279" s="0" t="n">
        <v>17.659796837479</v>
      </c>
      <c r="O279" s="0" t="n">
        <v>262</v>
      </c>
      <c r="P279" s="0" t="n">
        <v>133</v>
      </c>
      <c r="Q279" s="0" t="n">
        <v>129</v>
      </c>
      <c r="R279" s="0" t="n">
        <v>370.465238527435</v>
      </c>
      <c r="S279" s="0" t="n">
        <v>395.846764325508</v>
      </c>
      <c r="T279" s="0" t="n">
        <v>22</v>
      </c>
      <c r="U279" s="0" t="n">
        <v>26</v>
      </c>
      <c r="V279" s="0" t="n">
        <v>16.8393213697373</v>
      </c>
      <c r="W279" s="0" t="n">
        <v>15.2248169939926</v>
      </c>
      <c r="X279" s="0" t="n">
        <v>0</v>
      </c>
      <c r="Y279" s="0" t="n">
        <v>0</v>
      </c>
      <c r="Z279" s="0" t="n">
        <v>17.659796837479</v>
      </c>
      <c r="AA279" s="0" t="n">
        <v>0</v>
      </c>
      <c r="AB279" s="0" t="n">
        <v>0</v>
      </c>
      <c r="AC279" s="0" t="n">
        <v>0</v>
      </c>
      <c r="AD279" s="0" t="n">
        <v>1</v>
      </c>
      <c r="AE279" s="0" t="n">
        <v>0</v>
      </c>
      <c r="AF279" s="0" t="n">
        <v>0</v>
      </c>
      <c r="AG279" s="0" t="n">
        <v>0</v>
      </c>
      <c r="AH279" s="0" t="n">
        <v>97.8891297558208</v>
      </c>
      <c r="AI279" s="0" t="n">
        <v>0</v>
      </c>
      <c r="AK279" s="0" t="n">
        <f aca="false">A279</f>
        <v>262</v>
      </c>
      <c r="AL279" s="0" t="n">
        <v>0</v>
      </c>
      <c r="AM279" s="0" t="n">
        <v>1</v>
      </c>
      <c r="AO279" s="0" t="n">
        <v>262</v>
      </c>
      <c r="AP279" s="0" t="n">
        <v>1</v>
      </c>
      <c r="AQ279" s="0" t="n">
        <v>0.143122196017647</v>
      </c>
      <c r="AR279" s="0" t="n">
        <v>228.580023782909</v>
      </c>
      <c r="AS279" s="0" t="n">
        <v>38</v>
      </c>
      <c r="AT279" s="0" t="n">
        <v>40</v>
      </c>
    </row>
    <row r="280" customFormat="false" ht="12" hidden="false" customHeight="false" outlineLevel="0" collapsed="false">
      <c r="A280" s="0" t="n">
        <v>263</v>
      </c>
      <c r="B280" s="0" t="n">
        <v>0</v>
      </c>
      <c r="C280" s="0" t="n">
        <v>0.0468749140109071</v>
      </c>
      <c r="D280" s="0" t="n">
        <v>267.427615948489</v>
      </c>
      <c r="E280" s="0" t="n">
        <v>18</v>
      </c>
      <c r="F280" s="0" t="n">
        <v>20</v>
      </c>
      <c r="G280" s="0" t="n">
        <v>0.5</v>
      </c>
      <c r="H280" s="0" t="n">
        <v>1</v>
      </c>
      <c r="I280" s="0" t="n">
        <v>0</v>
      </c>
      <c r="J280" s="0" t="n">
        <v>282.139444090612</v>
      </c>
      <c r="K280" s="0" t="n">
        <v>0</v>
      </c>
      <c r="L280" s="0" t="n">
        <v>1.90332333895977</v>
      </c>
      <c r="M280" s="0" t="n">
        <v>286.943861210917</v>
      </c>
      <c r="N280" s="0" t="n">
        <v>19.5162452624278</v>
      </c>
      <c r="O280" s="0" t="n">
        <v>263</v>
      </c>
      <c r="P280" s="0" t="n">
        <v>133</v>
      </c>
      <c r="Q280" s="0" t="n">
        <v>130</v>
      </c>
      <c r="R280" s="0" t="n">
        <v>471.619380445951</v>
      </c>
      <c r="S280" s="0" t="n">
        <v>298.10756698643</v>
      </c>
      <c r="T280" s="0" t="n">
        <v>30</v>
      </c>
      <c r="U280" s="0" t="n">
        <v>18</v>
      </c>
      <c r="V280" s="0" t="n">
        <v>15.7206407746514</v>
      </c>
      <c r="W280" s="0" t="n">
        <v>16.561439491249</v>
      </c>
      <c r="X280" s="0" t="n">
        <v>0</v>
      </c>
      <c r="Y280" s="0" t="n">
        <v>0</v>
      </c>
      <c r="Z280" s="0" t="n">
        <v>0</v>
      </c>
      <c r="AA280" s="0" t="n">
        <v>19.5162452624278</v>
      </c>
      <c r="AB280" s="0" t="n">
        <v>0</v>
      </c>
      <c r="AC280" s="0" t="n">
        <v>0</v>
      </c>
      <c r="AD280" s="0" t="n">
        <v>0</v>
      </c>
      <c r="AE280" s="0" t="n">
        <v>1</v>
      </c>
      <c r="AF280" s="0" t="n">
        <v>0</v>
      </c>
      <c r="AG280" s="0" t="n">
        <v>0</v>
      </c>
      <c r="AH280" s="0" t="n">
        <v>0</v>
      </c>
      <c r="AI280" s="0" t="n">
        <v>138.882559898061</v>
      </c>
      <c r="AK280" s="0" t="n">
        <f aca="false">A280</f>
        <v>263</v>
      </c>
      <c r="AL280" s="0" t="n">
        <v>1</v>
      </c>
      <c r="AM280" s="0" t="n">
        <v>0</v>
      </c>
      <c r="AO280" s="0" t="n">
        <v>263</v>
      </c>
      <c r="AP280" s="0" t="n">
        <v>0</v>
      </c>
      <c r="AQ280" s="0" t="n">
        <v>0.131976701083077</v>
      </c>
      <c r="AR280" s="0" t="n">
        <v>228.712000483992</v>
      </c>
      <c r="AS280" s="0" t="n">
        <v>40</v>
      </c>
      <c r="AT280" s="0" t="n">
        <v>40</v>
      </c>
    </row>
    <row r="281" customFormat="false" ht="12" hidden="false" customHeight="false" outlineLevel="0" collapsed="false">
      <c r="A281" s="0" t="n">
        <v>264</v>
      </c>
      <c r="B281" s="0" t="n">
        <v>0</v>
      </c>
      <c r="C281" s="0" t="n">
        <v>0.510990668347599</v>
      </c>
      <c r="D281" s="0" t="n">
        <v>267.938606616837</v>
      </c>
      <c r="E281" s="0" t="n">
        <v>18</v>
      </c>
      <c r="F281" s="0" t="n">
        <v>22</v>
      </c>
      <c r="G281" s="0" t="n">
        <v>0.5</v>
      </c>
      <c r="H281" s="0" t="n">
        <v>0</v>
      </c>
      <c r="I281" s="0" t="n">
        <v>1.83423990699992</v>
      </c>
      <c r="J281" s="0" t="n">
        <v>283.973683997612</v>
      </c>
      <c r="K281" s="0" t="n">
        <v>16.0350773807753</v>
      </c>
      <c r="L281" s="0" t="n">
        <v>0</v>
      </c>
      <c r="M281" s="0" t="n">
        <v>286.943861210917</v>
      </c>
      <c r="N281" s="0" t="n">
        <v>0</v>
      </c>
      <c r="O281" s="0" t="n">
        <v>264</v>
      </c>
      <c r="P281" s="0" t="n">
        <v>134</v>
      </c>
      <c r="Q281" s="0" t="n">
        <v>130</v>
      </c>
      <c r="R281" s="0" t="n">
        <v>323.440400070982</v>
      </c>
      <c r="S281" s="0" t="n">
        <v>443.952386204579</v>
      </c>
      <c r="T281" s="0" t="n">
        <v>21</v>
      </c>
      <c r="U281" s="0" t="n">
        <v>27</v>
      </c>
      <c r="V281" s="0" t="n">
        <v>15.401916478658</v>
      </c>
      <c r="W281" s="0" t="n">
        <v>16.4426200719471</v>
      </c>
      <c r="X281" s="0" t="n">
        <v>0</v>
      </c>
      <c r="Y281" s="0" t="n">
        <v>16.0350773807753</v>
      </c>
      <c r="Z281" s="0" t="n">
        <v>0</v>
      </c>
      <c r="AA281" s="0" t="n">
        <v>0</v>
      </c>
      <c r="AB281" s="0" t="n">
        <v>0</v>
      </c>
      <c r="AC281" s="0" t="n">
        <v>1</v>
      </c>
      <c r="AD281" s="0" t="n">
        <v>0</v>
      </c>
      <c r="AE281" s="0" t="n">
        <v>0</v>
      </c>
      <c r="AF281" s="0" t="n">
        <v>0</v>
      </c>
      <c r="AG281" s="0" t="n">
        <v>60.4727132853283</v>
      </c>
      <c r="AH281" s="0" t="n">
        <v>0</v>
      </c>
      <c r="AI281" s="0" t="n">
        <v>0</v>
      </c>
      <c r="AK281" s="0" t="n">
        <f aca="false">A281</f>
        <v>264</v>
      </c>
      <c r="AL281" s="0" t="n">
        <v>2</v>
      </c>
      <c r="AM281" s="0" t="n">
        <v>1</v>
      </c>
      <c r="AO281" s="0" t="n">
        <v>264</v>
      </c>
      <c r="AP281" s="0" t="n">
        <v>0</v>
      </c>
      <c r="AQ281" s="0" t="n">
        <v>1.29063540469812</v>
      </c>
      <c r="AR281" s="0" t="n">
        <v>230.00263588869</v>
      </c>
      <c r="AS281" s="0" t="n">
        <v>38</v>
      </c>
      <c r="AT281" s="0" t="n">
        <v>40</v>
      </c>
    </row>
    <row r="282" customFormat="false" ht="12" hidden="false" customHeight="false" outlineLevel="0" collapsed="false">
      <c r="A282" s="0" t="n">
        <v>265</v>
      </c>
      <c r="B282" s="0" t="n">
        <v>0</v>
      </c>
      <c r="C282" s="0" t="n">
        <v>0.065335309302086</v>
      </c>
      <c r="D282" s="0" t="n">
        <v>268.003941926139</v>
      </c>
      <c r="E282" s="0" t="n">
        <v>20</v>
      </c>
      <c r="F282" s="0" t="n">
        <v>22</v>
      </c>
      <c r="G282" s="0" t="n">
        <v>0.5</v>
      </c>
      <c r="H282" s="0" t="n">
        <v>0</v>
      </c>
      <c r="I282" s="0" t="n">
        <v>2.00609090750978</v>
      </c>
      <c r="J282" s="0" t="n">
        <v>285.979774905122</v>
      </c>
      <c r="K282" s="0" t="n">
        <v>17.9758329789829</v>
      </c>
      <c r="L282" s="0" t="n">
        <v>0</v>
      </c>
      <c r="M282" s="0" t="n">
        <v>286.943861210917</v>
      </c>
      <c r="N282" s="0" t="n">
        <v>0</v>
      </c>
      <c r="O282" s="0" t="n">
        <v>265</v>
      </c>
      <c r="P282" s="0" t="n">
        <v>135</v>
      </c>
      <c r="Q282" s="0" t="n">
        <v>130</v>
      </c>
      <c r="R282" s="0" t="n">
        <v>363.169754670439</v>
      </c>
      <c r="S282" s="0" t="n">
        <v>402.548032227428</v>
      </c>
      <c r="T282" s="0" t="n">
        <v>23</v>
      </c>
      <c r="U282" s="0" t="n">
        <v>25</v>
      </c>
      <c r="V282" s="0" t="n">
        <v>15.7899824682876</v>
      </c>
      <c r="W282" s="0" t="n">
        <v>16.1018568816696</v>
      </c>
      <c r="X282" s="0" t="n">
        <v>0</v>
      </c>
      <c r="Y282" s="0" t="n">
        <v>17.9758329789829</v>
      </c>
      <c r="Z282" s="0" t="n">
        <v>0</v>
      </c>
      <c r="AA282" s="0" t="n">
        <v>0</v>
      </c>
      <c r="AB282" s="0" t="n">
        <v>0</v>
      </c>
      <c r="AC282" s="0" t="n">
        <v>1</v>
      </c>
      <c r="AD282" s="0" t="n">
        <v>0</v>
      </c>
      <c r="AE282" s="0" t="n">
        <v>0</v>
      </c>
      <c r="AF282" s="0" t="n">
        <v>0</v>
      </c>
      <c r="AG282" s="0" t="n">
        <v>94.4235081902934</v>
      </c>
      <c r="AH282" s="0" t="n">
        <v>0</v>
      </c>
      <c r="AI282" s="0" t="n">
        <v>0</v>
      </c>
      <c r="AK282" s="0" t="n">
        <f aca="false">A282</f>
        <v>265</v>
      </c>
      <c r="AL282" s="0" t="n">
        <v>1</v>
      </c>
      <c r="AM282" s="0" t="n">
        <v>0</v>
      </c>
      <c r="AO282" s="0" t="n">
        <v>265</v>
      </c>
      <c r="AP282" s="0" t="n">
        <v>0</v>
      </c>
      <c r="AQ282" s="0" t="n">
        <v>0.0827009322998734</v>
      </c>
      <c r="AR282" s="0" t="n">
        <v>230.08533682099</v>
      </c>
      <c r="AS282" s="0" t="n">
        <v>40</v>
      </c>
      <c r="AT282" s="0" t="n">
        <v>40</v>
      </c>
    </row>
    <row r="283" customFormat="false" ht="12" hidden="false" customHeight="false" outlineLevel="0" collapsed="false">
      <c r="A283" s="0" t="n">
        <v>266</v>
      </c>
      <c r="B283" s="0" t="n">
        <v>0</v>
      </c>
      <c r="C283" s="0" t="n">
        <v>0.0714724039411065</v>
      </c>
      <c r="D283" s="0" t="n">
        <v>268.07541433008</v>
      </c>
      <c r="E283" s="0" t="n">
        <v>22</v>
      </c>
      <c r="F283" s="0" t="n">
        <v>22</v>
      </c>
      <c r="G283" s="0" t="n">
        <v>0.5</v>
      </c>
      <c r="H283" s="0" t="n">
        <v>1</v>
      </c>
      <c r="I283" s="0" t="n">
        <v>0</v>
      </c>
      <c r="J283" s="0" t="n">
        <v>285.979774905122</v>
      </c>
      <c r="K283" s="0" t="n">
        <v>0</v>
      </c>
      <c r="L283" s="0" t="n">
        <v>1.80209877097922</v>
      </c>
      <c r="M283" s="0" t="n">
        <v>288.745959981896</v>
      </c>
      <c r="N283" s="0" t="n">
        <v>20.6705456518163</v>
      </c>
      <c r="O283" s="0" t="n">
        <v>266</v>
      </c>
      <c r="P283" s="0" t="n">
        <v>135</v>
      </c>
      <c r="Q283" s="0" t="n">
        <v>131</v>
      </c>
      <c r="R283" s="0" t="n">
        <v>380.303829776919</v>
      </c>
      <c r="S283" s="0" t="n">
        <v>388.873109969605</v>
      </c>
      <c r="T283" s="0" t="n">
        <v>25</v>
      </c>
      <c r="U283" s="0" t="n">
        <v>23</v>
      </c>
      <c r="V283" s="0" t="n">
        <v>15.2121471062179</v>
      </c>
      <c r="W283" s="0" t="n">
        <v>16.9074530097524</v>
      </c>
      <c r="X283" s="0" t="n">
        <v>0</v>
      </c>
      <c r="Y283" s="0" t="n">
        <v>0</v>
      </c>
      <c r="Z283" s="0" t="n">
        <v>0</v>
      </c>
      <c r="AA283" s="0" t="n">
        <v>20.6705456518163</v>
      </c>
      <c r="AB283" s="0" t="n">
        <v>0</v>
      </c>
      <c r="AC283" s="0" t="n">
        <v>0</v>
      </c>
      <c r="AD283" s="0" t="n">
        <v>0</v>
      </c>
      <c r="AE283" s="0" t="n">
        <v>1</v>
      </c>
      <c r="AF283" s="0" t="n">
        <v>0</v>
      </c>
      <c r="AG283" s="0" t="n">
        <v>0</v>
      </c>
      <c r="AH283" s="0" t="n">
        <v>0</v>
      </c>
      <c r="AI283" s="0" t="n">
        <v>167.421470478338</v>
      </c>
      <c r="AK283" s="0" t="n">
        <f aca="false">A283</f>
        <v>266</v>
      </c>
      <c r="AL283" s="0" t="n">
        <v>0</v>
      </c>
      <c r="AM283" s="0" t="n">
        <v>1</v>
      </c>
      <c r="AO283" s="0" t="n">
        <v>266</v>
      </c>
      <c r="AP283" s="0" t="n">
        <v>1</v>
      </c>
      <c r="AQ283" s="0" t="n">
        <v>0.704437410205608</v>
      </c>
      <c r="AR283" s="0" t="n">
        <v>230.789774231196</v>
      </c>
      <c r="AS283" s="0" t="n">
        <v>42</v>
      </c>
      <c r="AT283" s="0" t="n">
        <v>40</v>
      </c>
    </row>
    <row r="284" customFormat="false" ht="12" hidden="false" customHeight="false" outlineLevel="0" collapsed="false">
      <c r="A284" s="0" t="n">
        <v>267</v>
      </c>
      <c r="B284" s="0" t="n">
        <v>1</v>
      </c>
      <c r="C284" s="0" t="n">
        <v>0.172581385968122</v>
      </c>
      <c r="D284" s="0" t="n">
        <v>268.247995716048</v>
      </c>
      <c r="E284" s="0" t="n">
        <v>20</v>
      </c>
      <c r="F284" s="0" t="n">
        <v>24</v>
      </c>
      <c r="G284" s="0" t="n">
        <v>0.5</v>
      </c>
      <c r="H284" s="0" t="n">
        <v>0</v>
      </c>
      <c r="I284" s="0" t="n">
        <v>1.95766499684262</v>
      </c>
      <c r="J284" s="0" t="n">
        <v>287.937439901964</v>
      </c>
      <c r="K284" s="0" t="n">
        <v>19.6894441859163</v>
      </c>
      <c r="L284" s="0" t="n">
        <v>0</v>
      </c>
      <c r="M284" s="0" t="n">
        <v>288.745959981896</v>
      </c>
      <c r="N284" s="0" t="n">
        <v>0</v>
      </c>
      <c r="O284" s="0" t="n">
        <v>267</v>
      </c>
      <c r="P284" s="0" t="n">
        <v>136</v>
      </c>
      <c r="Q284" s="0" t="n">
        <v>131</v>
      </c>
      <c r="R284" s="0" t="n">
        <v>386.42712335617</v>
      </c>
      <c r="S284" s="0" t="n">
        <v>383.581930254878</v>
      </c>
      <c r="T284" s="0" t="n">
        <v>22</v>
      </c>
      <c r="U284" s="0" t="n">
        <v>26</v>
      </c>
      <c r="V284" s="0" t="n">
        <v>17.5648612594344</v>
      </c>
      <c r="W284" s="0" t="n">
        <v>14.7530944209783</v>
      </c>
      <c r="X284" s="0" t="n">
        <v>19.6894441859163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  <c r="AF284" s="0" t="n">
        <v>150.353800351421</v>
      </c>
      <c r="AG284" s="0" t="n">
        <v>0</v>
      </c>
      <c r="AH284" s="0" t="n">
        <v>0</v>
      </c>
      <c r="AI284" s="0" t="n">
        <v>0</v>
      </c>
      <c r="AK284" s="0" t="n">
        <f aca="false">A284</f>
        <v>267</v>
      </c>
      <c r="AL284" s="0" t="n">
        <v>2</v>
      </c>
      <c r="AM284" s="0" t="n">
        <v>0</v>
      </c>
      <c r="AO284" s="0" t="n">
        <v>267</v>
      </c>
      <c r="AP284" s="0" t="n">
        <v>0</v>
      </c>
      <c r="AQ284" s="0" t="n">
        <v>3.56359634816965</v>
      </c>
      <c r="AR284" s="0" t="n">
        <v>234.353370579365</v>
      </c>
      <c r="AS284" s="0" t="n">
        <v>38</v>
      </c>
      <c r="AT284" s="0" t="n">
        <v>38</v>
      </c>
    </row>
    <row r="285" customFormat="false" ht="12" hidden="false" customHeight="false" outlineLevel="0" collapsed="false">
      <c r="A285" s="0" t="n">
        <v>268</v>
      </c>
      <c r="B285" s="0" t="n">
        <v>0</v>
      </c>
      <c r="C285" s="0" t="n">
        <v>1.48972451962832</v>
      </c>
      <c r="D285" s="0" t="n">
        <v>269.737720235676</v>
      </c>
      <c r="E285" s="0" t="n">
        <v>22</v>
      </c>
      <c r="F285" s="0" t="n">
        <v>22</v>
      </c>
      <c r="G285" s="0" t="n">
        <v>0.5</v>
      </c>
      <c r="H285" s="0" t="n">
        <v>1</v>
      </c>
      <c r="I285" s="0" t="n">
        <v>0</v>
      </c>
      <c r="J285" s="0" t="n">
        <v>287.937439901964</v>
      </c>
      <c r="K285" s="0" t="n">
        <v>0</v>
      </c>
      <c r="L285" s="0" t="n">
        <v>2.00318875332228</v>
      </c>
      <c r="M285" s="0" t="n">
        <v>290.749148735218</v>
      </c>
      <c r="N285" s="0" t="n">
        <v>21.0114284995421</v>
      </c>
      <c r="O285" s="0" t="n">
        <v>268</v>
      </c>
      <c r="P285" s="0" t="n">
        <v>136</v>
      </c>
      <c r="Q285" s="0" t="n">
        <v>132</v>
      </c>
      <c r="R285" s="0" t="n">
        <v>368.750332754815</v>
      </c>
      <c r="S285" s="0" t="n">
        <v>404.936869410095</v>
      </c>
      <c r="T285" s="0" t="n">
        <v>26</v>
      </c>
      <c r="U285" s="0" t="n">
        <v>22</v>
      </c>
      <c r="V285" s="0" t="n">
        <v>14.1826996510699</v>
      </c>
      <c r="W285" s="0" t="n">
        <v>18.4061376725604</v>
      </c>
      <c r="X285" s="0" t="n">
        <v>0</v>
      </c>
      <c r="Y285" s="0" t="n">
        <v>0</v>
      </c>
      <c r="Z285" s="0" t="n">
        <v>0</v>
      </c>
      <c r="AA285" s="0" t="n">
        <v>21.0114284995421</v>
      </c>
      <c r="AB285" s="0" t="n">
        <v>0</v>
      </c>
      <c r="AC285" s="0" t="n">
        <v>0</v>
      </c>
      <c r="AD285" s="0" t="n">
        <v>0</v>
      </c>
      <c r="AE285" s="0" t="n">
        <v>1</v>
      </c>
      <c r="AF285" s="0" t="n">
        <v>0</v>
      </c>
      <c r="AG285" s="0" t="n">
        <v>0</v>
      </c>
      <c r="AH285" s="0" t="n">
        <v>0</v>
      </c>
      <c r="AI285" s="0" t="n">
        <v>176.359136708532</v>
      </c>
      <c r="AK285" s="0" t="n">
        <f aca="false">A285</f>
        <v>268</v>
      </c>
      <c r="AL285" s="0" t="n">
        <v>0</v>
      </c>
      <c r="AM285" s="0" t="n">
        <v>1</v>
      </c>
      <c r="AO285" s="0" t="n">
        <v>268</v>
      </c>
      <c r="AP285" s="0" t="n">
        <v>0</v>
      </c>
      <c r="AQ285" s="0" t="n">
        <v>1.21705957013945</v>
      </c>
      <c r="AR285" s="0" t="n">
        <v>235.570430149505</v>
      </c>
      <c r="AS285" s="0" t="n">
        <v>40</v>
      </c>
      <c r="AT285" s="0" t="n">
        <v>38</v>
      </c>
    </row>
    <row r="286" customFormat="false" ht="12" hidden="false" customHeight="false" outlineLevel="0" collapsed="false">
      <c r="A286" s="0" t="n">
        <v>269</v>
      </c>
      <c r="B286" s="0" t="n">
        <v>1</v>
      </c>
      <c r="C286" s="0" t="n">
        <v>0.0240350385652807</v>
      </c>
      <c r="D286" s="0" t="n">
        <v>269.761755274241</v>
      </c>
      <c r="E286" s="0" t="n">
        <v>22</v>
      </c>
      <c r="F286" s="0" t="n">
        <v>24</v>
      </c>
      <c r="G286" s="0" t="n">
        <v>0.5</v>
      </c>
      <c r="H286" s="0" t="n">
        <v>0</v>
      </c>
      <c r="I286" s="0" t="n">
        <v>2.20753194760558</v>
      </c>
      <c r="J286" s="0" t="n">
        <v>290.14497184957</v>
      </c>
      <c r="K286" s="0" t="n">
        <v>20.3832165753282</v>
      </c>
      <c r="L286" s="0" t="n">
        <v>0</v>
      </c>
      <c r="M286" s="0" t="n">
        <v>290.749148735218</v>
      </c>
      <c r="N286" s="0" t="n">
        <v>0</v>
      </c>
      <c r="O286" s="0" t="n">
        <v>269</v>
      </c>
      <c r="P286" s="0" t="n">
        <v>137</v>
      </c>
      <c r="Q286" s="0" t="n">
        <v>132</v>
      </c>
      <c r="R286" s="0" t="n">
        <v>464.669427233229</v>
      </c>
      <c r="S286" s="0" t="n">
        <v>304.244824939059</v>
      </c>
      <c r="T286" s="0" t="n">
        <v>25</v>
      </c>
      <c r="U286" s="0" t="n">
        <v>23</v>
      </c>
      <c r="V286" s="0" t="n">
        <v>18.5867696546213</v>
      </c>
      <c r="W286" s="0" t="n">
        <v>13.2279783539662</v>
      </c>
      <c r="X286" s="0" t="n">
        <v>20.3832165753282</v>
      </c>
      <c r="Y286" s="0" t="n">
        <v>0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  <c r="AF286" s="0" t="n">
        <v>167.849033665955</v>
      </c>
      <c r="AG286" s="0" t="n">
        <v>0</v>
      </c>
      <c r="AH286" s="0" t="n">
        <v>0</v>
      </c>
      <c r="AI286" s="0" t="n">
        <v>0</v>
      </c>
      <c r="AK286" s="0" t="n">
        <f aca="false">A286</f>
        <v>269</v>
      </c>
      <c r="AL286" s="0" t="n">
        <v>1</v>
      </c>
      <c r="AM286" s="0" t="n">
        <v>2</v>
      </c>
      <c r="AO286" s="0" t="n">
        <v>269</v>
      </c>
      <c r="AP286" s="0" t="n">
        <v>0</v>
      </c>
      <c r="AQ286" s="0" t="n">
        <v>0.784328580492042</v>
      </c>
      <c r="AR286" s="0" t="n">
        <v>236.354758729997</v>
      </c>
      <c r="AS286" s="0" t="n">
        <v>40</v>
      </c>
      <c r="AT286" s="0" t="n">
        <v>36</v>
      </c>
    </row>
    <row r="287" customFormat="false" ht="12" hidden="false" customHeight="false" outlineLevel="0" collapsed="false">
      <c r="A287" s="0" t="n">
        <v>270</v>
      </c>
      <c r="B287" s="0" t="n">
        <v>1</v>
      </c>
      <c r="C287" s="0" t="n">
        <v>0.396479334369287</v>
      </c>
      <c r="D287" s="0" t="n">
        <v>270.158234608611</v>
      </c>
      <c r="E287" s="0" t="n">
        <v>22</v>
      </c>
      <c r="F287" s="0" t="n">
        <v>24</v>
      </c>
      <c r="G287" s="0" t="n">
        <v>0.5</v>
      </c>
      <c r="H287" s="0" t="n">
        <v>0</v>
      </c>
      <c r="I287" s="0" t="n">
        <v>2.14228139998542</v>
      </c>
      <c r="J287" s="0" t="n">
        <v>292.287253249555</v>
      </c>
      <c r="K287" s="0" t="n">
        <v>22.1290186409443</v>
      </c>
      <c r="L287" s="0" t="n">
        <v>0</v>
      </c>
      <c r="M287" s="0" t="n">
        <v>290.749148735218</v>
      </c>
      <c r="N287" s="0" t="n">
        <v>0</v>
      </c>
      <c r="O287" s="0" t="n">
        <v>270</v>
      </c>
      <c r="P287" s="0" t="n">
        <v>138</v>
      </c>
      <c r="Q287" s="0" t="n">
        <v>132</v>
      </c>
      <c r="R287" s="0" t="n">
        <v>402.958477338432</v>
      </c>
      <c r="S287" s="0" t="n">
        <v>372.594324656387</v>
      </c>
      <c r="T287" s="0" t="n">
        <v>25</v>
      </c>
      <c r="U287" s="0" t="n">
        <v>23</v>
      </c>
      <c r="V287" s="0" t="n">
        <v>16.1183326462042</v>
      </c>
      <c r="W287" s="0" t="n">
        <v>16.1996828125263</v>
      </c>
      <c r="X287" s="0" t="n">
        <v>22.1290186409443</v>
      </c>
      <c r="Y287" s="0" t="n">
        <v>0</v>
      </c>
      <c r="Z287" s="0" t="n">
        <v>0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  <c r="AF287" s="0" t="n">
        <v>216.132882050101</v>
      </c>
      <c r="AG287" s="0" t="n">
        <v>0</v>
      </c>
      <c r="AH287" s="0" t="n">
        <v>0</v>
      </c>
      <c r="AI287" s="0" t="n">
        <v>0</v>
      </c>
      <c r="AK287" s="0" t="n">
        <f aca="false">A287</f>
        <v>270</v>
      </c>
      <c r="AL287" s="0" t="n">
        <v>1</v>
      </c>
      <c r="AM287" s="0" t="n">
        <v>1</v>
      </c>
      <c r="AO287" s="0" t="n">
        <v>270</v>
      </c>
      <c r="AP287" s="0" t="n">
        <v>0</v>
      </c>
      <c r="AQ287" s="0" t="n">
        <v>0.690051727912709</v>
      </c>
      <c r="AR287" s="0" t="n">
        <v>237.044810457909</v>
      </c>
      <c r="AS287" s="0" t="n">
        <v>40</v>
      </c>
      <c r="AT287" s="0" t="n">
        <v>38</v>
      </c>
    </row>
    <row r="288" customFormat="false" ht="12" hidden="false" customHeight="false" outlineLevel="0" collapsed="false">
      <c r="A288" s="0" t="n">
        <v>271</v>
      </c>
      <c r="B288" s="0" t="n">
        <v>1</v>
      </c>
      <c r="C288" s="0" t="n">
        <v>0.00811557406824349</v>
      </c>
      <c r="D288" s="0" t="n">
        <v>270.166350182679</v>
      </c>
      <c r="E288" s="0" t="n">
        <v>24</v>
      </c>
      <c r="F288" s="0" t="n">
        <v>24</v>
      </c>
      <c r="G288" s="0" t="n">
        <v>0.5</v>
      </c>
      <c r="H288" s="0" t="n">
        <v>1</v>
      </c>
      <c r="I288" s="0" t="n">
        <v>0</v>
      </c>
      <c r="J288" s="0" t="n">
        <v>292.287253249555</v>
      </c>
      <c r="K288" s="0" t="n">
        <v>0</v>
      </c>
      <c r="L288" s="0" t="n">
        <v>1.96488027807718</v>
      </c>
      <c r="M288" s="0" t="n">
        <v>292.714029013296</v>
      </c>
      <c r="N288" s="0" t="n">
        <v>22.5476788306165</v>
      </c>
      <c r="O288" s="0" t="n">
        <v>271</v>
      </c>
      <c r="P288" s="0" t="n">
        <v>138</v>
      </c>
      <c r="Q288" s="0" t="n">
        <v>133</v>
      </c>
      <c r="R288" s="0" t="n">
        <v>424.247684010515</v>
      </c>
      <c r="S288" s="0" t="n">
        <v>360.496979347832</v>
      </c>
      <c r="T288" s="0" t="n">
        <v>23</v>
      </c>
      <c r="U288" s="0" t="n">
        <v>25</v>
      </c>
      <c r="V288" s="0" t="n">
        <v>18.4455434589165</v>
      </c>
      <c r="W288" s="0" t="n">
        <v>14.4198214946273</v>
      </c>
      <c r="X288" s="0" t="n">
        <v>0</v>
      </c>
      <c r="Y288" s="0" t="n">
        <v>0</v>
      </c>
      <c r="Z288" s="0" t="n">
        <v>22.5476788306165</v>
      </c>
      <c r="AA288" s="0" t="n">
        <v>0</v>
      </c>
      <c r="AB288" s="0" t="n">
        <v>0</v>
      </c>
      <c r="AC288" s="0" t="n">
        <v>0</v>
      </c>
      <c r="AD288" s="0" t="n">
        <v>1</v>
      </c>
      <c r="AE288" s="0" t="n">
        <v>0</v>
      </c>
      <c r="AF288" s="0" t="n">
        <v>0</v>
      </c>
      <c r="AG288" s="0" t="n">
        <v>0</v>
      </c>
      <c r="AH288" s="0" t="n">
        <v>218.500888472273</v>
      </c>
      <c r="AI288" s="0" t="n">
        <v>0</v>
      </c>
      <c r="AK288" s="0" t="n">
        <f aca="false">A288</f>
        <v>271</v>
      </c>
      <c r="AL288" s="0" t="n">
        <v>0</v>
      </c>
      <c r="AM288" s="0" t="n">
        <v>0</v>
      </c>
      <c r="AO288" s="0" t="n">
        <v>271</v>
      </c>
      <c r="AP288" s="0" t="n">
        <v>0</v>
      </c>
      <c r="AQ288" s="0" t="n">
        <v>1.35425578305342</v>
      </c>
      <c r="AR288" s="0" t="n">
        <v>238.399066240963</v>
      </c>
      <c r="AS288" s="0" t="n">
        <v>38</v>
      </c>
      <c r="AT288" s="0" t="n">
        <v>38</v>
      </c>
    </row>
    <row r="289" customFormat="false" ht="12" hidden="false" customHeight="false" outlineLevel="0" collapsed="false">
      <c r="A289" s="0" t="n">
        <v>272</v>
      </c>
      <c r="B289" s="0" t="n">
        <v>1</v>
      </c>
      <c r="C289" s="0" t="n">
        <v>2.25927515499512</v>
      </c>
      <c r="D289" s="0" t="n">
        <v>272.425625337674</v>
      </c>
      <c r="E289" s="0" t="n">
        <v>22</v>
      </c>
      <c r="F289" s="0" t="n">
        <v>24</v>
      </c>
      <c r="G289" s="0" t="n">
        <v>0.5</v>
      </c>
      <c r="H289" s="0" t="n">
        <v>0</v>
      </c>
      <c r="I289" s="0" t="n">
        <v>2.19918270089541</v>
      </c>
      <c r="J289" s="0" t="n">
        <v>294.48643595045</v>
      </c>
      <c r="K289" s="0" t="n">
        <v>22.0608106127763</v>
      </c>
      <c r="L289" s="0" t="n">
        <v>0</v>
      </c>
      <c r="M289" s="0" t="n">
        <v>292.714029013296</v>
      </c>
      <c r="N289" s="0" t="n">
        <v>0</v>
      </c>
      <c r="O289" s="0" t="n">
        <v>272</v>
      </c>
      <c r="P289" s="0" t="n">
        <v>139</v>
      </c>
      <c r="Q289" s="0" t="n">
        <v>133</v>
      </c>
      <c r="R289" s="0" t="n">
        <v>354.759252162662</v>
      </c>
      <c r="S289" s="0" t="n">
        <v>421.692292860559</v>
      </c>
      <c r="T289" s="0" t="n">
        <v>24</v>
      </c>
      <c r="U289" s="0" t="n">
        <v>24</v>
      </c>
      <c r="V289" s="0" t="n">
        <v>14.7816293477653</v>
      </c>
      <c r="W289" s="0" t="n">
        <v>17.5704389923608</v>
      </c>
      <c r="X289" s="0" t="n">
        <v>22.0608106127763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  <c r="AF289" s="0" t="n">
        <v>214.132019394145</v>
      </c>
      <c r="AG289" s="0" t="n">
        <v>0</v>
      </c>
      <c r="AH289" s="0" t="n">
        <v>0</v>
      </c>
      <c r="AI289" s="0" t="n">
        <v>0</v>
      </c>
      <c r="AK289" s="0" t="n">
        <f aca="false">A289</f>
        <v>272</v>
      </c>
      <c r="AL289" s="0" t="n">
        <v>1</v>
      </c>
      <c r="AM289" s="0" t="n">
        <v>1</v>
      </c>
      <c r="AO289" s="0" t="n">
        <v>272</v>
      </c>
      <c r="AP289" s="0" t="n">
        <v>1</v>
      </c>
      <c r="AQ289" s="0" t="n">
        <v>0.319258253341629</v>
      </c>
      <c r="AR289" s="0" t="n">
        <v>238.718324494305</v>
      </c>
      <c r="AS289" s="0" t="n">
        <v>38</v>
      </c>
      <c r="AT289" s="0" t="n">
        <v>40</v>
      </c>
    </row>
    <row r="290" customFormat="false" ht="12" hidden="false" customHeight="false" outlineLevel="0" collapsed="false">
      <c r="A290" s="0" t="n">
        <v>273</v>
      </c>
      <c r="B290" s="0" t="n">
        <v>0</v>
      </c>
      <c r="C290" s="0" t="n">
        <v>0.873377740897928</v>
      </c>
      <c r="D290" s="0" t="n">
        <v>273.299003078572</v>
      </c>
      <c r="E290" s="0" t="n">
        <v>24</v>
      </c>
      <c r="F290" s="0" t="n">
        <v>22</v>
      </c>
      <c r="G290" s="0" t="n">
        <v>0.5</v>
      </c>
      <c r="H290" s="0" t="n">
        <v>1</v>
      </c>
      <c r="I290" s="0" t="n">
        <v>0</v>
      </c>
      <c r="J290" s="0" t="n">
        <v>294.48643595045</v>
      </c>
      <c r="K290" s="0" t="n">
        <v>0</v>
      </c>
      <c r="L290" s="0" t="n">
        <v>2.08493025553261</v>
      </c>
      <c r="M290" s="0" t="n">
        <v>294.798959268828</v>
      </c>
      <c r="N290" s="0" t="n">
        <v>21.499956190256</v>
      </c>
      <c r="O290" s="0" t="n">
        <v>273</v>
      </c>
      <c r="P290" s="0" t="n">
        <v>139</v>
      </c>
      <c r="Q290" s="0" t="n">
        <v>134</v>
      </c>
      <c r="R290" s="0" t="n">
        <v>348.275850885104</v>
      </c>
      <c r="S290" s="0" t="n">
        <v>430.284952788092</v>
      </c>
      <c r="T290" s="0" t="n">
        <v>22</v>
      </c>
      <c r="U290" s="0" t="n">
        <v>26</v>
      </c>
      <c r="V290" s="0" t="n">
        <v>15.8307132989987</v>
      </c>
      <c r="W290" s="0" t="n">
        <v>16.549357609705</v>
      </c>
      <c r="X290" s="0" t="n">
        <v>0</v>
      </c>
      <c r="Y290" s="0" t="n">
        <v>0</v>
      </c>
      <c r="Z290" s="0" t="n">
        <v>0</v>
      </c>
      <c r="AA290" s="0" t="n">
        <v>21.499956190256</v>
      </c>
      <c r="AB290" s="0" t="n">
        <v>0</v>
      </c>
      <c r="AC290" s="0" t="n">
        <v>0</v>
      </c>
      <c r="AD290" s="0" t="n">
        <v>0</v>
      </c>
      <c r="AE290" s="0" t="n">
        <v>1</v>
      </c>
      <c r="AF290" s="0" t="n">
        <v>0</v>
      </c>
      <c r="AG290" s="0" t="n">
        <v>0</v>
      </c>
      <c r="AH290" s="0" t="n">
        <v>0</v>
      </c>
      <c r="AI290" s="0" t="n">
        <v>189.573118579552</v>
      </c>
      <c r="AK290" s="0" t="n">
        <f aca="false">A290</f>
        <v>273</v>
      </c>
      <c r="AL290" s="0" t="n">
        <v>1</v>
      </c>
      <c r="AM290" s="0" t="n">
        <v>0</v>
      </c>
      <c r="AO290" s="0" t="n">
        <v>273</v>
      </c>
      <c r="AP290" s="0" t="n">
        <v>1</v>
      </c>
      <c r="AQ290" s="0" t="n">
        <v>2.59581616474933</v>
      </c>
      <c r="AR290" s="0" t="n">
        <v>241.314140659054</v>
      </c>
      <c r="AS290" s="0" t="n">
        <v>38</v>
      </c>
      <c r="AT290" s="0" t="n">
        <v>38</v>
      </c>
    </row>
    <row r="291" customFormat="false" ht="12" hidden="false" customHeight="false" outlineLevel="0" collapsed="false">
      <c r="A291" s="0" t="n">
        <v>274</v>
      </c>
      <c r="B291" s="0" t="n">
        <v>1</v>
      </c>
      <c r="C291" s="0" t="n">
        <v>0.210565091662917</v>
      </c>
      <c r="D291" s="0" t="n">
        <v>273.509568170235</v>
      </c>
      <c r="E291" s="0" t="n">
        <v>24</v>
      </c>
      <c r="F291" s="0" t="n">
        <v>24</v>
      </c>
      <c r="G291" s="0" t="n">
        <v>0.5</v>
      </c>
      <c r="H291" s="0" t="n">
        <v>0</v>
      </c>
      <c r="I291" s="0" t="n">
        <v>2.05222422464606</v>
      </c>
      <c r="J291" s="0" t="n">
        <v>296.538660175097</v>
      </c>
      <c r="K291" s="0" t="n">
        <v>23.0290920048615</v>
      </c>
      <c r="L291" s="0" t="n">
        <v>0</v>
      </c>
      <c r="M291" s="0" t="n">
        <v>294.798959268828</v>
      </c>
      <c r="N291" s="0" t="n">
        <v>0</v>
      </c>
      <c r="O291" s="0" t="n">
        <v>274</v>
      </c>
      <c r="P291" s="0" t="n">
        <v>140</v>
      </c>
      <c r="Q291" s="0" t="n">
        <v>134</v>
      </c>
      <c r="R291" s="0" t="n">
        <v>450.112550091198</v>
      </c>
      <c r="S291" s="0" t="n">
        <v>347.300806750701</v>
      </c>
      <c r="T291" s="0" t="n">
        <v>29</v>
      </c>
      <c r="U291" s="0" t="n">
        <v>19</v>
      </c>
      <c r="V291" s="0" t="n">
        <v>15.5211170648285</v>
      </c>
      <c r="W291" s="0" t="n">
        <v>18.278893624281</v>
      </c>
      <c r="X291" s="0" t="n">
        <v>23.0290920048615</v>
      </c>
      <c r="Y291" s="0" t="n">
        <v>0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  <c r="AF291" s="0" t="n">
        <v>243.407796525104</v>
      </c>
      <c r="AG291" s="0" t="n">
        <v>0</v>
      </c>
      <c r="AH291" s="0" t="n">
        <v>0</v>
      </c>
      <c r="AI291" s="0" t="n">
        <v>0</v>
      </c>
      <c r="AK291" s="0" t="n">
        <f aca="false">A291</f>
        <v>274</v>
      </c>
      <c r="AL291" s="0" t="n">
        <v>0</v>
      </c>
      <c r="AM291" s="0" t="n">
        <v>1</v>
      </c>
      <c r="AO291" s="0" t="n">
        <v>274</v>
      </c>
      <c r="AP291" s="0" t="n">
        <v>0</v>
      </c>
      <c r="AQ291" s="0" t="n">
        <v>1.19033076389262</v>
      </c>
      <c r="AR291" s="0" t="n">
        <v>242.504471422946</v>
      </c>
      <c r="AS291" s="0" t="n">
        <v>38</v>
      </c>
      <c r="AT291" s="0" t="n">
        <v>36</v>
      </c>
    </row>
    <row r="292" customFormat="false" ht="12" hidden="false" customHeight="false" outlineLevel="0" collapsed="false">
      <c r="A292" s="0" t="n">
        <v>275</v>
      </c>
      <c r="B292" s="0" t="n">
        <v>1</v>
      </c>
      <c r="C292" s="0" t="n">
        <v>2.76025852442784</v>
      </c>
      <c r="D292" s="0" t="n">
        <v>276.269826694663</v>
      </c>
      <c r="E292" s="0" t="n">
        <v>22</v>
      </c>
      <c r="F292" s="0" t="n">
        <v>22</v>
      </c>
      <c r="G292" s="0" t="n">
        <v>0.5</v>
      </c>
      <c r="H292" s="0" t="n">
        <v>1</v>
      </c>
      <c r="I292" s="0" t="n">
        <v>0</v>
      </c>
      <c r="J292" s="0" t="n">
        <v>296.538660175097</v>
      </c>
      <c r="K292" s="0" t="n">
        <v>0</v>
      </c>
      <c r="L292" s="0" t="n">
        <v>1.88089853043209</v>
      </c>
      <c r="M292" s="0" t="n">
        <v>296.67985779926</v>
      </c>
      <c r="N292" s="0" t="n">
        <v>20.4100311045973</v>
      </c>
      <c r="O292" s="0" t="n">
        <v>275</v>
      </c>
      <c r="P292" s="0" t="n">
        <v>140</v>
      </c>
      <c r="Q292" s="0" t="n">
        <v>135</v>
      </c>
      <c r="R292" s="0" t="n">
        <v>231.989485512246</v>
      </c>
      <c r="S292" s="0" t="n">
        <v>561.853902044118</v>
      </c>
      <c r="T292" s="0" t="n">
        <v>16</v>
      </c>
      <c r="U292" s="0" t="n">
        <v>32</v>
      </c>
      <c r="V292" s="0" t="n">
        <v>14.4993337824317</v>
      </c>
      <c r="W292" s="0" t="n">
        <v>17.557879570505</v>
      </c>
      <c r="X292" s="0" t="n">
        <v>0</v>
      </c>
      <c r="Y292" s="0" t="n">
        <v>0</v>
      </c>
      <c r="Z292" s="0" t="n">
        <v>20.4100311045973</v>
      </c>
      <c r="AA292" s="0" t="n">
        <v>0</v>
      </c>
      <c r="AB292" s="0" t="n">
        <v>0</v>
      </c>
      <c r="AC292" s="0" t="n">
        <v>0</v>
      </c>
      <c r="AD292" s="0" t="n">
        <v>1</v>
      </c>
      <c r="AE292" s="0" t="n">
        <v>0</v>
      </c>
      <c r="AF292" s="0" t="n">
        <v>0</v>
      </c>
      <c r="AG292" s="0" t="n">
        <v>0</v>
      </c>
      <c r="AH292" s="0" t="n">
        <v>159.87396848194</v>
      </c>
      <c r="AI292" s="0" t="n">
        <v>0</v>
      </c>
      <c r="AK292" s="0" t="n">
        <f aca="false">A292</f>
        <v>275</v>
      </c>
      <c r="AL292" s="0" t="n">
        <v>0</v>
      </c>
      <c r="AM292" s="0" t="n">
        <v>0</v>
      </c>
      <c r="AO292" s="0" t="n">
        <v>275</v>
      </c>
      <c r="AP292" s="0" t="n">
        <v>0</v>
      </c>
      <c r="AQ292" s="0" t="n">
        <v>0.632294345309663</v>
      </c>
      <c r="AR292" s="0" t="n">
        <v>243.136765768256</v>
      </c>
      <c r="AS292" s="0" t="n">
        <v>38</v>
      </c>
      <c r="AT292" s="0" t="n">
        <v>38</v>
      </c>
    </row>
    <row r="293" customFormat="false" ht="12" hidden="false" customHeight="false" outlineLevel="0" collapsed="false">
      <c r="A293" s="0" t="n">
        <v>276</v>
      </c>
      <c r="B293" s="0" t="n">
        <v>1</v>
      </c>
      <c r="C293" s="0" t="n">
        <v>0.948125337069267</v>
      </c>
      <c r="D293" s="0" t="n">
        <v>277.217952031732</v>
      </c>
      <c r="E293" s="0" t="n">
        <v>22</v>
      </c>
      <c r="F293" s="0" t="n">
        <v>22</v>
      </c>
      <c r="G293" s="0" t="n">
        <v>0.5</v>
      </c>
      <c r="H293" s="0" t="n">
        <v>1</v>
      </c>
      <c r="I293" s="0" t="n">
        <v>0</v>
      </c>
      <c r="J293" s="0" t="n">
        <v>296.538660175097</v>
      </c>
      <c r="K293" s="0" t="n">
        <v>0</v>
      </c>
      <c r="L293" s="0" t="n">
        <v>1.9315090235858</v>
      </c>
      <c r="M293" s="0" t="n">
        <v>298.611366822846</v>
      </c>
      <c r="N293" s="0" t="n">
        <v>21.3934147911139</v>
      </c>
      <c r="O293" s="0" t="n">
        <v>276</v>
      </c>
      <c r="P293" s="0" t="n">
        <v>140</v>
      </c>
      <c r="Q293" s="0" t="n">
        <v>136</v>
      </c>
      <c r="R293" s="0" t="n">
        <v>472.316477626169</v>
      </c>
      <c r="S293" s="0" t="n">
        <v>324.877975281717</v>
      </c>
      <c r="T293" s="0" t="n">
        <v>25</v>
      </c>
      <c r="U293" s="0" t="n">
        <v>23</v>
      </c>
      <c r="V293" s="0" t="n">
        <v>18.8926515479861</v>
      </c>
      <c r="W293" s="0" t="n">
        <v>14.1250679467358</v>
      </c>
      <c r="X293" s="0" t="n">
        <v>0</v>
      </c>
      <c r="Y293" s="0" t="n">
        <v>0</v>
      </c>
      <c r="Z293" s="0" t="n">
        <v>21.3934147911139</v>
      </c>
      <c r="AA293" s="0" t="n">
        <v>0</v>
      </c>
      <c r="AB293" s="0" t="n">
        <v>0</v>
      </c>
      <c r="AC293" s="0" t="n">
        <v>0</v>
      </c>
      <c r="AD293" s="0" t="n">
        <v>1</v>
      </c>
      <c r="AE293" s="0" t="n">
        <v>0</v>
      </c>
      <c r="AF293" s="0" t="n">
        <v>0</v>
      </c>
      <c r="AG293" s="0" t="n">
        <v>0</v>
      </c>
      <c r="AH293" s="0" t="n">
        <v>185.709070025617</v>
      </c>
      <c r="AI293" s="0" t="n">
        <v>0</v>
      </c>
      <c r="AK293" s="0" t="n">
        <f aca="false">A293</f>
        <v>276</v>
      </c>
      <c r="AL293" s="0" t="n">
        <v>0</v>
      </c>
      <c r="AM293" s="0" t="n">
        <v>1</v>
      </c>
      <c r="AO293" s="0" t="n">
        <v>276</v>
      </c>
      <c r="AP293" s="0" t="n">
        <v>1</v>
      </c>
      <c r="AQ293" s="0" t="n">
        <v>0.449449107377133</v>
      </c>
      <c r="AR293" s="0" t="n">
        <v>243.586214875633</v>
      </c>
      <c r="AS293" s="0" t="n">
        <v>36</v>
      </c>
      <c r="AT293" s="0" t="n">
        <v>38</v>
      </c>
    </row>
    <row r="294" customFormat="false" ht="12" hidden="false" customHeight="false" outlineLevel="0" collapsed="false">
      <c r="A294" s="0" t="n">
        <v>277</v>
      </c>
      <c r="B294" s="0" t="n">
        <v>0</v>
      </c>
      <c r="C294" s="0" t="n">
        <v>0.204209561641233</v>
      </c>
      <c r="D294" s="0" t="n">
        <v>277.422161593373</v>
      </c>
      <c r="E294" s="0" t="n">
        <v>22</v>
      </c>
      <c r="F294" s="0" t="n">
        <v>24</v>
      </c>
      <c r="G294" s="0" t="n">
        <v>0.5</v>
      </c>
      <c r="H294" s="0" t="n">
        <v>1</v>
      </c>
      <c r="I294" s="0" t="n">
        <v>0</v>
      </c>
      <c r="J294" s="0" t="n">
        <v>296.538660175097</v>
      </c>
      <c r="K294" s="0" t="n">
        <v>0</v>
      </c>
      <c r="L294" s="0" t="n">
        <v>1.82455072451271</v>
      </c>
      <c r="M294" s="0" t="n">
        <v>300.435917547359</v>
      </c>
      <c r="N294" s="0" t="n">
        <v>23.0137559539854</v>
      </c>
      <c r="O294" s="0" t="n">
        <v>277</v>
      </c>
      <c r="P294" s="0" t="n">
        <v>140</v>
      </c>
      <c r="Q294" s="0" t="n">
        <v>137</v>
      </c>
      <c r="R294" s="0" t="n">
        <v>430.832977611469</v>
      </c>
      <c r="S294" s="0" t="n">
        <v>386.209469326298</v>
      </c>
      <c r="T294" s="0" t="n">
        <v>25</v>
      </c>
      <c r="U294" s="0" t="n">
        <v>23</v>
      </c>
      <c r="V294" s="0" t="n">
        <v>17.2333122111339</v>
      </c>
      <c r="W294" s="0" t="n">
        <v>16.7916430505214</v>
      </c>
      <c r="X294" s="0" t="n">
        <v>0</v>
      </c>
      <c r="Y294" s="0" t="n">
        <v>0</v>
      </c>
      <c r="Z294" s="0" t="n">
        <v>0</v>
      </c>
      <c r="AA294" s="0" t="n">
        <v>23.0137559539854</v>
      </c>
      <c r="AB294" s="0" t="n">
        <v>0</v>
      </c>
      <c r="AC294" s="0" t="n">
        <v>0</v>
      </c>
      <c r="AD294" s="0" t="n">
        <v>0</v>
      </c>
      <c r="AE294" s="0" t="n">
        <v>1</v>
      </c>
      <c r="AF294" s="0" t="n">
        <v>0</v>
      </c>
      <c r="AG294" s="0" t="n">
        <v>0</v>
      </c>
      <c r="AH294" s="0" t="n">
        <v>0</v>
      </c>
      <c r="AI294" s="0" t="n">
        <v>233.550380212442</v>
      </c>
      <c r="AK294" s="0" t="n">
        <f aca="false">A294</f>
        <v>277</v>
      </c>
      <c r="AL294" s="0" t="n">
        <v>1</v>
      </c>
      <c r="AM294" s="0" t="n">
        <v>0</v>
      </c>
      <c r="AO294" s="0" t="n">
        <v>277</v>
      </c>
      <c r="AP294" s="0" t="n">
        <v>1</v>
      </c>
      <c r="AQ294" s="0" t="n">
        <v>0.0367680485738044</v>
      </c>
      <c r="AR294" s="0" t="n">
        <v>243.622982924207</v>
      </c>
      <c r="AS294" s="0" t="n">
        <v>38</v>
      </c>
      <c r="AT294" s="0" t="n">
        <v>38</v>
      </c>
    </row>
    <row r="295" customFormat="false" ht="12" hidden="false" customHeight="false" outlineLevel="0" collapsed="false">
      <c r="A295" s="0" t="n">
        <v>278</v>
      </c>
      <c r="B295" s="0" t="n">
        <v>1</v>
      </c>
      <c r="C295" s="0" t="n">
        <v>0.694541758576533</v>
      </c>
      <c r="D295" s="0" t="n">
        <v>278.11670335195</v>
      </c>
      <c r="E295" s="0" t="n">
        <v>20</v>
      </c>
      <c r="F295" s="0" t="n">
        <v>26</v>
      </c>
      <c r="G295" s="0" t="n">
        <v>0.5</v>
      </c>
      <c r="H295" s="0" t="n">
        <v>0</v>
      </c>
      <c r="I295" s="0" t="n">
        <v>1.93009914379247</v>
      </c>
      <c r="J295" s="0" t="n">
        <v>298.468759318889</v>
      </c>
      <c r="K295" s="0" t="n">
        <v>20.3520559669391</v>
      </c>
      <c r="L295" s="0" t="n">
        <v>0</v>
      </c>
      <c r="M295" s="0" t="n">
        <v>300.435917547359</v>
      </c>
      <c r="N295" s="0" t="n">
        <v>0</v>
      </c>
      <c r="O295" s="0" t="n">
        <v>278</v>
      </c>
      <c r="P295" s="0" t="n">
        <v>141</v>
      </c>
      <c r="Q295" s="0" t="n">
        <v>137</v>
      </c>
      <c r="R295" s="0" t="n">
        <v>430.261657502984</v>
      </c>
      <c r="S295" s="0" t="n">
        <v>390.803122666917</v>
      </c>
      <c r="T295" s="0" t="n">
        <v>25</v>
      </c>
      <c r="U295" s="0" t="n">
        <v>23</v>
      </c>
      <c r="V295" s="0" t="n">
        <v>17.2104594159356</v>
      </c>
      <c r="W295" s="0" t="n">
        <v>16.9913662404475</v>
      </c>
      <c r="X295" s="0" t="n">
        <v>20.3520559669391</v>
      </c>
      <c r="Y295" s="0" t="n">
        <v>0</v>
      </c>
      <c r="Z295" s="0" t="n">
        <v>0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  <c r="AF295" s="0" t="n">
        <v>167.042592376271</v>
      </c>
      <c r="AG295" s="0" t="n">
        <v>0</v>
      </c>
      <c r="AH295" s="0" t="n">
        <v>0</v>
      </c>
      <c r="AI295" s="0" t="n">
        <v>0</v>
      </c>
      <c r="AK295" s="0" t="n">
        <f aca="false">A295</f>
        <v>278</v>
      </c>
      <c r="AL295" s="0" t="n">
        <v>3</v>
      </c>
      <c r="AM295" s="0" t="n">
        <v>1</v>
      </c>
      <c r="AO295" s="0" t="n">
        <v>278</v>
      </c>
      <c r="AP295" s="0" t="n">
        <v>1</v>
      </c>
      <c r="AQ295" s="0" t="n">
        <v>0.115510205905823</v>
      </c>
      <c r="AR295" s="0" t="n">
        <v>243.738493130113</v>
      </c>
      <c r="AS295" s="0" t="n">
        <v>38</v>
      </c>
      <c r="AT295" s="0" t="n">
        <v>40</v>
      </c>
    </row>
    <row r="296" customFormat="false" ht="12" hidden="false" customHeight="false" outlineLevel="0" collapsed="false">
      <c r="A296" s="0" t="n">
        <v>279</v>
      </c>
      <c r="B296" s="0" t="n">
        <v>0</v>
      </c>
      <c r="C296" s="0" t="n">
        <v>0.333652935620368</v>
      </c>
      <c r="D296" s="0" t="n">
        <v>278.45035628757</v>
      </c>
      <c r="E296" s="0" t="n">
        <v>22</v>
      </c>
      <c r="F296" s="0" t="n">
        <v>26</v>
      </c>
      <c r="G296" s="0" t="n">
        <v>0.5</v>
      </c>
      <c r="H296" s="0" t="n">
        <v>0</v>
      </c>
      <c r="I296" s="0" t="n">
        <v>2.10369828248731</v>
      </c>
      <c r="J296" s="0" t="n">
        <v>300.572457601376</v>
      </c>
      <c r="K296" s="0" t="n">
        <v>22.1221013138061</v>
      </c>
      <c r="L296" s="0" t="n">
        <v>0</v>
      </c>
      <c r="M296" s="0" t="n">
        <v>300.435917547359</v>
      </c>
      <c r="N296" s="0" t="n">
        <v>0</v>
      </c>
      <c r="O296" s="0" t="n">
        <v>279</v>
      </c>
      <c r="P296" s="0" t="n">
        <v>142</v>
      </c>
      <c r="Q296" s="0" t="n">
        <v>137</v>
      </c>
      <c r="R296" s="0" t="n">
        <v>438.66116689662</v>
      </c>
      <c r="S296" s="0" t="n">
        <v>382.824716176405</v>
      </c>
      <c r="T296" s="0" t="n">
        <v>24</v>
      </c>
      <c r="U296" s="0" t="n">
        <v>24</v>
      </c>
      <c r="V296" s="0" t="n">
        <v>18.2775410050504</v>
      </c>
      <c r="W296" s="0" t="n">
        <v>15.9509633783361</v>
      </c>
      <c r="X296" s="0" t="n">
        <v>0</v>
      </c>
      <c r="Y296" s="0" t="n">
        <v>22.1221013138061</v>
      </c>
      <c r="Z296" s="0" t="n">
        <v>0</v>
      </c>
      <c r="AA296" s="0" t="n">
        <v>0</v>
      </c>
      <c r="AB296" s="0" t="n">
        <v>0</v>
      </c>
      <c r="AC296" s="0" t="n">
        <v>1</v>
      </c>
      <c r="AD296" s="0" t="n">
        <v>0</v>
      </c>
      <c r="AE296" s="0" t="n">
        <v>0</v>
      </c>
      <c r="AF296" s="0" t="n">
        <v>0</v>
      </c>
      <c r="AG296" s="0" t="n">
        <v>192.195087077492</v>
      </c>
      <c r="AH296" s="0" t="n">
        <v>0</v>
      </c>
      <c r="AI296" s="0" t="n">
        <v>0</v>
      </c>
      <c r="AK296" s="0" t="n">
        <f aca="false">A296</f>
        <v>279</v>
      </c>
      <c r="AL296" s="0" t="n">
        <v>2</v>
      </c>
      <c r="AM296" s="0" t="n">
        <v>0</v>
      </c>
      <c r="AO296" s="0" t="n">
        <v>279</v>
      </c>
      <c r="AP296" s="0" t="n">
        <v>0</v>
      </c>
      <c r="AQ296" s="0" t="n">
        <v>1.84293739588929</v>
      </c>
      <c r="AR296" s="0" t="n">
        <v>245.581430526002</v>
      </c>
      <c r="AS296" s="0" t="n">
        <v>38</v>
      </c>
      <c r="AT296" s="0" t="n">
        <v>38</v>
      </c>
    </row>
    <row r="297" customFormat="false" ht="12" hidden="false" customHeight="false" outlineLevel="0" collapsed="false">
      <c r="A297" s="0" t="n">
        <v>280</v>
      </c>
      <c r="B297" s="0" t="n">
        <v>0</v>
      </c>
      <c r="C297" s="0" t="n">
        <v>0.876377701810392</v>
      </c>
      <c r="D297" s="0" t="n">
        <v>279.326733989381</v>
      </c>
      <c r="E297" s="0" t="n">
        <v>24</v>
      </c>
      <c r="F297" s="0" t="n">
        <v>24</v>
      </c>
      <c r="G297" s="0" t="n">
        <v>0.5</v>
      </c>
      <c r="H297" s="0" t="n">
        <v>0</v>
      </c>
      <c r="I297" s="0" t="n">
        <v>1.95936417090332</v>
      </c>
      <c r="J297" s="0" t="n">
        <v>302.53182177228</v>
      </c>
      <c r="K297" s="0" t="n">
        <v>23.205087782899</v>
      </c>
      <c r="L297" s="0" t="n">
        <v>0</v>
      </c>
      <c r="M297" s="0" t="n">
        <v>300.435917547359</v>
      </c>
      <c r="N297" s="0" t="n">
        <v>0</v>
      </c>
      <c r="O297" s="0" t="n">
        <v>280</v>
      </c>
      <c r="P297" s="0" t="n">
        <v>143</v>
      </c>
      <c r="Q297" s="0" t="n">
        <v>137</v>
      </c>
      <c r="R297" s="0" t="n">
        <v>405.933355886856</v>
      </c>
      <c r="S297" s="0" t="n">
        <v>407.695784322074</v>
      </c>
      <c r="T297" s="0" t="n">
        <v>25</v>
      </c>
      <c r="U297" s="0" t="n">
        <v>23</v>
      </c>
      <c r="V297" s="0" t="n">
        <v>16.2373277405432</v>
      </c>
      <c r="W297" s="0" t="n">
        <v>17.7258265973658</v>
      </c>
      <c r="X297" s="0" t="n">
        <v>0</v>
      </c>
      <c r="Y297" s="0" t="n">
        <v>23.205087782899</v>
      </c>
      <c r="Z297" s="0" t="n">
        <v>0</v>
      </c>
      <c r="AA297" s="0" t="n">
        <v>0</v>
      </c>
      <c r="AB297" s="0" t="n">
        <v>0</v>
      </c>
      <c r="AC297" s="0" t="n">
        <v>1</v>
      </c>
      <c r="AD297" s="0" t="n">
        <v>0</v>
      </c>
      <c r="AE297" s="0" t="n">
        <v>0</v>
      </c>
      <c r="AF297" s="0" t="n">
        <v>0</v>
      </c>
      <c r="AG297" s="0" t="n">
        <v>223.395791892512</v>
      </c>
      <c r="AH297" s="0" t="n">
        <v>0</v>
      </c>
      <c r="AI297" s="0" t="n">
        <v>0</v>
      </c>
      <c r="AK297" s="0" t="n">
        <f aca="false">A297</f>
        <v>280</v>
      </c>
      <c r="AL297" s="0" t="n">
        <v>0</v>
      </c>
      <c r="AM297" s="0" t="n">
        <v>1</v>
      </c>
      <c r="AO297" s="0" t="n">
        <v>280</v>
      </c>
      <c r="AP297" s="0" t="n">
        <v>0</v>
      </c>
      <c r="AQ297" s="0" t="n">
        <v>0.751360948167312</v>
      </c>
      <c r="AR297" s="0" t="n">
        <v>246.332791474169</v>
      </c>
      <c r="AS297" s="0" t="n">
        <v>38</v>
      </c>
      <c r="AT297" s="0" t="n">
        <v>40</v>
      </c>
    </row>
    <row r="298" customFormat="false" ht="12" hidden="false" customHeight="false" outlineLevel="0" collapsed="false">
      <c r="A298" s="0" t="n">
        <v>281</v>
      </c>
      <c r="B298" s="0" t="n">
        <v>1</v>
      </c>
      <c r="C298" s="0" t="n">
        <v>0.460477640006558</v>
      </c>
      <c r="D298" s="0" t="n">
        <v>279.787211629387</v>
      </c>
      <c r="E298" s="0" t="n">
        <v>26</v>
      </c>
      <c r="F298" s="0" t="n">
        <v>24</v>
      </c>
      <c r="G298" s="0" t="n">
        <v>0.5</v>
      </c>
      <c r="H298" s="0" t="n">
        <v>1</v>
      </c>
      <c r="I298" s="0" t="n">
        <v>0</v>
      </c>
      <c r="J298" s="0" t="n">
        <v>302.53182177228</v>
      </c>
      <c r="K298" s="0" t="n">
        <v>0</v>
      </c>
      <c r="L298" s="0" t="n">
        <v>2.12504285437969</v>
      </c>
      <c r="M298" s="0" t="n">
        <v>302.560960401738</v>
      </c>
      <c r="N298" s="0" t="n">
        <v>22.7737487723512</v>
      </c>
      <c r="O298" s="0" t="n">
        <v>281</v>
      </c>
      <c r="P298" s="0" t="n">
        <v>143</v>
      </c>
      <c r="Q298" s="0" t="n">
        <v>138</v>
      </c>
      <c r="R298" s="0" t="n">
        <v>504.168219529875</v>
      </c>
      <c r="S298" s="0" t="n">
        <v>320.72337683623</v>
      </c>
      <c r="T298" s="0" t="n">
        <v>28</v>
      </c>
      <c r="U298" s="0" t="n">
        <v>20</v>
      </c>
      <c r="V298" s="0" t="n">
        <v>18.0060014096379</v>
      </c>
      <c r="W298" s="0" t="n">
        <v>16.0360886613682</v>
      </c>
      <c r="X298" s="0" t="n">
        <v>0</v>
      </c>
      <c r="Y298" s="0" t="n">
        <v>0</v>
      </c>
      <c r="Z298" s="0" t="n">
        <v>22.7737487723512</v>
      </c>
      <c r="AA298" s="0" t="n">
        <v>0</v>
      </c>
      <c r="AB298" s="0" t="n">
        <v>0</v>
      </c>
      <c r="AC298" s="0" t="n">
        <v>0</v>
      </c>
      <c r="AD298" s="0" t="n">
        <v>1</v>
      </c>
      <c r="AE298" s="0" t="n">
        <v>0</v>
      </c>
      <c r="AF298" s="0" t="n">
        <v>0</v>
      </c>
      <c r="AG298" s="0" t="n">
        <v>0</v>
      </c>
      <c r="AH298" s="0" t="n">
        <v>225.235426366422</v>
      </c>
      <c r="AI298" s="0" t="n">
        <v>0</v>
      </c>
      <c r="AK298" s="0" t="n">
        <f aca="false">A298</f>
        <v>281</v>
      </c>
      <c r="AL298" s="0" t="n">
        <v>1</v>
      </c>
      <c r="AM298" s="0" t="n">
        <v>0</v>
      </c>
      <c r="AO298" s="0" t="n">
        <v>281</v>
      </c>
      <c r="AP298" s="0" t="n">
        <v>0</v>
      </c>
      <c r="AQ298" s="0" t="n">
        <v>0.102000749450548</v>
      </c>
      <c r="AR298" s="0" t="n">
        <v>246.43479222362</v>
      </c>
      <c r="AS298" s="0" t="n">
        <v>40</v>
      </c>
      <c r="AT298" s="0" t="n">
        <v>40</v>
      </c>
    </row>
    <row r="299" customFormat="false" ht="12" hidden="false" customHeight="false" outlineLevel="0" collapsed="false">
      <c r="A299" s="0" t="n">
        <v>282</v>
      </c>
      <c r="B299" s="0" t="n">
        <v>0</v>
      </c>
      <c r="C299" s="0" t="n">
        <v>0.176548154143233</v>
      </c>
      <c r="D299" s="0" t="n">
        <v>279.96375978353</v>
      </c>
      <c r="E299" s="0" t="n">
        <v>26</v>
      </c>
      <c r="F299" s="0" t="n">
        <v>26</v>
      </c>
      <c r="G299" s="0" t="n">
        <v>0.5</v>
      </c>
      <c r="H299" s="0" t="n">
        <v>0</v>
      </c>
      <c r="I299" s="0" t="n">
        <v>2.02705011934266</v>
      </c>
      <c r="J299" s="0" t="n">
        <v>304.558871891622</v>
      </c>
      <c r="K299" s="0" t="n">
        <v>24.5951121080919</v>
      </c>
      <c r="L299" s="0" t="n">
        <v>0</v>
      </c>
      <c r="M299" s="0" t="n">
        <v>302.560960401738</v>
      </c>
      <c r="N299" s="0" t="n">
        <v>0</v>
      </c>
      <c r="O299" s="0" t="n">
        <v>282</v>
      </c>
      <c r="P299" s="0" t="n">
        <v>144</v>
      </c>
      <c r="Q299" s="0" t="n">
        <v>138</v>
      </c>
      <c r="R299" s="0" t="n">
        <v>362.462630855075</v>
      </c>
      <c r="S299" s="0" t="n">
        <v>478.152185305859</v>
      </c>
      <c r="T299" s="0" t="n">
        <v>24</v>
      </c>
      <c r="U299" s="0" t="n">
        <v>24</v>
      </c>
      <c r="V299" s="0" t="n">
        <v>15.1026033262101</v>
      </c>
      <c r="W299" s="0" t="n">
        <v>19.9229247088912</v>
      </c>
      <c r="X299" s="0" t="n">
        <v>0</v>
      </c>
      <c r="Y299" s="0" t="n">
        <v>24.5951121080919</v>
      </c>
      <c r="Z299" s="0" t="n">
        <v>0</v>
      </c>
      <c r="AA299" s="0" t="n">
        <v>0</v>
      </c>
      <c r="AB299" s="0" t="n">
        <v>0</v>
      </c>
      <c r="AC299" s="0" t="n">
        <v>1</v>
      </c>
      <c r="AD299" s="0" t="n">
        <v>0</v>
      </c>
      <c r="AE299" s="0" t="n">
        <v>0</v>
      </c>
      <c r="AF299" s="0" t="n">
        <v>0</v>
      </c>
      <c r="AG299" s="0" t="n">
        <v>266.879764126462</v>
      </c>
      <c r="AH299" s="0" t="n">
        <v>0</v>
      </c>
      <c r="AI299" s="0" t="n">
        <v>0</v>
      </c>
      <c r="AK299" s="0" t="n">
        <f aca="false">A299</f>
        <v>282</v>
      </c>
      <c r="AL299" s="0" t="n">
        <v>0</v>
      </c>
      <c r="AM299" s="0" t="n">
        <v>1</v>
      </c>
      <c r="AO299" s="0" t="n">
        <v>282</v>
      </c>
      <c r="AP299" s="0" t="n">
        <v>1</v>
      </c>
      <c r="AQ299" s="0" t="n">
        <v>1.73900973487156</v>
      </c>
      <c r="AR299" s="0" t="n">
        <v>248.173801958492</v>
      </c>
      <c r="AS299" s="0" t="n">
        <v>38</v>
      </c>
      <c r="AT299" s="0" t="n">
        <v>40</v>
      </c>
    </row>
    <row r="300" customFormat="false" ht="12" hidden="false" customHeight="false" outlineLevel="0" collapsed="false">
      <c r="A300" s="0" t="n">
        <v>283</v>
      </c>
      <c r="B300" s="0" t="n">
        <v>1</v>
      </c>
      <c r="C300" s="0" t="n">
        <v>2.12750138557219</v>
      </c>
      <c r="D300" s="0" t="n">
        <v>282.091261169103</v>
      </c>
      <c r="E300" s="0" t="n">
        <v>26</v>
      </c>
      <c r="F300" s="0" t="n">
        <v>24</v>
      </c>
      <c r="G300" s="0" t="n">
        <v>0.5</v>
      </c>
      <c r="H300" s="0" t="n">
        <v>1</v>
      </c>
      <c r="I300" s="0" t="n">
        <v>0</v>
      </c>
      <c r="J300" s="0" t="n">
        <v>304.558871891622</v>
      </c>
      <c r="K300" s="0" t="n">
        <v>0</v>
      </c>
      <c r="L300" s="0" t="n">
        <v>2.13326094446983</v>
      </c>
      <c r="M300" s="0" t="n">
        <v>304.694221346208</v>
      </c>
      <c r="N300" s="0" t="n">
        <v>22.6029601771056</v>
      </c>
      <c r="O300" s="0" t="n">
        <v>283</v>
      </c>
      <c r="P300" s="0" t="n">
        <v>144</v>
      </c>
      <c r="Q300" s="0" t="n">
        <v>139</v>
      </c>
      <c r="R300" s="0" t="n">
        <v>461.073017240713</v>
      </c>
      <c r="S300" s="0" t="n">
        <v>380.035193852209</v>
      </c>
      <c r="T300" s="0" t="n">
        <v>22</v>
      </c>
      <c r="U300" s="0" t="n">
        <v>26</v>
      </c>
      <c r="V300" s="0" t="n">
        <v>20.9578548937347</v>
      </c>
      <c r="W300" s="0" t="n">
        <v>14.6166820070772</v>
      </c>
      <c r="X300" s="0" t="n">
        <v>0</v>
      </c>
      <c r="Y300" s="0" t="n">
        <v>0</v>
      </c>
      <c r="Z300" s="0" t="n">
        <v>22.6029601771056</v>
      </c>
      <c r="AA300" s="0" t="n">
        <v>0</v>
      </c>
      <c r="AB300" s="0" t="n">
        <v>0</v>
      </c>
      <c r="AC300" s="0" t="n">
        <v>0</v>
      </c>
      <c r="AD300" s="0" t="n">
        <v>1</v>
      </c>
      <c r="AE300" s="0" t="n">
        <v>0</v>
      </c>
      <c r="AF300" s="0" t="n">
        <v>0</v>
      </c>
      <c r="AG300" s="0" t="n">
        <v>0</v>
      </c>
      <c r="AH300" s="0" t="n">
        <v>220.138257411583</v>
      </c>
      <c r="AI300" s="0" t="n">
        <v>0</v>
      </c>
      <c r="AK300" s="0" t="n">
        <f aca="false">A300</f>
        <v>283</v>
      </c>
      <c r="AL300" s="0" t="n">
        <v>1</v>
      </c>
      <c r="AM300" s="0" t="n">
        <v>0</v>
      </c>
      <c r="AO300" s="0" t="n">
        <v>283</v>
      </c>
      <c r="AP300" s="0" t="n">
        <v>1</v>
      </c>
      <c r="AQ300" s="0" t="n">
        <v>7.97520444396735E-006</v>
      </c>
      <c r="AR300" s="0" t="n">
        <v>248.173809933696</v>
      </c>
      <c r="AS300" s="0" t="n">
        <v>40</v>
      </c>
      <c r="AT300" s="0" t="n">
        <v>40</v>
      </c>
    </row>
    <row r="301" customFormat="false" ht="12" hidden="false" customHeight="false" outlineLevel="0" collapsed="false">
      <c r="A301" s="0" t="n">
        <v>284</v>
      </c>
      <c r="B301" s="0" t="n">
        <v>1</v>
      </c>
      <c r="C301" s="0" t="n">
        <v>0.549033945922451</v>
      </c>
      <c r="D301" s="0" t="n">
        <v>282.640295115025</v>
      </c>
      <c r="E301" s="0" t="n">
        <v>24</v>
      </c>
      <c r="F301" s="0" t="n">
        <v>26</v>
      </c>
      <c r="G301" s="0" t="n">
        <v>0.5</v>
      </c>
      <c r="H301" s="0" t="n">
        <v>0</v>
      </c>
      <c r="I301" s="0" t="n">
        <v>1.81886761787472</v>
      </c>
      <c r="J301" s="0" t="n">
        <v>306.377739509497</v>
      </c>
      <c r="K301" s="0" t="n">
        <v>23.7374443944719</v>
      </c>
      <c r="L301" s="0" t="n">
        <v>0</v>
      </c>
      <c r="M301" s="0" t="n">
        <v>304.694221346208</v>
      </c>
      <c r="N301" s="0" t="n">
        <v>0</v>
      </c>
      <c r="O301" s="0" t="n">
        <v>284</v>
      </c>
      <c r="P301" s="0" t="n">
        <v>145</v>
      </c>
      <c r="Q301" s="0" t="n">
        <v>139</v>
      </c>
      <c r="R301" s="0" t="n">
        <v>345.395460166203</v>
      </c>
      <c r="S301" s="0" t="n">
        <v>495.653403074442</v>
      </c>
      <c r="T301" s="0" t="n">
        <v>23</v>
      </c>
      <c r="U301" s="0" t="n">
        <v>25</v>
      </c>
      <c r="V301" s="0" t="n">
        <v>15.0171873910578</v>
      </c>
      <c r="W301" s="0" t="n">
        <v>19.8260568187504</v>
      </c>
      <c r="X301" s="0" t="n">
        <v>23.7374443944719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266.012324388851</v>
      </c>
      <c r="AG301" s="0" t="n">
        <v>0</v>
      </c>
      <c r="AH301" s="0" t="n">
        <v>0</v>
      </c>
      <c r="AI301" s="0" t="n">
        <v>0</v>
      </c>
      <c r="AK301" s="0" t="n">
        <f aca="false">A301</f>
        <v>284</v>
      </c>
      <c r="AL301" s="0" t="n">
        <v>1</v>
      </c>
      <c r="AM301" s="0" t="n">
        <v>1</v>
      </c>
      <c r="AO301" s="0" t="n">
        <v>284</v>
      </c>
      <c r="AP301" s="0" t="n">
        <v>1</v>
      </c>
      <c r="AQ301" s="0" t="n">
        <v>2.46854263014307</v>
      </c>
      <c r="AR301" s="0" t="n">
        <v>250.642352563839</v>
      </c>
      <c r="AS301" s="0" t="n">
        <v>40</v>
      </c>
      <c r="AT301" s="0" t="n">
        <v>38</v>
      </c>
    </row>
    <row r="302" customFormat="false" ht="12" hidden="false" customHeight="false" outlineLevel="0" collapsed="false">
      <c r="A302" s="0" t="n">
        <v>285</v>
      </c>
      <c r="B302" s="0" t="n">
        <v>1</v>
      </c>
      <c r="C302" s="0" t="n">
        <v>1.22201770875702</v>
      </c>
      <c r="D302" s="0" t="n">
        <v>283.862312823782</v>
      </c>
      <c r="E302" s="0" t="n">
        <v>26</v>
      </c>
      <c r="F302" s="0" t="n">
        <v>24</v>
      </c>
      <c r="G302" s="0" t="n">
        <v>0.5</v>
      </c>
      <c r="H302" s="0" t="n">
        <v>1</v>
      </c>
      <c r="I302" s="0" t="n">
        <v>0</v>
      </c>
      <c r="J302" s="0" t="n">
        <v>306.377739509497</v>
      </c>
      <c r="K302" s="0" t="n">
        <v>0</v>
      </c>
      <c r="L302" s="0" t="n">
        <v>1.85672703673886</v>
      </c>
      <c r="M302" s="0" t="n">
        <v>306.550948382947</v>
      </c>
      <c r="N302" s="0" t="n">
        <v>22.688635559165</v>
      </c>
      <c r="O302" s="0" t="n">
        <v>285</v>
      </c>
      <c r="P302" s="0" t="n">
        <v>145</v>
      </c>
      <c r="Q302" s="0" t="n">
        <v>140</v>
      </c>
      <c r="R302" s="0" t="n">
        <v>478.789949422941</v>
      </c>
      <c r="S302" s="0" t="n">
        <v>363.201152015875</v>
      </c>
      <c r="T302" s="0" t="n">
        <v>23</v>
      </c>
      <c r="U302" s="0" t="n">
        <v>25</v>
      </c>
      <c r="V302" s="0" t="n">
        <v>20.8169452718908</v>
      </c>
      <c r="W302" s="0" t="n">
        <v>14.5279879686831</v>
      </c>
      <c r="X302" s="0" t="n">
        <v>0</v>
      </c>
      <c r="Y302" s="0" t="n">
        <v>0</v>
      </c>
      <c r="Z302" s="0" t="n">
        <v>22.688635559165</v>
      </c>
      <c r="AA302" s="0" t="n">
        <v>0</v>
      </c>
      <c r="AB302" s="0" t="n">
        <v>0</v>
      </c>
      <c r="AC302" s="0" t="n">
        <v>0</v>
      </c>
      <c r="AD302" s="0" t="n">
        <v>1</v>
      </c>
      <c r="AE302" s="0" t="n">
        <v>0</v>
      </c>
      <c r="AF302" s="0" t="n">
        <v>0</v>
      </c>
      <c r="AG302" s="0" t="n">
        <v>0</v>
      </c>
      <c r="AH302" s="0" t="n">
        <v>222.687938719518</v>
      </c>
      <c r="AI302" s="0" t="n">
        <v>0</v>
      </c>
      <c r="AK302" s="0" t="n">
        <f aca="false">A302</f>
        <v>285</v>
      </c>
      <c r="AL302" s="0" t="n">
        <v>1</v>
      </c>
      <c r="AM302" s="0" t="n">
        <v>0</v>
      </c>
      <c r="AO302" s="0" t="n">
        <v>285</v>
      </c>
      <c r="AP302" s="0" t="n">
        <v>0</v>
      </c>
      <c r="AQ302" s="0" t="n">
        <v>1.7654542641214</v>
      </c>
      <c r="AR302" s="0" t="n">
        <v>252.407806827961</v>
      </c>
      <c r="AS302" s="0" t="n">
        <v>38</v>
      </c>
      <c r="AT302" s="0" t="n">
        <v>38</v>
      </c>
    </row>
    <row r="303" customFormat="false" ht="12" hidden="false" customHeight="false" outlineLevel="0" collapsed="false">
      <c r="A303" s="0" t="n">
        <v>286</v>
      </c>
      <c r="B303" s="0" t="n">
        <v>0</v>
      </c>
      <c r="C303" s="0" t="n">
        <v>1.42022460806827</v>
      </c>
      <c r="D303" s="0" t="n">
        <v>285.28253743185</v>
      </c>
      <c r="E303" s="0" t="n">
        <v>24</v>
      </c>
      <c r="F303" s="0" t="n">
        <v>24</v>
      </c>
      <c r="G303" s="0" t="n">
        <v>0.5</v>
      </c>
      <c r="H303" s="0" t="n">
        <v>0</v>
      </c>
      <c r="I303" s="0" t="n">
        <v>1.76808439936584</v>
      </c>
      <c r="J303" s="0" t="n">
        <v>308.145823908863</v>
      </c>
      <c r="K303" s="0" t="n">
        <v>22.8632864770125</v>
      </c>
      <c r="L303" s="0" t="n">
        <v>0</v>
      </c>
      <c r="M303" s="0" t="n">
        <v>306.550948382947</v>
      </c>
      <c r="N303" s="0" t="n">
        <v>0</v>
      </c>
      <c r="O303" s="0" t="n">
        <v>286</v>
      </c>
      <c r="P303" s="0" t="n">
        <v>146</v>
      </c>
      <c r="Q303" s="0" t="n">
        <v>140</v>
      </c>
      <c r="R303" s="0" t="n">
        <v>302.71780610405</v>
      </c>
      <c r="S303" s="0" t="n">
        <v>547.387267741922</v>
      </c>
      <c r="T303" s="0" t="n">
        <v>19</v>
      </c>
      <c r="U303" s="0" t="n">
        <v>29</v>
      </c>
      <c r="V303" s="0" t="n">
        <v>15.9325077252091</v>
      </c>
      <c r="W303" s="0" t="n">
        <v>18.8753579381423</v>
      </c>
      <c r="X303" s="0" t="n">
        <v>0</v>
      </c>
      <c r="Y303" s="0" t="n">
        <v>22.8632864770125</v>
      </c>
      <c r="Z303" s="0" t="n">
        <v>0</v>
      </c>
      <c r="AA303" s="0" t="n">
        <v>0</v>
      </c>
      <c r="AB303" s="0" t="n">
        <v>0</v>
      </c>
      <c r="AC303" s="0" t="n">
        <v>1</v>
      </c>
      <c r="AD303" s="0" t="n">
        <v>0</v>
      </c>
      <c r="AE303" s="0" t="n">
        <v>0</v>
      </c>
      <c r="AF303" s="0" t="n">
        <v>0</v>
      </c>
      <c r="AG303" s="0" t="n">
        <v>213.295200934054</v>
      </c>
      <c r="AH303" s="0" t="n">
        <v>0</v>
      </c>
      <c r="AI303" s="0" t="n">
        <v>0</v>
      </c>
      <c r="AK303" s="0" t="n">
        <f aca="false">A303</f>
        <v>286</v>
      </c>
      <c r="AL303" s="0" t="n">
        <v>0</v>
      </c>
      <c r="AM303" s="0" t="n">
        <v>1</v>
      </c>
      <c r="AO303" s="0" t="n">
        <v>286</v>
      </c>
      <c r="AP303" s="0" t="n">
        <v>1</v>
      </c>
      <c r="AQ303" s="0" t="n">
        <v>0.200340788406123</v>
      </c>
      <c r="AR303" s="0" t="n">
        <v>252.608147616367</v>
      </c>
      <c r="AS303" s="0" t="n">
        <v>40</v>
      </c>
      <c r="AT303" s="0" t="n">
        <v>38</v>
      </c>
    </row>
    <row r="304" customFormat="false" ht="12" hidden="false" customHeight="false" outlineLevel="0" collapsed="false">
      <c r="A304" s="0" t="n">
        <v>287</v>
      </c>
      <c r="B304" s="0" t="n">
        <v>0</v>
      </c>
      <c r="C304" s="0" t="n">
        <v>0.426726358844792</v>
      </c>
      <c r="D304" s="0" t="n">
        <v>285.709263790695</v>
      </c>
      <c r="E304" s="0" t="n">
        <v>26</v>
      </c>
      <c r="F304" s="0" t="n">
        <v>24</v>
      </c>
      <c r="G304" s="0" t="n">
        <v>0.5</v>
      </c>
      <c r="H304" s="0" t="n">
        <v>1</v>
      </c>
      <c r="I304" s="0" t="n">
        <v>0</v>
      </c>
      <c r="J304" s="0" t="n">
        <v>308.145823908863</v>
      </c>
      <c r="K304" s="0" t="n">
        <v>0</v>
      </c>
      <c r="L304" s="0" t="n">
        <v>2.09089040428704</v>
      </c>
      <c r="M304" s="0" t="n">
        <v>308.641838787234</v>
      </c>
      <c r="N304" s="0" t="n">
        <v>22.932574996539</v>
      </c>
      <c r="O304" s="0" t="n">
        <v>287</v>
      </c>
      <c r="P304" s="0" t="n">
        <v>146</v>
      </c>
      <c r="Q304" s="0" t="n">
        <v>141</v>
      </c>
      <c r="R304" s="0" t="n">
        <v>511.435733914755</v>
      </c>
      <c r="S304" s="0" t="n">
        <v>326.970313045068</v>
      </c>
      <c r="T304" s="0" t="n">
        <v>27</v>
      </c>
      <c r="U304" s="0" t="n">
        <v>21</v>
      </c>
      <c r="V304" s="0" t="n">
        <v>18.9420572034883</v>
      </c>
      <c r="W304" s="0" t="n">
        <v>15.569940764333</v>
      </c>
      <c r="X304" s="0" t="n">
        <v>0</v>
      </c>
      <c r="Y304" s="0" t="n">
        <v>0</v>
      </c>
      <c r="Z304" s="0" t="n">
        <v>0</v>
      </c>
      <c r="AA304" s="0" t="n">
        <v>22.932574996539</v>
      </c>
      <c r="AB304" s="0" t="n">
        <v>0</v>
      </c>
      <c r="AC304" s="0" t="n">
        <v>0</v>
      </c>
      <c r="AD304" s="0" t="n">
        <v>0</v>
      </c>
      <c r="AE304" s="0" t="n">
        <v>1</v>
      </c>
      <c r="AF304" s="0" t="n">
        <v>0</v>
      </c>
      <c r="AG304" s="0" t="n">
        <v>0</v>
      </c>
      <c r="AH304" s="0" t="n">
        <v>0</v>
      </c>
      <c r="AI304" s="0" t="n">
        <v>231.075698107259</v>
      </c>
      <c r="AK304" s="0" t="n">
        <f aca="false">A304</f>
        <v>287</v>
      </c>
      <c r="AL304" s="0" t="n">
        <v>1</v>
      </c>
      <c r="AM304" s="0" t="n">
        <v>0</v>
      </c>
      <c r="AO304" s="0" t="n">
        <v>287</v>
      </c>
      <c r="AP304" s="0" t="n">
        <v>0</v>
      </c>
      <c r="AQ304" s="0" t="n">
        <v>0.344541466875771</v>
      </c>
      <c r="AR304" s="0" t="n">
        <v>252.952689083242</v>
      </c>
      <c r="AS304" s="0" t="n">
        <v>40</v>
      </c>
      <c r="AT304" s="0" t="n">
        <v>40</v>
      </c>
    </row>
    <row r="305" customFormat="false" ht="12" hidden="false" customHeight="false" outlineLevel="0" collapsed="false">
      <c r="A305" s="0" t="n">
        <v>288</v>
      </c>
      <c r="B305" s="0" t="n">
        <v>1</v>
      </c>
      <c r="C305" s="0" t="n">
        <v>0.0114803967703649</v>
      </c>
      <c r="D305" s="0" t="n">
        <v>285.720744187466</v>
      </c>
      <c r="E305" s="0" t="n">
        <v>26</v>
      </c>
      <c r="F305" s="0" t="n">
        <v>26</v>
      </c>
      <c r="G305" s="0" t="n">
        <v>0.5</v>
      </c>
      <c r="H305" s="0" t="n">
        <v>0</v>
      </c>
      <c r="I305" s="0" t="n">
        <v>2.09636992648344</v>
      </c>
      <c r="J305" s="0" t="n">
        <v>310.242193835346</v>
      </c>
      <c r="K305" s="0" t="n">
        <v>24.5214496478807</v>
      </c>
      <c r="L305" s="0" t="n">
        <v>0</v>
      </c>
      <c r="M305" s="0" t="n">
        <v>308.641838787234</v>
      </c>
      <c r="N305" s="0" t="n">
        <v>0</v>
      </c>
      <c r="O305" s="0" t="n">
        <v>288</v>
      </c>
      <c r="P305" s="0" t="n">
        <v>147</v>
      </c>
      <c r="Q305" s="0" t="n">
        <v>141</v>
      </c>
      <c r="R305" s="0" t="n">
        <v>495.593871019297</v>
      </c>
      <c r="S305" s="0" t="n">
        <v>351.790652157406</v>
      </c>
      <c r="T305" s="0" t="n">
        <v>31</v>
      </c>
      <c r="U305" s="0" t="n">
        <v>17</v>
      </c>
      <c r="V305" s="0" t="n">
        <v>15.9868939080761</v>
      </c>
      <c r="W305" s="0" t="n">
        <v>20.6934460478118</v>
      </c>
      <c r="X305" s="0" t="n">
        <v>24.5214496478807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  <c r="AF305" s="0" t="n">
        <v>292.201058501953</v>
      </c>
      <c r="AG305" s="0" t="n">
        <v>0</v>
      </c>
      <c r="AH305" s="0" t="n">
        <v>0</v>
      </c>
      <c r="AI305" s="0" t="n">
        <v>0</v>
      </c>
      <c r="AK305" s="0" t="n">
        <f aca="false">A305</f>
        <v>288</v>
      </c>
      <c r="AL305" s="0" t="n">
        <v>0</v>
      </c>
      <c r="AM305" s="0" t="n">
        <v>0</v>
      </c>
      <c r="AO305" s="0" t="n">
        <v>288</v>
      </c>
      <c r="AP305" s="0" t="n">
        <v>1</v>
      </c>
      <c r="AQ305" s="0" t="n">
        <v>0.264016649916745</v>
      </c>
      <c r="AR305" s="0" t="n">
        <v>253.216705733159</v>
      </c>
      <c r="AS305" s="0" t="n">
        <v>40</v>
      </c>
      <c r="AT305" s="0" t="n">
        <v>40</v>
      </c>
    </row>
    <row r="306" customFormat="false" ht="12" hidden="false" customHeight="false" outlineLevel="0" collapsed="false">
      <c r="A306" s="0" t="n">
        <v>289</v>
      </c>
      <c r="B306" s="0" t="n">
        <v>1</v>
      </c>
      <c r="C306" s="0" t="n">
        <v>1.12481860932324</v>
      </c>
      <c r="D306" s="0" t="n">
        <v>286.845562796789</v>
      </c>
      <c r="E306" s="0" t="n">
        <v>26</v>
      </c>
      <c r="F306" s="0" t="n">
        <v>26</v>
      </c>
      <c r="G306" s="0" t="n">
        <v>0.5</v>
      </c>
      <c r="H306" s="0" t="n">
        <v>0</v>
      </c>
      <c r="I306" s="0" t="n">
        <v>2.07183385669013</v>
      </c>
      <c r="J306" s="0" t="n">
        <v>312.314027692036</v>
      </c>
      <c r="K306" s="0" t="n">
        <v>25.4684648952476</v>
      </c>
      <c r="L306" s="0" t="n">
        <v>0</v>
      </c>
      <c r="M306" s="0" t="n">
        <v>308.641838787234</v>
      </c>
      <c r="N306" s="0" t="n">
        <v>0</v>
      </c>
      <c r="O306" s="0" t="n">
        <v>289</v>
      </c>
      <c r="P306" s="0" t="n">
        <v>148</v>
      </c>
      <c r="Q306" s="0" t="n">
        <v>141</v>
      </c>
      <c r="R306" s="0" t="n">
        <v>404.388898302426</v>
      </c>
      <c r="S306" s="0" t="n">
        <v>445.052791103404</v>
      </c>
      <c r="T306" s="0" t="n">
        <v>22</v>
      </c>
      <c r="U306" s="0" t="n">
        <v>26</v>
      </c>
      <c r="V306" s="0" t="n">
        <v>18.3813052040625</v>
      </c>
      <c r="W306" s="0" t="n">
        <v>17.1173492064801</v>
      </c>
      <c r="X306" s="0" t="n">
        <v>25.4684648952476</v>
      </c>
      <c r="Y306" s="0" t="n">
        <v>0</v>
      </c>
      <c r="Z306" s="0" t="n">
        <v>0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  <c r="AF306" s="0" t="n">
        <v>325.47424438192</v>
      </c>
      <c r="AG306" s="0" t="n">
        <v>0</v>
      </c>
      <c r="AH306" s="0" t="n">
        <v>0</v>
      </c>
      <c r="AI306" s="0" t="n">
        <v>0</v>
      </c>
      <c r="AK306" s="0" t="n">
        <f aca="false">A306</f>
        <v>289</v>
      </c>
      <c r="AL306" s="0" t="n">
        <v>0</v>
      </c>
      <c r="AM306" s="0" t="n">
        <v>2</v>
      </c>
      <c r="AO306" s="0" t="n">
        <v>289</v>
      </c>
      <c r="AP306" s="0" t="n">
        <v>1</v>
      </c>
      <c r="AQ306" s="0" t="n">
        <v>0.394991075081911</v>
      </c>
      <c r="AR306" s="0" t="n">
        <v>253.611696808241</v>
      </c>
      <c r="AS306" s="0" t="n">
        <v>38</v>
      </c>
      <c r="AT306" s="0" t="n">
        <v>42</v>
      </c>
    </row>
    <row r="307" customFormat="false" ht="12" hidden="false" customHeight="false" outlineLevel="0" collapsed="false">
      <c r="A307" s="0" t="n">
        <v>290</v>
      </c>
      <c r="B307" s="0" t="n">
        <v>1</v>
      </c>
      <c r="C307" s="0" t="n">
        <v>0.43956754491094</v>
      </c>
      <c r="D307" s="0" t="n">
        <v>287.2851303417</v>
      </c>
      <c r="E307" s="0" t="n">
        <v>28</v>
      </c>
      <c r="F307" s="0" t="n">
        <v>24</v>
      </c>
      <c r="G307" s="0" t="n">
        <v>0.5</v>
      </c>
      <c r="H307" s="0" t="n">
        <v>1</v>
      </c>
      <c r="I307" s="0" t="n">
        <v>0</v>
      </c>
      <c r="J307" s="0" t="n">
        <v>312.314027692036</v>
      </c>
      <c r="K307" s="0" t="n">
        <v>0</v>
      </c>
      <c r="L307" s="0" t="n">
        <v>1.97861285479333</v>
      </c>
      <c r="M307" s="0" t="n">
        <v>310.620451642027</v>
      </c>
      <c r="N307" s="0" t="n">
        <v>23.3353213003277</v>
      </c>
      <c r="O307" s="0" t="n">
        <v>290</v>
      </c>
      <c r="P307" s="0" t="n">
        <v>148</v>
      </c>
      <c r="Q307" s="0" t="n">
        <v>142</v>
      </c>
      <c r="R307" s="0" t="n">
        <v>373.723919204174</v>
      </c>
      <c r="S307" s="0" t="n">
        <v>468.426995772759</v>
      </c>
      <c r="T307" s="0" t="n">
        <v>22</v>
      </c>
      <c r="U307" s="0" t="n">
        <v>26</v>
      </c>
      <c r="V307" s="0" t="n">
        <v>16.9874431513519</v>
      </c>
      <c r="W307" s="0" t="n">
        <v>18.0163536206691</v>
      </c>
      <c r="X307" s="0" t="n">
        <v>0</v>
      </c>
      <c r="Y307" s="0" t="n">
        <v>0</v>
      </c>
      <c r="Z307" s="0" t="n">
        <v>23.3353213003277</v>
      </c>
      <c r="AA307" s="0" t="n">
        <v>0</v>
      </c>
      <c r="AB307" s="0" t="n">
        <v>0</v>
      </c>
      <c r="AC307" s="0" t="n">
        <v>0</v>
      </c>
      <c r="AD307" s="0" t="n">
        <v>1</v>
      </c>
      <c r="AE307" s="0" t="n">
        <v>0</v>
      </c>
      <c r="AF307" s="0" t="n">
        <v>0</v>
      </c>
      <c r="AG307" s="0" t="n">
        <v>0</v>
      </c>
      <c r="AH307" s="0" t="n">
        <v>242.406777537493</v>
      </c>
      <c r="AI307" s="0" t="n">
        <v>0</v>
      </c>
      <c r="AK307" s="0" t="n">
        <f aca="false">A307</f>
        <v>290</v>
      </c>
      <c r="AL307" s="0" t="n">
        <v>2</v>
      </c>
      <c r="AM307" s="0" t="n">
        <v>1</v>
      </c>
      <c r="AO307" s="0" t="n">
        <v>290</v>
      </c>
      <c r="AP307" s="0" t="n">
        <v>1</v>
      </c>
      <c r="AQ307" s="0" t="n">
        <v>0.786162316534028</v>
      </c>
      <c r="AR307" s="0" t="n">
        <v>254.397859124775</v>
      </c>
      <c r="AS307" s="0" t="n">
        <v>40</v>
      </c>
      <c r="AT307" s="0" t="n">
        <v>42</v>
      </c>
    </row>
    <row r="308" customFormat="false" ht="12" hidden="false" customHeight="false" outlineLevel="0" collapsed="false">
      <c r="A308" s="0" t="n">
        <v>291</v>
      </c>
      <c r="B308" s="0" t="n">
        <v>0</v>
      </c>
      <c r="C308" s="0" t="n">
        <v>1.15079659417622</v>
      </c>
      <c r="D308" s="0" t="n">
        <v>288.435926935876</v>
      </c>
      <c r="E308" s="0" t="n">
        <v>26</v>
      </c>
      <c r="F308" s="0" t="n">
        <v>26</v>
      </c>
      <c r="G308" s="0" t="n">
        <v>0.5</v>
      </c>
      <c r="H308" s="0" t="n">
        <v>0</v>
      </c>
      <c r="I308" s="0" t="n">
        <v>1.98590870890195</v>
      </c>
      <c r="J308" s="0" t="n">
        <v>314.299936400938</v>
      </c>
      <c r="K308" s="0" t="n">
        <v>25.8640094650625</v>
      </c>
      <c r="L308" s="0" t="n">
        <v>0</v>
      </c>
      <c r="M308" s="0" t="n">
        <v>310.620451642027</v>
      </c>
      <c r="N308" s="0" t="n">
        <v>0</v>
      </c>
      <c r="O308" s="0" t="n">
        <v>291</v>
      </c>
      <c r="P308" s="0" t="n">
        <v>149</v>
      </c>
      <c r="Q308" s="0" t="n">
        <v>142</v>
      </c>
      <c r="R308" s="0" t="n">
        <v>416.548847379415</v>
      </c>
      <c r="S308" s="0" t="n">
        <v>437.551973734504</v>
      </c>
      <c r="T308" s="0" t="n">
        <v>26</v>
      </c>
      <c r="U308" s="0" t="n">
        <v>22</v>
      </c>
      <c r="V308" s="0" t="n">
        <v>16.02110335263</v>
      </c>
      <c r="W308" s="0" t="n">
        <v>19.8886356759517</v>
      </c>
      <c r="X308" s="0" t="n">
        <v>0</v>
      </c>
      <c r="Y308" s="0" t="n">
        <v>25.8640094650625</v>
      </c>
      <c r="Z308" s="0" t="n">
        <v>0</v>
      </c>
      <c r="AA308" s="0" t="n">
        <v>0</v>
      </c>
      <c r="AB308" s="0" t="n">
        <v>0</v>
      </c>
      <c r="AC308" s="0" t="n">
        <v>1</v>
      </c>
      <c r="AD308" s="0" t="n">
        <v>0</v>
      </c>
      <c r="AE308" s="0" t="n">
        <v>0</v>
      </c>
      <c r="AF308" s="0" t="n">
        <v>0</v>
      </c>
      <c r="AG308" s="0" t="n">
        <v>309.948433940256</v>
      </c>
      <c r="AH308" s="0" t="n">
        <v>0</v>
      </c>
      <c r="AI308" s="0" t="n">
        <v>0</v>
      </c>
      <c r="AK308" s="0" t="n">
        <f aca="false">A308</f>
        <v>291</v>
      </c>
      <c r="AL308" s="0" t="n">
        <v>0</v>
      </c>
      <c r="AM308" s="0" t="n">
        <v>0</v>
      </c>
      <c r="AO308" s="0" t="n">
        <v>291</v>
      </c>
      <c r="AP308" s="0" t="n">
        <v>1</v>
      </c>
      <c r="AQ308" s="0" t="n">
        <v>0.5350559058697</v>
      </c>
      <c r="AR308" s="0" t="n">
        <v>254.932915030645</v>
      </c>
      <c r="AS308" s="0" t="n">
        <v>42</v>
      </c>
      <c r="AT308" s="0" t="n">
        <v>42</v>
      </c>
    </row>
    <row r="309" customFormat="false" ht="12" hidden="false" customHeight="false" outlineLevel="0" collapsed="false">
      <c r="A309" s="0" t="n">
        <v>292</v>
      </c>
      <c r="B309" s="0" t="n">
        <v>0</v>
      </c>
      <c r="C309" s="0" t="n">
        <v>1.07849328279038</v>
      </c>
      <c r="D309" s="0" t="n">
        <v>289.514420218666</v>
      </c>
      <c r="E309" s="0" t="n">
        <v>28</v>
      </c>
      <c r="F309" s="0" t="n">
        <v>24</v>
      </c>
      <c r="G309" s="0" t="n">
        <v>0.5</v>
      </c>
      <c r="H309" s="0" t="n">
        <v>0</v>
      </c>
      <c r="I309" s="0" t="n">
        <v>2.22013325827165</v>
      </c>
      <c r="J309" s="0" t="n">
        <v>316.52006965921</v>
      </c>
      <c r="K309" s="0" t="n">
        <v>27.0056494405437</v>
      </c>
      <c r="L309" s="0" t="n">
        <v>0</v>
      </c>
      <c r="M309" s="0" t="n">
        <v>310.620451642027</v>
      </c>
      <c r="N309" s="0" t="n">
        <v>0</v>
      </c>
      <c r="O309" s="0" t="n">
        <v>292</v>
      </c>
      <c r="P309" s="0" t="n">
        <v>150</v>
      </c>
      <c r="Q309" s="0" t="n">
        <v>142</v>
      </c>
      <c r="R309" s="0" t="n">
        <v>344.843577290228</v>
      </c>
      <c r="S309" s="0" t="n">
        <v>485.610206605796</v>
      </c>
      <c r="T309" s="0" t="n">
        <v>17</v>
      </c>
      <c r="U309" s="0" t="n">
        <v>31</v>
      </c>
      <c r="V309" s="0" t="n">
        <v>20.2849043788932</v>
      </c>
      <c r="W309" s="0" t="n">
        <v>15.6647948427843</v>
      </c>
      <c r="X309" s="0" t="n">
        <v>0</v>
      </c>
      <c r="Y309" s="0" t="n">
        <v>27.0056494405437</v>
      </c>
      <c r="Z309" s="0" t="n">
        <v>0</v>
      </c>
      <c r="AA309" s="0" t="n">
        <v>0</v>
      </c>
      <c r="AB309" s="0" t="n">
        <v>0</v>
      </c>
      <c r="AC309" s="0" t="n">
        <v>1</v>
      </c>
      <c r="AD309" s="0" t="n">
        <v>0</v>
      </c>
      <c r="AE309" s="0" t="n">
        <v>0</v>
      </c>
      <c r="AF309" s="0" t="n">
        <v>0</v>
      </c>
      <c r="AG309" s="0" t="n">
        <v>351.449723991083</v>
      </c>
      <c r="AH309" s="0" t="n">
        <v>0</v>
      </c>
      <c r="AI309" s="0" t="n">
        <v>0</v>
      </c>
      <c r="AK309" s="0" t="n">
        <f aca="false">A309</f>
        <v>292</v>
      </c>
      <c r="AL309" s="0" t="n">
        <v>2</v>
      </c>
      <c r="AM309" s="0" t="n">
        <v>1</v>
      </c>
      <c r="AO309" s="0" t="n">
        <v>292</v>
      </c>
      <c r="AP309" s="0" t="n">
        <v>0</v>
      </c>
      <c r="AQ309" s="0" t="n">
        <v>1.26218970512949</v>
      </c>
      <c r="AR309" s="0" t="n">
        <v>256.195104735774</v>
      </c>
      <c r="AS309" s="0" t="n">
        <v>42</v>
      </c>
      <c r="AT309" s="0" t="n">
        <v>40</v>
      </c>
    </row>
    <row r="310" customFormat="false" ht="12" hidden="false" customHeight="false" outlineLevel="0" collapsed="false">
      <c r="A310" s="0" t="n">
        <v>293</v>
      </c>
      <c r="B310" s="0" t="n">
        <v>0</v>
      </c>
      <c r="C310" s="0" t="n">
        <v>0.478978546824198</v>
      </c>
      <c r="D310" s="0" t="n">
        <v>289.99339876549</v>
      </c>
      <c r="E310" s="0" t="n">
        <v>30</v>
      </c>
      <c r="F310" s="0" t="n">
        <v>24</v>
      </c>
      <c r="G310" s="0" t="n">
        <v>0.5</v>
      </c>
      <c r="H310" s="0" t="n">
        <v>0</v>
      </c>
      <c r="I310" s="0" t="n">
        <v>2.00287595567</v>
      </c>
      <c r="J310" s="0" t="n">
        <v>318.52294561488</v>
      </c>
      <c r="K310" s="0" t="n">
        <v>28.5295468493895</v>
      </c>
      <c r="L310" s="0" t="n">
        <v>0</v>
      </c>
      <c r="M310" s="0" t="n">
        <v>310.620451642027</v>
      </c>
      <c r="N310" s="0" t="n">
        <v>0</v>
      </c>
      <c r="O310" s="0" t="n">
        <v>293</v>
      </c>
      <c r="P310" s="0" t="n">
        <v>151</v>
      </c>
      <c r="Q310" s="0" t="n">
        <v>142</v>
      </c>
      <c r="R310" s="0" t="n">
        <v>504.466406592729</v>
      </c>
      <c r="S310" s="0" t="n">
        <v>327.178618615508</v>
      </c>
      <c r="T310" s="0" t="n">
        <v>29</v>
      </c>
      <c r="U310" s="0" t="n">
        <v>19</v>
      </c>
      <c r="V310" s="0" t="n">
        <v>17.3953873323743</v>
      </c>
      <c r="W310" s="0" t="n">
        <v>17.2198366648338</v>
      </c>
      <c r="X310" s="0" t="n">
        <v>0</v>
      </c>
      <c r="Y310" s="0" t="n">
        <v>28.5295468493895</v>
      </c>
      <c r="Z310" s="0" t="n">
        <v>0</v>
      </c>
      <c r="AA310" s="0" t="n">
        <v>0</v>
      </c>
      <c r="AB310" s="0" t="n">
        <v>0</v>
      </c>
      <c r="AC310" s="0" t="n">
        <v>1</v>
      </c>
      <c r="AD310" s="0" t="n">
        <v>0</v>
      </c>
      <c r="AE310" s="0" t="n">
        <v>0</v>
      </c>
      <c r="AF310" s="0" t="n">
        <v>0</v>
      </c>
      <c r="AG310" s="0" t="n">
        <v>410.908973583358</v>
      </c>
      <c r="AH310" s="0" t="n">
        <v>0</v>
      </c>
      <c r="AI310" s="0" t="n">
        <v>0</v>
      </c>
      <c r="AK310" s="0" t="n">
        <f aca="false">A310</f>
        <v>293</v>
      </c>
      <c r="AL310" s="0" t="n">
        <v>3</v>
      </c>
      <c r="AM310" s="0" t="n">
        <v>0</v>
      </c>
      <c r="AO310" s="0" t="n">
        <v>293</v>
      </c>
      <c r="AP310" s="0" t="n">
        <v>0</v>
      </c>
      <c r="AQ310" s="0" t="n">
        <v>0.0820366956428442</v>
      </c>
      <c r="AR310" s="0" t="n">
        <v>256.277141431417</v>
      </c>
      <c r="AS310" s="0" t="n">
        <v>42</v>
      </c>
      <c r="AT310" s="0" t="n">
        <v>42</v>
      </c>
    </row>
    <row r="311" customFormat="false" ht="12" hidden="false" customHeight="false" outlineLevel="0" collapsed="false">
      <c r="A311" s="0" t="n">
        <v>294</v>
      </c>
      <c r="B311" s="0" t="n">
        <v>1</v>
      </c>
      <c r="C311" s="0" t="n">
        <v>0.697998191397552</v>
      </c>
      <c r="D311" s="0" t="n">
        <v>290.691396956888</v>
      </c>
      <c r="E311" s="0" t="n">
        <v>30</v>
      </c>
      <c r="F311" s="0" t="n">
        <v>24</v>
      </c>
      <c r="G311" s="0" t="n">
        <v>0.5</v>
      </c>
      <c r="H311" s="0" t="n">
        <v>1</v>
      </c>
      <c r="I311" s="0" t="n">
        <v>0</v>
      </c>
      <c r="J311" s="0" t="n">
        <v>318.52294561488</v>
      </c>
      <c r="K311" s="0" t="n">
        <v>0</v>
      </c>
      <c r="L311" s="0" t="n">
        <v>1.86962379757299</v>
      </c>
      <c r="M311" s="0" t="n">
        <v>312.4900754396</v>
      </c>
      <c r="N311" s="0" t="n">
        <v>21.7986784827124</v>
      </c>
      <c r="O311" s="0" t="n">
        <v>294</v>
      </c>
      <c r="P311" s="0" t="n">
        <v>151</v>
      </c>
      <c r="Q311" s="0" t="n">
        <v>143</v>
      </c>
      <c r="R311" s="0" t="n">
        <v>429.708143348755</v>
      </c>
      <c r="S311" s="0" t="n">
        <v>411.326690509676</v>
      </c>
      <c r="T311" s="0" t="n">
        <v>22</v>
      </c>
      <c r="U311" s="0" t="n">
        <v>26</v>
      </c>
      <c r="V311" s="0" t="n">
        <v>19.5321794557709</v>
      </c>
      <c r="W311" s="0" t="n">
        <v>15.8201964803857</v>
      </c>
      <c r="X311" s="0" t="n">
        <v>0</v>
      </c>
      <c r="Y311" s="0" t="n">
        <v>0</v>
      </c>
      <c r="Z311" s="0" t="n">
        <v>21.7986784827124</v>
      </c>
      <c r="AA311" s="0" t="n">
        <v>0</v>
      </c>
      <c r="AB311" s="0" t="n">
        <v>0</v>
      </c>
      <c r="AC311" s="0" t="n">
        <v>0</v>
      </c>
      <c r="AD311" s="0" t="n">
        <v>1</v>
      </c>
      <c r="AE311" s="0" t="n">
        <v>0</v>
      </c>
      <c r="AF311" s="0" t="n">
        <v>0</v>
      </c>
      <c r="AG311" s="0" t="n">
        <v>0</v>
      </c>
      <c r="AH311" s="0" t="n">
        <v>196.918779931129</v>
      </c>
      <c r="AI311" s="0" t="n">
        <v>0</v>
      </c>
      <c r="AK311" s="0" t="n">
        <f aca="false">A311</f>
        <v>294</v>
      </c>
      <c r="AL311" s="0" t="n">
        <v>3</v>
      </c>
      <c r="AM311" s="0" t="n">
        <v>1</v>
      </c>
      <c r="AO311" s="0" t="n">
        <v>294</v>
      </c>
      <c r="AP311" s="0" t="n">
        <v>0</v>
      </c>
      <c r="AQ311" s="0" t="n">
        <v>1.37274675234829</v>
      </c>
      <c r="AR311" s="0" t="n">
        <v>257.649888183765</v>
      </c>
      <c r="AS311" s="0" t="n">
        <v>40</v>
      </c>
      <c r="AT311" s="0" t="n">
        <v>42</v>
      </c>
    </row>
    <row r="312" customFormat="false" ht="12" hidden="false" customHeight="false" outlineLevel="0" collapsed="false">
      <c r="A312" s="0" t="n">
        <v>295</v>
      </c>
      <c r="B312" s="0" t="n">
        <v>1</v>
      </c>
      <c r="C312" s="0" t="n">
        <v>0.313845007654562</v>
      </c>
      <c r="D312" s="0" t="n">
        <v>291.005241964543</v>
      </c>
      <c r="E312" s="0" t="n">
        <v>30</v>
      </c>
      <c r="F312" s="0" t="n">
        <v>24</v>
      </c>
      <c r="G312" s="0" t="n">
        <v>0.5</v>
      </c>
      <c r="H312" s="0" t="n">
        <v>1</v>
      </c>
      <c r="I312" s="0" t="n">
        <v>0</v>
      </c>
      <c r="J312" s="0" t="n">
        <v>318.52294561488</v>
      </c>
      <c r="K312" s="0" t="n">
        <v>0</v>
      </c>
      <c r="L312" s="0" t="n">
        <v>2.040778102237</v>
      </c>
      <c r="M312" s="0" t="n">
        <v>314.530853541837</v>
      </c>
      <c r="N312" s="0" t="n">
        <v>23.5256115772949</v>
      </c>
      <c r="O312" s="0" t="n">
        <v>295</v>
      </c>
      <c r="P312" s="0" t="n">
        <v>151</v>
      </c>
      <c r="Q312" s="0" t="n">
        <v>144</v>
      </c>
      <c r="R312" s="0" t="n">
        <v>461.376053758956</v>
      </c>
      <c r="S312" s="0" t="n">
        <v>361.707030751563</v>
      </c>
      <c r="T312" s="0" t="n">
        <v>31</v>
      </c>
      <c r="U312" s="0" t="n">
        <v>17</v>
      </c>
      <c r="V312" s="0" t="n">
        <v>14.8830937073555</v>
      </c>
      <c r="W312" s="0" t="n">
        <v>21.2767590044507</v>
      </c>
      <c r="X312" s="0" t="n">
        <v>0</v>
      </c>
      <c r="Y312" s="0" t="n">
        <v>0</v>
      </c>
      <c r="Z312" s="0" t="n">
        <v>23.5256115772949</v>
      </c>
      <c r="AA312" s="0" t="n">
        <v>0</v>
      </c>
      <c r="AB312" s="0" t="n">
        <v>0</v>
      </c>
      <c r="AC312" s="0" t="n">
        <v>0</v>
      </c>
      <c r="AD312" s="0" t="n">
        <v>1</v>
      </c>
      <c r="AE312" s="0" t="n">
        <v>0</v>
      </c>
      <c r="AF312" s="0" t="n">
        <v>0</v>
      </c>
      <c r="AG312" s="0" t="n">
        <v>0</v>
      </c>
      <c r="AH312" s="0" t="n">
        <v>248.368405662171</v>
      </c>
      <c r="AI312" s="0" t="n">
        <v>0</v>
      </c>
      <c r="AK312" s="0" t="n">
        <f aca="false">A312</f>
        <v>295</v>
      </c>
      <c r="AL312" s="0" t="n">
        <v>3</v>
      </c>
      <c r="AM312" s="0" t="n">
        <v>0</v>
      </c>
      <c r="AO312" s="0" t="n">
        <v>295</v>
      </c>
      <c r="AP312" s="0" t="n">
        <v>1</v>
      </c>
      <c r="AQ312" s="0" t="n">
        <v>1.39516386339634</v>
      </c>
      <c r="AR312" s="0" t="n">
        <v>259.045052047162</v>
      </c>
      <c r="AS312" s="0" t="n">
        <v>42</v>
      </c>
      <c r="AT312" s="0" t="n">
        <v>42</v>
      </c>
    </row>
    <row r="313" customFormat="false" ht="12" hidden="false" customHeight="false" outlineLevel="0" collapsed="false">
      <c r="A313" s="0" t="n">
        <v>296</v>
      </c>
      <c r="B313" s="0" t="n">
        <v>0</v>
      </c>
      <c r="C313" s="0" t="n">
        <v>0.70885514900373</v>
      </c>
      <c r="D313" s="0" t="n">
        <v>291.714097113546</v>
      </c>
      <c r="E313" s="0" t="n">
        <v>30</v>
      </c>
      <c r="F313" s="0" t="n">
        <v>26</v>
      </c>
      <c r="G313" s="0" t="n">
        <v>0.5</v>
      </c>
      <c r="H313" s="0" t="n">
        <v>0</v>
      </c>
      <c r="I313" s="0" t="n">
        <v>2.10359314025547</v>
      </c>
      <c r="J313" s="0" t="n">
        <v>320.626538755135</v>
      </c>
      <c r="K313" s="0" t="n">
        <v>28.9124416415892</v>
      </c>
      <c r="L313" s="0" t="n">
        <v>0</v>
      </c>
      <c r="M313" s="0" t="n">
        <v>314.530853541837</v>
      </c>
      <c r="N313" s="0" t="n">
        <v>0</v>
      </c>
      <c r="O313" s="0" t="n">
        <v>296</v>
      </c>
      <c r="P313" s="0" t="n">
        <v>152</v>
      </c>
      <c r="Q313" s="0" t="n">
        <v>144</v>
      </c>
      <c r="R313" s="0" t="n">
        <v>416.425677800747</v>
      </c>
      <c r="S313" s="0" t="n">
        <v>420.515023538575</v>
      </c>
      <c r="T313" s="0" t="n">
        <v>20</v>
      </c>
      <c r="U313" s="0" t="n">
        <v>28</v>
      </c>
      <c r="V313" s="0" t="n">
        <v>20.8212734794006</v>
      </c>
      <c r="W313" s="0" t="n">
        <v>15.0183400608775</v>
      </c>
      <c r="X313" s="0" t="n">
        <v>0</v>
      </c>
      <c r="Y313" s="0" t="n">
        <v>28.9124416415892</v>
      </c>
      <c r="Z313" s="0" t="n">
        <v>0</v>
      </c>
      <c r="AA313" s="0" t="n">
        <v>0</v>
      </c>
      <c r="AB313" s="0" t="n">
        <v>0</v>
      </c>
      <c r="AC313" s="0" t="n">
        <v>1</v>
      </c>
      <c r="AD313" s="0" t="n">
        <v>0</v>
      </c>
      <c r="AE313" s="0" t="n">
        <v>0</v>
      </c>
      <c r="AF313" s="0" t="n">
        <v>0</v>
      </c>
      <c r="AG313" s="0" t="n">
        <v>426.578818286256</v>
      </c>
      <c r="AH313" s="0" t="n">
        <v>0</v>
      </c>
      <c r="AI313" s="0" t="n">
        <v>0</v>
      </c>
      <c r="AK313" s="0" t="n">
        <f aca="false">A313</f>
        <v>296</v>
      </c>
      <c r="AL313" s="0" t="n">
        <v>2</v>
      </c>
      <c r="AM313" s="0" t="n">
        <v>1</v>
      </c>
      <c r="AO313" s="0" t="n">
        <v>296</v>
      </c>
      <c r="AP313" s="0" t="n">
        <v>1</v>
      </c>
      <c r="AQ313" s="0" t="n">
        <v>2.94704135017658</v>
      </c>
      <c r="AR313" s="0" t="n">
        <v>261.992093397338</v>
      </c>
      <c r="AS313" s="0" t="n">
        <v>40</v>
      </c>
      <c r="AT313" s="0" t="n">
        <v>38</v>
      </c>
    </row>
    <row r="314" customFormat="false" ht="12" hidden="false" customHeight="false" outlineLevel="0" collapsed="false">
      <c r="A314" s="0" t="n">
        <v>297</v>
      </c>
      <c r="B314" s="0" t="n">
        <v>0</v>
      </c>
      <c r="C314" s="0" t="n">
        <v>1.23559871312615</v>
      </c>
      <c r="D314" s="0" t="n">
        <v>292.949695826672</v>
      </c>
      <c r="E314" s="0" t="n">
        <v>30</v>
      </c>
      <c r="F314" s="0" t="n">
        <v>24</v>
      </c>
      <c r="G314" s="0" t="n">
        <v>0.5</v>
      </c>
      <c r="H314" s="0" t="n">
        <v>1</v>
      </c>
      <c r="I314" s="0" t="n">
        <v>0</v>
      </c>
      <c r="J314" s="0" t="n">
        <v>320.626538755135</v>
      </c>
      <c r="K314" s="0" t="n">
        <v>0</v>
      </c>
      <c r="L314" s="0" t="n">
        <v>1.98243803315028</v>
      </c>
      <c r="M314" s="0" t="n">
        <v>316.513291574988</v>
      </c>
      <c r="N314" s="0" t="n">
        <v>23.5635957483153</v>
      </c>
      <c r="O314" s="0" t="n">
        <v>297</v>
      </c>
      <c r="P314" s="0" t="n">
        <v>152</v>
      </c>
      <c r="Q314" s="0" t="n">
        <v>145</v>
      </c>
      <c r="R314" s="0" t="n">
        <v>316.912223272806</v>
      </c>
      <c r="S314" s="0" t="n">
        <v>509.537212867331</v>
      </c>
      <c r="T314" s="0" t="n">
        <v>21</v>
      </c>
      <c r="U314" s="0" t="n">
        <v>27</v>
      </c>
      <c r="V314" s="0" t="n">
        <v>15.0910510648712</v>
      </c>
      <c r="W314" s="0" t="n">
        <v>18.8716787296096</v>
      </c>
      <c r="X314" s="0" t="n">
        <v>0</v>
      </c>
      <c r="Y314" s="0" t="n">
        <v>0</v>
      </c>
      <c r="Z314" s="0" t="n">
        <v>0</v>
      </c>
      <c r="AA314" s="0" t="n">
        <v>23.5635957483153</v>
      </c>
      <c r="AB314" s="0" t="n">
        <v>0</v>
      </c>
      <c r="AC314" s="0" t="n">
        <v>0</v>
      </c>
      <c r="AD314" s="0" t="n">
        <v>0</v>
      </c>
      <c r="AE314" s="0" t="n">
        <v>1</v>
      </c>
      <c r="AF314" s="0" t="n">
        <v>0</v>
      </c>
      <c r="AG314" s="0" t="n">
        <v>0</v>
      </c>
      <c r="AH314" s="0" t="n">
        <v>0</v>
      </c>
      <c r="AI314" s="0" t="n">
        <v>250.65839808309</v>
      </c>
      <c r="AK314" s="0" t="n">
        <f aca="false">A314</f>
        <v>297</v>
      </c>
      <c r="AL314" s="0" t="n">
        <v>3</v>
      </c>
      <c r="AM314" s="0" t="n">
        <v>0</v>
      </c>
      <c r="AO314" s="0" t="n">
        <v>297</v>
      </c>
      <c r="AP314" s="0" t="n">
        <v>0</v>
      </c>
      <c r="AQ314" s="0" t="n">
        <v>0.148813133849235</v>
      </c>
      <c r="AR314" s="0" t="n">
        <v>262.140906531188</v>
      </c>
      <c r="AS314" s="0" t="n">
        <v>40</v>
      </c>
      <c r="AT314" s="0" t="n">
        <v>40</v>
      </c>
    </row>
    <row r="315" customFormat="false" ht="12" hidden="false" customHeight="false" outlineLevel="0" collapsed="false">
      <c r="A315" s="0" t="n">
        <v>298</v>
      </c>
      <c r="B315" s="0" t="n">
        <v>0</v>
      </c>
      <c r="C315" s="0" t="n">
        <v>0.0162825482966952</v>
      </c>
      <c r="D315" s="0" t="n">
        <v>292.965978374969</v>
      </c>
      <c r="E315" s="0" t="n">
        <v>30</v>
      </c>
      <c r="F315" s="0" t="n">
        <v>26</v>
      </c>
      <c r="G315" s="0" t="n">
        <v>0.5</v>
      </c>
      <c r="H315" s="0" t="n">
        <v>0</v>
      </c>
      <c r="I315" s="0" t="n">
        <v>2.15893094703955</v>
      </c>
      <c r="J315" s="0" t="n">
        <v>322.785469702175</v>
      </c>
      <c r="K315" s="0" t="n">
        <v>29.8194913272059</v>
      </c>
      <c r="L315" s="0" t="n">
        <v>0</v>
      </c>
      <c r="M315" s="0" t="n">
        <v>316.513291574988</v>
      </c>
      <c r="N315" s="0" t="n">
        <v>0</v>
      </c>
      <c r="O315" s="0" t="n">
        <v>298</v>
      </c>
      <c r="P315" s="0" t="n">
        <v>153</v>
      </c>
      <c r="Q315" s="0" t="n">
        <v>145</v>
      </c>
      <c r="R315" s="0" t="n">
        <v>430.511738186551</v>
      </c>
      <c r="S315" s="0" t="n">
        <v>418.48032521603</v>
      </c>
      <c r="T315" s="0" t="n">
        <v>24</v>
      </c>
      <c r="U315" s="0" t="n">
        <v>24</v>
      </c>
      <c r="V315" s="0" t="n">
        <v>17.9379816169473</v>
      </c>
      <c r="W315" s="0" t="n">
        <v>17.4366075648031</v>
      </c>
      <c r="X315" s="0" t="n">
        <v>0</v>
      </c>
      <c r="Y315" s="0" t="n">
        <v>29.8194913272059</v>
      </c>
      <c r="Z315" s="0" t="n">
        <v>0</v>
      </c>
      <c r="AA315" s="0" t="n">
        <v>0</v>
      </c>
      <c r="AB315" s="0" t="n">
        <v>0</v>
      </c>
      <c r="AC315" s="0" t="n">
        <v>1</v>
      </c>
      <c r="AD315" s="0" t="n">
        <v>0</v>
      </c>
      <c r="AE315" s="0" t="n">
        <v>0</v>
      </c>
      <c r="AF315" s="0" t="n">
        <v>0</v>
      </c>
      <c r="AG315" s="0" t="n">
        <v>464.869575074139</v>
      </c>
      <c r="AH315" s="0" t="n">
        <v>0</v>
      </c>
      <c r="AI315" s="0" t="n">
        <v>0</v>
      </c>
      <c r="AK315" s="0" t="n">
        <f aca="false">A315</f>
        <v>298</v>
      </c>
      <c r="AL315" s="0" t="n">
        <v>2</v>
      </c>
      <c r="AM315" s="0" t="n">
        <v>1</v>
      </c>
      <c r="AO315" s="0" t="n">
        <v>298</v>
      </c>
      <c r="AP315" s="0" t="n">
        <v>0</v>
      </c>
      <c r="AQ315" s="0" t="n">
        <v>0.721361772980009</v>
      </c>
      <c r="AR315" s="0" t="n">
        <v>262.862268304168</v>
      </c>
      <c r="AS315" s="0" t="n">
        <v>42</v>
      </c>
      <c r="AT315" s="0" t="n">
        <v>40</v>
      </c>
    </row>
    <row r="316" customFormat="false" ht="12" hidden="false" customHeight="false" outlineLevel="0" collapsed="false">
      <c r="A316" s="0" t="n">
        <v>299</v>
      </c>
      <c r="B316" s="0" t="n">
        <v>1</v>
      </c>
      <c r="C316" s="0" t="n">
        <v>0.336237573121517</v>
      </c>
      <c r="D316" s="0" t="n">
        <v>293.302215948091</v>
      </c>
      <c r="E316" s="0" t="n">
        <v>32</v>
      </c>
      <c r="F316" s="0" t="n">
        <v>26</v>
      </c>
      <c r="G316" s="0" t="n">
        <v>0.5</v>
      </c>
      <c r="H316" s="0" t="n">
        <v>1</v>
      </c>
      <c r="I316" s="0" t="n">
        <v>0</v>
      </c>
      <c r="J316" s="0" t="n">
        <v>322.785469702175</v>
      </c>
      <c r="K316" s="0" t="n">
        <v>0</v>
      </c>
      <c r="L316" s="0" t="n">
        <v>1.95261444054227</v>
      </c>
      <c r="M316" s="0" t="n">
        <v>318.46590601553</v>
      </c>
      <c r="N316" s="0" t="n">
        <v>25.1636900674393</v>
      </c>
      <c r="O316" s="0" t="n">
        <v>299</v>
      </c>
      <c r="P316" s="0" t="n">
        <v>153</v>
      </c>
      <c r="Q316" s="0" t="n">
        <v>146</v>
      </c>
      <c r="R316" s="0" t="n">
        <v>452.230395902586</v>
      </c>
      <c r="S316" s="0" t="n">
        <v>387.172120189065</v>
      </c>
      <c r="T316" s="0" t="n">
        <v>25</v>
      </c>
      <c r="U316" s="0" t="n">
        <v>23</v>
      </c>
      <c r="V316" s="0" t="n">
        <v>18.08920860042</v>
      </c>
      <c r="W316" s="0" t="n">
        <v>16.8334972538843</v>
      </c>
      <c r="X316" s="0" t="n">
        <v>0</v>
      </c>
      <c r="Y316" s="0" t="n">
        <v>0</v>
      </c>
      <c r="Z316" s="0" t="n">
        <v>25.1636900674393</v>
      </c>
      <c r="AA316" s="0" t="n">
        <v>0</v>
      </c>
      <c r="AB316" s="0" t="n">
        <v>0</v>
      </c>
      <c r="AC316" s="0" t="n">
        <v>0</v>
      </c>
      <c r="AD316" s="0" t="n">
        <v>1</v>
      </c>
      <c r="AE316" s="0" t="n">
        <v>0</v>
      </c>
      <c r="AF316" s="0" t="n">
        <v>0</v>
      </c>
      <c r="AG316" s="0" t="n">
        <v>0</v>
      </c>
      <c r="AH316" s="0" t="n">
        <v>302.682985152361</v>
      </c>
      <c r="AI316" s="0" t="n">
        <v>0</v>
      </c>
      <c r="AK316" s="0" t="n">
        <f aca="false">A316</f>
        <v>299</v>
      </c>
      <c r="AL316" s="0" t="n">
        <v>3</v>
      </c>
      <c r="AM316" s="0" t="n">
        <v>1</v>
      </c>
      <c r="AO316" s="0" t="n">
        <v>299</v>
      </c>
      <c r="AP316" s="0" t="n">
        <v>0</v>
      </c>
      <c r="AQ316" s="0" t="n">
        <v>0.892706434946543</v>
      </c>
      <c r="AR316" s="0" t="n">
        <v>263.754974739114</v>
      </c>
      <c r="AS316" s="0" t="n">
        <v>42</v>
      </c>
      <c r="AT316" s="0" t="n">
        <v>40</v>
      </c>
    </row>
    <row r="317" customFormat="false" ht="12" hidden="false" customHeight="false" outlineLevel="0" collapsed="false">
      <c r="A317" s="0" t="n">
        <v>300</v>
      </c>
      <c r="B317" s="0" t="n">
        <v>1</v>
      </c>
      <c r="C317" s="0" t="n">
        <v>0.548557587473667</v>
      </c>
      <c r="D317" s="0" t="n">
        <v>293.850773535564</v>
      </c>
      <c r="E317" s="0" t="n">
        <v>32</v>
      </c>
      <c r="F317" s="0" t="n">
        <v>28</v>
      </c>
      <c r="G317" s="0" t="n">
        <v>0.5</v>
      </c>
      <c r="H317" s="0" t="n">
        <v>1</v>
      </c>
      <c r="I317" s="0" t="n">
        <v>0</v>
      </c>
      <c r="J317" s="0" t="n">
        <v>322.785469702175</v>
      </c>
      <c r="K317" s="0" t="n">
        <v>0</v>
      </c>
      <c r="L317" s="0" t="n">
        <v>2.14027674209307</v>
      </c>
      <c r="M317" s="0" t="n">
        <v>320.606182757623</v>
      </c>
      <c r="N317" s="0" t="n">
        <v>26.7554092220587</v>
      </c>
      <c r="O317" s="0" t="n">
        <v>300</v>
      </c>
      <c r="P317" s="0" t="n">
        <v>153</v>
      </c>
      <c r="Q317" s="0" t="n">
        <v>147</v>
      </c>
      <c r="R317" s="0" t="n">
        <v>312.916307245081</v>
      </c>
      <c r="S317" s="0" t="n">
        <v>543.754475299574</v>
      </c>
      <c r="T317" s="0" t="n">
        <v>20</v>
      </c>
      <c r="U317" s="0" t="n">
        <v>28</v>
      </c>
      <c r="V317" s="0" t="n">
        <v>15.6458075393503</v>
      </c>
      <c r="W317" s="0" t="n">
        <v>19.41973333308</v>
      </c>
      <c r="X317" s="0" t="n">
        <v>0</v>
      </c>
      <c r="Y317" s="0" t="n">
        <v>0</v>
      </c>
      <c r="Z317" s="0" t="n">
        <v>26.7554092220587</v>
      </c>
      <c r="AA317" s="0" t="n">
        <v>0</v>
      </c>
      <c r="AB317" s="0" t="n">
        <v>0</v>
      </c>
      <c r="AC317" s="0" t="n">
        <v>0</v>
      </c>
      <c r="AD317" s="0" t="n">
        <v>1</v>
      </c>
      <c r="AE317" s="0" t="n">
        <v>0</v>
      </c>
      <c r="AF317" s="0" t="n">
        <v>0</v>
      </c>
      <c r="AG317" s="0" t="n">
        <v>0</v>
      </c>
      <c r="AH317" s="0" t="n">
        <v>360.601335979327</v>
      </c>
      <c r="AI317" s="0" t="n">
        <v>0</v>
      </c>
      <c r="AK317" s="0" t="n">
        <f aca="false">A317</f>
        <v>300</v>
      </c>
      <c r="AL317" s="0" t="n">
        <v>2</v>
      </c>
      <c r="AM317" s="0" t="n">
        <v>1</v>
      </c>
      <c r="AO317" s="0" t="n">
        <v>300</v>
      </c>
      <c r="AP317" s="0" t="n">
        <v>1</v>
      </c>
      <c r="AQ317" s="0" t="n">
        <v>0.216559398621833</v>
      </c>
      <c r="AR317" s="0" t="n">
        <v>263.971534137736</v>
      </c>
      <c r="AS317" s="0" t="n">
        <v>40</v>
      </c>
      <c r="AT317" s="0" t="n">
        <v>42</v>
      </c>
    </row>
    <row r="318" customFormat="false" ht="12" hidden="false" customHeight="false" outlineLevel="0" collapsed="false">
      <c r="A318" s="0" t="n">
        <v>301</v>
      </c>
      <c r="B318" s="0" t="n">
        <v>0</v>
      </c>
      <c r="C318" s="0" t="n">
        <v>1.24462502895312</v>
      </c>
      <c r="D318" s="0" t="n">
        <v>295.095398564518</v>
      </c>
      <c r="E318" s="0" t="n">
        <v>30</v>
      </c>
      <c r="F318" s="0" t="n">
        <v>28</v>
      </c>
      <c r="G318" s="0" t="n">
        <v>0.5</v>
      </c>
      <c r="H318" s="0" t="n">
        <v>1</v>
      </c>
      <c r="I318" s="0" t="n">
        <v>0</v>
      </c>
      <c r="J318" s="0" t="n">
        <v>322.785469702175</v>
      </c>
      <c r="K318" s="0" t="n">
        <v>0</v>
      </c>
      <c r="L318" s="0" t="n">
        <v>1.9686232864362</v>
      </c>
      <c r="M318" s="0" t="n">
        <v>322.574806044059</v>
      </c>
      <c r="N318" s="0" t="n">
        <v>27.4794074795418</v>
      </c>
      <c r="O318" s="0" t="n">
        <v>301</v>
      </c>
      <c r="P318" s="0" t="n">
        <v>153</v>
      </c>
      <c r="Q318" s="0" t="n">
        <v>148</v>
      </c>
      <c r="R318" s="0" t="n">
        <v>525.879289530136</v>
      </c>
      <c r="S318" s="0" t="n">
        <v>326.836178911216</v>
      </c>
      <c r="T318" s="0" t="n">
        <v>26</v>
      </c>
      <c r="U318" s="0" t="n">
        <v>22</v>
      </c>
      <c r="V318" s="0" t="n">
        <v>20.2261187411134</v>
      </c>
      <c r="W318" s="0" t="n">
        <v>14.8561224226806</v>
      </c>
      <c r="X318" s="0" t="n">
        <v>0</v>
      </c>
      <c r="Y318" s="0" t="n">
        <v>0</v>
      </c>
      <c r="Z318" s="0" t="n">
        <v>0</v>
      </c>
      <c r="AA318" s="0" t="n">
        <v>27.4794074795418</v>
      </c>
      <c r="AB318" s="0" t="n">
        <v>0</v>
      </c>
      <c r="AC318" s="0" t="n">
        <v>0</v>
      </c>
      <c r="AD318" s="0" t="n">
        <v>0</v>
      </c>
      <c r="AE318" s="0" t="n">
        <v>1</v>
      </c>
      <c r="AF318" s="0" t="n">
        <v>0</v>
      </c>
      <c r="AG318" s="0" t="n">
        <v>0</v>
      </c>
      <c r="AH318" s="0" t="n">
        <v>0</v>
      </c>
      <c r="AI318" s="0" t="n">
        <v>389.983769314058</v>
      </c>
      <c r="AK318" s="0" t="n">
        <f aca="false">A318</f>
        <v>301</v>
      </c>
      <c r="AL318" s="0" t="n">
        <v>1</v>
      </c>
      <c r="AM318" s="0" t="n">
        <v>0</v>
      </c>
      <c r="AO318" s="0" t="n">
        <v>301</v>
      </c>
      <c r="AP318" s="0" t="n">
        <v>1</v>
      </c>
      <c r="AQ318" s="0" t="n">
        <v>0.67316811177133</v>
      </c>
      <c r="AR318" s="0" t="n">
        <v>264.644702249507</v>
      </c>
      <c r="AS318" s="0" t="n">
        <v>42</v>
      </c>
      <c r="AT318" s="0" t="n">
        <v>42</v>
      </c>
    </row>
    <row r="319" customFormat="false" ht="12" hidden="false" customHeight="false" outlineLevel="0" collapsed="false">
      <c r="A319" s="0" t="n">
        <v>302</v>
      </c>
      <c r="B319" s="0" t="n">
        <v>1</v>
      </c>
      <c r="C319" s="0" t="n">
        <v>1.54637702892082</v>
      </c>
      <c r="D319" s="0" t="n">
        <v>296.641775593438</v>
      </c>
      <c r="E319" s="0" t="n">
        <v>28</v>
      </c>
      <c r="F319" s="0" t="n">
        <v>30</v>
      </c>
      <c r="G319" s="0" t="n">
        <v>0.5</v>
      </c>
      <c r="H319" s="0" t="n">
        <v>0</v>
      </c>
      <c r="I319" s="0" t="n">
        <v>1.84774232004437</v>
      </c>
      <c r="J319" s="0" t="n">
        <v>324.633212022219</v>
      </c>
      <c r="K319" s="0" t="n">
        <v>27.9914364287811</v>
      </c>
      <c r="L319" s="0" t="n">
        <v>0</v>
      </c>
      <c r="M319" s="0" t="n">
        <v>322.574806044059</v>
      </c>
      <c r="N319" s="0" t="n">
        <v>0</v>
      </c>
      <c r="O319" s="0" t="n">
        <v>302</v>
      </c>
      <c r="P319" s="0" t="n">
        <v>154</v>
      </c>
      <c r="Q319" s="0" t="n">
        <v>148</v>
      </c>
      <c r="R319" s="0" t="n">
        <v>508.970855722117</v>
      </c>
      <c r="S319" s="0" t="n">
        <v>341.962434242903</v>
      </c>
      <c r="T319" s="0" t="n">
        <v>31</v>
      </c>
      <c r="U319" s="0" t="n">
        <v>17</v>
      </c>
      <c r="V319" s="0" t="n">
        <v>16.4184094044524</v>
      </c>
      <c r="W319" s="0" t="n">
        <v>20.1153189830003</v>
      </c>
      <c r="X319" s="0" t="n">
        <v>27.9914364287811</v>
      </c>
      <c r="Y319" s="0" t="n">
        <v>0</v>
      </c>
      <c r="Z319" s="0" t="n">
        <v>0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  <c r="AF319" s="0" t="n">
        <v>422.873008013458</v>
      </c>
      <c r="AG319" s="0" t="n">
        <v>0</v>
      </c>
      <c r="AH319" s="0" t="n">
        <v>0</v>
      </c>
      <c r="AI319" s="0" t="n">
        <v>0</v>
      </c>
      <c r="AK319" s="0" t="n">
        <f aca="false">A319</f>
        <v>302</v>
      </c>
      <c r="AL319" s="0" t="n">
        <v>1</v>
      </c>
      <c r="AM319" s="0" t="n">
        <v>1</v>
      </c>
      <c r="AO319" s="0" t="n">
        <v>302</v>
      </c>
      <c r="AP319" s="0" t="n">
        <v>0</v>
      </c>
      <c r="AQ319" s="0" t="n">
        <v>0.77978827937955</v>
      </c>
      <c r="AR319" s="0" t="n">
        <v>265.424490528887</v>
      </c>
      <c r="AS319" s="0" t="n">
        <v>44</v>
      </c>
      <c r="AT319" s="0" t="n">
        <v>42</v>
      </c>
    </row>
    <row r="320" customFormat="false" ht="12" hidden="false" customHeight="false" outlineLevel="0" collapsed="false">
      <c r="A320" s="0" t="n">
        <v>303</v>
      </c>
      <c r="B320" s="0" t="n">
        <v>1</v>
      </c>
      <c r="C320" s="0" t="n">
        <v>3.77917670408371</v>
      </c>
      <c r="D320" s="0" t="n">
        <v>300.420952297522</v>
      </c>
      <c r="E320" s="0" t="n">
        <v>28</v>
      </c>
      <c r="F320" s="0" t="n">
        <v>26</v>
      </c>
      <c r="G320" s="0" t="n">
        <v>0.5</v>
      </c>
      <c r="H320" s="0" t="n">
        <v>1</v>
      </c>
      <c r="I320" s="0" t="n">
        <v>0</v>
      </c>
      <c r="J320" s="0" t="n">
        <v>324.633212022219</v>
      </c>
      <c r="K320" s="0" t="n">
        <v>0</v>
      </c>
      <c r="L320" s="0" t="n">
        <v>1.75508111362574</v>
      </c>
      <c r="M320" s="0" t="n">
        <v>324.329887157685</v>
      </c>
      <c r="N320" s="0" t="n">
        <v>23.908934860163</v>
      </c>
      <c r="O320" s="0" t="n">
        <v>303</v>
      </c>
      <c r="P320" s="0" t="n">
        <v>154</v>
      </c>
      <c r="Q320" s="0" t="n">
        <v>149</v>
      </c>
      <c r="R320" s="0" t="n">
        <v>323.482959081804</v>
      </c>
      <c r="S320" s="0" t="n">
        <v>525.082765005506</v>
      </c>
      <c r="T320" s="0" t="n">
        <v>18</v>
      </c>
      <c r="U320" s="0" t="n">
        <v>30</v>
      </c>
      <c r="V320" s="0" t="n">
        <v>17.9712655205083</v>
      </c>
      <c r="W320" s="0" t="n">
        <v>17.5027004911819</v>
      </c>
      <c r="X320" s="0" t="n">
        <v>0</v>
      </c>
      <c r="Y320" s="0" t="n">
        <v>0</v>
      </c>
      <c r="Z320" s="0" t="n">
        <v>23.908934860163</v>
      </c>
      <c r="AA320" s="0" t="n">
        <v>0</v>
      </c>
      <c r="AB320" s="0" t="n">
        <v>0</v>
      </c>
      <c r="AC320" s="0" t="n">
        <v>0</v>
      </c>
      <c r="AD320" s="0" t="n">
        <v>1</v>
      </c>
      <c r="AE320" s="0" t="n">
        <v>0</v>
      </c>
      <c r="AF320" s="0" t="n">
        <v>0</v>
      </c>
      <c r="AG320" s="0" t="n">
        <v>0</v>
      </c>
      <c r="AH320" s="0" t="n">
        <v>260.597468645614</v>
      </c>
      <c r="AI320" s="0" t="n">
        <v>0</v>
      </c>
      <c r="AK320" s="0" t="n">
        <f aca="false">A320</f>
        <v>303</v>
      </c>
      <c r="AL320" s="0" t="n">
        <v>1</v>
      </c>
      <c r="AM320" s="0" t="n">
        <v>3</v>
      </c>
      <c r="AO320" s="0" t="n">
        <v>303</v>
      </c>
      <c r="AP320" s="0" t="n">
        <v>0</v>
      </c>
      <c r="AQ320" s="0" t="n">
        <v>2.16297471488098</v>
      </c>
      <c r="AR320" s="0" t="n">
        <v>267.587465243768</v>
      </c>
      <c r="AS320" s="0" t="n">
        <v>44</v>
      </c>
      <c r="AT320" s="0" t="n">
        <v>38</v>
      </c>
    </row>
    <row r="321" customFormat="false" ht="12" hidden="false" customHeight="false" outlineLevel="0" collapsed="false">
      <c r="A321" s="0" t="n">
        <v>304</v>
      </c>
      <c r="B321" s="0" t="n">
        <v>1</v>
      </c>
      <c r="C321" s="0" t="n">
        <v>1.83769526585929</v>
      </c>
      <c r="D321" s="0" t="n">
        <v>302.258647563381</v>
      </c>
      <c r="E321" s="0" t="n">
        <v>26</v>
      </c>
      <c r="F321" s="0" t="n">
        <v>26</v>
      </c>
      <c r="G321" s="0" t="n">
        <v>0.5</v>
      </c>
      <c r="H321" s="0" t="n">
        <v>1</v>
      </c>
      <c r="I321" s="0" t="n">
        <v>0</v>
      </c>
      <c r="J321" s="0" t="n">
        <v>324.633212022219</v>
      </c>
      <c r="K321" s="0" t="n">
        <v>0</v>
      </c>
      <c r="L321" s="0" t="n">
        <v>2.21541504555581</v>
      </c>
      <c r="M321" s="0" t="n">
        <v>326.545302203241</v>
      </c>
      <c r="N321" s="0" t="n">
        <v>24.2866546398595</v>
      </c>
      <c r="O321" s="0" t="n">
        <v>304</v>
      </c>
      <c r="P321" s="0" t="n">
        <v>154</v>
      </c>
      <c r="Q321" s="0" t="n">
        <v>150</v>
      </c>
      <c r="R321" s="0" t="n">
        <v>348.828435974406</v>
      </c>
      <c r="S321" s="0" t="n">
        <v>500.196693553585</v>
      </c>
      <c r="T321" s="0" t="n">
        <v>22</v>
      </c>
      <c r="U321" s="0" t="n">
        <v>26</v>
      </c>
      <c r="V321" s="0" t="n">
        <v>15.8558307916408</v>
      </c>
      <c r="W321" s="0" t="n">
        <v>19.2382603741365</v>
      </c>
      <c r="X321" s="0" t="n">
        <v>0</v>
      </c>
      <c r="Y321" s="0" t="n">
        <v>0</v>
      </c>
      <c r="Z321" s="0" t="n">
        <v>24.2866546398595</v>
      </c>
      <c r="AA321" s="0" t="n">
        <v>0</v>
      </c>
      <c r="AB321" s="0" t="n">
        <v>0</v>
      </c>
      <c r="AC321" s="0" t="n">
        <v>0</v>
      </c>
      <c r="AD321" s="0" t="n">
        <v>1</v>
      </c>
      <c r="AE321" s="0" t="n">
        <v>0</v>
      </c>
      <c r="AF321" s="0" t="n">
        <v>0</v>
      </c>
      <c r="AG321" s="0" t="n">
        <v>0</v>
      </c>
      <c r="AH321" s="0" t="n">
        <v>272.935225542885</v>
      </c>
      <c r="AI321" s="0" t="n">
        <v>0</v>
      </c>
      <c r="AK321" s="0" t="n">
        <f aca="false">A321</f>
        <v>304</v>
      </c>
      <c r="AL321" s="0" t="n">
        <v>0</v>
      </c>
      <c r="AM321" s="0" t="n">
        <v>3</v>
      </c>
      <c r="AO321" s="0" t="n">
        <v>304</v>
      </c>
      <c r="AP321" s="0" t="n">
        <v>1</v>
      </c>
      <c r="AQ321" s="0" t="n">
        <v>0.320206619516521</v>
      </c>
      <c r="AR321" s="0" t="n">
        <v>267.907671863284</v>
      </c>
      <c r="AS321" s="0" t="n">
        <v>44</v>
      </c>
      <c r="AT321" s="0" t="n">
        <v>38</v>
      </c>
    </row>
    <row r="322" customFormat="false" ht="12" hidden="false" customHeight="false" outlineLevel="0" collapsed="false">
      <c r="A322" s="0" t="n">
        <v>305</v>
      </c>
      <c r="B322" s="0" t="n">
        <v>1</v>
      </c>
      <c r="C322" s="0" t="n">
        <v>2.5911525332167</v>
      </c>
      <c r="D322" s="0" t="n">
        <v>304.849800096598</v>
      </c>
      <c r="E322" s="0" t="n">
        <v>22</v>
      </c>
      <c r="F322" s="0" t="n">
        <v>24</v>
      </c>
      <c r="G322" s="0" t="n">
        <v>0.5</v>
      </c>
      <c r="H322" s="0" t="n">
        <v>0</v>
      </c>
      <c r="I322" s="0" t="n">
        <v>1.94768461974265</v>
      </c>
      <c r="J322" s="0" t="n">
        <v>326.580896641962</v>
      </c>
      <c r="K322" s="0" t="n">
        <v>21.731096545364</v>
      </c>
      <c r="L322" s="0" t="n">
        <v>0</v>
      </c>
      <c r="M322" s="0" t="n">
        <v>326.545302203241</v>
      </c>
      <c r="N322" s="0" t="n">
        <v>0</v>
      </c>
      <c r="O322" s="0" t="n">
        <v>305</v>
      </c>
      <c r="P322" s="0" t="n">
        <v>155</v>
      </c>
      <c r="Q322" s="0" t="n">
        <v>150</v>
      </c>
      <c r="R322" s="0" t="n">
        <v>436.962715927025</v>
      </c>
      <c r="S322" s="0" t="n">
        <v>417.484112104404</v>
      </c>
      <c r="T322" s="0" t="n">
        <v>25</v>
      </c>
      <c r="U322" s="0" t="n">
        <v>23</v>
      </c>
      <c r="V322" s="0" t="n">
        <v>17.4785016456803</v>
      </c>
      <c r="W322" s="0" t="n">
        <v>18.1514042158253</v>
      </c>
      <c r="X322" s="0" t="n">
        <v>21.731096545364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  <c r="AF322" s="0" t="n">
        <v>204.59115369482</v>
      </c>
      <c r="AG322" s="0" t="n">
        <v>0</v>
      </c>
      <c r="AH322" s="0" t="n">
        <v>0</v>
      </c>
      <c r="AI322" s="0" t="n">
        <v>0</v>
      </c>
      <c r="AK322" s="0" t="n">
        <f aca="false">A322</f>
        <v>305</v>
      </c>
      <c r="AL322" s="0" t="n">
        <v>1</v>
      </c>
      <c r="AM322" s="0" t="n">
        <v>2</v>
      </c>
      <c r="AO322" s="0" t="n">
        <v>305</v>
      </c>
      <c r="AP322" s="0" t="n">
        <v>0</v>
      </c>
      <c r="AQ322" s="0" t="n">
        <v>0.0894648806807294</v>
      </c>
      <c r="AR322" s="0" t="n">
        <v>267.997136743965</v>
      </c>
      <c r="AS322" s="0" t="n">
        <v>44</v>
      </c>
      <c r="AT322" s="0" t="n">
        <v>40</v>
      </c>
    </row>
    <row r="323" customFormat="false" ht="12" hidden="false" customHeight="false" outlineLevel="0" collapsed="false">
      <c r="A323" s="0" t="n">
        <v>306</v>
      </c>
      <c r="B323" s="0" t="n">
        <v>0</v>
      </c>
      <c r="C323" s="0" t="n">
        <v>0.280981409275059</v>
      </c>
      <c r="D323" s="0" t="n">
        <v>305.130781505873</v>
      </c>
      <c r="E323" s="0" t="n">
        <v>24</v>
      </c>
      <c r="F323" s="0" t="n">
        <v>24</v>
      </c>
      <c r="G323" s="0" t="n">
        <v>0.5</v>
      </c>
      <c r="H323" s="0" t="n">
        <v>1</v>
      </c>
      <c r="I323" s="0" t="n">
        <v>0</v>
      </c>
      <c r="J323" s="0" t="n">
        <v>326.580896641962</v>
      </c>
      <c r="K323" s="0" t="n">
        <v>0</v>
      </c>
      <c r="L323" s="0" t="n">
        <v>1.95461754805581</v>
      </c>
      <c r="M323" s="0" t="n">
        <v>328.499919751297</v>
      </c>
      <c r="N323" s="0" t="n">
        <v>23.3691382454236</v>
      </c>
      <c r="O323" s="0" t="n">
        <v>306</v>
      </c>
      <c r="P323" s="0" t="n">
        <v>155</v>
      </c>
      <c r="Q323" s="0" t="n">
        <v>151</v>
      </c>
      <c r="R323" s="0" t="n">
        <v>399.118853214727</v>
      </c>
      <c r="S323" s="0" t="n">
        <v>455.872260427451</v>
      </c>
      <c r="T323" s="0" t="n">
        <v>24</v>
      </c>
      <c r="U323" s="0" t="n">
        <v>24</v>
      </c>
      <c r="V323" s="0" t="n">
        <v>16.6299452881364</v>
      </c>
      <c r="W323" s="0" t="n">
        <v>18.9945983736506</v>
      </c>
      <c r="X323" s="0" t="n">
        <v>0</v>
      </c>
      <c r="Y323" s="0" t="n">
        <v>0</v>
      </c>
      <c r="Z323" s="0" t="n">
        <v>0</v>
      </c>
      <c r="AA323" s="0" t="n">
        <v>23.3691382454236</v>
      </c>
      <c r="AB323" s="0" t="n">
        <v>0</v>
      </c>
      <c r="AC323" s="0" t="n">
        <v>0</v>
      </c>
      <c r="AD323" s="0" t="n">
        <v>0</v>
      </c>
      <c r="AE323" s="0" t="n">
        <v>1</v>
      </c>
      <c r="AF323" s="0" t="n">
        <v>0</v>
      </c>
      <c r="AG323" s="0" t="n">
        <v>0</v>
      </c>
      <c r="AH323" s="0" t="n">
        <v>0</v>
      </c>
      <c r="AI323" s="0" t="n">
        <v>244.538833598875</v>
      </c>
      <c r="AK323" s="0" t="n">
        <f aca="false">A323</f>
        <v>306</v>
      </c>
      <c r="AL323" s="0" t="n">
        <v>0</v>
      </c>
      <c r="AM323" s="0" t="n">
        <v>3</v>
      </c>
      <c r="AO323" s="0" t="n">
        <v>306</v>
      </c>
      <c r="AP323" s="0" t="n">
        <v>1</v>
      </c>
      <c r="AQ323" s="0" t="n">
        <v>2.40036010811189</v>
      </c>
      <c r="AR323" s="0" t="n">
        <v>270.397496852077</v>
      </c>
      <c r="AS323" s="0" t="n">
        <v>44</v>
      </c>
      <c r="AT323" s="0" t="n">
        <v>38</v>
      </c>
    </row>
    <row r="324" customFormat="false" ht="12" hidden="false" customHeight="false" outlineLevel="0" collapsed="false">
      <c r="A324" s="0" t="n">
        <v>307</v>
      </c>
      <c r="B324" s="0" t="n">
        <v>0</v>
      </c>
      <c r="C324" s="0" t="n">
        <v>0.683556540169319</v>
      </c>
      <c r="D324" s="0" t="n">
        <v>305.814338046042</v>
      </c>
      <c r="E324" s="0" t="n">
        <v>24</v>
      </c>
      <c r="F324" s="0" t="n">
        <v>26</v>
      </c>
      <c r="G324" s="0" t="n">
        <v>0.5</v>
      </c>
      <c r="H324" s="0" t="n">
        <v>1</v>
      </c>
      <c r="I324" s="0" t="n">
        <v>0</v>
      </c>
      <c r="J324" s="0" t="n">
        <v>326.580896641962</v>
      </c>
      <c r="K324" s="0" t="n">
        <v>0</v>
      </c>
      <c r="L324" s="0" t="n">
        <v>1.75526889176221</v>
      </c>
      <c r="M324" s="0" t="n">
        <v>330.255188643059</v>
      </c>
      <c r="N324" s="0" t="n">
        <v>24.4408505970165</v>
      </c>
      <c r="O324" s="0" t="n">
        <v>307</v>
      </c>
      <c r="P324" s="0" t="n">
        <v>155</v>
      </c>
      <c r="Q324" s="0" t="n">
        <v>152</v>
      </c>
      <c r="R324" s="0" t="n">
        <v>432.043570240629</v>
      </c>
      <c r="S324" s="0" t="n">
        <v>424.297567526445</v>
      </c>
      <c r="T324" s="0" t="n">
        <v>23</v>
      </c>
      <c r="U324" s="0" t="n">
        <v>25</v>
      </c>
      <c r="V324" s="0" t="n">
        <v>18.7844948867687</v>
      </c>
      <c r="W324" s="0" t="n">
        <v>16.9718348137185</v>
      </c>
      <c r="X324" s="0" t="n">
        <v>0</v>
      </c>
      <c r="Y324" s="0" t="n">
        <v>0</v>
      </c>
      <c r="Z324" s="0" t="n">
        <v>0</v>
      </c>
      <c r="AA324" s="0" t="n">
        <v>24.4408505970165</v>
      </c>
      <c r="AB324" s="0" t="n">
        <v>0</v>
      </c>
      <c r="AC324" s="0" t="n">
        <v>0</v>
      </c>
      <c r="AD324" s="0" t="n">
        <v>0</v>
      </c>
      <c r="AE324" s="0" t="n">
        <v>1</v>
      </c>
      <c r="AF324" s="0" t="n">
        <v>0</v>
      </c>
      <c r="AG324" s="0" t="n">
        <v>0</v>
      </c>
      <c r="AH324" s="0" t="n">
        <v>0</v>
      </c>
      <c r="AI324" s="0" t="n">
        <v>279.205713787227</v>
      </c>
      <c r="AK324" s="0" t="n">
        <f aca="false">A324</f>
        <v>307</v>
      </c>
      <c r="AL324" s="0" t="n">
        <v>1</v>
      </c>
      <c r="AM324" s="0" t="n">
        <v>2</v>
      </c>
      <c r="AO324" s="0" t="n">
        <v>307</v>
      </c>
      <c r="AP324" s="0" t="n">
        <v>1</v>
      </c>
      <c r="AQ324" s="0" t="n">
        <v>0.638546038606781</v>
      </c>
      <c r="AR324" s="0" t="n">
        <v>271.036042890684</v>
      </c>
      <c r="AS324" s="0" t="n">
        <v>44</v>
      </c>
      <c r="AT324" s="0" t="n">
        <v>40</v>
      </c>
    </row>
    <row r="325" customFormat="false" ht="12" hidden="false" customHeight="false" outlineLevel="0" collapsed="false">
      <c r="A325" s="0" t="n">
        <v>308</v>
      </c>
      <c r="B325" s="0" t="n">
        <v>0</v>
      </c>
      <c r="C325" s="0" t="n">
        <v>0.0327886241042522</v>
      </c>
      <c r="D325" s="0" t="n">
        <v>305.847126670147</v>
      </c>
      <c r="E325" s="0" t="n">
        <v>24</v>
      </c>
      <c r="F325" s="0" t="n">
        <v>28</v>
      </c>
      <c r="G325" s="0" t="n">
        <v>0.5</v>
      </c>
      <c r="H325" s="0" t="n">
        <v>0</v>
      </c>
      <c r="I325" s="0" t="n">
        <v>2.14931466895024</v>
      </c>
      <c r="J325" s="0" t="n">
        <v>328.730211310912</v>
      </c>
      <c r="K325" s="0" t="n">
        <v>22.8830846407657</v>
      </c>
      <c r="L325" s="0" t="n">
        <v>0</v>
      </c>
      <c r="M325" s="0" t="n">
        <v>330.255188643059</v>
      </c>
      <c r="N325" s="0" t="n">
        <v>0</v>
      </c>
      <c r="O325" s="0" t="n">
        <v>308</v>
      </c>
      <c r="P325" s="0" t="n">
        <v>156</v>
      </c>
      <c r="Q325" s="0" t="n">
        <v>152</v>
      </c>
      <c r="R325" s="0" t="n">
        <v>468.803954112533</v>
      </c>
      <c r="S325" s="0" t="n">
        <v>384.356187888476</v>
      </c>
      <c r="T325" s="0" t="n">
        <v>25</v>
      </c>
      <c r="U325" s="0" t="n">
        <v>23</v>
      </c>
      <c r="V325" s="0" t="n">
        <v>18.7521506636411</v>
      </c>
      <c r="W325" s="0" t="n">
        <v>16.7110659470383</v>
      </c>
      <c r="X325" s="0" t="n">
        <v>0</v>
      </c>
      <c r="Y325" s="0" t="n">
        <v>22.8830846407657</v>
      </c>
      <c r="Z325" s="0" t="n">
        <v>0</v>
      </c>
      <c r="AA325" s="0" t="n">
        <v>0</v>
      </c>
      <c r="AB325" s="0" t="n">
        <v>0</v>
      </c>
      <c r="AC325" s="0" t="n">
        <v>1</v>
      </c>
      <c r="AD325" s="0" t="n">
        <v>0</v>
      </c>
      <c r="AE325" s="0" t="n">
        <v>0</v>
      </c>
      <c r="AF325" s="0" t="n">
        <v>0</v>
      </c>
      <c r="AG325" s="0" t="n">
        <v>213.87388259156</v>
      </c>
      <c r="AH325" s="0" t="n">
        <v>0</v>
      </c>
      <c r="AI325" s="0" t="n">
        <v>0</v>
      </c>
      <c r="AK325" s="0" t="n">
        <f aca="false">A325</f>
        <v>308</v>
      </c>
      <c r="AL325" s="0" t="n">
        <v>2</v>
      </c>
      <c r="AM325" s="0" t="n">
        <v>1</v>
      </c>
      <c r="AO325" s="0" t="n">
        <v>308</v>
      </c>
      <c r="AP325" s="0" t="n">
        <v>1</v>
      </c>
      <c r="AQ325" s="0" t="n">
        <v>0.206861044270712</v>
      </c>
      <c r="AR325" s="0" t="n">
        <v>271.242903934954</v>
      </c>
      <c r="AS325" s="0" t="n">
        <v>44</v>
      </c>
      <c r="AT325" s="0" t="n">
        <v>42</v>
      </c>
    </row>
    <row r="326" customFormat="false" ht="12" hidden="false" customHeight="false" outlineLevel="0" collapsed="false">
      <c r="A326" s="0" t="n">
        <v>309</v>
      </c>
      <c r="B326" s="0" t="n">
        <v>1</v>
      </c>
      <c r="C326" s="0" t="n">
        <v>1.80278634155354</v>
      </c>
      <c r="D326" s="0" t="n">
        <v>307.6499130117</v>
      </c>
      <c r="E326" s="0" t="n">
        <v>24</v>
      </c>
      <c r="F326" s="0" t="n">
        <v>26</v>
      </c>
      <c r="G326" s="0" t="n">
        <v>0.5</v>
      </c>
      <c r="H326" s="0" t="n">
        <v>0</v>
      </c>
      <c r="I326" s="0" t="n">
        <v>2.166498043211</v>
      </c>
      <c r="J326" s="0" t="n">
        <v>330.896709354123</v>
      </c>
      <c r="K326" s="0" t="n">
        <v>23.2467963424231</v>
      </c>
      <c r="L326" s="0" t="n">
        <v>0</v>
      </c>
      <c r="M326" s="0" t="n">
        <v>330.255188643059</v>
      </c>
      <c r="N326" s="0" t="n">
        <v>0</v>
      </c>
      <c r="O326" s="0" t="n">
        <v>309</v>
      </c>
      <c r="P326" s="0" t="n">
        <v>157</v>
      </c>
      <c r="Q326" s="0" t="n">
        <v>152</v>
      </c>
      <c r="R326" s="0" t="n">
        <v>485.11918625897</v>
      </c>
      <c r="S326" s="0" t="n">
        <v>374.938997057564</v>
      </c>
      <c r="T326" s="0" t="n">
        <v>24</v>
      </c>
      <c r="U326" s="0" t="n">
        <v>24</v>
      </c>
      <c r="V326" s="0" t="n">
        <v>20.2132910052525</v>
      </c>
      <c r="W326" s="0" t="n">
        <v>15.6223931174272</v>
      </c>
      <c r="X326" s="0" t="n">
        <v>23.2467963424231</v>
      </c>
      <c r="Y326" s="0" t="n">
        <v>0</v>
      </c>
      <c r="Z326" s="0" t="n">
        <v>0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  <c r="AF326" s="0" t="n">
        <v>250.248234022797</v>
      </c>
      <c r="AG326" s="0" t="n">
        <v>0</v>
      </c>
      <c r="AH326" s="0" t="n">
        <v>0</v>
      </c>
      <c r="AI326" s="0" t="n">
        <v>0</v>
      </c>
      <c r="AK326" s="0" t="n">
        <f aca="false">A326</f>
        <v>309</v>
      </c>
      <c r="AL326" s="0" t="n">
        <v>1</v>
      </c>
      <c r="AM326" s="0" t="n">
        <v>1</v>
      </c>
      <c r="AO326" s="0" t="n">
        <v>309</v>
      </c>
      <c r="AP326" s="0" t="n">
        <v>1</v>
      </c>
      <c r="AQ326" s="0" t="n">
        <v>0.292607879365105</v>
      </c>
      <c r="AR326" s="0" t="n">
        <v>271.53551181432</v>
      </c>
      <c r="AS326" s="0" t="n">
        <v>44</v>
      </c>
      <c r="AT326" s="0" t="n">
        <v>42</v>
      </c>
    </row>
    <row r="327" customFormat="false" ht="12" hidden="false" customHeight="false" outlineLevel="0" collapsed="false">
      <c r="A327" s="0" t="n">
        <v>310</v>
      </c>
      <c r="B327" s="0" t="n">
        <v>0</v>
      </c>
      <c r="C327" s="0" t="n">
        <v>1.27871886991238</v>
      </c>
      <c r="D327" s="0" t="n">
        <v>308.928631881613</v>
      </c>
      <c r="E327" s="0" t="n">
        <v>24</v>
      </c>
      <c r="F327" s="0" t="n">
        <v>24</v>
      </c>
      <c r="G327" s="0" t="n">
        <v>0.5</v>
      </c>
      <c r="H327" s="0" t="n">
        <v>1</v>
      </c>
      <c r="I327" s="0" t="n">
        <v>0</v>
      </c>
      <c r="J327" s="0" t="n">
        <v>330.896709354123</v>
      </c>
      <c r="K327" s="0" t="n">
        <v>0</v>
      </c>
      <c r="L327" s="0" t="n">
        <v>2.24012429610517</v>
      </c>
      <c r="M327" s="0" t="n">
        <v>332.495312939164</v>
      </c>
      <c r="N327" s="0" t="n">
        <v>23.5666810575515</v>
      </c>
      <c r="O327" s="0" t="n">
        <v>310</v>
      </c>
      <c r="P327" s="0" t="n">
        <v>157</v>
      </c>
      <c r="Q327" s="0" t="n">
        <v>153</v>
      </c>
      <c r="R327" s="0" t="n">
        <v>410.215017451708</v>
      </c>
      <c r="S327" s="0" t="n">
        <v>474.448888680121</v>
      </c>
      <c r="T327" s="0" t="n">
        <v>26</v>
      </c>
      <c r="U327" s="0" t="n">
        <v>22</v>
      </c>
      <c r="V327" s="0" t="n">
        <v>15.7774946029524</v>
      </c>
      <c r="W327" s="0" t="n">
        <v>21.5657605501848</v>
      </c>
      <c r="X327" s="0" t="n">
        <v>0</v>
      </c>
      <c r="Y327" s="0" t="n">
        <v>0</v>
      </c>
      <c r="Z327" s="0" t="n">
        <v>0</v>
      </c>
      <c r="AA327" s="0" t="n">
        <v>23.5666810575515</v>
      </c>
      <c r="AB327" s="0" t="n">
        <v>0</v>
      </c>
      <c r="AC327" s="0" t="n">
        <v>0</v>
      </c>
      <c r="AD327" s="0" t="n">
        <v>0</v>
      </c>
      <c r="AE327" s="0" t="n">
        <v>1</v>
      </c>
      <c r="AF327" s="0" t="n">
        <v>0</v>
      </c>
      <c r="AG327" s="0" t="n">
        <v>0</v>
      </c>
      <c r="AH327" s="0" t="n">
        <v>0</v>
      </c>
      <c r="AI327" s="0" t="n">
        <v>250.756102037066</v>
      </c>
      <c r="AK327" s="0" t="n">
        <f aca="false">A327</f>
        <v>310</v>
      </c>
      <c r="AL327" s="0" t="n">
        <v>0</v>
      </c>
      <c r="AM327" s="0" t="n">
        <v>1</v>
      </c>
      <c r="AO327" s="0" t="n">
        <v>310</v>
      </c>
      <c r="AP327" s="0" t="n">
        <v>0</v>
      </c>
      <c r="AQ327" s="0" t="n">
        <v>0.752769418964343</v>
      </c>
      <c r="AR327" s="0" t="n">
        <v>272.288281233284</v>
      </c>
      <c r="AS327" s="0" t="n">
        <v>42</v>
      </c>
      <c r="AT327" s="0" t="n">
        <v>44</v>
      </c>
    </row>
    <row r="328" customFormat="false" ht="12" hidden="false" customHeight="false" outlineLevel="0" collapsed="false">
      <c r="A328" s="0" t="n">
        <v>311</v>
      </c>
      <c r="B328" s="0" t="n">
        <v>1</v>
      </c>
      <c r="C328" s="0" t="n">
        <v>0.812491723724743</v>
      </c>
      <c r="D328" s="0" t="n">
        <v>309.741123605337</v>
      </c>
      <c r="E328" s="0" t="n">
        <v>24</v>
      </c>
      <c r="F328" s="0" t="n">
        <v>26</v>
      </c>
      <c r="G328" s="0" t="n">
        <v>0.5</v>
      </c>
      <c r="H328" s="0" t="n">
        <v>0</v>
      </c>
      <c r="I328" s="0" t="n">
        <v>1.78787001357647</v>
      </c>
      <c r="J328" s="0" t="n">
        <v>332.6845793677</v>
      </c>
      <c r="K328" s="0" t="n">
        <v>22.9434557623625</v>
      </c>
      <c r="L328" s="0" t="n">
        <v>0</v>
      </c>
      <c r="M328" s="0" t="n">
        <v>332.495312939164</v>
      </c>
      <c r="N328" s="0" t="n">
        <v>0</v>
      </c>
      <c r="O328" s="0" t="n">
        <v>311</v>
      </c>
      <c r="P328" s="0" t="n">
        <v>158</v>
      </c>
      <c r="Q328" s="0" t="n">
        <v>153</v>
      </c>
      <c r="R328" s="0" t="n">
        <v>467.765759293879</v>
      </c>
      <c r="S328" s="0" t="n">
        <v>396.644212272406</v>
      </c>
      <c r="T328" s="0" t="n">
        <v>23</v>
      </c>
      <c r="U328" s="0" t="n">
        <v>25</v>
      </c>
      <c r="V328" s="0" t="n">
        <v>20.3376328659805</v>
      </c>
      <c r="W328" s="0" t="n">
        <v>15.8657050280761</v>
      </c>
      <c r="X328" s="0" t="n">
        <v>22.9434557623625</v>
      </c>
      <c r="Y328" s="0" t="n">
        <v>0</v>
      </c>
      <c r="Z328" s="0" t="n">
        <v>0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  <c r="AF328" s="0" t="n">
        <v>240.74301695889</v>
      </c>
      <c r="AG328" s="0" t="n">
        <v>0</v>
      </c>
      <c r="AH328" s="0" t="n">
        <v>0</v>
      </c>
      <c r="AI328" s="0" t="n">
        <v>0</v>
      </c>
      <c r="AK328" s="0" t="n">
        <f aca="false">A328</f>
        <v>311</v>
      </c>
      <c r="AL328" s="0" t="n">
        <v>1</v>
      </c>
      <c r="AM328" s="0" t="n">
        <v>2</v>
      </c>
      <c r="AO328" s="0" t="n">
        <v>311</v>
      </c>
      <c r="AP328" s="0" t="n">
        <v>0</v>
      </c>
      <c r="AQ328" s="0" t="n">
        <v>0.0647836488366061</v>
      </c>
      <c r="AR328" s="0" t="n">
        <v>272.353064882121</v>
      </c>
      <c r="AS328" s="0" t="n">
        <v>42</v>
      </c>
      <c r="AT328" s="0" t="n">
        <v>46</v>
      </c>
    </row>
    <row r="329" customFormat="false" ht="12" hidden="false" customHeight="false" outlineLevel="0" collapsed="false">
      <c r="A329" s="0" t="n">
        <v>312</v>
      </c>
      <c r="B329" s="0" t="n">
        <v>1</v>
      </c>
      <c r="C329" s="0" t="n">
        <v>2.96398094519895</v>
      </c>
      <c r="D329" s="0" t="n">
        <v>312.705104550536</v>
      </c>
      <c r="E329" s="0" t="n">
        <v>22</v>
      </c>
      <c r="F329" s="0" t="n">
        <v>22</v>
      </c>
      <c r="G329" s="0" t="n">
        <v>0.5</v>
      </c>
      <c r="H329" s="0" t="n">
        <v>1</v>
      </c>
      <c r="I329" s="0" t="n">
        <v>0</v>
      </c>
      <c r="J329" s="0" t="n">
        <v>332.6845793677</v>
      </c>
      <c r="K329" s="0" t="n">
        <v>0</v>
      </c>
      <c r="L329" s="0" t="n">
        <v>1.89663809380402</v>
      </c>
      <c r="M329" s="0" t="n">
        <v>334.391951032968</v>
      </c>
      <c r="N329" s="0" t="n">
        <v>21.6868464824319</v>
      </c>
      <c r="O329" s="0" t="n">
        <v>312</v>
      </c>
      <c r="P329" s="0" t="n">
        <v>158</v>
      </c>
      <c r="Q329" s="0" t="n">
        <v>154</v>
      </c>
      <c r="R329" s="0" t="n">
        <v>407.01657102701</v>
      </c>
      <c r="S329" s="0" t="n">
        <v>473.999419799125</v>
      </c>
      <c r="T329" s="0" t="n">
        <v>24</v>
      </c>
      <c r="U329" s="0" t="n">
        <v>24</v>
      </c>
      <c r="V329" s="0" t="n">
        <v>16.9590167265351</v>
      </c>
      <c r="W329" s="0" t="n">
        <v>19.7498935337405</v>
      </c>
      <c r="X329" s="0" t="n">
        <v>0</v>
      </c>
      <c r="Y329" s="0" t="n">
        <v>0</v>
      </c>
      <c r="Z329" s="0" t="n">
        <v>21.6868464824319</v>
      </c>
      <c r="AA329" s="0" t="n">
        <v>0</v>
      </c>
      <c r="AB329" s="0" t="n">
        <v>0</v>
      </c>
      <c r="AC329" s="0" t="n">
        <v>0</v>
      </c>
      <c r="AD329" s="0" t="n">
        <v>1</v>
      </c>
      <c r="AE329" s="0" t="n">
        <v>0</v>
      </c>
      <c r="AF329" s="0" t="n">
        <v>0</v>
      </c>
      <c r="AG329" s="0" t="n">
        <v>0</v>
      </c>
      <c r="AH329" s="0" t="n">
        <v>193.792659686273</v>
      </c>
      <c r="AI329" s="0" t="n">
        <v>0</v>
      </c>
      <c r="AK329" s="0" t="n">
        <f aca="false">A329</f>
        <v>312</v>
      </c>
      <c r="AL329" s="0" t="n">
        <v>0</v>
      </c>
      <c r="AM329" s="0" t="n">
        <v>1</v>
      </c>
      <c r="AO329" s="0" t="n">
        <v>312</v>
      </c>
      <c r="AP329" s="0" t="n">
        <v>0</v>
      </c>
      <c r="AQ329" s="0" t="n">
        <v>0.740155457781811</v>
      </c>
      <c r="AR329" s="0" t="n">
        <v>273.093220339902</v>
      </c>
      <c r="AS329" s="0" t="n">
        <v>44</v>
      </c>
      <c r="AT329" s="0" t="n">
        <v>46</v>
      </c>
    </row>
    <row r="330" customFormat="false" ht="12" hidden="false" customHeight="false" outlineLevel="0" collapsed="false">
      <c r="A330" s="0" t="n">
        <v>313</v>
      </c>
      <c r="B330" s="0" t="n">
        <v>0</v>
      </c>
      <c r="C330" s="0" t="n">
        <v>0.683170037131241</v>
      </c>
      <c r="D330" s="0" t="n">
        <v>313.388274587667</v>
      </c>
      <c r="E330" s="0" t="n">
        <v>22</v>
      </c>
      <c r="F330" s="0" t="n">
        <v>24</v>
      </c>
      <c r="G330" s="0" t="n">
        <v>0.5</v>
      </c>
      <c r="H330" s="0" t="n">
        <v>1</v>
      </c>
      <c r="I330" s="0" t="n">
        <v>0</v>
      </c>
      <c r="J330" s="0" t="n">
        <v>332.6845793677</v>
      </c>
      <c r="K330" s="0" t="n">
        <v>0</v>
      </c>
      <c r="L330" s="0" t="n">
        <v>2.15536231226112</v>
      </c>
      <c r="M330" s="0" t="n">
        <v>336.547313345229</v>
      </c>
      <c r="N330" s="0" t="n">
        <v>23.1590387575617</v>
      </c>
      <c r="O330" s="0" t="n">
        <v>313</v>
      </c>
      <c r="P330" s="0" t="n">
        <v>158</v>
      </c>
      <c r="Q330" s="0" t="n">
        <v>155</v>
      </c>
      <c r="R330" s="0" t="n">
        <v>481.755661385944</v>
      </c>
      <c r="S330" s="0" t="n">
        <v>404.771145973768</v>
      </c>
      <c r="T330" s="0" t="n">
        <v>24</v>
      </c>
      <c r="U330" s="0" t="n">
        <v>24</v>
      </c>
      <c r="V330" s="0" t="n">
        <v>20.0731441939376</v>
      </c>
      <c r="W330" s="0" t="n">
        <v>16.8653941430981</v>
      </c>
      <c r="X330" s="0" t="n">
        <v>0</v>
      </c>
      <c r="Y330" s="0" t="n">
        <v>0</v>
      </c>
      <c r="Z330" s="0" t="n">
        <v>0</v>
      </c>
      <c r="AA330" s="0" t="n">
        <v>23.1590387575617</v>
      </c>
      <c r="AB330" s="0" t="n">
        <v>0</v>
      </c>
      <c r="AC330" s="0" t="n">
        <v>0</v>
      </c>
      <c r="AD330" s="0" t="n">
        <v>0</v>
      </c>
      <c r="AE330" s="0" t="n">
        <v>1</v>
      </c>
      <c r="AF330" s="0" t="n">
        <v>0</v>
      </c>
      <c r="AG330" s="0" t="n">
        <v>0</v>
      </c>
      <c r="AH330" s="0" t="n">
        <v>0</v>
      </c>
      <c r="AI330" s="0" t="n">
        <v>238.012014120526</v>
      </c>
      <c r="AK330" s="0" t="n">
        <f aca="false">A330</f>
        <v>313</v>
      </c>
      <c r="AL330" s="0" t="n">
        <v>1</v>
      </c>
      <c r="AM330" s="0" t="n">
        <v>0</v>
      </c>
      <c r="AO330" s="0" t="n">
        <v>313</v>
      </c>
      <c r="AP330" s="0" t="n">
        <v>0</v>
      </c>
      <c r="AQ330" s="0" t="n">
        <v>0.953436357912743</v>
      </c>
      <c r="AR330" s="0" t="n">
        <v>274.046656697815</v>
      </c>
      <c r="AS330" s="0" t="n">
        <v>44</v>
      </c>
      <c r="AT330" s="0" t="n">
        <v>44</v>
      </c>
    </row>
    <row r="331" customFormat="false" ht="12" hidden="false" customHeight="false" outlineLevel="0" collapsed="false">
      <c r="A331" s="0" t="n">
        <v>314</v>
      </c>
      <c r="B331" s="0" t="n">
        <v>0</v>
      </c>
      <c r="C331" s="0" t="n">
        <v>2.90693941871368</v>
      </c>
      <c r="D331" s="0" t="n">
        <v>316.295214006381</v>
      </c>
      <c r="E331" s="0" t="n">
        <v>20</v>
      </c>
      <c r="F331" s="0" t="n">
        <v>24</v>
      </c>
      <c r="G331" s="0" t="n">
        <v>0.5</v>
      </c>
      <c r="H331" s="0" t="n">
        <v>1</v>
      </c>
      <c r="I331" s="0" t="n">
        <v>0</v>
      </c>
      <c r="J331" s="0" t="n">
        <v>332.6845793677</v>
      </c>
      <c r="K331" s="0" t="n">
        <v>0</v>
      </c>
      <c r="L331" s="0" t="n">
        <v>2.1799419680835</v>
      </c>
      <c r="M331" s="0" t="n">
        <v>338.727255313313</v>
      </c>
      <c r="N331" s="0" t="n">
        <v>22.4320413069315</v>
      </c>
      <c r="O331" s="0" t="n">
        <v>314</v>
      </c>
      <c r="P331" s="0" t="n">
        <v>158</v>
      </c>
      <c r="Q331" s="0" t="n">
        <v>156</v>
      </c>
      <c r="R331" s="0" t="n">
        <v>418.999945522139</v>
      </c>
      <c r="S331" s="0" t="n">
        <v>475.909214149295</v>
      </c>
      <c r="T331" s="0" t="n">
        <v>24</v>
      </c>
      <c r="U331" s="0" t="n">
        <v>24</v>
      </c>
      <c r="V331" s="0" t="n">
        <v>17.4583237891209</v>
      </c>
      <c r="W331" s="0" t="n">
        <v>19.8294679667708</v>
      </c>
      <c r="X331" s="0" t="n">
        <v>0</v>
      </c>
      <c r="Y331" s="0" t="n">
        <v>0</v>
      </c>
      <c r="Z331" s="0" t="n">
        <v>0</v>
      </c>
      <c r="AA331" s="0" t="n">
        <v>22.4320413069315</v>
      </c>
      <c r="AB331" s="0" t="n">
        <v>0</v>
      </c>
      <c r="AC331" s="0" t="n">
        <v>0</v>
      </c>
      <c r="AD331" s="0" t="n">
        <v>0</v>
      </c>
      <c r="AE331" s="0" t="n">
        <v>1</v>
      </c>
      <c r="AF331" s="0" t="n">
        <v>0</v>
      </c>
      <c r="AG331" s="0" t="n">
        <v>0</v>
      </c>
      <c r="AH331" s="0" t="n">
        <v>0</v>
      </c>
      <c r="AI331" s="0" t="n">
        <v>216.108832429784</v>
      </c>
      <c r="AK331" s="0" t="n">
        <f aca="false">A331</f>
        <v>314</v>
      </c>
      <c r="AL331" s="0" t="n">
        <v>2</v>
      </c>
      <c r="AM331" s="0" t="n">
        <v>1</v>
      </c>
      <c r="AO331" s="0" t="n">
        <v>314</v>
      </c>
      <c r="AP331" s="0" t="n">
        <v>1</v>
      </c>
      <c r="AQ331" s="0" t="n">
        <v>0.271584933750441</v>
      </c>
      <c r="AR331" s="0" t="n">
        <v>274.318241631566</v>
      </c>
      <c r="AS331" s="0" t="n">
        <v>44</v>
      </c>
      <c r="AT331" s="0" t="n">
        <v>46</v>
      </c>
    </row>
    <row r="332" customFormat="false" ht="12" hidden="false" customHeight="false" outlineLevel="0" collapsed="false">
      <c r="A332" s="0" t="n">
        <v>315</v>
      </c>
      <c r="B332" s="0" t="n">
        <v>1</v>
      </c>
      <c r="C332" s="0" t="n">
        <v>0.259305141132273</v>
      </c>
      <c r="D332" s="0" t="n">
        <v>316.554519147513</v>
      </c>
      <c r="E332" s="0" t="n">
        <v>18</v>
      </c>
      <c r="F332" s="0" t="n">
        <v>24</v>
      </c>
      <c r="G332" s="0" t="n">
        <v>0.5</v>
      </c>
      <c r="H332" s="0" t="n">
        <v>0</v>
      </c>
      <c r="I332" s="0" t="n">
        <v>1.77217970618081</v>
      </c>
      <c r="J332" s="0" t="n">
        <v>334.456759073881</v>
      </c>
      <c r="K332" s="0" t="n">
        <v>17.9022399263671</v>
      </c>
      <c r="L332" s="0" t="n">
        <v>0</v>
      </c>
      <c r="M332" s="0" t="n">
        <v>338.727255313313</v>
      </c>
      <c r="N332" s="0" t="n">
        <v>0</v>
      </c>
      <c r="O332" s="0" t="n">
        <v>315</v>
      </c>
      <c r="P332" s="0" t="n">
        <v>159</v>
      </c>
      <c r="Q332" s="0" t="n">
        <v>156</v>
      </c>
      <c r="R332" s="0" t="n">
        <v>461.081378537761</v>
      </c>
      <c r="S332" s="0" t="n">
        <v>438.830863673236</v>
      </c>
      <c r="T332" s="0" t="n">
        <v>24</v>
      </c>
      <c r="U332" s="0" t="n">
        <v>24</v>
      </c>
      <c r="V332" s="0" t="n">
        <v>19.2117161008583</v>
      </c>
      <c r="W332" s="0" t="n">
        <v>18.2845431341218</v>
      </c>
      <c r="X332" s="0" t="n">
        <v>17.9022399263671</v>
      </c>
      <c r="Y332" s="0" t="n">
        <v>0</v>
      </c>
      <c r="Z332" s="0" t="n">
        <v>0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  <c r="AF332" s="0" t="n">
        <v>109.718916623447</v>
      </c>
      <c r="AG332" s="0" t="n">
        <v>0</v>
      </c>
      <c r="AH332" s="0" t="n">
        <v>0</v>
      </c>
      <c r="AI332" s="0" t="n">
        <v>0</v>
      </c>
      <c r="AK332" s="0" t="n">
        <f aca="false">A332</f>
        <v>315</v>
      </c>
      <c r="AL332" s="0" t="n">
        <v>3</v>
      </c>
      <c r="AM332" s="0" t="n">
        <v>0</v>
      </c>
      <c r="AO332" s="0" t="n">
        <v>315</v>
      </c>
      <c r="AP332" s="0" t="n">
        <v>0</v>
      </c>
      <c r="AQ332" s="0" t="n">
        <v>0.181995948698875</v>
      </c>
      <c r="AR332" s="0" t="n">
        <v>274.500237580264</v>
      </c>
      <c r="AS332" s="0" t="n">
        <v>46</v>
      </c>
      <c r="AT332" s="0" t="n">
        <v>46</v>
      </c>
    </row>
    <row r="333" customFormat="false" ht="12" hidden="false" customHeight="false" outlineLevel="0" collapsed="false">
      <c r="A333" s="0" t="n">
        <v>316</v>
      </c>
      <c r="B333" s="0" t="n">
        <v>1</v>
      </c>
      <c r="C333" s="0" t="n">
        <v>1.19869700135319</v>
      </c>
      <c r="D333" s="0" t="n">
        <v>317.753216148867</v>
      </c>
      <c r="E333" s="0" t="n">
        <v>20</v>
      </c>
      <c r="F333" s="0" t="n">
        <v>24</v>
      </c>
      <c r="G333" s="0" t="n">
        <v>0.5</v>
      </c>
      <c r="H333" s="0" t="n">
        <v>0</v>
      </c>
      <c r="I333" s="0" t="n">
        <v>2.05454285650585</v>
      </c>
      <c r="J333" s="0" t="n">
        <v>336.511301930386</v>
      </c>
      <c r="K333" s="0" t="n">
        <v>18.7580857815198</v>
      </c>
      <c r="L333" s="0" t="n">
        <v>0</v>
      </c>
      <c r="M333" s="0" t="n">
        <v>338.727255313313</v>
      </c>
      <c r="N333" s="0" t="n">
        <v>0</v>
      </c>
      <c r="O333" s="0" t="n">
        <v>316</v>
      </c>
      <c r="P333" s="0" t="n">
        <v>160</v>
      </c>
      <c r="Q333" s="0" t="n">
        <v>156</v>
      </c>
      <c r="R333" s="0" t="n">
        <v>438.064564354616</v>
      </c>
      <c r="S333" s="0" t="n">
        <v>468.703246398414</v>
      </c>
      <c r="T333" s="0" t="n">
        <v>26</v>
      </c>
      <c r="U333" s="0" t="n">
        <v>22</v>
      </c>
      <c r="V333" s="0" t="n">
        <v>16.8486306103196</v>
      </c>
      <c r="W333" s="0" t="n">
        <v>21.3045961790362</v>
      </c>
      <c r="X333" s="0" t="n">
        <v>18.7580857815198</v>
      </c>
      <c r="Y333" s="0" t="n">
        <v>0</v>
      </c>
      <c r="Z333" s="0" t="n">
        <v>0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  <c r="AF333" s="0" t="n">
        <v>128.380811309372</v>
      </c>
      <c r="AG333" s="0" t="n">
        <v>0</v>
      </c>
      <c r="AH333" s="0" t="n">
        <v>0</v>
      </c>
      <c r="AI333" s="0" t="n">
        <v>0</v>
      </c>
      <c r="AK333" s="0" t="n">
        <f aca="false">A333</f>
        <v>316</v>
      </c>
      <c r="AL333" s="0" t="n">
        <v>2</v>
      </c>
      <c r="AM333" s="0" t="n">
        <v>1</v>
      </c>
      <c r="AO333" s="0" t="n">
        <v>316</v>
      </c>
      <c r="AP333" s="0" t="n">
        <v>1</v>
      </c>
      <c r="AQ333" s="0" t="n">
        <v>0.418351647532455</v>
      </c>
      <c r="AR333" s="0" t="n">
        <v>274.918589227797</v>
      </c>
      <c r="AS333" s="0" t="n">
        <v>46</v>
      </c>
      <c r="AT333" s="0" t="n">
        <v>48</v>
      </c>
    </row>
    <row r="334" customFormat="false" ht="12" hidden="false" customHeight="false" outlineLevel="0" collapsed="false">
      <c r="A334" s="0" t="n">
        <v>317</v>
      </c>
      <c r="B334" s="0" t="n">
        <v>0</v>
      </c>
      <c r="C334" s="0" t="n">
        <v>0.701310186724275</v>
      </c>
      <c r="D334" s="0" t="n">
        <v>318.454526335591</v>
      </c>
      <c r="E334" s="0" t="n">
        <v>22</v>
      </c>
      <c r="F334" s="0" t="n">
        <v>24</v>
      </c>
      <c r="G334" s="0" t="n">
        <v>0.5</v>
      </c>
      <c r="H334" s="0" t="n">
        <v>1</v>
      </c>
      <c r="I334" s="0" t="n">
        <v>0</v>
      </c>
      <c r="J334" s="0" t="n">
        <v>336.511301930386</v>
      </c>
      <c r="K334" s="0" t="n">
        <v>0</v>
      </c>
      <c r="L334" s="0" t="n">
        <v>1.88911619526576</v>
      </c>
      <c r="M334" s="0" t="n">
        <v>340.616371508578</v>
      </c>
      <c r="N334" s="0" t="n">
        <v>22.1618451729876</v>
      </c>
      <c r="O334" s="0" t="n">
        <v>317</v>
      </c>
      <c r="P334" s="0" t="n">
        <v>160</v>
      </c>
      <c r="Q334" s="0" t="n">
        <v>157</v>
      </c>
      <c r="R334" s="0" t="n">
        <v>480.435344362175</v>
      </c>
      <c r="S334" s="0" t="n">
        <v>435.223921816761</v>
      </c>
      <c r="T334" s="0" t="n">
        <v>23</v>
      </c>
      <c r="U334" s="0" t="n">
        <v>25</v>
      </c>
      <c r="V334" s="0" t="n">
        <v>20.8884841511884</v>
      </c>
      <c r="W334" s="0" t="n">
        <v>17.4088872371215</v>
      </c>
      <c r="X334" s="0" t="n">
        <v>0</v>
      </c>
      <c r="Y334" s="0" t="n">
        <v>0</v>
      </c>
      <c r="Z334" s="0" t="n">
        <v>0</v>
      </c>
      <c r="AA334" s="0" t="n">
        <v>22.1618451729876</v>
      </c>
      <c r="AB334" s="0" t="n">
        <v>0</v>
      </c>
      <c r="AC334" s="0" t="n">
        <v>0</v>
      </c>
      <c r="AD334" s="0" t="n">
        <v>0</v>
      </c>
      <c r="AE334" s="0" t="n">
        <v>1</v>
      </c>
      <c r="AF334" s="0" t="n">
        <v>0</v>
      </c>
      <c r="AG334" s="0" t="n">
        <v>0</v>
      </c>
      <c r="AH334" s="0" t="n">
        <v>0</v>
      </c>
      <c r="AI334" s="0" t="n">
        <v>208.237725897129</v>
      </c>
      <c r="AK334" s="0" t="n">
        <f aca="false">A334</f>
        <v>317</v>
      </c>
      <c r="AL334" s="0" t="n">
        <v>1</v>
      </c>
      <c r="AM334" s="0" t="n">
        <v>0</v>
      </c>
      <c r="AO334" s="0" t="n">
        <v>317</v>
      </c>
      <c r="AP334" s="0" t="n">
        <v>0</v>
      </c>
      <c r="AQ334" s="0" t="n">
        <v>0.841255744982071</v>
      </c>
      <c r="AR334" s="0" t="n">
        <v>275.759844972779</v>
      </c>
      <c r="AS334" s="0" t="n">
        <v>46</v>
      </c>
      <c r="AT334" s="0" t="n">
        <v>46</v>
      </c>
    </row>
    <row r="335" customFormat="false" ht="12" hidden="false" customHeight="false" outlineLevel="0" collapsed="false">
      <c r="A335" s="0" t="n">
        <v>318</v>
      </c>
      <c r="B335" s="0" t="n">
        <v>0</v>
      </c>
      <c r="C335" s="0" t="n">
        <v>0.039080444700256</v>
      </c>
      <c r="D335" s="0" t="n">
        <v>318.493606780291</v>
      </c>
      <c r="E335" s="0" t="n">
        <v>22</v>
      </c>
      <c r="F335" s="0" t="n">
        <v>24</v>
      </c>
      <c r="G335" s="0" t="n">
        <v>0.5</v>
      </c>
      <c r="H335" s="0" t="n">
        <v>0</v>
      </c>
      <c r="I335" s="0" t="n">
        <v>1.9206659890897</v>
      </c>
      <c r="J335" s="0" t="n">
        <v>338.431967919476</v>
      </c>
      <c r="K335" s="0" t="n">
        <v>19.938361139185</v>
      </c>
      <c r="L335" s="0" t="n">
        <v>0</v>
      </c>
      <c r="M335" s="0" t="n">
        <v>340.616371508578</v>
      </c>
      <c r="N335" s="0" t="n">
        <v>0</v>
      </c>
      <c r="O335" s="0" t="n">
        <v>318</v>
      </c>
      <c r="P335" s="0" t="n">
        <v>161</v>
      </c>
      <c r="Q335" s="0" t="n">
        <v>157</v>
      </c>
      <c r="R335" s="0" t="n">
        <v>494.128363437872</v>
      </c>
      <c r="S335" s="0" t="n">
        <v>428.419446794291</v>
      </c>
      <c r="T335" s="0" t="n">
        <v>27</v>
      </c>
      <c r="U335" s="0" t="n">
        <v>21</v>
      </c>
      <c r="V335" s="0" t="n">
        <v>18.3010437195346</v>
      </c>
      <c r="W335" s="0" t="n">
        <v>20.4008288910192</v>
      </c>
      <c r="X335" s="0" t="n">
        <v>0</v>
      </c>
      <c r="Y335" s="0" t="n">
        <v>19.938361139185</v>
      </c>
      <c r="Z335" s="0" t="n">
        <v>0</v>
      </c>
      <c r="AA335" s="0" t="n">
        <v>0</v>
      </c>
      <c r="AB335" s="0" t="n">
        <v>0</v>
      </c>
      <c r="AC335" s="0" t="n">
        <v>1</v>
      </c>
      <c r="AD335" s="0" t="n">
        <v>0</v>
      </c>
      <c r="AE335" s="0" t="n">
        <v>0</v>
      </c>
      <c r="AF335" s="0" t="n">
        <v>0</v>
      </c>
      <c r="AG335" s="0" t="n">
        <v>136.415487797816</v>
      </c>
      <c r="AH335" s="0" t="n">
        <v>0</v>
      </c>
      <c r="AI335" s="0" t="n">
        <v>0</v>
      </c>
      <c r="AK335" s="0" t="n">
        <f aca="false">A335</f>
        <v>318</v>
      </c>
      <c r="AL335" s="0" t="n">
        <v>1</v>
      </c>
      <c r="AM335" s="0" t="n">
        <v>1</v>
      </c>
      <c r="AO335" s="0" t="n">
        <v>318</v>
      </c>
      <c r="AP335" s="0" t="n">
        <v>1</v>
      </c>
      <c r="AQ335" s="0" t="n">
        <v>1.07040000388796</v>
      </c>
      <c r="AR335" s="0" t="n">
        <v>276.830244976667</v>
      </c>
      <c r="AS335" s="0" t="n">
        <v>48</v>
      </c>
      <c r="AT335" s="0" t="n">
        <v>46</v>
      </c>
    </row>
    <row r="336" customFormat="false" ht="12" hidden="false" customHeight="false" outlineLevel="0" collapsed="false">
      <c r="A336" s="0" t="n">
        <v>319</v>
      </c>
      <c r="B336" s="0" t="n">
        <v>0</v>
      </c>
      <c r="C336" s="0" t="n">
        <v>0.265151543436913</v>
      </c>
      <c r="D336" s="0" t="n">
        <v>318.758758323728</v>
      </c>
      <c r="E336" s="0" t="n">
        <v>22</v>
      </c>
      <c r="F336" s="0" t="n">
        <v>24</v>
      </c>
      <c r="G336" s="0" t="n">
        <v>0.5</v>
      </c>
      <c r="H336" s="0" t="n">
        <v>1</v>
      </c>
      <c r="I336" s="0" t="n">
        <v>0</v>
      </c>
      <c r="J336" s="0" t="n">
        <v>338.431967919476</v>
      </c>
      <c r="K336" s="0" t="n">
        <v>0</v>
      </c>
      <c r="L336" s="0" t="n">
        <v>2.23849100408499</v>
      </c>
      <c r="M336" s="0" t="n">
        <v>342.854862512663</v>
      </c>
      <c r="N336" s="0" t="n">
        <v>24.0961041889354</v>
      </c>
      <c r="O336" s="0" t="n">
        <v>319</v>
      </c>
      <c r="P336" s="0" t="n">
        <v>161</v>
      </c>
      <c r="Q336" s="0" t="n">
        <v>158</v>
      </c>
      <c r="R336" s="0" t="n">
        <v>451.16115010821</v>
      </c>
      <c r="S336" s="0" t="n">
        <v>461.912440587565</v>
      </c>
      <c r="T336" s="0" t="n">
        <v>24</v>
      </c>
      <c r="U336" s="0" t="n">
        <v>24</v>
      </c>
      <c r="V336" s="0" t="n">
        <v>18.7983734218532</v>
      </c>
      <c r="W336" s="0" t="n">
        <v>19.2462714983506</v>
      </c>
      <c r="X336" s="0" t="n">
        <v>0</v>
      </c>
      <c r="Y336" s="0" t="n">
        <v>0</v>
      </c>
      <c r="Z336" s="0" t="n">
        <v>0</v>
      </c>
      <c r="AA336" s="0" t="n">
        <v>24.0961041889354</v>
      </c>
      <c r="AB336" s="0" t="n">
        <v>0</v>
      </c>
      <c r="AC336" s="0" t="n">
        <v>0</v>
      </c>
      <c r="AD336" s="0" t="n">
        <v>0</v>
      </c>
      <c r="AE336" s="0" t="n">
        <v>1</v>
      </c>
      <c r="AF336" s="0" t="n">
        <v>0</v>
      </c>
      <c r="AG336" s="0" t="n">
        <v>0</v>
      </c>
      <c r="AH336" s="0" t="n">
        <v>0</v>
      </c>
      <c r="AI336" s="0" t="n">
        <v>267.803518249882</v>
      </c>
      <c r="AK336" s="0" t="n">
        <f aca="false">A336</f>
        <v>319</v>
      </c>
      <c r="AL336" s="0" t="n">
        <v>1</v>
      </c>
      <c r="AM336" s="0" t="n">
        <v>1</v>
      </c>
      <c r="AO336" s="0" t="n">
        <v>319</v>
      </c>
      <c r="AP336" s="0" t="n">
        <v>1</v>
      </c>
      <c r="AQ336" s="0" t="n">
        <v>0.834976544022877</v>
      </c>
      <c r="AR336" s="0" t="n">
        <v>277.66522152069</v>
      </c>
      <c r="AS336" s="0" t="n">
        <v>48</v>
      </c>
      <c r="AT336" s="0" t="n">
        <v>46</v>
      </c>
    </row>
    <row r="337" customFormat="false" ht="12" hidden="false" customHeight="false" outlineLevel="0" collapsed="false">
      <c r="A337" s="0" t="n">
        <v>320</v>
      </c>
      <c r="B337" s="0" t="n">
        <v>0</v>
      </c>
      <c r="C337" s="0" t="n">
        <v>2.83933340141883</v>
      </c>
      <c r="D337" s="0" t="n">
        <v>321.598091725147</v>
      </c>
      <c r="E337" s="0" t="n">
        <v>20</v>
      </c>
      <c r="F337" s="0" t="n">
        <v>24</v>
      </c>
      <c r="G337" s="0" t="n">
        <v>0.5</v>
      </c>
      <c r="H337" s="0" t="n">
        <v>1</v>
      </c>
      <c r="I337" s="0" t="n">
        <v>0</v>
      </c>
      <c r="J337" s="0" t="n">
        <v>338.431967919476</v>
      </c>
      <c r="K337" s="0" t="n">
        <v>0</v>
      </c>
      <c r="L337" s="0" t="n">
        <v>2.01452008869825</v>
      </c>
      <c r="M337" s="0" t="n">
        <v>344.869382601362</v>
      </c>
      <c r="N337" s="0" t="n">
        <v>23.2712908762149</v>
      </c>
      <c r="O337" s="0" t="n">
        <v>320</v>
      </c>
      <c r="P337" s="0" t="n">
        <v>161</v>
      </c>
      <c r="Q337" s="0" t="n">
        <v>159</v>
      </c>
      <c r="R337" s="0" t="n">
        <v>397.924588569061</v>
      </c>
      <c r="S337" s="0" t="n">
        <v>531.767518294874</v>
      </c>
      <c r="T337" s="0" t="n">
        <v>21</v>
      </c>
      <c r="U337" s="0" t="n">
        <v>27</v>
      </c>
      <c r="V337" s="0" t="n">
        <v>18.948780908631</v>
      </c>
      <c r="W337" s="0" t="n">
        <v>19.6950203256608</v>
      </c>
      <c r="X337" s="0" t="n">
        <v>0</v>
      </c>
      <c r="Y337" s="0" t="n">
        <v>0</v>
      </c>
      <c r="Z337" s="0" t="n">
        <v>0</v>
      </c>
      <c r="AA337" s="0" t="n">
        <v>23.2712908762149</v>
      </c>
      <c r="AB337" s="0" t="n">
        <v>0</v>
      </c>
      <c r="AC337" s="0" t="n">
        <v>0</v>
      </c>
      <c r="AD337" s="0" t="n">
        <v>0</v>
      </c>
      <c r="AE337" s="0" t="n">
        <v>1</v>
      </c>
      <c r="AF337" s="0" t="n">
        <v>0</v>
      </c>
      <c r="AG337" s="0" t="n">
        <v>0</v>
      </c>
      <c r="AH337" s="0" t="n">
        <v>0</v>
      </c>
      <c r="AI337" s="0" t="n">
        <v>241.488184760287</v>
      </c>
      <c r="AK337" s="0" t="n">
        <f aca="false">A337</f>
        <v>320</v>
      </c>
      <c r="AL337" s="0" t="n">
        <v>2</v>
      </c>
      <c r="AM337" s="0" t="n">
        <v>1</v>
      </c>
      <c r="AO337" s="0" t="n">
        <v>320</v>
      </c>
      <c r="AP337" s="0" t="n">
        <v>0</v>
      </c>
      <c r="AQ337" s="0" t="n">
        <v>2.28848940539961</v>
      </c>
      <c r="AR337" s="0" t="n">
        <v>279.953710926089</v>
      </c>
      <c r="AS337" s="0" t="n">
        <v>44</v>
      </c>
      <c r="AT337" s="0" t="n">
        <v>46</v>
      </c>
    </row>
    <row r="338" customFormat="false" ht="12" hidden="false" customHeight="false" outlineLevel="0" collapsed="false">
      <c r="A338" s="0" t="n">
        <v>321</v>
      </c>
      <c r="B338" s="0" t="n">
        <v>1</v>
      </c>
      <c r="C338" s="0" t="n">
        <v>2.63006414919973</v>
      </c>
      <c r="D338" s="0" t="n">
        <v>324.228155874347</v>
      </c>
      <c r="E338" s="0" t="n">
        <v>18</v>
      </c>
      <c r="F338" s="0" t="n">
        <v>24</v>
      </c>
      <c r="G338" s="0" t="n">
        <v>0.5</v>
      </c>
      <c r="H338" s="0" t="n">
        <v>0</v>
      </c>
      <c r="I338" s="0" t="n">
        <v>1.94439366174572</v>
      </c>
      <c r="J338" s="0" t="n">
        <v>340.376361581222</v>
      </c>
      <c r="K338" s="0" t="n">
        <v>16.1482057068753</v>
      </c>
      <c r="L338" s="0" t="n">
        <v>0</v>
      </c>
      <c r="M338" s="0" t="n">
        <v>344.869382601362</v>
      </c>
      <c r="N338" s="0" t="n">
        <v>0</v>
      </c>
      <c r="O338" s="0" t="n">
        <v>321</v>
      </c>
      <c r="P338" s="0" t="n">
        <v>162</v>
      </c>
      <c r="Q338" s="0" t="n">
        <v>159</v>
      </c>
      <c r="R338" s="0" t="n">
        <v>496.524907385687</v>
      </c>
      <c r="S338" s="0" t="n">
        <v>441.705364698613</v>
      </c>
      <c r="T338" s="0" t="n">
        <v>25</v>
      </c>
      <c r="U338" s="0" t="n">
        <v>23</v>
      </c>
      <c r="V338" s="0" t="n">
        <v>19.8609883510321</v>
      </c>
      <c r="W338" s="0" t="n">
        <v>19.2044975760372</v>
      </c>
      <c r="X338" s="0" t="n">
        <v>16.1482057068753</v>
      </c>
      <c r="Y338" s="0" t="n">
        <v>0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  <c r="AF338" s="0" t="n">
        <v>76.0496591001629</v>
      </c>
      <c r="AG338" s="0" t="n">
        <v>0</v>
      </c>
      <c r="AH338" s="0" t="n">
        <v>0</v>
      </c>
      <c r="AI338" s="0" t="n">
        <v>0</v>
      </c>
      <c r="AK338" s="0" t="n">
        <f aca="false">A338</f>
        <v>321</v>
      </c>
      <c r="AL338" s="0" t="n">
        <v>3</v>
      </c>
      <c r="AM338" s="0" t="n">
        <v>2</v>
      </c>
      <c r="AO338" s="0" t="n">
        <v>321</v>
      </c>
      <c r="AP338" s="0" t="n">
        <v>1</v>
      </c>
      <c r="AQ338" s="0" t="n">
        <v>0.398774762788061</v>
      </c>
      <c r="AR338" s="0" t="n">
        <v>280.352485688877</v>
      </c>
      <c r="AS338" s="0" t="n">
        <v>44</v>
      </c>
      <c r="AT338" s="0" t="n">
        <v>48</v>
      </c>
    </row>
    <row r="339" customFormat="false" ht="12" hidden="false" customHeight="false" outlineLevel="0" collapsed="false">
      <c r="A339" s="0" t="n">
        <v>322</v>
      </c>
      <c r="B339" s="0" t="n">
        <v>0</v>
      </c>
      <c r="C339" s="0" t="n">
        <v>0.659021705854563</v>
      </c>
      <c r="D339" s="0" t="n">
        <v>324.887177580201</v>
      </c>
      <c r="E339" s="0" t="n">
        <v>18</v>
      </c>
      <c r="F339" s="0" t="n">
        <v>22</v>
      </c>
      <c r="G339" s="0" t="n">
        <v>0.5</v>
      </c>
      <c r="H339" s="0" t="n">
        <v>1</v>
      </c>
      <c r="I339" s="0" t="n">
        <v>0</v>
      </c>
      <c r="J339" s="0" t="n">
        <v>340.376361581222</v>
      </c>
      <c r="K339" s="0" t="n">
        <v>0</v>
      </c>
      <c r="L339" s="0" t="n">
        <v>1.77257199646352</v>
      </c>
      <c r="M339" s="0" t="n">
        <v>346.641954597825</v>
      </c>
      <c r="N339" s="0" t="n">
        <v>21.7547770176241</v>
      </c>
      <c r="O339" s="0" t="n">
        <v>322</v>
      </c>
      <c r="P339" s="0" t="n">
        <v>162</v>
      </c>
      <c r="Q339" s="0" t="n">
        <v>160</v>
      </c>
      <c r="R339" s="0" t="n">
        <v>477.433477602304</v>
      </c>
      <c r="S339" s="0" t="n">
        <v>451.020173489099</v>
      </c>
      <c r="T339" s="0" t="n">
        <v>24</v>
      </c>
      <c r="U339" s="0" t="n">
        <v>24</v>
      </c>
      <c r="V339" s="0" t="n">
        <v>19.8930532779905</v>
      </c>
      <c r="W339" s="0" t="n">
        <v>18.7924289269253</v>
      </c>
      <c r="X339" s="0" t="n">
        <v>0</v>
      </c>
      <c r="Y339" s="0" t="n">
        <v>0</v>
      </c>
      <c r="Z339" s="0" t="n">
        <v>0</v>
      </c>
      <c r="AA339" s="0" t="n">
        <v>21.7547770176241</v>
      </c>
      <c r="AB339" s="0" t="n">
        <v>0</v>
      </c>
      <c r="AC339" s="0" t="n">
        <v>0</v>
      </c>
      <c r="AD339" s="0" t="n">
        <v>0</v>
      </c>
      <c r="AE339" s="0" t="n">
        <v>1</v>
      </c>
      <c r="AF339" s="0" t="n">
        <v>0</v>
      </c>
      <c r="AG339" s="0" t="n">
        <v>0</v>
      </c>
      <c r="AH339" s="0" t="n">
        <v>0</v>
      </c>
      <c r="AI339" s="0" t="n">
        <v>196.655081605371</v>
      </c>
      <c r="AK339" s="0" t="n">
        <f aca="false">A339</f>
        <v>322</v>
      </c>
      <c r="AL339" s="0" t="n">
        <v>2</v>
      </c>
      <c r="AM339" s="0" t="n">
        <v>1</v>
      </c>
      <c r="AO339" s="0" t="n">
        <v>322</v>
      </c>
      <c r="AP339" s="0" t="n">
        <v>0</v>
      </c>
      <c r="AQ339" s="0" t="n">
        <v>0.184626152768418</v>
      </c>
      <c r="AR339" s="0" t="n">
        <v>280.537111841646</v>
      </c>
      <c r="AS339" s="0" t="n">
        <v>46</v>
      </c>
      <c r="AT339" s="0" t="n">
        <v>48</v>
      </c>
    </row>
    <row r="340" customFormat="false" ht="12" hidden="false" customHeight="false" outlineLevel="0" collapsed="false">
      <c r="A340" s="0" t="n">
        <v>323</v>
      </c>
      <c r="B340" s="0" t="n">
        <v>0</v>
      </c>
      <c r="C340" s="0" t="n">
        <v>0.0778544452281707</v>
      </c>
      <c r="D340" s="0" t="n">
        <v>324.965032025429</v>
      </c>
      <c r="E340" s="0" t="n">
        <v>18</v>
      </c>
      <c r="F340" s="0" t="n">
        <v>24</v>
      </c>
      <c r="G340" s="0" t="n">
        <v>0.5</v>
      </c>
      <c r="H340" s="0" t="n">
        <v>0</v>
      </c>
      <c r="I340" s="0" t="n">
        <v>2.0360089159952</v>
      </c>
      <c r="J340" s="0" t="n">
        <v>342.412370497217</v>
      </c>
      <c r="K340" s="0" t="n">
        <v>17.4473384717877</v>
      </c>
      <c r="L340" s="0" t="n">
        <v>0</v>
      </c>
      <c r="M340" s="0" t="n">
        <v>346.641954597825</v>
      </c>
      <c r="N340" s="0" t="n">
        <v>0</v>
      </c>
      <c r="O340" s="0" t="n">
        <v>323</v>
      </c>
      <c r="P340" s="0" t="n">
        <v>163</v>
      </c>
      <c r="Q340" s="0" t="n">
        <v>160</v>
      </c>
      <c r="R340" s="0" t="n">
        <v>494.965353713789</v>
      </c>
      <c r="S340" s="0" t="n">
        <v>423.129431291783</v>
      </c>
      <c r="T340" s="0" t="n">
        <v>24</v>
      </c>
      <c r="U340" s="0" t="n">
        <v>24</v>
      </c>
      <c r="V340" s="0" t="n">
        <v>20.6235478115963</v>
      </c>
      <c r="W340" s="0" t="n">
        <v>17.6303195108263</v>
      </c>
      <c r="X340" s="0" t="n">
        <v>0</v>
      </c>
      <c r="Y340" s="0" t="n">
        <v>17.4473384717877</v>
      </c>
      <c r="Z340" s="0" t="n">
        <v>0</v>
      </c>
      <c r="AA340" s="0" t="n">
        <v>0</v>
      </c>
      <c r="AB340" s="0" t="n">
        <v>0</v>
      </c>
      <c r="AC340" s="0" t="n">
        <v>1</v>
      </c>
      <c r="AD340" s="0" t="n">
        <v>0</v>
      </c>
      <c r="AE340" s="0" t="n">
        <v>0</v>
      </c>
      <c r="AF340" s="0" t="n">
        <v>0</v>
      </c>
      <c r="AG340" s="0" t="n">
        <v>84.4318664181383</v>
      </c>
      <c r="AH340" s="0" t="n">
        <v>0</v>
      </c>
      <c r="AI340" s="0" t="n">
        <v>0</v>
      </c>
      <c r="AK340" s="0" t="n">
        <f aca="false">A340</f>
        <v>323</v>
      </c>
      <c r="AL340" s="0" t="n">
        <v>3</v>
      </c>
      <c r="AM340" s="0" t="n">
        <v>2</v>
      </c>
      <c r="AO340" s="0" t="n">
        <v>323</v>
      </c>
      <c r="AP340" s="0" t="n">
        <v>0</v>
      </c>
      <c r="AQ340" s="0" t="n">
        <v>0.504448206243759</v>
      </c>
      <c r="AR340" s="0" t="n">
        <v>281.04156004789</v>
      </c>
      <c r="AS340" s="0" t="n">
        <v>46</v>
      </c>
      <c r="AT340" s="0" t="n">
        <v>50</v>
      </c>
    </row>
    <row r="341" customFormat="false" ht="12" hidden="false" customHeight="false" outlineLevel="0" collapsed="false">
      <c r="A341" s="0" t="n">
        <v>324</v>
      </c>
      <c r="B341" s="0" t="n">
        <v>0</v>
      </c>
      <c r="C341" s="0" t="n">
        <v>1.66186857531479</v>
      </c>
      <c r="D341" s="0" t="n">
        <v>326.626900600744</v>
      </c>
      <c r="E341" s="0" t="n">
        <v>18</v>
      </c>
      <c r="F341" s="0" t="n">
        <v>22</v>
      </c>
      <c r="G341" s="0" t="n">
        <v>0.5</v>
      </c>
      <c r="H341" s="0" t="n">
        <v>0</v>
      </c>
      <c r="I341" s="0" t="n">
        <v>2.14473448839638</v>
      </c>
      <c r="J341" s="0" t="n">
        <v>344.557104985613</v>
      </c>
      <c r="K341" s="0" t="n">
        <v>17.9302043848693</v>
      </c>
      <c r="L341" s="0" t="n">
        <v>0</v>
      </c>
      <c r="M341" s="0" t="n">
        <v>346.641954597825</v>
      </c>
      <c r="N341" s="0" t="n">
        <v>0</v>
      </c>
      <c r="O341" s="0" t="n">
        <v>324</v>
      </c>
      <c r="P341" s="0" t="n">
        <v>164</v>
      </c>
      <c r="Q341" s="0" t="n">
        <v>160</v>
      </c>
      <c r="R341" s="0" t="n">
        <v>501.91750323572</v>
      </c>
      <c r="S341" s="0" t="n">
        <v>413.610052547658</v>
      </c>
      <c r="T341" s="0" t="n">
        <v>27</v>
      </c>
      <c r="U341" s="0" t="n">
        <v>21</v>
      </c>
      <c r="V341" s="0" t="n">
        <v>18.5895302718673</v>
      </c>
      <c r="W341" s="0" t="n">
        <v>19.6956229993028</v>
      </c>
      <c r="X341" s="0" t="n">
        <v>0</v>
      </c>
      <c r="Y341" s="0" t="n">
        <v>17.9302043848693</v>
      </c>
      <c r="Z341" s="0" t="n">
        <v>0</v>
      </c>
      <c r="AA341" s="0" t="n">
        <v>0</v>
      </c>
      <c r="AB341" s="0" t="n">
        <v>0</v>
      </c>
      <c r="AC341" s="0" t="n">
        <v>1</v>
      </c>
      <c r="AD341" s="0" t="n">
        <v>0</v>
      </c>
      <c r="AE341" s="0" t="n">
        <v>0</v>
      </c>
      <c r="AF341" s="0" t="n">
        <v>0</v>
      </c>
      <c r="AG341" s="0" t="n">
        <v>93.5388280053767</v>
      </c>
      <c r="AH341" s="0" t="n">
        <v>0</v>
      </c>
      <c r="AI341" s="0" t="n">
        <v>0</v>
      </c>
      <c r="AK341" s="0" t="n">
        <f aca="false">A341</f>
        <v>324</v>
      </c>
      <c r="AL341" s="0" t="n">
        <v>2</v>
      </c>
      <c r="AM341" s="0" t="n">
        <v>3</v>
      </c>
      <c r="AO341" s="0" t="n">
        <v>324</v>
      </c>
      <c r="AP341" s="0" t="n">
        <v>0</v>
      </c>
      <c r="AQ341" s="0" t="n">
        <v>0.251227407764149</v>
      </c>
      <c r="AR341" s="0" t="n">
        <v>281.292787455654</v>
      </c>
      <c r="AS341" s="0" t="n">
        <v>46</v>
      </c>
      <c r="AT341" s="0" t="n">
        <v>52</v>
      </c>
    </row>
    <row r="342" customFormat="false" ht="12" hidden="false" customHeight="false" outlineLevel="0" collapsed="false">
      <c r="A342" s="0" t="n">
        <v>325</v>
      </c>
      <c r="B342" s="0" t="n">
        <v>1</v>
      </c>
      <c r="C342" s="0" t="n">
        <v>2.3408681954459</v>
      </c>
      <c r="D342" s="0" t="n">
        <v>328.96776879619</v>
      </c>
      <c r="E342" s="0" t="n">
        <v>18</v>
      </c>
      <c r="F342" s="0" t="n">
        <v>20</v>
      </c>
      <c r="G342" s="0" t="n">
        <v>0.5</v>
      </c>
      <c r="H342" s="0" t="n">
        <v>0</v>
      </c>
      <c r="I342" s="0" t="n">
        <v>1.98483093754132</v>
      </c>
      <c r="J342" s="0" t="n">
        <v>346.541935923155</v>
      </c>
      <c r="K342" s="0" t="n">
        <v>17.5741671269647</v>
      </c>
      <c r="L342" s="0" t="n">
        <v>0</v>
      </c>
      <c r="M342" s="0" t="n">
        <v>346.641954597825</v>
      </c>
      <c r="N342" s="0" t="n">
        <v>0</v>
      </c>
      <c r="O342" s="0" t="n">
        <v>325</v>
      </c>
      <c r="P342" s="0" t="n">
        <v>165</v>
      </c>
      <c r="Q342" s="0" t="n">
        <v>160</v>
      </c>
      <c r="R342" s="0" t="n">
        <v>403.023872916839</v>
      </c>
      <c r="S342" s="0" t="n">
        <v>524.691990080022</v>
      </c>
      <c r="T342" s="0" t="n">
        <v>22</v>
      </c>
      <c r="U342" s="0" t="n">
        <v>26</v>
      </c>
      <c r="V342" s="0" t="n">
        <v>18.3192586238297</v>
      </c>
      <c r="W342" s="0" t="n">
        <v>20.1803835400641</v>
      </c>
      <c r="X342" s="0" t="n">
        <v>17.5741671269647</v>
      </c>
      <c r="Y342" s="0" t="n">
        <v>0</v>
      </c>
      <c r="Z342" s="0" t="n">
        <v>0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  <c r="AF342" s="0" t="n">
        <v>102.953633344549</v>
      </c>
      <c r="AG342" s="0" t="n">
        <v>0</v>
      </c>
      <c r="AH342" s="0" t="n">
        <v>0</v>
      </c>
      <c r="AI342" s="0" t="n">
        <v>0</v>
      </c>
      <c r="AK342" s="0" t="n">
        <f aca="false">A342</f>
        <v>325</v>
      </c>
      <c r="AL342" s="0" t="n">
        <v>1</v>
      </c>
      <c r="AM342" s="0" t="n">
        <v>4</v>
      </c>
      <c r="AO342" s="0" t="n">
        <v>325</v>
      </c>
      <c r="AP342" s="0" t="n">
        <v>0</v>
      </c>
      <c r="AQ342" s="0" t="n">
        <v>3.36314316606337</v>
      </c>
      <c r="AR342" s="0" t="n">
        <v>284.655930621717</v>
      </c>
      <c r="AS342" s="0" t="n">
        <v>42</v>
      </c>
      <c r="AT342" s="0" t="n">
        <v>50</v>
      </c>
    </row>
    <row r="343" customFormat="false" ht="12" hidden="false" customHeight="false" outlineLevel="0" collapsed="false">
      <c r="A343" s="0" t="n">
        <v>326</v>
      </c>
      <c r="B343" s="0" t="n">
        <v>0</v>
      </c>
      <c r="C343" s="0" t="n">
        <v>0.272883734786785</v>
      </c>
      <c r="D343" s="0" t="n">
        <v>329.240652530977</v>
      </c>
      <c r="E343" s="0" t="n">
        <v>20</v>
      </c>
      <c r="F343" s="0" t="n">
        <v>20</v>
      </c>
      <c r="G343" s="0" t="n">
        <v>0.5</v>
      </c>
      <c r="H343" s="0" t="n">
        <v>0</v>
      </c>
      <c r="I343" s="0" t="n">
        <v>2.04916233456958</v>
      </c>
      <c r="J343" s="0" t="n">
        <v>348.591098257724</v>
      </c>
      <c r="K343" s="0" t="n">
        <v>19.3504457267475</v>
      </c>
      <c r="L343" s="0" t="n">
        <v>0</v>
      </c>
      <c r="M343" s="0" t="n">
        <v>346.641954597825</v>
      </c>
      <c r="N343" s="0" t="n">
        <v>0</v>
      </c>
      <c r="O343" s="0" t="n">
        <v>326</v>
      </c>
      <c r="P343" s="0" t="n">
        <v>166</v>
      </c>
      <c r="Q343" s="0" t="n">
        <v>160</v>
      </c>
      <c r="R343" s="0" t="n">
        <v>450.476782264212</v>
      </c>
      <c r="S343" s="0" t="n">
        <v>488.957752101445</v>
      </c>
      <c r="T343" s="0" t="n">
        <v>22</v>
      </c>
      <c r="U343" s="0" t="n">
        <v>26</v>
      </c>
      <c r="V343" s="0" t="n">
        <v>20.4762080682787</v>
      </c>
      <c r="W343" s="0" t="n">
        <v>18.8059950577669</v>
      </c>
      <c r="X343" s="0" t="n">
        <v>0</v>
      </c>
      <c r="Y343" s="0" t="n">
        <v>19.3504457267475</v>
      </c>
      <c r="Z343" s="0" t="n">
        <v>0</v>
      </c>
      <c r="AA343" s="0" t="n">
        <v>0</v>
      </c>
      <c r="AB343" s="0" t="n">
        <v>0</v>
      </c>
      <c r="AC343" s="0" t="n">
        <v>1</v>
      </c>
      <c r="AD343" s="0" t="n">
        <v>0</v>
      </c>
      <c r="AE343" s="0" t="n">
        <v>0</v>
      </c>
      <c r="AF343" s="0" t="n">
        <v>0</v>
      </c>
      <c r="AG343" s="0" t="n">
        <v>123.027776227109</v>
      </c>
      <c r="AH343" s="0" t="n">
        <v>0</v>
      </c>
      <c r="AI343" s="0" t="n">
        <v>0</v>
      </c>
      <c r="AK343" s="0" t="n">
        <f aca="false">A343</f>
        <v>326</v>
      </c>
      <c r="AL343" s="0" t="n">
        <v>0</v>
      </c>
      <c r="AM343" s="0" t="n">
        <v>3</v>
      </c>
      <c r="AO343" s="0" t="n">
        <v>326</v>
      </c>
      <c r="AP343" s="0" t="n">
        <v>1</v>
      </c>
      <c r="AQ343" s="0" t="n">
        <v>1.47895367262586</v>
      </c>
      <c r="AR343" s="0" t="n">
        <v>286.134884294343</v>
      </c>
      <c r="AS343" s="0" t="n">
        <v>42</v>
      </c>
      <c r="AT343" s="0" t="n">
        <v>48</v>
      </c>
    </row>
    <row r="344" customFormat="false" ht="12" hidden="false" customHeight="false" outlineLevel="0" collapsed="false">
      <c r="A344" s="0" t="n">
        <v>327</v>
      </c>
      <c r="B344" s="0" t="n">
        <v>1</v>
      </c>
      <c r="C344" s="0" t="n">
        <v>0.069972336025689</v>
      </c>
      <c r="D344" s="0" t="n">
        <v>329.310624867002</v>
      </c>
      <c r="E344" s="0" t="n">
        <v>22</v>
      </c>
      <c r="F344" s="0" t="n">
        <v>20</v>
      </c>
      <c r="G344" s="0" t="n">
        <v>0.5</v>
      </c>
      <c r="H344" s="0" t="n">
        <v>1</v>
      </c>
      <c r="I344" s="0" t="n">
        <v>0</v>
      </c>
      <c r="J344" s="0" t="n">
        <v>348.591098257724</v>
      </c>
      <c r="K344" s="0" t="n">
        <v>0</v>
      </c>
      <c r="L344" s="0" t="n">
        <v>1.96194007099795</v>
      </c>
      <c r="M344" s="0" t="n">
        <v>348.603894668823</v>
      </c>
      <c r="N344" s="0" t="n">
        <v>19.2932698018208</v>
      </c>
      <c r="O344" s="0" t="n">
        <v>327</v>
      </c>
      <c r="P344" s="0" t="n">
        <v>166</v>
      </c>
      <c r="Q344" s="0" t="n">
        <v>161</v>
      </c>
      <c r="R344" s="0" t="n">
        <v>452.976090675264</v>
      </c>
      <c r="S344" s="0" t="n">
        <v>497.462385293033</v>
      </c>
      <c r="T344" s="0" t="n">
        <v>22</v>
      </c>
      <c r="U344" s="0" t="n">
        <v>26</v>
      </c>
      <c r="V344" s="0" t="n">
        <v>20.5898129444152</v>
      </c>
      <c r="W344" s="0" t="n">
        <v>19.1330950762894</v>
      </c>
      <c r="X344" s="0" t="n">
        <v>0</v>
      </c>
      <c r="Y344" s="0" t="n">
        <v>0</v>
      </c>
      <c r="Z344" s="0" t="n">
        <v>19.2932698018208</v>
      </c>
      <c r="AA344" s="0" t="n">
        <v>0</v>
      </c>
      <c r="AB344" s="0" t="n">
        <v>0</v>
      </c>
      <c r="AC344" s="0" t="n">
        <v>0</v>
      </c>
      <c r="AD344" s="0" t="n">
        <v>1</v>
      </c>
      <c r="AE344" s="0" t="n">
        <v>0</v>
      </c>
      <c r="AF344" s="0" t="n">
        <v>0</v>
      </c>
      <c r="AG344" s="0" t="n">
        <v>0</v>
      </c>
      <c r="AH344" s="0" t="n">
        <v>132.880178962294</v>
      </c>
      <c r="AI344" s="0" t="n">
        <v>0</v>
      </c>
      <c r="AK344" s="0" t="n">
        <f aca="false">A344</f>
        <v>327</v>
      </c>
      <c r="AL344" s="0" t="n">
        <v>1</v>
      </c>
      <c r="AM344" s="0" t="n">
        <v>2</v>
      </c>
      <c r="AO344" s="0" t="n">
        <v>327</v>
      </c>
      <c r="AP344" s="0" t="n">
        <v>1</v>
      </c>
      <c r="AQ344" s="0" t="n">
        <v>0.832752121676372</v>
      </c>
      <c r="AR344" s="0" t="n">
        <v>286.967636416019</v>
      </c>
      <c r="AS344" s="0" t="n">
        <v>44</v>
      </c>
      <c r="AT344" s="0" t="n">
        <v>48</v>
      </c>
    </row>
    <row r="345" customFormat="false" ht="12" hidden="false" customHeight="false" outlineLevel="0" collapsed="false">
      <c r="A345" s="0" t="n">
        <v>328</v>
      </c>
      <c r="B345" s="0" t="n">
        <v>1</v>
      </c>
      <c r="C345" s="0" t="n">
        <v>1.84731230693874</v>
      </c>
      <c r="D345" s="0" t="n">
        <v>331.157937173941</v>
      </c>
      <c r="E345" s="0" t="n">
        <v>20</v>
      </c>
      <c r="F345" s="0" t="n">
        <v>20</v>
      </c>
      <c r="G345" s="0" t="n">
        <v>0.5</v>
      </c>
      <c r="H345" s="0" t="n">
        <v>1</v>
      </c>
      <c r="I345" s="0" t="n">
        <v>0</v>
      </c>
      <c r="J345" s="0" t="n">
        <v>348.591098257724</v>
      </c>
      <c r="K345" s="0" t="n">
        <v>0</v>
      </c>
      <c r="L345" s="0" t="n">
        <v>2.12162939961068</v>
      </c>
      <c r="M345" s="0" t="n">
        <v>350.725524068434</v>
      </c>
      <c r="N345" s="0" t="n">
        <v>19.5675868944927</v>
      </c>
      <c r="O345" s="0" t="n">
        <v>328</v>
      </c>
      <c r="P345" s="0" t="n">
        <v>166</v>
      </c>
      <c r="Q345" s="0" t="n">
        <v>162</v>
      </c>
      <c r="R345" s="0" t="n">
        <v>343.037843762246</v>
      </c>
      <c r="S345" s="0" t="n">
        <v>593.604595380318</v>
      </c>
      <c r="T345" s="0" t="n">
        <v>19</v>
      </c>
      <c r="U345" s="0" t="n">
        <v>29</v>
      </c>
      <c r="V345" s="0" t="n">
        <v>18.0546138534793</v>
      </c>
      <c r="W345" s="0" t="n">
        <v>20.4690533956889</v>
      </c>
      <c r="X345" s="0" t="n">
        <v>0</v>
      </c>
      <c r="Y345" s="0" t="n">
        <v>0</v>
      </c>
      <c r="Z345" s="0" t="n">
        <v>19.5675868944927</v>
      </c>
      <c r="AA345" s="0" t="n">
        <v>0</v>
      </c>
      <c r="AB345" s="0" t="n">
        <v>0</v>
      </c>
      <c r="AC345" s="0" t="n">
        <v>0</v>
      </c>
      <c r="AD345" s="0" t="n">
        <v>1</v>
      </c>
      <c r="AE345" s="0" t="n">
        <v>0</v>
      </c>
      <c r="AF345" s="0" t="n">
        <v>0</v>
      </c>
      <c r="AG345" s="0" t="n">
        <v>0</v>
      </c>
      <c r="AH345" s="0" t="n">
        <v>139.279736171292</v>
      </c>
      <c r="AI345" s="0" t="n">
        <v>0</v>
      </c>
      <c r="AK345" s="0" t="n">
        <f aca="false">A345</f>
        <v>328</v>
      </c>
      <c r="AL345" s="0" t="n">
        <v>0</v>
      </c>
      <c r="AM345" s="0" t="n">
        <v>1</v>
      </c>
      <c r="AO345" s="0" t="n">
        <v>328</v>
      </c>
      <c r="AP345" s="0" t="n">
        <v>1</v>
      </c>
      <c r="AQ345" s="0" t="n">
        <v>1.09635980192247</v>
      </c>
      <c r="AR345" s="0" t="n">
        <v>288.063996217942</v>
      </c>
      <c r="AS345" s="0" t="n">
        <v>44</v>
      </c>
      <c r="AT345" s="0" t="n">
        <v>46</v>
      </c>
    </row>
    <row r="346" customFormat="false" ht="12" hidden="false" customHeight="false" outlineLevel="0" collapsed="false">
      <c r="A346" s="0" t="n">
        <v>329</v>
      </c>
      <c r="B346" s="0" t="n">
        <v>1</v>
      </c>
      <c r="C346" s="0" t="n">
        <v>0.897526589701719</v>
      </c>
      <c r="D346" s="0" t="n">
        <v>332.055463763643</v>
      </c>
      <c r="E346" s="0" t="n">
        <v>20</v>
      </c>
      <c r="F346" s="0" t="n">
        <v>22</v>
      </c>
      <c r="G346" s="0" t="n">
        <v>0.5</v>
      </c>
      <c r="H346" s="0" t="n">
        <v>0</v>
      </c>
      <c r="I346" s="0" t="n">
        <v>2.09841232963313</v>
      </c>
      <c r="J346" s="0" t="n">
        <v>350.689510587357</v>
      </c>
      <c r="K346" s="0" t="n">
        <v>18.6340468237145</v>
      </c>
      <c r="L346" s="0" t="n">
        <v>0</v>
      </c>
      <c r="M346" s="0" t="n">
        <v>350.725524068434</v>
      </c>
      <c r="N346" s="0" t="n">
        <v>0</v>
      </c>
      <c r="O346" s="0" t="n">
        <v>329</v>
      </c>
      <c r="P346" s="0" t="n">
        <v>167</v>
      </c>
      <c r="Q346" s="0" t="n">
        <v>162</v>
      </c>
      <c r="R346" s="0" t="n">
        <v>570.264238365582</v>
      </c>
      <c r="S346" s="0" t="n">
        <v>369.170468532956</v>
      </c>
      <c r="T346" s="0" t="n">
        <v>26</v>
      </c>
      <c r="U346" s="0" t="n">
        <v>22</v>
      </c>
      <c r="V346" s="0" t="n">
        <v>21.9332315012795</v>
      </c>
      <c r="W346" s="0" t="n">
        <v>16.7803995678636</v>
      </c>
      <c r="X346" s="0" t="n">
        <v>18.6340468237145</v>
      </c>
      <c r="Y346" s="0" t="n">
        <v>0</v>
      </c>
      <c r="Z346" s="0" t="n">
        <v>0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  <c r="AF346" s="0" t="n">
        <v>125.585343788546</v>
      </c>
      <c r="AG346" s="0" t="n">
        <v>0</v>
      </c>
      <c r="AH346" s="0" t="n">
        <v>0</v>
      </c>
      <c r="AI346" s="0" t="n">
        <v>0</v>
      </c>
      <c r="AK346" s="0" t="n">
        <f aca="false">A346</f>
        <v>329</v>
      </c>
      <c r="AL346" s="0" t="n">
        <v>1</v>
      </c>
      <c r="AM346" s="0" t="n">
        <v>0</v>
      </c>
      <c r="AO346" s="0" t="n">
        <v>329</v>
      </c>
      <c r="AP346" s="0" t="n">
        <v>1</v>
      </c>
      <c r="AQ346" s="0" t="n">
        <v>0.0530263149583802</v>
      </c>
      <c r="AR346" s="0" t="n">
        <v>288.1170225329</v>
      </c>
      <c r="AS346" s="0" t="n">
        <v>46</v>
      </c>
      <c r="AT346" s="0" t="n">
        <v>46</v>
      </c>
    </row>
    <row r="347" customFormat="false" ht="12" hidden="false" customHeight="false" outlineLevel="0" collapsed="false">
      <c r="A347" s="0" t="n">
        <v>330</v>
      </c>
      <c r="B347" s="0" t="n">
        <v>0</v>
      </c>
      <c r="C347" s="0" t="n">
        <v>0.196258373086487</v>
      </c>
      <c r="D347" s="0" t="n">
        <v>332.251722136729</v>
      </c>
      <c r="E347" s="0" t="n">
        <v>22</v>
      </c>
      <c r="F347" s="0" t="n">
        <v>22</v>
      </c>
      <c r="G347" s="0" t="n">
        <v>0.5</v>
      </c>
      <c r="H347" s="0" t="n">
        <v>0</v>
      </c>
      <c r="I347" s="0" t="n">
        <v>2.08419163216673</v>
      </c>
      <c r="J347" s="0" t="n">
        <v>352.773702219524</v>
      </c>
      <c r="K347" s="0" t="n">
        <v>20.5219800827948</v>
      </c>
      <c r="L347" s="0" t="n">
        <v>0</v>
      </c>
      <c r="M347" s="0" t="n">
        <v>350.725524068434</v>
      </c>
      <c r="N347" s="0" t="n">
        <v>0</v>
      </c>
      <c r="O347" s="0" t="n">
        <v>330</v>
      </c>
      <c r="P347" s="0" t="n">
        <v>168</v>
      </c>
      <c r="Q347" s="0" t="n">
        <v>162</v>
      </c>
      <c r="R347" s="0" t="n">
        <v>493.807040808711</v>
      </c>
      <c r="S347" s="0" t="n">
        <v>457.168047365363</v>
      </c>
      <c r="T347" s="0" t="n">
        <v>26</v>
      </c>
      <c r="U347" s="0" t="n">
        <v>22</v>
      </c>
      <c r="V347" s="0" t="n">
        <v>18.9925711878077</v>
      </c>
      <c r="W347" s="0" t="n">
        <v>20.7802713335559</v>
      </c>
      <c r="X347" s="0" t="n">
        <v>0</v>
      </c>
      <c r="Y347" s="0" t="n">
        <v>20.5219800827948</v>
      </c>
      <c r="Z347" s="0" t="n">
        <v>0</v>
      </c>
      <c r="AA347" s="0" t="n">
        <v>0</v>
      </c>
      <c r="AB347" s="0" t="n">
        <v>0</v>
      </c>
      <c r="AC347" s="0" t="n">
        <v>1</v>
      </c>
      <c r="AD347" s="0" t="n">
        <v>0</v>
      </c>
      <c r="AE347" s="0" t="n">
        <v>0</v>
      </c>
      <c r="AF347" s="0" t="n">
        <v>0</v>
      </c>
      <c r="AG347" s="0" t="n">
        <v>150.389092002905</v>
      </c>
      <c r="AH347" s="0" t="n">
        <v>0</v>
      </c>
      <c r="AI347" s="0" t="n">
        <v>0</v>
      </c>
      <c r="AK347" s="0" t="n">
        <f aca="false">A347</f>
        <v>330</v>
      </c>
      <c r="AL347" s="0" t="n">
        <v>0</v>
      </c>
      <c r="AM347" s="0" t="n">
        <v>1</v>
      </c>
      <c r="AO347" s="0" t="n">
        <v>330</v>
      </c>
      <c r="AP347" s="0" t="n">
        <v>0</v>
      </c>
      <c r="AQ347" s="0" t="n">
        <v>0.984454573820482</v>
      </c>
      <c r="AR347" s="0" t="n">
        <v>289.101477106721</v>
      </c>
      <c r="AS347" s="0" t="n">
        <v>48</v>
      </c>
      <c r="AT347" s="0" t="n">
        <v>46</v>
      </c>
    </row>
    <row r="348" customFormat="false" ht="12" hidden="false" customHeight="false" outlineLevel="0" collapsed="false">
      <c r="A348" s="0" t="n">
        <v>331</v>
      </c>
      <c r="B348" s="0" t="n">
        <v>1</v>
      </c>
      <c r="C348" s="0" t="n">
        <v>1.03228549632431</v>
      </c>
      <c r="D348" s="0" t="n">
        <v>333.284007633054</v>
      </c>
      <c r="E348" s="0" t="n">
        <v>22</v>
      </c>
      <c r="F348" s="0" t="n">
        <v>20</v>
      </c>
      <c r="G348" s="0" t="n">
        <v>0.5</v>
      </c>
      <c r="H348" s="0" t="n">
        <v>1</v>
      </c>
      <c r="I348" s="0" t="n">
        <v>0</v>
      </c>
      <c r="J348" s="0" t="n">
        <v>352.773702219524</v>
      </c>
      <c r="K348" s="0" t="n">
        <v>0</v>
      </c>
      <c r="L348" s="0" t="n">
        <v>1.97723168504024</v>
      </c>
      <c r="M348" s="0" t="n">
        <v>352.702755753474</v>
      </c>
      <c r="N348" s="0" t="n">
        <v>19.4187481204204</v>
      </c>
      <c r="O348" s="0" t="n">
        <v>331</v>
      </c>
      <c r="P348" s="0" t="n">
        <v>168</v>
      </c>
      <c r="Q348" s="0" t="n">
        <v>163</v>
      </c>
      <c r="R348" s="0" t="n">
        <v>517.119676554805</v>
      </c>
      <c r="S348" s="0" t="n">
        <v>436.631320096152</v>
      </c>
      <c r="T348" s="0" t="n">
        <v>23</v>
      </c>
      <c r="U348" s="0" t="n">
        <v>25</v>
      </c>
      <c r="V348" s="0" t="n">
        <v>22.48345442262</v>
      </c>
      <c r="W348" s="0" t="n">
        <v>17.4651829431143</v>
      </c>
      <c r="X348" s="0" t="n">
        <v>0</v>
      </c>
      <c r="Y348" s="0" t="n">
        <v>0</v>
      </c>
      <c r="Z348" s="0" t="n">
        <v>19.4187481204204</v>
      </c>
      <c r="AA348" s="0" t="n">
        <v>0</v>
      </c>
      <c r="AB348" s="0" t="n">
        <v>0</v>
      </c>
      <c r="AC348" s="0" t="n">
        <v>0</v>
      </c>
      <c r="AD348" s="0" t="n">
        <v>1</v>
      </c>
      <c r="AE348" s="0" t="n">
        <v>0</v>
      </c>
      <c r="AF348" s="0" t="n">
        <v>0</v>
      </c>
      <c r="AG348" s="0" t="n">
        <v>0</v>
      </c>
      <c r="AH348" s="0" t="n">
        <v>135.788792909181</v>
      </c>
      <c r="AI348" s="0" t="n">
        <v>0</v>
      </c>
      <c r="AK348" s="0" t="n">
        <f aca="false">A348</f>
        <v>331</v>
      </c>
      <c r="AL348" s="0" t="n">
        <v>1</v>
      </c>
      <c r="AM348" s="0" t="n">
        <v>2</v>
      </c>
      <c r="AO348" s="0" t="n">
        <v>331</v>
      </c>
      <c r="AP348" s="0" t="n">
        <v>0</v>
      </c>
      <c r="AQ348" s="0" t="n">
        <v>0.582417616928965</v>
      </c>
      <c r="AR348" s="0" t="n">
        <v>289.68389472365</v>
      </c>
      <c r="AS348" s="0" t="n">
        <v>48</v>
      </c>
      <c r="AT348" s="0" t="n">
        <v>44</v>
      </c>
    </row>
    <row r="349" customFormat="false" ht="12" hidden="false" customHeight="false" outlineLevel="0" collapsed="false">
      <c r="A349" s="0" t="n">
        <v>332</v>
      </c>
      <c r="B349" s="0" t="n">
        <v>1</v>
      </c>
      <c r="C349" s="0" t="n">
        <v>0.423128538216854</v>
      </c>
      <c r="D349" s="0" t="n">
        <v>333.707136171271</v>
      </c>
      <c r="E349" s="0" t="n">
        <v>22</v>
      </c>
      <c r="F349" s="0" t="n">
        <v>22</v>
      </c>
      <c r="G349" s="0" t="n">
        <v>0.5</v>
      </c>
      <c r="H349" s="0" t="n">
        <v>1</v>
      </c>
      <c r="I349" s="0" t="n">
        <v>0</v>
      </c>
      <c r="J349" s="0" t="n">
        <v>352.773702219524</v>
      </c>
      <c r="K349" s="0" t="n">
        <v>0</v>
      </c>
      <c r="L349" s="0" t="n">
        <v>2.23226239561049</v>
      </c>
      <c r="M349" s="0" t="n">
        <v>354.935018149085</v>
      </c>
      <c r="N349" s="0" t="n">
        <v>21.227881977814</v>
      </c>
      <c r="O349" s="0" t="n">
        <v>332</v>
      </c>
      <c r="P349" s="0" t="n">
        <v>168</v>
      </c>
      <c r="Q349" s="0" t="n">
        <v>164</v>
      </c>
      <c r="R349" s="0" t="n">
        <v>460.222255379834</v>
      </c>
      <c r="S349" s="0" t="n">
        <v>484.29954772485</v>
      </c>
      <c r="T349" s="0" t="n">
        <v>21</v>
      </c>
      <c r="U349" s="0" t="n">
        <v>27</v>
      </c>
      <c r="V349" s="0" t="n">
        <v>21.915335058404</v>
      </c>
      <c r="W349" s="0" t="n">
        <v>17.9369538529432</v>
      </c>
      <c r="X349" s="0" t="n">
        <v>0</v>
      </c>
      <c r="Y349" s="0" t="n">
        <v>0</v>
      </c>
      <c r="Z349" s="0" t="n">
        <v>21.227881977814</v>
      </c>
      <c r="AA349" s="0" t="n">
        <v>0</v>
      </c>
      <c r="AB349" s="0" t="n">
        <v>0</v>
      </c>
      <c r="AC349" s="0" t="n">
        <v>0</v>
      </c>
      <c r="AD349" s="0" t="n">
        <v>1</v>
      </c>
      <c r="AE349" s="0" t="n">
        <v>0</v>
      </c>
      <c r="AF349" s="0" t="n">
        <v>0</v>
      </c>
      <c r="AG349" s="0" t="n">
        <v>0</v>
      </c>
      <c r="AH349" s="0" t="n">
        <v>181.224870499988</v>
      </c>
      <c r="AI349" s="0" t="n">
        <v>0</v>
      </c>
      <c r="AK349" s="0" t="n">
        <f aca="false">A349</f>
        <v>332</v>
      </c>
      <c r="AL349" s="0" t="n">
        <v>0</v>
      </c>
      <c r="AM349" s="0" t="n">
        <v>1</v>
      </c>
      <c r="AO349" s="0" t="n">
        <v>332</v>
      </c>
      <c r="AP349" s="0" t="n">
        <v>1</v>
      </c>
      <c r="AQ349" s="0" t="n">
        <v>1.20875532465539</v>
      </c>
      <c r="AR349" s="0" t="n">
        <v>290.892650048305</v>
      </c>
      <c r="AS349" s="0" t="n">
        <v>48</v>
      </c>
      <c r="AT349" s="0" t="n">
        <v>46</v>
      </c>
    </row>
    <row r="350" customFormat="false" ht="12" hidden="false" customHeight="false" outlineLevel="0" collapsed="false">
      <c r="A350" s="0" t="n">
        <v>333</v>
      </c>
      <c r="B350" s="0" t="n">
        <v>1</v>
      </c>
      <c r="C350" s="0" t="n">
        <v>4.5789856398765</v>
      </c>
      <c r="D350" s="0" t="n">
        <v>338.286121811147</v>
      </c>
      <c r="E350" s="0" t="n">
        <v>18</v>
      </c>
      <c r="F350" s="0" t="n">
        <v>20</v>
      </c>
      <c r="G350" s="0" t="n">
        <v>0.5</v>
      </c>
      <c r="H350" s="0" t="n">
        <v>0</v>
      </c>
      <c r="I350" s="0" t="n">
        <v>2.22583951771407</v>
      </c>
      <c r="J350" s="0" t="n">
        <v>354.999541737238</v>
      </c>
      <c r="K350" s="0" t="n">
        <v>16.7134199260911</v>
      </c>
      <c r="L350" s="0" t="n">
        <v>0</v>
      </c>
      <c r="M350" s="0" t="n">
        <v>354.935018149085</v>
      </c>
      <c r="N350" s="0" t="n">
        <v>0</v>
      </c>
      <c r="O350" s="0" t="n">
        <v>333</v>
      </c>
      <c r="P350" s="0" t="n">
        <v>169</v>
      </c>
      <c r="Q350" s="0" t="n">
        <v>164</v>
      </c>
      <c r="R350" s="0" t="n">
        <v>551.466393393892</v>
      </c>
      <c r="S350" s="0" t="n">
        <v>407.928641817041</v>
      </c>
      <c r="T350" s="0" t="n">
        <v>27</v>
      </c>
      <c r="U350" s="0" t="n">
        <v>21</v>
      </c>
      <c r="V350" s="0" t="n">
        <v>20.4246736721169</v>
      </c>
      <c r="W350" s="0" t="n">
        <v>19.4250809194737</v>
      </c>
      <c r="X350" s="0" t="n">
        <v>16.7134199260911</v>
      </c>
      <c r="Y350" s="0" t="n">
        <v>0</v>
      </c>
      <c r="Z350" s="0" t="n">
        <v>0</v>
      </c>
      <c r="AA350" s="0" t="n">
        <v>0</v>
      </c>
      <c r="AB350" s="0" t="n">
        <v>1</v>
      </c>
      <c r="AC350" s="0" t="n">
        <v>0</v>
      </c>
      <c r="AD350" s="0" t="n">
        <v>0</v>
      </c>
      <c r="AE350" s="0" t="n">
        <v>0</v>
      </c>
      <c r="AF350" s="0" t="n">
        <v>86.2271919638573</v>
      </c>
      <c r="AG350" s="0" t="n">
        <v>0</v>
      </c>
      <c r="AH350" s="0" t="n">
        <v>0</v>
      </c>
      <c r="AI350" s="0" t="n">
        <v>0</v>
      </c>
      <c r="AK350" s="0" t="n">
        <f aca="false">A350</f>
        <v>333</v>
      </c>
      <c r="AL350" s="0" t="n">
        <v>1</v>
      </c>
      <c r="AM350" s="0" t="n">
        <v>0</v>
      </c>
      <c r="AO350" s="0" t="n">
        <v>333</v>
      </c>
      <c r="AP350" s="0" t="n">
        <v>1</v>
      </c>
      <c r="AQ350" s="0" t="n">
        <v>0.0425235157526096</v>
      </c>
      <c r="AR350" s="0" t="n">
        <v>290.935173564058</v>
      </c>
      <c r="AS350" s="0" t="n">
        <v>48</v>
      </c>
      <c r="AT350" s="0" t="n">
        <v>48</v>
      </c>
    </row>
    <row r="351" customFormat="false" ht="12" hidden="false" customHeight="false" outlineLevel="0" collapsed="false">
      <c r="A351" s="0" t="n">
        <v>334</v>
      </c>
      <c r="B351" s="0" t="n">
        <v>0</v>
      </c>
      <c r="C351" s="0" t="n">
        <v>1.06913521706206</v>
      </c>
      <c r="D351" s="0" t="n">
        <v>339.355257028209</v>
      </c>
      <c r="E351" s="0" t="n">
        <v>18</v>
      </c>
      <c r="F351" s="0" t="n">
        <v>18</v>
      </c>
      <c r="G351" s="0" t="n">
        <v>0.5</v>
      </c>
      <c r="H351" s="0" t="n">
        <v>0</v>
      </c>
      <c r="I351" s="0" t="n">
        <v>1.84673732148935</v>
      </c>
      <c r="J351" s="0" t="n">
        <v>356.846279058728</v>
      </c>
      <c r="K351" s="0" t="n">
        <v>17.4910220305184</v>
      </c>
      <c r="L351" s="0" t="n">
        <v>0</v>
      </c>
      <c r="M351" s="0" t="n">
        <v>354.935018149085</v>
      </c>
      <c r="N351" s="0" t="n">
        <v>0</v>
      </c>
      <c r="O351" s="0" t="n">
        <v>334</v>
      </c>
      <c r="P351" s="0" t="n">
        <v>170</v>
      </c>
      <c r="Q351" s="0" t="n">
        <v>164</v>
      </c>
      <c r="R351" s="0" t="n">
        <v>444.162277889237</v>
      </c>
      <c r="S351" s="0" t="n">
        <v>497.099698322751</v>
      </c>
      <c r="T351" s="0" t="n">
        <v>27</v>
      </c>
      <c r="U351" s="0" t="n">
        <v>21</v>
      </c>
      <c r="V351" s="0" t="n">
        <v>16.4504486438796</v>
      </c>
      <c r="W351" s="0" t="n">
        <v>23.671301485362</v>
      </c>
      <c r="X351" s="0" t="n">
        <v>0</v>
      </c>
      <c r="Y351" s="0" t="n">
        <v>17.4910220305184</v>
      </c>
      <c r="Z351" s="0" t="n">
        <v>0</v>
      </c>
      <c r="AA351" s="0" t="n">
        <v>0</v>
      </c>
      <c r="AB351" s="0" t="n">
        <v>0</v>
      </c>
      <c r="AC351" s="0" t="n">
        <v>1</v>
      </c>
      <c r="AD351" s="0" t="n">
        <v>0</v>
      </c>
      <c r="AE351" s="0" t="n">
        <v>0</v>
      </c>
      <c r="AF351" s="0" t="n">
        <v>0</v>
      </c>
      <c r="AG351" s="0" t="n">
        <v>85.2365632812328</v>
      </c>
      <c r="AH351" s="0" t="n">
        <v>0</v>
      </c>
      <c r="AI351" s="0" t="n">
        <v>0</v>
      </c>
      <c r="AK351" s="0" t="n">
        <f aca="false">A351</f>
        <v>334</v>
      </c>
      <c r="AL351" s="0" t="n">
        <v>0</v>
      </c>
      <c r="AM351" s="0" t="n">
        <v>0</v>
      </c>
      <c r="AO351" s="0" t="n">
        <v>334</v>
      </c>
      <c r="AP351" s="0" t="n">
        <v>1</v>
      </c>
      <c r="AQ351" s="0" t="n">
        <v>0.188494069791196</v>
      </c>
      <c r="AR351" s="0" t="n">
        <v>291.123667633849</v>
      </c>
      <c r="AS351" s="0" t="n">
        <v>48</v>
      </c>
      <c r="AT351" s="0" t="n">
        <v>48</v>
      </c>
    </row>
    <row r="352" customFormat="false" ht="12" hidden="false" customHeight="false" outlineLevel="0" collapsed="false">
      <c r="A352" s="0" t="n">
        <v>335</v>
      </c>
      <c r="B352" s="0" t="n">
        <v>0</v>
      </c>
      <c r="C352" s="0" t="n">
        <v>2.30636722757656</v>
      </c>
      <c r="D352" s="0" t="n">
        <v>341.661624255786</v>
      </c>
      <c r="E352" s="0" t="n">
        <v>18</v>
      </c>
      <c r="F352" s="0" t="n">
        <v>16</v>
      </c>
      <c r="G352" s="0" t="n">
        <v>0.5</v>
      </c>
      <c r="H352" s="0" t="n">
        <v>1</v>
      </c>
      <c r="I352" s="0" t="n">
        <v>0</v>
      </c>
      <c r="J352" s="0" t="n">
        <v>356.846279058728</v>
      </c>
      <c r="K352" s="0" t="n">
        <v>0</v>
      </c>
      <c r="L352" s="0" t="n">
        <v>1.77584276049258</v>
      </c>
      <c r="M352" s="0" t="n">
        <v>356.710860909577</v>
      </c>
      <c r="N352" s="0" t="n">
        <v>15.0492366537915</v>
      </c>
      <c r="O352" s="0" t="n">
        <v>335</v>
      </c>
      <c r="P352" s="0" t="n">
        <v>170</v>
      </c>
      <c r="Q352" s="0" t="n">
        <v>165</v>
      </c>
      <c r="R352" s="0" t="n">
        <v>522.732690502303</v>
      </c>
      <c r="S352" s="0" t="n">
        <v>410.866910295495</v>
      </c>
      <c r="T352" s="0" t="n">
        <v>26</v>
      </c>
      <c r="U352" s="0" t="n">
        <v>22</v>
      </c>
      <c r="V352" s="0" t="n">
        <v>20.1050957481287</v>
      </c>
      <c r="W352" s="0" t="n">
        <v>18.6756837603236</v>
      </c>
      <c r="X352" s="0" t="n">
        <v>0</v>
      </c>
      <c r="Y352" s="0" t="n">
        <v>0</v>
      </c>
      <c r="Z352" s="0" t="n">
        <v>0</v>
      </c>
      <c r="AA352" s="0" t="n">
        <v>15.0492366537915</v>
      </c>
      <c r="AB352" s="0" t="n">
        <v>0</v>
      </c>
      <c r="AC352" s="0" t="n">
        <v>0</v>
      </c>
      <c r="AD352" s="0" t="n">
        <v>0</v>
      </c>
      <c r="AE352" s="0" t="n">
        <v>1</v>
      </c>
      <c r="AF352" s="0" t="n">
        <v>0</v>
      </c>
      <c r="AG352" s="0" t="n">
        <v>0</v>
      </c>
      <c r="AH352" s="0" t="n">
        <v>0</v>
      </c>
      <c r="AI352" s="0" t="n">
        <v>53.5507221384444</v>
      </c>
      <c r="AK352" s="0" t="n">
        <f aca="false">A352</f>
        <v>335</v>
      </c>
      <c r="AL352" s="0" t="n">
        <v>1</v>
      </c>
      <c r="AM352" s="0" t="n">
        <v>2</v>
      </c>
      <c r="AO352" s="0" t="n">
        <v>335</v>
      </c>
      <c r="AP352" s="0" t="n">
        <v>1</v>
      </c>
      <c r="AQ352" s="0" t="n">
        <v>0.630655821018723</v>
      </c>
      <c r="AR352" s="0" t="n">
        <v>291.754323454868</v>
      </c>
      <c r="AS352" s="0" t="n">
        <v>50</v>
      </c>
      <c r="AT352" s="0" t="n">
        <v>46</v>
      </c>
    </row>
    <row r="353" customFormat="false" ht="12" hidden="false" customHeight="false" outlineLevel="0" collapsed="false">
      <c r="A353" s="0" t="n">
        <v>336</v>
      </c>
      <c r="B353" s="0" t="n">
        <v>0</v>
      </c>
      <c r="C353" s="0" t="n">
        <v>1.34843445422158</v>
      </c>
      <c r="D353" s="0" t="n">
        <v>343.010058710007</v>
      </c>
      <c r="E353" s="0" t="n">
        <v>16</v>
      </c>
      <c r="F353" s="0" t="n">
        <v>16</v>
      </c>
      <c r="G353" s="0" t="n">
        <v>0.5</v>
      </c>
      <c r="H353" s="0" t="n">
        <v>0</v>
      </c>
      <c r="I353" s="0" t="n">
        <v>1.88804908806805</v>
      </c>
      <c r="J353" s="0" t="n">
        <v>358.734328146796</v>
      </c>
      <c r="K353" s="0" t="n">
        <v>15.7242694367882</v>
      </c>
      <c r="L353" s="0" t="n">
        <v>0</v>
      </c>
      <c r="M353" s="0" t="n">
        <v>356.710860909577</v>
      </c>
      <c r="N353" s="0" t="n">
        <v>0</v>
      </c>
      <c r="O353" s="0" t="n">
        <v>336</v>
      </c>
      <c r="P353" s="0" t="n">
        <v>171</v>
      </c>
      <c r="Q353" s="0" t="n">
        <v>165</v>
      </c>
      <c r="R353" s="0" t="n">
        <v>376.47647222522</v>
      </c>
      <c r="S353" s="0" t="n">
        <v>560.653798301961</v>
      </c>
      <c r="T353" s="0" t="n">
        <v>23</v>
      </c>
      <c r="U353" s="0" t="n">
        <v>25</v>
      </c>
      <c r="V353" s="0" t="n">
        <v>16.3685351539073</v>
      </c>
      <c r="W353" s="0" t="n">
        <v>22.4260622278295</v>
      </c>
      <c r="X353" s="0" t="n">
        <v>0</v>
      </c>
      <c r="Y353" s="0" t="n">
        <v>15.7242694367882</v>
      </c>
      <c r="Z353" s="0" t="n">
        <v>0</v>
      </c>
      <c r="AA353" s="0" t="n">
        <v>0</v>
      </c>
      <c r="AB353" s="0" t="n">
        <v>0</v>
      </c>
      <c r="AC353" s="0" t="n">
        <v>1</v>
      </c>
      <c r="AD353" s="0" t="n">
        <v>0</v>
      </c>
      <c r="AE353" s="0" t="n">
        <v>0</v>
      </c>
      <c r="AF353" s="0" t="n">
        <v>0</v>
      </c>
      <c r="AG353" s="0" t="n">
        <v>55.7353684292262</v>
      </c>
      <c r="AH353" s="0" t="n">
        <v>0</v>
      </c>
      <c r="AI353" s="0" t="n">
        <v>0</v>
      </c>
      <c r="AK353" s="0" t="n">
        <f aca="false">A353</f>
        <v>336</v>
      </c>
      <c r="AL353" s="0" t="n">
        <v>0</v>
      </c>
      <c r="AM353" s="0" t="n">
        <v>1</v>
      </c>
      <c r="AO353" s="0" t="n">
        <v>336</v>
      </c>
      <c r="AP353" s="0" t="n">
        <v>0</v>
      </c>
      <c r="AQ353" s="0" t="n">
        <v>2.68252677534298</v>
      </c>
      <c r="AR353" s="0" t="n">
        <v>294.436850230211</v>
      </c>
      <c r="AS353" s="0" t="n">
        <v>48</v>
      </c>
      <c r="AT353" s="0" t="n">
        <v>46</v>
      </c>
    </row>
    <row r="354" customFormat="false" ht="12" hidden="false" customHeight="false" outlineLevel="0" collapsed="false">
      <c r="A354" s="0" t="n">
        <v>337</v>
      </c>
      <c r="B354" s="0" t="n">
        <v>0</v>
      </c>
      <c r="C354" s="0" t="n">
        <v>0.33513792237959</v>
      </c>
      <c r="D354" s="0" t="n">
        <v>343.345196632387</v>
      </c>
      <c r="E354" s="0" t="n">
        <v>18</v>
      </c>
      <c r="F354" s="0" t="n">
        <v>16</v>
      </c>
      <c r="G354" s="0" t="n">
        <v>0.5</v>
      </c>
      <c r="H354" s="0" t="n">
        <v>0</v>
      </c>
      <c r="I354" s="0" t="n">
        <v>2.06419835345912</v>
      </c>
      <c r="J354" s="0" t="n">
        <v>360.798526500255</v>
      </c>
      <c r="K354" s="0" t="n">
        <v>17.4533298678678</v>
      </c>
      <c r="L354" s="0" t="n">
        <v>0</v>
      </c>
      <c r="M354" s="0" t="n">
        <v>356.710860909577</v>
      </c>
      <c r="N354" s="0" t="n">
        <v>0</v>
      </c>
      <c r="O354" s="0" t="n">
        <v>337</v>
      </c>
      <c r="P354" s="0" t="n">
        <v>172</v>
      </c>
      <c r="Q354" s="0" t="n">
        <v>165</v>
      </c>
      <c r="R354" s="0" t="n">
        <v>521.947387215019</v>
      </c>
      <c r="S354" s="0" t="n">
        <v>416.741398776428</v>
      </c>
      <c r="T354" s="0" t="n">
        <v>24</v>
      </c>
      <c r="U354" s="0" t="n">
        <v>24</v>
      </c>
      <c r="V354" s="0" t="n">
        <v>21.747798739043</v>
      </c>
      <c r="W354" s="0" t="n">
        <v>17.364152598382</v>
      </c>
      <c r="X354" s="0" t="n">
        <v>0</v>
      </c>
      <c r="Y354" s="0" t="n">
        <v>17.4533298678678</v>
      </c>
      <c r="Z354" s="0" t="n">
        <v>0</v>
      </c>
      <c r="AA354" s="0" t="n">
        <v>0</v>
      </c>
      <c r="AB354" s="0" t="n">
        <v>0</v>
      </c>
      <c r="AC354" s="0" t="n">
        <v>1</v>
      </c>
      <c r="AD354" s="0" t="n">
        <v>0</v>
      </c>
      <c r="AE354" s="0" t="n">
        <v>0</v>
      </c>
      <c r="AF354" s="0" t="n">
        <v>0</v>
      </c>
      <c r="AG354" s="0" t="n">
        <v>84.5420083747638</v>
      </c>
      <c r="AH354" s="0" t="n">
        <v>0</v>
      </c>
      <c r="AI354" s="0" t="n">
        <v>0</v>
      </c>
      <c r="AK354" s="0" t="n">
        <f aca="false">A354</f>
        <v>337</v>
      </c>
      <c r="AL354" s="0" t="n">
        <v>1</v>
      </c>
      <c r="AM354" s="0" t="n">
        <v>0</v>
      </c>
      <c r="AO354" s="0" t="n">
        <v>337</v>
      </c>
      <c r="AP354" s="0" t="n">
        <v>0</v>
      </c>
      <c r="AQ354" s="0" t="n">
        <v>0.390878807756512</v>
      </c>
      <c r="AR354" s="0" t="n">
        <v>294.827729037967</v>
      </c>
      <c r="AS354" s="0" t="n">
        <v>48</v>
      </c>
      <c r="AT354" s="0" t="n">
        <v>48</v>
      </c>
    </row>
    <row r="355" customFormat="false" ht="12" hidden="false" customHeight="false" outlineLevel="0" collapsed="false">
      <c r="A355" s="0" t="n">
        <v>338</v>
      </c>
      <c r="B355" s="0" t="n">
        <v>1</v>
      </c>
      <c r="C355" s="0" t="n">
        <v>0.0923121636521035</v>
      </c>
      <c r="D355" s="0" t="n">
        <v>343.437508796039</v>
      </c>
      <c r="E355" s="0" t="n">
        <v>20</v>
      </c>
      <c r="F355" s="0" t="n">
        <v>16</v>
      </c>
      <c r="G355" s="0" t="n">
        <v>0.5</v>
      </c>
      <c r="H355" s="0" t="n">
        <v>1</v>
      </c>
      <c r="I355" s="0" t="n">
        <v>0</v>
      </c>
      <c r="J355" s="0" t="n">
        <v>360.798526500255</v>
      </c>
      <c r="K355" s="0" t="n">
        <v>0</v>
      </c>
      <c r="L355" s="0" t="n">
        <v>1.89854456520445</v>
      </c>
      <c r="M355" s="0" t="n">
        <v>358.609405474782</v>
      </c>
      <c r="N355" s="0" t="n">
        <v>15.1718966787427</v>
      </c>
      <c r="O355" s="0" t="n">
        <v>338</v>
      </c>
      <c r="P355" s="0" t="n">
        <v>172</v>
      </c>
      <c r="Q355" s="0" t="n">
        <v>166</v>
      </c>
      <c r="R355" s="0" t="n">
        <v>509.613148392326</v>
      </c>
      <c r="S355" s="0" t="n">
        <v>398.112100466699</v>
      </c>
      <c r="T355" s="0" t="n">
        <v>24</v>
      </c>
      <c r="U355" s="0" t="n">
        <v>24</v>
      </c>
      <c r="V355" s="0" t="n">
        <v>21.2338723355668</v>
      </c>
      <c r="W355" s="0" t="n">
        <v>16.5879350697163</v>
      </c>
      <c r="X355" s="0" t="n">
        <v>0</v>
      </c>
      <c r="Y355" s="0" t="n">
        <v>0</v>
      </c>
      <c r="Z355" s="0" t="n">
        <v>15.1718966787427</v>
      </c>
      <c r="AA355" s="0" t="n">
        <v>0</v>
      </c>
      <c r="AB355" s="0" t="n">
        <v>0</v>
      </c>
      <c r="AC355" s="0" t="n">
        <v>0</v>
      </c>
      <c r="AD355" s="0" t="n">
        <v>1</v>
      </c>
      <c r="AE355" s="0" t="n">
        <v>0</v>
      </c>
      <c r="AF355" s="0" t="n">
        <v>0</v>
      </c>
      <c r="AG355" s="0" t="n">
        <v>0</v>
      </c>
      <c r="AH355" s="0" t="n">
        <v>54.8487382439995</v>
      </c>
      <c r="AI355" s="0" t="n">
        <v>0</v>
      </c>
      <c r="AK355" s="0" t="n">
        <f aca="false">A355</f>
        <v>338</v>
      </c>
      <c r="AL355" s="0" t="n">
        <v>2</v>
      </c>
      <c r="AM355" s="0" t="n">
        <v>1</v>
      </c>
      <c r="AO355" s="0" t="n">
        <v>338</v>
      </c>
      <c r="AP355" s="0" t="n">
        <v>1</v>
      </c>
      <c r="AQ355" s="0" t="n">
        <v>1.03269661639292</v>
      </c>
      <c r="AR355" s="0" t="n">
        <v>295.86042565436</v>
      </c>
      <c r="AS355" s="0" t="n">
        <v>46</v>
      </c>
      <c r="AT355" s="0" t="n">
        <v>48</v>
      </c>
    </row>
    <row r="356" customFormat="false" ht="12" hidden="false" customHeight="false" outlineLevel="0" collapsed="false">
      <c r="A356" s="0" t="n">
        <v>339</v>
      </c>
      <c r="B356" s="0" t="n">
        <v>0</v>
      </c>
      <c r="C356" s="0" t="n">
        <v>0.54875761061168</v>
      </c>
      <c r="D356" s="0" t="n">
        <v>343.986266406651</v>
      </c>
      <c r="E356" s="0" t="n">
        <v>20</v>
      </c>
      <c r="F356" s="0" t="n">
        <v>18</v>
      </c>
      <c r="G356" s="0" t="n">
        <v>0.5</v>
      </c>
      <c r="H356" s="0" t="n">
        <v>0</v>
      </c>
      <c r="I356" s="0" t="n">
        <v>2.10381278920401</v>
      </c>
      <c r="J356" s="0" t="n">
        <v>362.902339289459</v>
      </c>
      <c r="K356" s="0" t="n">
        <v>18.916072882808</v>
      </c>
      <c r="L356" s="0" t="n">
        <v>0</v>
      </c>
      <c r="M356" s="0" t="n">
        <v>358.609405474782</v>
      </c>
      <c r="N356" s="0" t="n">
        <v>0</v>
      </c>
      <c r="O356" s="0" t="n">
        <v>339</v>
      </c>
      <c r="P356" s="0" t="n">
        <v>173</v>
      </c>
      <c r="Q356" s="0" t="n">
        <v>166</v>
      </c>
      <c r="R356" s="0" t="n">
        <v>440.159572361601</v>
      </c>
      <c r="S356" s="0" t="n">
        <v>479.848132946115</v>
      </c>
      <c r="T356" s="0" t="n">
        <v>23</v>
      </c>
      <c r="U356" s="0" t="n">
        <v>25</v>
      </c>
      <c r="V356" s="0" t="n">
        <v>19.1373643907807</v>
      </c>
      <c r="W356" s="0" t="n">
        <v>19.1938485424504</v>
      </c>
      <c r="X356" s="0" t="n">
        <v>0</v>
      </c>
      <c r="Y356" s="0" t="n">
        <v>18.916072882808</v>
      </c>
      <c r="Z356" s="0" t="n">
        <v>0</v>
      </c>
      <c r="AA356" s="0" t="n">
        <v>0</v>
      </c>
      <c r="AB356" s="0" t="n">
        <v>0</v>
      </c>
      <c r="AC356" s="0" t="n">
        <v>1</v>
      </c>
      <c r="AD356" s="0" t="n">
        <v>0</v>
      </c>
      <c r="AE356" s="0" t="n">
        <v>0</v>
      </c>
      <c r="AF356" s="0" t="n">
        <v>0</v>
      </c>
      <c r="AG356" s="0" t="n">
        <v>113.580512403921</v>
      </c>
      <c r="AH356" s="0" t="n">
        <v>0</v>
      </c>
      <c r="AI356" s="0" t="n">
        <v>0</v>
      </c>
      <c r="AK356" s="0" t="n">
        <f aca="false">A356</f>
        <v>339</v>
      </c>
      <c r="AL356" s="0" t="n">
        <v>1</v>
      </c>
      <c r="AM356" s="0" t="n">
        <v>0</v>
      </c>
      <c r="AO356" s="0" t="n">
        <v>339</v>
      </c>
      <c r="AP356" s="0" t="n">
        <v>0</v>
      </c>
      <c r="AQ356" s="0" t="n">
        <v>1.53775979601703</v>
      </c>
      <c r="AR356" s="0" t="n">
        <v>297.398185450377</v>
      </c>
      <c r="AS356" s="0" t="n">
        <v>48</v>
      </c>
      <c r="AT356" s="0" t="n">
        <v>48</v>
      </c>
    </row>
    <row r="357" customFormat="false" ht="12" hidden="false" customHeight="false" outlineLevel="0" collapsed="false">
      <c r="A357" s="0" t="n">
        <v>340</v>
      </c>
      <c r="B357" s="0" t="n">
        <v>0</v>
      </c>
      <c r="C357" s="0" t="n">
        <v>4.50103234899171</v>
      </c>
      <c r="D357" s="0" t="n">
        <v>348.487298755642</v>
      </c>
      <c r="E357" s="0" t="n">
        <v>18</v>
      </c>
      <c r="F357" s="0" t="n">
        <v>14</v>
      </c>
      <c r="G357" s="0" t="n">
        <v>0.5</v>
      </c>
      <c r="H357" s="0" t="n">
        <v>0</v>
      </c>
      <c r="I357" s="0" t="n">
        <v>1.94285310349037</v>
      </c>
      <c r="J357" s="0" t="n">
        <v>364.845192392949</v>
      </c>
      <c r="K357" s="0" t="n">
        <v>16.3578936373067</v>
      </c>
      <c r="L357" s="0" t="n">
        <v>0</v>
      </c>
      <c r="M357" s="0" t="n">
        <v>358.609405474782</v>
      </c>
      <c r="N357" s="0" t="n">
        <v>0</v>
      </c>
      <c r="O357" s="0" t="n">
        <v>340</v>
      </c>
      <c r="P357" s="0" t="n">
        <v>174</v>
      </c>
      <c r="Q357" s="0" t="n">
        <v>166</v>
      </c>
      <c r="R357" s="0" t="n">
        <v>370.852957638507</v>
      </c>
      <c r="S357" s="0" t="n">
        <v>550.674373381371</v>
      </c>
      <c r="T357" s="0" t="n">
        <v>21</v>
      </c>
      <c r="U357" s="0" t="n">
        <v>27</v>
      </c>
      <c r="V357" s="0" t="n">
        <v>17.6596562400926</v>
      </c>
      <c r="W357" s="0" t="n">
        <v>20.3952716242299</v>
      </c>
      <c r="X357" s="0" t="n">
        <v>0</v>
      </c>
      <c r="Y357" s="0" t="n">
        <v>16.3578936373067</v>
      </c>
      <c r="Z357" s="0" t="n">
        <v>0</v>
      </c>
      <c r="AA357" s="0" t="n">
        <v>0</v>
      </c>
      <c r="AB357" s="0" t="n">
        <v>0</v>
      </c>
      <c r="AC357" s="0" t="n">
        <v>1</v>
      </c>
      <c r="AD357" s="0" t="n">
        <v>0</v>
      </c>
      <c r="AE357" s="0" t="n">
        <v>0</v>
      </c>
      <c r="AF357" s="0" t="n">
        <v>0</v>
      </c>
      <c r="AG357" s="0" t="n">
        <v>65.5976334267665</v>
      </c>
      <c r="AH357" s="0" t="n">
        <v>0</v>
      </c>
      <c r="AI357" s="0" t="n">
        <v>0</v>
      </c>
      <c r="AK357" s="0" t="n">
        <f aca="false">A357</f>
        <v>340</v>
      </c>
      <c r="AL357" s="0" t="n">
        <v>2</v>
      </c>
      <c r="AM357" s="0" t="n">
        <v>1</v>
      </c>
      <c r="AO357" s="0" t="n">
        <v>340</v>
      </c>
      <c r="AP357" s="0" t="n">
        <v>1</v>
      </c>
      <c r="AQ357" s="0" t="n">
        <v>2.75881349829033</v>
      </c>
      <c r="AR357" s="0" t="n">
        <v>300.156998948667</v>
      </c>
      <c r="AS357" s="0" t="n">
        <v>46</v>
      </c>
      <c r="AT357" s="0" t="n">
        <v>44</v>
      </c>
    </row>
    <row r="358" customFormat="false" ht="12" hidden="false" customHeight="false" outlineLevel="0" collapsed="false">
      <c r="A358" s="0" t="n">
        <v>341</v>
      </c>
      <c r="B358" s="0" t="n">
        <v>0</v>
      </c>
      <c r="C358" s="0" t="n">
        <v>0.243041895790773</v>
      </c>
      <c r="D358" s="0" t="n">
        <v>348.730340651433</v>
      </c>
      <c r="E358" s="0" t="n">
        <v>18</v>
      </c>
      <c r="F358" s="0" t="n">
        <v>12</v>
      </c>
      <c r="G358" s="0" t="n">
        <v>0.5</v>
      </c>
      <c r="H358" s="0" t="n">
        <v>1</v>
      </c>
      <c r="I358" s="0" t="n">
        <v>0</v>
      </c>
      <c r="J358" s="0" t="n">
        <v>364.845192392949</v>
      </c>
      <c r="K358" s="0" t="n">
        <v>0</v>
      </c>
      <c r="L358" s="0" t="n">
        <v>1.91158437734775</v>
      </c>
      <c r="M358" s="0" t="n">
        <v>360.520989852129</v>
      </c>
      <c r="N358" s="0" t="n">
        <v>11.7906492006962</v>
      </c>
      <c r="O358" s="0" t="n">
        <v>341</v>
      </c>
      <c r="P358" s="0" t="n">
        <v>174</v>
      </c>
      <c r="Q358" s="0" t="n">
        <v>167</v>
      </c>
      <c r="R358" s="0" t="n">
        <v>410.217095363645</v>
      </c>
      <c r="S358" s="0" t="n">
        <v>516.373494518588</v>
      </c>
      <c r="T358" s="0" t="n">
        <v>20</v>
      </c>
      <c r="U358" s="0" t="n">
        <v>28</v>
      </c>
      <c r="V358" s="0" t="n">
        <v>20.51084451276</v>
      </c>
      <c r="W358" s="0" t="n">
        <v>18.4418446547901</v>
      </c>
      <c r="X358" s="0" t="n">
        <v>0</v>
      </c>
      <c r="Y358" s="0" t="n">
        <v>0</v>
      </c>
      <c r="Z358" s="0" t="n">
        <v>0</v>
      </c>
      <c r="AA358" s="0" t="n">
        <v>11.7906492006962</v>
      </c>
      <c r="AB358" s="0" t="n">
        <v>0</v>
      </c>
      <c r="AC358" s="0" t="n">
        <v>0</v>
      </c>
      <c r="AD358" s="0" t="n">
        <v>0</v>
      </c>
      <c r="AE358" s="0" t="n">
        <v>1</v>
      </c>
      <c r="AF358" s="0" t="n">
        <v>0</v>
      </c>
      <c r="AG358" s="0" t="n">
        <v>0</v>
      </c>
      <c r="AH358" s="0" t="n">
        <v>0</v>
      </c>
      <c r="AI358" s="0" t="n">
        <v>16.4774978866435</v>
      </c>
      <c r="AK358" s="0" t="n">
        <f aca="false">A358</f>
        <v>341</v>
      </c>
      <c r="AL358" s="0" t="n">
        <v>3</v>
      </c>
      <c r="AM358" s="0" t="n">
        <v>0</v>
      </c>
      <c r="AO358" s="0" t="n">
        <v>341</v>
      </c>
      <c r="AP358" s="0" t="n">
        <v>1</v>
      </c>
      <c r="AQ358" s="0" t="n">
        <v>1.18808193266462</v>
      </c>
      <c r="AR358" s="0" t="n">
        <v>301.345080881332</v>
      </c>
      <c r="AS358" s="0" t="n">
        <v>46</v>
      </c>
      <c r="AT358" s="0" t="n">
        <v>46</v>
      </c>
    </row>
    <row r="359" customFormat="false" ht="12" hidden="false" customHeight="false" outlineLevel="0" collapsed="false">
      <c r="A359" s="0" t="n">
        <v>342</v>
      </c>
      <c r="B359" s="0" t="n">
        <v>0</v>
      </c>
      <c r="C359" s="0" t="n">
        <v>0.783139493806894</v>
      </c>
      <c r="D359" s="0" t="n">
        <v>349.51348014524</v>
      </c>
      <c r="E359" s="0" t="n">
        <v>18</v>
      </c>
      <c r="F359" s="0" t="n">
        <v>14</v>
      </c>
      <c r="G359" s="0" t="n">
        <v>0.5</v>
      </c>
      <c r="H359" s="0" t="n">
        <v>1</v>
      </c>
      <c r="I359" s="0" t="n">
        <v>0</v>
      </c>
      <c r="J359" s="0" t="n">
        <v>364.845192392949</v>
      </c>
      <c r="K359" s="0" t="n">
        <v>0</v>
      </c>
      <c r="L359" s="0" t="n">
        <v>2.05224578104498</v>
      </c>
      <c r="M359" s="0" t="n">
        <v>362.573235633174</v>
      </c>
      <c r="N359" s="0" t="n">
        <v>13.0597554879343</v>
      </c>
      <c r="O359" s="0" t="n">
        <v>342</v>
      </c>
      <c r="P359" s="0" t="n">
        <v>174</v>
      </c>
      <c r="Q359" s="0" t="n">
        <v>168</v>
      </c>
      <c r="R359" s="0" t="n">
        <v>402.693905425172</v>
      </c>
      <c r="S359" s="0" t="n">
        <v>533.852683415789</v>
      </c>
      <c r="T359" s="0" t="n">
        <v>19</v>
      </c>
      <c r="U359" s="0" t="n">
        <v>29</v>
      </c>
      <c r="V359" s="0" t="n">
        <v>21.1944049200591</v>
      </c>
      <c r="W359" s="0" t="n">
        <v>18.4086497431315</v>
      </c>
      <c r="X359" s="0" t="n">
        <v>0</v>
      </c>
      <c r="Y359" s="0" t="n">
        <v>0</v>
      </c>
      <c r="Z359" s="0" t="n">
        <v>0</v>
      </c>
      <c r="AA359" s="0" t="n">
        <v>13.0597554879343</v>
      </c>
      <c r="AB359" s="0" t="n">
        <v>0</v>
      </c>
      <c r="AC359" s="0" t="n">
        <v>0</v>
      </c>
      <c r="AD359" s="0" t="n">
        <v>0</v>
      </c>
      <c r="AE359" s="0" t="n">
        <v>1</v>
      </c>
      <c r="AF359" s="0" t="n">
        <v>0</v>
      </c>
      <c r="AG359" s="0" t="n">
        <v>0</v>
      </c>
      <c r="AH359" s="0" t="n">
        <v>0</v>
      </c>
      <c r="AI359" s="0" t="n">
        <v>28.3913640848424</v>
      </c>
      <c r="AK359" s="0" t="n">
        <f aca="false">A359</f>
        <v>342</v>
      </c>
      <c r="AL359" s="0" t="n">
        <v>2</v>
      </c>
      <c r="AM359" s="0" t="n">
        <v>1</v>
      </c>
      <c r="AO359" s="0" t="n">
        <v>342</v>
      </c>
      <c r="AP359" s="0" t="n">
        <v>0</v>
      </c>
      <c r="AQ359" s="0" t="n">
        <v>0.127250780870913</v>
      </c>
      <c r="AR359" s="0" t="n">
        <v>301.472331662203</v>
      </c>
      <c r="AS359" s="0" t="n">
        <v>46</v>
      </c>
      <c r="AT359" s="0" t="n">
        <v>48</v>
      </c>
    </row>
    <row r="360" customFormat="false" ht="12" hidden="false" customHeight="false" outlineLevel="0" collapsed="false">
      <c r="A360" s="0" t="n">
        <v>343</v>
      </c>
      <c r="B360" s="0" t="n">
        <v>0</v>
      </c>
      <c r="C360" s="0" t="n">
        <v>1.76611497249863</v>
      </c>
      <c r="D360" s="0" t="n">
        <v>351.279595117739</v>
      </c>
      <c r="E360" s="0" t="n">
        <v>16</v>
      </c>
      <c r="F360" s="0" t="n">
        <v>14</v>
      </c>
      <c r="G360" s="0" t="n">
        <v>0.5</v>
      </c>
      <c r="H360" s="0" t="n">
        <v>0</v>
      </c>
      <c r="I360" s="0" t="n">
        <v>1.82090682018387</v>
      </c>
      <c r="J360" s="0" t="n">
        <v>366.666099213133</v>
      </c>
      <c r="K360" s="0" t="n">
        <v>15.3865040953942</v>
      </c>
      <c r="L360" s="0" t="n">
        <v>0</v>
      </c>
      <c r="M360" s="0" t="n">
        <v>362.573235633174</v>
      </c>
      <c r="N360" s="0" t="n">
        <v>0</v>
      </c>
      <c r="O360" s="0" t="n">
        <v>343</v>
      </c>
      <c r="P360" s="0" t="n">
        <v>175</v>
      </c>
      <c r="Q360" s="0" t="n">
        <v>168</v>
      </c>
      <c r="R360" s="0" t="n">
        <v>496.283209992373</v>
      </c>
      <c r="S360" s="0" t="n">
        <v>434.445338051522</v>
      </c>
      <c r="T360" s="0" t="n">
        <v>27</v>
      </c>
      <c r="U360" s="0" t="n">
        <v>21</v>
      </c>
      <c r="V360" s="0" t="n">
        <v>18.3808528216239</v>
      </c>
      <c r="W360" s="0" t="n">
        <v>20.6877747273357</v>
      </c>
      <c r="X360" s="0" t="n">
        <v>0</v>
      </c>
      <c r="Y360" s="0" t="n">
        <v>15.3865040953942</v>
      </c>
      <c r="Z360" s="0" t="n">
        <v>0</v>
      </c>
      <c r="AA360" s="0" t="n">
        <v>0</v>
      </c>
      <c r="AB360" s="0" t="n">
        <v>0</v>
      </c>
      <c r="AC360" s="0" t="n">
        <v>1</v>
      </c>
      <c r="AD360" s="0" t="n">
        <v>0</v>
      </c>
      <c r="AE360" s="0" t="n">
        <v>0</v>
      </c>
      <c r="AF360" s="0" t="n">
        <v>0</v>
      </c>
      <c r="AG360" s="0" t="n">
        <v>50.8062036165909</v>
      </c>
      <c r="AH360" s="0" t="n">
        <v>0</v>
      </c>
      <c r="AI360" s="0" t="n">
        <v>0</v>
      </c>
      <c r="AK360" s="0" t="n">
        <f aca="false">A360</f>
        <v>343</v>
      </c>
      <c r="AL360" s="0" t="n">
        <v>1</v>
      </c>
      <c r="AM360" s="0" t="n">
        <v>0</v>
      </c>
      <c r="AO360" s="0" t="n">
        <v>343</v>
      </c>
      <c r="AP360" s="0" t="n">
        <v>0</v>
      </c>
      <c r="AQ360" s="0" t="n">
        <v>0.346184394736174</v>
      </c>
      <c r="AR360" s="0" t="n">
        <v>301.818516056939</v>
      </c>
      <c r="AS360" s="0" t="n">
        <v>46</v>
      </c>
      <c r="AT360" s="0" t="n">
        <v>46</v>
      </c>
    </row>
    <row r="361" customFormat="false" ht="12" hidden="false" customHeight="false" outlineLevel="0" collapsed="false">
      <c r="A361" s="0" t="n">
        <v>344</v>
      </c>
      <c r="B361" s="0" t="n">
        <v>0</v>
      </c>
      <c r="C361" s="0" t="n">
        <v>3.2177513802252</v>
      </c>
      <c r="D361" s="0" t="n">
        <v>354.497346497964</v>
      </c>
      <c r="E361" s="0" t="n">
        <v>16</v>
      </c>
      <c r="F361" s="0" t="n">
        <v>12</v>
      </c>
      <c r="G361" s="0" t="n">
        <v>0.5</v>
      </c>
      <c r="H361" s="0" t="n">
        <v>0</v>
      </c>
      <c r="I361" s="0" t="n">
        <v>2.18036147611557</v>
      </c>
      <c r="J361" s="0" t="n">
        <v>368.846460689249</v>
      </c>
      <c r="K361" s="0" t="n">
        <v>14.3491141912846</v>
      </c>
      <c r="L361" s="0" t="n">
        <v>0</v>
      </c>
      <c r="M361" s="0" t="n">
        <v>362.573235633174</v>
      </c>
      <c r="N361" s="0" t="n">
        <v>0</v>
      </c>
      <c r="O361" s="0" t="n">
        <v>344</v>
      </c>
      <c r="P361" s="0" t="n">
        <v>176</v>
      </c>
      <c r="Q361" s="0" t="n">
        <v>168</v>
      </c>
      <c r="R361" s="0" t="n">
        <v>337.707024825366</v>
      </c>
      <c r="S361" s="0" t="n">
        <v>599.14709312257</v>
      </c>
      <c r="T361" s="0" t="n">
        <v>20</v>
      </c>
      <c r="U361" s="0" t="n">
        <v>28</v>
      </c>
      <c r="V361" s="0" t="n">
        <v>16.8853427985969</v>
      </c>
      <c r="W361" s="0" t="n">
        <v>21.3980340471131</v>
      </c>
      <c r="X361" s="0" t="n">
        <v>0</v>
      </c>
      <c r="Y361" s="0" t="n">
        <v>14.3491141912846</v>
      </c>
      <c r="Z361" s="0" t="n">
        <v>0</v>
      </c>
      <c r="AA361" s="0" t="n">
        <v>0</v>
      </c>
      <c r="AB361" s="0" t="n">
        <v>0</v>
      </c>
      <c r="AC361" s="0" t="n">
        <v>1</v>
      </c>
      <c r="AD361" s="0" t="n">
        <v>0</v>
      </c>
      <c r="AE361" s="0" t="n">
        <v>0</v>
      </c>
      <c r="AF361" s="0" t="n">
        <v>0</v>
      </c>
      <c r="AG361" s="0" t="n">
        <v>37.0936682872808</v>
      </c>
      <c r="AH361" s="0" t="n">
        <v>0</v>
      </c>
      <c r="AI361" s="0" t="n">
        <v>0</v>
      </c>
      <c r="AK361" s="0" t="n">
        <f aca="false">A361</f>
        <v>344</v>
      </c>
      <c r="AL361" s="0" t="n">
        <v>2</v>
      </c>
      <c r="AM361" s="0" t="n">
        <v>1</v>
      </c>
      <c r="AO361" s="0" t="n">
        <v>344</v>
      </c>
      <c r="AP361" s="0" t="n">
        <v>1</v>
      </c>
      <c r="AQ361" s="0" t="n">
        <v>0.0609075752337264</v>
      </c>
      <c r="AR361" s="0" t="n">
        <v>301.879423632173</v>
      </c>
      <c r="AS361" s="0" t="n">
        <v>46</v>
      </c>
      <c r="AT361" s="0" t="n">
        <v>48</v>
      </c>
    </row>
    <row r="362" customFormat="false" ht="12" hidden="false" customHeight="false" outlineLevel="0" collapsed="false">
      <c r="A362" s="0" t="n">
        <v>345</v>
      </c>
      <c r="B362" s="0" t="n">
        <v>0</v>
      </c>
      <c r="C362" s="0" t="n">
        <v>1.10529049079329</v>
      </c>
      <c r="D362" s="0" t="n">
        <v>355.602636988757</v>
      </c>
      <c r="E362" s="0" t="n">
        <v>16</v>
      </c>
      <c r="F362" s="0" t="n">
        <v>10</v>
      </c>
      <c r="G362" s="0" t="n">
        <v>0.5</v>
      </c>
      <c r="H362" s="0" t="n">
        <v>1</v>
      </c>
      <c r="I362" s="0" t="n">
        <v>0</v>
      </c>
      <c r="J362" s="0" t="n">
        <v>368.846460689249</v>
      </c>
      <c r="K362" s="0" t="n">
        <v>0</v>
      </c>
      <c r="L362" s="0" t="n">
        <v>2.0643904222328</v>
      </c>
      <c r="M362" s="0" t="n">
        <v>364.637626055407</v>
      </c>
      <c r="N362" s="0" t="n">
        <v>9.03498906664999</v>
      </c>
      <c r="O362" s="0" t="n">
        <v>345</v>
      </c>
      <c r="P362" s="0" t="n">
        <v>176</v>
      </c>
      <c r="Q362" s="0" t="n">
        <v>169</v>
      </c>
      <c r="R362" s="0" t="n">
        <v>548.744896566204</v>
      </c>
      <c r="S362" s="0" t="n">
        <v>401.373844029611</v>
      </c>
      <c r="T362" s="0" t="n">
        <v>26</v>
      </c>
      <c r="U362" s="0" t="n">
        <v>22</v>
      </c>
      <c r="V362" s="0" t="n">
        <v>21.1055648273291</v>
      </c>
      <c r="W362" s="0" t="n">
        <v>18.2441827096064</v>
      </c>
      <c r="X362" s="0" t="n">
        <v>0</v>
      </c>
      <c r="Y362" s="0" t="n">
        <v>0</v>
      </c>
      <c r="Z362" s="0" t="n">
        <v>0</v>
      </c>
      <c r="AA362" s="0" t="n">
        <v>9.03498906664999</v>
      </c>
      <c r="AB362" s="0" t="n">
        <v>0</v>
      </c>
      <c r="AC362" s="0" t="n">
        <v>0</v>
      </c>
      <c r="AD362" s="0" t="n">
        <v>0</v>
      </c>
      <c r="AE362" s="0" t="n">
        <v>1</v>
      </c>
      <c r="AF362" s="0" t="n">
        <v>0</v>
      </c>
      <c r="AG362" s="0" t="n">
        <v>0</v>
      </c>
      <c r="AH362" s="0" t="n">
        <v>0</v>
      </c>
      <c r="AI362" s="0" t="n">
        <v>1.69934246788715</v>
      </c>
      <c r="AK362" s="0" t="n">
        <f aca="false">A362</f>
        <v>345</v>
      </c>
      <c r="AL362" s="0" t="n">
        <v>3</v>
      </c>
      <c r="AM362" s="0" t="n">
        <v>0</v>
      </c>
      <c r="AO362" s="0" t="n">
        <v>345</v>
      </c>
      <c r="AP362" s="0" t="n">
        <v>0</v>
      </c>
      <c r="AQ362" s="0" t="n">
        <v>1.48873211318009</v>
      </c>
      <c r="AR362" s="0" t="n">
        <v>303.368155745353</v>
      </c>
      <c r="AS362" s="0" t="n">
        <v>48</v>
      </c>
      <c r="AT362" s="0" t="n">
        <v>48</v>
      </c>
    </row>
    <row r="363" customFormat="false" ht="12" hidden="false" customHeight="false" outlineLevel="0" collapsed="false">
      <c r="A363" s="0" t="n">
        <v>346</v>
      </c>
      <c r="B363" s="0" t="n">
        <v>1</v>
      </c>
      <c r="C363" s="0" t="n">
        <v>0.112154921497312</v>
      </c>
      <c r="D363" s="0" t="n">
        <v>355.714791910255</v>
      </c>
      <c r="E363" s="0" t="n">
        <v>16</v>
      </c>
      <c r="F363" s="0" t="n">
        <v>12</v>
      </c>
      <c r="G363" s="0" t="n">
        <v>0.5</v>
      </c>
      <c r="H363" s="0" t="n">
        <v>1</v>
      </c>
      <c r="I363" s="0" t="n">
        <v>0</v>
      </c>
      <c r="J363" s="0" t="n">
        <v>368.846460689249</v>
      </c>
      <c r="K363" s="0" t="n">
        <v>0</v>
      </c>
      <c r="L363" s="0" t="n">
        <v>2.12166891323359</v>
      </c>
      <c r="M363" s="0" t="n">
        <v>366.759294968641</v>
      </c>
      <c r="N363" s="0" t="n">
        <v>11.0445030583862</v>
      </c>
      <c r="O363" s="0" t="n">
        <v>346</v>
      </c>
      <c r="P363" s="0" t="n">
        <v>176</v>
      </c>
      <c r="Q363" s="0" t="n">
        <v>170</v>
      </c>
      <c r="R363" s="0" t="n">
        <v>520.751970695079</v>
      </c>
      <c r="S363" s="0" t="n">
        <v>416.846139223023</v>
      </c>
      <c r="T363" s="0" t="n">
        <v>29</v>
      </c>
      <c r="U363" s="0" t="n">
        <v>19</v>
      </c>
      <c r="V363" s="0" t="n">
        <v>17.9569583146723</v>
      </c>
      <c r="W363" s="0" t="n">
        <v>21.9391550161854</v>
      </c>
      <c r="X363" s="0" t="n">
        <v>0</v>
      </c>
      <c r="Y363" s="0" t="n">
        <v>0</v>
      </c>
      <c r="Z363" s="0" t="n">
        <v>11.0445030583862</v>
      </c>
      <c r="AA363" s="0" t="n">
        <v>0</v>
      </c>
      <c r="AB363" s="0" t="n">
        <v>0</v>
      </c>
      <c r="AC363" s="0" t="n">
        <v>0</v>
      </c>
      <c r="AD363" s="0" t="n">
        <v>1</v>
      </c>
      <c r="AE363" s="0" t="n">
        <v>0</v>
      </c>
      <c r="AF363" s="0" t="n">
        <v>0</v>
      </c>
      <c r="AG363" s="0" t="n">
        <v>0</v>
      </c>
      <c r="AH363" s="0" t="n">
        <v>10.749216516476</v>
      </c>
      <c r="AI363" s="0" t="n">
        <v>0</v>
      </c>
      <c r="AK363" s="0" t="n">
        <f aca="false">A363</f>
        <v>346</v>
      </c>
      <c r="AL363" s="0" t="n">
        <v>2</v>
      </c>
      <c r="AM363" s="0" t="n">
        <v>1</v>
      </c>
      <c r="AO363" s="0" t="n">
        <v>346</v>
      </c>
      <c r="AP363" s="0" t="n">
        <v>1</v>
      </c>
      <c r="AQ363" s="0" t="n">
        <v>0.12356394485184</v>
      </c>
      <c r="AR363" s="0" t="n">
        <v>303.491719690205</v>
      </c>
      <c r="AS363" s="0" t="n">
        <v>48</v>
      </c>
      <c r="AT363" s="0" t="n">
        <v>50</v>
      </c>
    </row>
    <row r="364" customFormat="false" ht="12" hidden="false" customHeight="false" outlineLevel="0" collapsed="false">
      <c r="A364" s="0" t="n">
        <v>347</v>
      </c>
      <c r="B364" s="0" t="n">
        <v>1</v>
      </c>
      <c r="C364" s="0" t="n">
        <v>0.854179289419735</v>
      </c>
      <c r="D364" s="0" t="n">
        <v>356.568971199674</v>
      </c>
      <c r="E364" s="0" t="n">
        <v>16</v>
      </c>
      <c r="F364" s="0" t="n">
        <v>14</v>
      </c>
      <c r="G364" s="0" t="n">
        <v>0.5</v>
      </c>
      <c r="H364" s="0" t="n">
        <v>1</v>
      </c>
      <c r="I364" s="0" t="n">
        <v>0</v>
      </c>
      <c r="J364" s="0" t="n">
        <v>368.846460689249</v>
      </c>
      <c r="K364" s="0" t="n">
        <v>0</v>
      </c>
      <c r="L364" s="0" t="n">
        <v>2.01481188717333</v>
      </c>
      <c r="M364" s="0" t="n">
        <v>368.774106855814</v>
      </c>
      <c r="N364" s="0" t="n">
        <v>12.2051356561398</v>
      </c>
      <c r="O364" s="0" t="n">
        <v>347</v>
      </c>
      <c r="P364" s="0" t="n">
        <v>176</v>
      </c>
      <c r="Q364" s="0" t="n">
        <v>171</v>
      </c>
      <c r="R364" s="0" t="n">
        <v>447.540040031977</v>
      </c>
      <c r="S364" s="0" t="n">
        <v>498.790709093054</v>
      </c>
      <c r="T364" s="0" t="n">
        <v>23</v>
      </c>
      <c r="U364" s="0" t="n">
        <v>25</v>
      </c>
      <c r="V364" s="0" t="n">
        <v>19.4582541499754</v>
      </c>
      <c r="W364" s="0" t="n">
        <v>19.9515485575279</v>
      </c>
      <c r="X364" s="0" t="n">
        <v>0</v>
      </c>
      <c r="Y364" s="0" t="n">
        <v>0</v>
      </c>
      <c r="Z364" s="0" t="n">
        <v>12.2051356561398</v>
      </c>
      <c r="AA364" s="0" t="n">
        <v>0</v>
      </c>
      <c r="AB364" s="0" t="n">
        <v>0</v>
      </c>
      <c r="AC364" s="0" t="n">
        <v>0</v>
      </c>
      <c r="AD364" s="0" t="n">
        <v>1</v>
      </c>
      <c r="AE364" s="0" t="n">
        <v>0</v>
      </c>
      <c r="AF364" s="0" t="n">
        <v>0</v>
      </c>
      <c r="AG364" s="0" t="n">
        <v>0</v>
      </c>
      <c r="AH364" s="0" t="n">
        <v>19.706784102423</v>
      </c>
      <c r="AI364" s="0" t="n">
        <v>0</v>
      </c>
      <c r="AK364" s="0" t="n">
        <f aca="false">A364</f>
        <v>347</v>
      </c>
      <c r="AL364" s="0" t="n">
        <v>1</v>
      </c>
      <c r="AM364" s="0" t="n">
        <v>0</v>
      </c>
      <c r="AO364" s="0" t="n">
        <v>347</v>
      </c>
      <c r="AP364" s="0" t="n">
        <v>1</v>
      </c>
      <c r="AQ364" s="0" t="n">
        <v>0.947847980799603</v>
      </c>
      <c r="AR364" s="0" t="n">
        <v>304.439567671004</v>
      </c>
      <c r="AS364" s="0" t="n">
        <v>48</v>
      </c>
      <c r="AT364" s="0" t="n">
        <v>48</v>
      </c>
    </row>
    <row r="365" customFormat="false" ht="12" hidden="false" customHeight="false" outlineLevel="0" collapsed="false">
      <c r="A365" s="0" t="n">
        <v>348</v>
      </c>
      <c r="B365" s="0" t="n">
        <v>0</v>
      </c>
      <c r="C365" s="0" t="n">
        <v>1.87106696962435</v>
      </c>
      <c r="D365" s="0" t="n">
        <v>358.440038169299</v>
      </c>
      <c r="E365" s="0" t="n">
        <v>14</v>
      </c>
      <c r="F365" s="0" t="n">
        <v>14</v>
      </c>
      <c r="G365" s="0" t="n">
        <v>0.5</v>
      </c>
      <c r="H365" s="0" t="n">
        <v>0</v>
      </c>
      <c r="I365" s="0" t="n">
        <v>1.955810590897</v>
      </c>
      <c r="J365" s="0" t="n">
        <v>370.802271280146</v>
      </c>
      <c r="K365" s="0" t="n">
        <v>12.3622331108469</v>
      </c>
      <c r="L365" s="0" t="n">
        <v>0</v>
      </c>
      <c r="M365" s="0" t="n">
        <v>368.774106855814</v>
      </c>
      <c r="N365" s="0" t="n">
        <v>0</v>
      </c>
      <c r="O365" s="0" t="n">
        <v>348</v>
      </c>
      <c r="P365" s="0" t="n">
        <v>177</v>
      </c>
      <c r="Q365" s="0" t="n">
        <v>171</v>
      </c>
      <c r="R365" s="0" t="n">
        <v>578.844174397783</v>
      </c>
      <c r="S365" s="0" t="n">
        <v>360.825439312259</v>
      </c>
      <c r="T365" s="0" t="n">
        <v>28</v>
      </c>
      <c r="U365" s="0" t="n">
        <v>20</v>
      </c>
      <c r="V365" s="0" t="n">
        <v>20.6729988452784</v>
      </c>
      <c r="W365" s="0" t="n">
        <v>18.0411817597042</v>
      </c>
      <c r="X365" s="0" t="n">
        <v>0</v>
      </c>
      <c r="Y365" s="0" t="n">
        <v>12.3622331108469</v>
      </c>
      <c r="Z365" s="0" t="n">
        <v>0</v>
      </c>
      <c r="AA365" s="0" t="n">
        <v>0</v>
      </c>
      <c r="AB365" s="0" t="n">
        <v>0</v>
      </c>
      <c r="AC365" s="0" t="n">
        <v>1</v>
      </c>
      <c r="AD365" s="0" t="n">
        <v>0</v>
      </c>
      <c r="AE365" s="0" t="n">
        <v>0</v>
      </c>
      <c r="AF365" s="0" t="n">
        <v>0</v>
      </c>
      <c r="AG365" s="0" t="n">
        <v>16.8393365528191</v>
      </c>
      <c r="AH365" s="0" t="n">
        <v>0</v>
      </c>
      <c r="AI365" s="0" t="n">
        <v>0</v>
      </c>
      <c r="AK365" s="0" t="n">
        <f aca="false">A365</f>
        <v>348</v>
      </c>
      <c r="AL365" s="0" t="n">
        <v>0</v>
      </c>
      <c r="AM365" s="0" t="n">
        <v>1</v>
      </c>
      <c r="AO365" s="0" t="n">
        <v>348</v>
      </c>
      <c r="AP365" s="0" t="n">
        <v>1</v>
      </c>
      <c r="AQ365" s="0" t="n">
        <v>0.106224795806379</v>
      </c>
      <c r="AR365" s="0" t="n">
        <v>304.545792466811</v>
      </c>
      <c r="AS365" s="0" t="n">
        <v>48</v>
      </c>
      <c r="AT365" s="0" t="n">
        <v>50</v>
      </c>
    </row>
    <row r="366" customFormat="false" ht="12" hidden="false" customHeight="false" outlineLevel="0" collapsed="false">
      <c r="A366" s="0" t="n">
        <v>349</v>
      </c>
      <c r="B366" s="0" t="n">
        <v>0</v>
      </c>
      <c r="C366" s="0" t="n">
        <v>2.40560313255697</v>
      </c>
      <c r="D366" s="0" t="n">
        <v>360.845641301856</v>
      </c>
      <c r="E366" s="0" t="n">
        <v>12</v>
      </c>
      <c r="F366" s="0" t="n">
        <v>10</v>
      </c>
      <c r="G366" s="0" t="n">
        <v>0.5</v>
      </c>
      <c r="H366" s="0" t="n">
        <v>0</v>
      </c>
      <c r="I366" s="0" t="n">
        <v>1.82913724989525</v>
      </c>
      <c r="J366" s="0" t="n">
        <v>372.631408530041</v>
      </c>
      <c r="K366" s="0" t="n">
        <v>11.7857672281853</v>
      </c>
      <c r="L366" s="0" t="n">
        <v>0</v>
      </c>
      <c r="M366" s="0" t="n">
        <v>368.774106855814</v>
      </c>
      <c r="N366" s="0" t="n">
        <v>0</v>
      </c>
      <c r="O366" s="0" t="n">
        <v>349</v>
      </c>
      <c r="P366" s="0" t="n">
        <v>178</v>
      </c>
      <c r="Q366" s="0" t="n">
        <v>171</v>
      </c>
      <c r="R366" s="0" t="n">
        <v>410.91823799015</v>
      </c>
      <c r="S366" s="0" t="n">
        <v>540.922881172548</v>
      </c>
      <c r="T366" s="0" t="n">
        <v>21</v>
      </c>
      <c r="U366" s="0" t="n">
        <v>27</v>
      </c>
      <c r="V366" s="0" t="n">
        <v>19.5675258245186</v>
      </c>
      <c r="W366" s="0" t="n">
        <v>20.0341065837737</v>
      </c>
      <c r="X366" s="0" t="n">
        <v>0</v>
      </c>
      <c r="Y366" s="0" t="n">
        <v>11.7857672281853</v>
      </c>
      <c r="Z366" s="0" t="n">
        <v>0</v>
      </c>
      <c r="AA366" s="0" t="n">
        <v>0</v>
      </c>
      <c r="AB366" s="0" t="n">
        <v>0</v>
      </c>
      <c r="AC366" s="0" t="n">
        <v>1</v>
      </c>
      <c r="AD366" s="0" t="n">
        <v>0</v>
      </c>
      <c r="AE366" s="0" t="n">
        <v>0</v>
      </c>
      <c r="AF366" s="0" t="n">
        <v>0</v>
      </c>
      <c r="AG366" s="0" t="n">
        <v>12.4405062654967</v>
      </c>
      <c r="AH366" s="0" t="n">
        <v>0</v>
      </c>
      <c r="AI366" s="0" t="n">
        <v>0</v>
      </c>
      <c r="AK366" s="0" t="n">
        <f aca="false">A366</f>
        <v>349</v>
      </c>
      <c r="AL366" s="0" t="n">
        <v>1</v>
      </c>
      <c r="AM366" s="0" t="n">
        <v>0</v>
      </c>
      <c r="AO366" s="0" t="n">
        <v>349</v>
      </c>
      <c r="AP366" s="0" t="n">
        <v>1</v>
      </c>
      <c r="AQ366" s="0" t="n">
        <v>0.506053593884596</v>
      </c>
      <c r="AR366" s="0" t="n">
        <v>305.051846060695</v>
      </c>
      <c r="AS366" s="0" t="n">
        <v>50</v>
      </c>
      <c r="AT366" s="0" t="n">
        <v>50</v>
      </c>
    </row>
    <row r="367" customFormat="false" ht="12" hidden="false" customHeight="false" outlineLevel="0" collapsed="false">
      <c r="A367" s="0" t="n">
        <v>350</v>
      </c>
      <c r="B367" s="0" t="n">
        <v>0</v>
      </c>
      <c r="C367" s="0" t="n">
        <v>1.11381002065547</v>
      </c>
      <c r="D367" s="0" t="n">
        <v>361.959451322511</v>
      </c>
      <c r="E367" s="0" t="n">
        <v>14</v>
      </c>
      <c r="F367" s="0" t="n">
        <v>10</v>
      </c>
      <c r="G367" s="0" t="n">
        <v>0.5</v>
      </c>
      <c r="H367" s="0" t="n">
        <v>0</v>
      </c>
      <c r="I367" s="0" t="n">
        <v>2.18698645893964</v>
      </c>
      <c r="J367" s="0" t="n">
        <v>374.818394988981</v>
      </c>
      <c r="K367" s="0" t="n">
        <v>12.8589436664694</v>
      </c>
      <c r="L367" s="0" t="n">
        <v>0</v>
      </c>
      <c r="M367" s="0" t="n">
        <v>368.774106855814</v>
      </c>
      <c r="N367" s="0" t="n">
        <v>0</v>
      </c>
      <c r="O367" s="0" t="n">
        <v>350</v>
      </c>
      <c r="P367" s="0" t="n">
        <v>179</v>
      </c>
      <c r="Q367" s="0" t="n">
        <v>171</v>
      </c>
      <c r="R367" s="0" t="n">
        <v>385.457355654422</v>
      </c>
      <c r="S367" s="0" t="n">
        <v>573.74310035944</v>
      </c>
      <c r="T367" s="0" t="n">
        <v>23</v>
      </c>
      <c r="U367" s="0" t="n">
        <v>25</v>
      </c>
      <c r="V367" s="0" t="n">
        <v>16.7590081767104</v>
      </c>
      <c r="W367" s="0" t="n">
        <v>22.9496322158487</v>
      </c>
      <c r="X367" s="0" t="n">
        <v>0</v>
      </c>
      <c r="Y367" s="0" t="n">
        <v>12.8589436664694</v>
      </c>
      <c r="Z367" s="0" t="n">
        <v>0</v>
      </c>
      <c r="AA367" s="0" t="n">
        <v>0</v>
      </c>
      <c r="AB367" s="0" t="n">
        <v>0</v>
      </c>
      <c r="AC367" s="0" t="n">
        <v>1</v>
      </c>
      <c r="AD367" s="0" t="n">
        <v>0</v>
      </c>
      <c r="AE367" s="0" t="n">
        <v>0</v>
      </c>
      <c r="AF367" s="0" t="n">
        <v>0</v>
      </c>
      <c r="AG367" s="0" t="n">
        <v>21.1626370272788</v>
      </c>
      <c r="AH367" s="0" t="n">
        <v>0</v>
      </c>
      <c r="AI367" s="0" t="n">
        <v>0</v>
      </c>
      <c r="AK367" s="0" t="n">
        <f aca="false">A367</f>
        <v>350</v>
      </c>
      <c r="AL367" s="0" t="n">
        <v>2</v>
      </c>
      <c r="AM367" s="0" t="n">
        <v>2</v>
      </c>
      <c r="AO367" s="0" t="n">
        <v>350</v>
      </c>
      <c r="AP367" s="0" t="n">
        <v>1</v>
      </c>
      <c r="AQ367" s="0" t="n">
        <v>1.14484202928795</v>
      </c>
      <c r="AR367" s="0" t="n">
        <v>306.196688089983</v>
      </c>
      <c r="AS367" s="0" t="n">
        <v>52</v>
      </c>
      <c r="AT367" s="0" t="n">
        <v>48</v>
      </c>
    </row>
    <row r="368" customFormat="false" ht="12" hidden="false" customHeight="false" outlineLevel="0" collapsed="false">
      <c r="A368" s="0" t="n">
        <v>351</v>
      </c>
      <c r="B368" s="0" t="n">
        <v>1</v>
      </c>
      <c r="C368" s="0" t="n">
        <v>0.995994892555484</v>
      </c>
      <c r="D368" s="0" t="n">
        <v>362.955446215067</v>
      </c>
      <c r="E368" s="0" t="n">
        <v>14</v>
      </c>
      <c r="F368" s="0" t="n">
        <v>8</v>
      </c>
      <c r="G368" s="0" t="n">
        <v>0.5</v>
      </c>
      <c r="H368" s="0" t="n">
        <v>1</v>
      </c>
      <c r="I368" s="0" t="n">
        <v>0</v>
      </c>
      <c r="J368" s="0" t="n">
        <v>374.818394988981</v>
      </c>
      <c r="K368" s="0" t="n">
        <v>0</v>
      </c>
      <c r="L368" s="0" t="n">
        <v>1.83450435418882</v>
      </c>
      <c r="M368" s="0" t="n">
        <v>370.608611210003</v>
      </c>
      <c r="N368" s="0" t="n">
        <v>7.65316499493639</v>
      </c>
      <c r="O368" s="0" t="n">
        <v>351</v>
      </c>
      <c r="P368" s="0" t="n">
        <v>179</v>
      </c>
      <c r="Q368" s="0" t="n">
        <v>172</v>
      </c>
      <c r="R368" s="0" t="n">
        <v>667.738928407868</v>
      </c>
      <c r="S368" s="0" t="n">
        <v>308.678525564778</v>
      </c>
      <c r="T368" s="0" t="n">
        <v>31</v>
      </c>
      <c r="U368" s="0" t="n">
        <v>17</v>
      </c>
      <c r="V368" s="0" t="n">
        <v>21.5399584841382</v>
      </c>
      <c r="W368" s="0" t="n">
        <v>18.1574535187898</v>
      </c>
      <c r="X368" s="0" t="n">
        <v>0</v>
      </c>
      <c r="Y368" s="0" t="n">
        <v>0</v>
      </c>
      <c r="Z368" s="0" t="n">
        <v>7.65316499493639</v>
      </c>
      <c r="AA368" s="0" t="n">
        <v>0</v>
      </c>
      <c r="AB368" s="0" t="n">
        <v>0</v>
      </c>
      <c r="AC368" s="0" t="n">
        <v>0</v>
      </c>
      <c r="AD368" s="0" t="n">
        <v>1</v>
      </c>
      <c r="AE368" s="0" t="n">
        <v>0</v>
      </c>
      <c r="AF368" s="0" t="n">
        <v>0</v>
      </c>
      <c r="AG368" s="0" t="n">
        <v>0</v>
      </c>
      <c r="AH368" s="0" t="n">
        <v>0.0127099205875401</v>
      </c>
      <c r="AI368" s="0" t="n">
        <v>0</v>
      </c>
      <c r="AK368" s="0" t="n">
        <f aca="false">A368</f>
        <v>351</v>
      </c>
      <c r="AL368" s="0" t="n">
        <v>3</v>
      </c>
      <c r="AM368" s="0" t="n">
        <v>0</v>
      </c>
      <c r="AO368" s="0" t="n">
        <v>351</v>
      </c>
      <c r="AP368" s="0" t="n">
        <v>0</v>
      </c>
      <c r="AQ368" s="0" t="n">
        <v>1.28915541002811</v>
      </c>
      <c r="AR368" s="0" t="n">
        <v>307.485843500011</v>
      </c>
      <c r="AS368" s="0" t="n">
        <v>50</v>
      </c>
      <c r="AT368" s="0" t="n">
        <v>50</v>
      </c>
    </row>
    <row r="369" customFormat="false" ht="12" hidden="false" customHeight="false" outlineLevel="0" collapsed="false">
      <c r="A369" s="0" t="n">
        <v>352</v>
      </c>
      <c r="B369" s="0" t="n">
        <v>1</v>
      </c>
      <c r="C369" s="0" t="n">
        <v>1.06966293775872</v>
      </c>
      <c r="D369" s="0" t="n">
        <v>364.025109152825</v>
      </c>
      <c r="E369" s="0" t="n">
        <v>14</v>
      </c>
      <c r="F369" s="0" t="n">
        <v>10</v>
      </c>
      <c r="G369" s="0" t="n">
        <v>0.5</v>
      </c>
      <c r="H369" s="0" t="n">
        <v>1</v>
      </c>
      <c r="I369" s="0" t="n">
        <v>0</v>
      </c>
      <c r="J369" s="0" t="n">
        <v>374.818394988981</v>
      </c>
      <c r="K369" s="0" t="n">
        <v>0</v>
      </c>
      <c r="L369" s="0" t="n">
        <v>1.94852484205356</v>
      </c>
      <c r="M369" s="0" t="n">
        <v>372.557136052057</v>
      </c>
      <c r="N369" s="0" t="n">
        <v>8.5320268992312</v>
      </c>
      <c r="O369" s="0" t="n">
        <v>352</v>
      </c>
      <c r="P369" s="0" t="n">
        <v>179</v>
      </c>
      <c r="Q369" s="0" t="n">
        <v>173</v>
      </c>
      <c r="R369" s="0" t="n">
        <v>380.085664487179</v>
      </c>
      <c r="S369" s="0" t="n">
        <v>594.69338352188</v>
      </c>
      <c r="T369" s="0" t="n">
        <v>22</v>
      </c>
      <c r="U369" s="0" t="n">
        <v>26</v>
      </c>
      <c r="V369" s="0" t="n">
        <v>17.2766132600476</v>
      </c>
      <c r="W369" s="0" t="n">
        <v>22.8727344710936</v>
      </c>
      <c r="X369" s="0" t="n">
        <v>0</v>
      </c>
      <c r="Y369" s="0" t="n">
        <v>0</v>
      </c>
      <c r="Z369" s="0" t="n">
        <v>8.5320268992312</v>
      </c>
      <c r="AA369" s="0" t="n">
        <v>0</v>
      </c>
      <c r="AB369" s="0" t="n">
        <v>0</v>
      </c>
      <c r="AC369" s="0" t="n">
        <v>0</v>
      </c>
      <c r="AD369" s="0" t="n">
        <v>1</v>
      </c>
      <c r="AE369" s="0" t="n">
        <v>0</v>
      </c>
      <c r="AF369" s="0" t="n">
        <v>0</v>
      </c>
      <c r="AG369" s="0" t="n">
        <v>0</v>
      </c>
      <c r="AH369" s="0" t="n">
        <v>0.586945402196947</v>
      </c>
      <c r="AI369" s="0" t="n">
        <v>0</v>
      </c>
      <c r="AK369" s="0" t="n">
        <f aca="false">A369</f>
        <v>352</v>
      </c>
      <c r="AL369" s="0" t="n">
        <v>2</v>
      </c>
      <c r="AM369" s="0" t="n">
        <v>1</v>
      </c>
      <c r="AO369" s="0" t="n">
        <v>352</v>
      </c>
      <c r="AP369" s="0" t="n">
        <v>0</v>
      </c>
      <c r="AQ369" s="0" t="n">
        <v>0.302152461906411</v>
      </c>
      <c r="AR369" s="0" t="n">
        <v>307.787995961918</v>
      </c>
      <c r="AS369" s="0" t="n">
        <v>50</v>
      </c>
      <c r="AT369" s="0" t="n">
        <v>52</v>
      </c>
    </row>
    <row r="370" customFormat="false" ht="12" hidden="false" customHeight="false" outlineLevel="0" collapsed="false">
      <c r="A370" s="0" t="n">
        <v>353</v>
      </c>
      <c r="B370" s="0" t="n">
        <v>1</v>
      </c>
      <c r="C370" s="0" t="n">
        <v>0.681099708652927</v>
      </c>
      <c r="D370" s="0" t="n">
        <v>364.706208861478</v>
      </c>
      <c r="E370" s="0" t="n">
        <v>14</v>
      </c>
      <c r="F370" s="0" t="n">
        <v>10</v>
      </c>
      <c r="G370" s="0" t="n">
        <v>0.5</v>
      </c>
      <c r="H370" s="0" t="n">
        <v>1</v>
      </c>
      <c r="I370" s="0" t="n">
        <v>0</v>
      </c>
      <c r="J370" s="0" t="n">
        <v>374.818394988981</v>
      </c>
      <c r="K370" s="0" t="n">
        <v>0</v>
      </c>
      <c r="L370" s="0" t="n">
        <v>2.24847435609943</v>
      </c>
      <c r="M370" s="0" t="n">
        <v>374.805610408156</v>
      </c>
      <c r="N370" s="0" t="n">
        <v>10.0994015466777</v>
      </c>
      <c r="O370" s="0" t="n">
        <v>353</v>
      </c>
      <c r="P370" s="0" t="n">
        <v>179</v>
      </c>
      <c r="Q370" s="0" t="n">
        <v>174</v>
      </c>
      <c r="R370" s="0" t="n">
        <v>420.659829674021</v>
      </c>
      <c r="S370" s="0" t="n">
        <v>549.549738701452</v>
      </c>
      <c r="T370" s="0" t="n">
        <v>20</v>
      </c>
      <c r="U370" s="0" t="n">
        <v>28</v>
      </c>
      <c r="V370" s="0" t="n">
        <v>21.0329809672105</v>
      </c>
      <c r="W370" s="0" t="n">
        <v>19.6267062868151</v>
      </c>
      <c r="X370" s="0" t="n">
        <v>0</v>
      </c>
      <c r="Y370" s="0" t="n">
        <v>0</v>
      </c>
      <c r="Z370" s="0" t="n">
        <v>10.0994015466777</v>
      </c>
      <c r="AA370" s="0" t="n">
        <v>0</v>
      </c>
      <c r="AB370" s="0" t="n">
        <v>0</v>
      </c>
      <c r="AC370" s="0" t="n">
        <v>0</v>
      </c>
      <c r="AD370" s="0" t="n">
        <v>1</v>
      </c>
      <c r="AE370" s="0" t="n">
        <v>0</v>
      </c>
      <c r="AF370" s="0" t="n">
        <v>0</v>
      </c>
      <c r="AG370" s="0" t="n">
        <v>0</v>
      </c>
      <c r="AH370" s="0" t="n">
        <v>5.4452141674503</v>
      </c>
      <c r="AI370" s="0" t="n">
        <v>0</v>
      </c>
      <c r="AK370" s="0" t="n">
        <f aca="false">A370</f>
        <v>353</v>
      </c>
      <c r="AL370" s="0" t="n">
        <v>2</v>
      </c>
      <c r="AM370" s="0" t="n">
        <v>2</v>
      </c>
      <c r="AO370" s="0" t="n">
        <v>353</v>
      </c>
      <c r="AP370" s="0" t="n">
        <v>1</v>
      </c>
      <c r="AQ370" s="0" t="n">
        <v>2.60855088033634</v>
      </c>
      <c r="AR370" s="0" t="n">
        <v>310.396546842254</v>
      </c>
      <c r="AS370" s="0" t="n">
        <v>46</v>
      </c>
      <c r="AT370" s="0" t="n">
        <v>50</v>
      </c>
    </row>
    <row r="371" customFormat="false" ht="12" hidden="false" customHeight="false" outlineLevel="0" collapsed="false">
      <c r="A371" s="0" t="n">
        <v>354</v>
      </c>
      <c r="B371" s="0" t="n">
        <v>0</v>
      </c>
      <c r="C371" s="0" t="n">
        <v>2.88813484074307</v>
      </c>
      <c r="D371" s="0" t="n">
        <v>367.594343702221</v>
      </c>
      <c r="E371" s="0" t="n">
        <v>10</v>
      </c>
      <c r="F371" s="0" t="n">
        <v>10</v>
      </c>
      <c r="G371" s="0" t="n">
        <v>0.5</v>
      </c>
      <c r="H371" s="0" t="n">
        <v>1</v>
      </c>
      <c r="I371" s="0" t="n">
        <v>0</v>
      </c>
      <c r="J371" s="0" t="n">
        <v>374.818394988981</v>
      </c>
      <c r="K371" s="0" t="n">
        <v>0</v>
      </c>
      <c r="L371" s="0" t="n">
        <v>2.12336415867861</v>
      </c>
      <c r="M371" s="0" t="n">
        <v>376.928974566835</v>
      </c>
      <c r="N371" s="0" t="n">
        <v>9.33463086461325</v>
      </c>
      <c r="O371" s="0" t="n">
        <v>354</v>
      </c>
      <c r="P371" s="0" t="n">
        <v>179</v>
      </c>
      <c r="Q371" s="0" t="n">
        <v>175</v>
      </c>
      <c r="R371" s="0" t="n">
        <v>545.62023593586</v>
      </c>
      <c r="S371" s="0" t="n">
        <v>425.307733103363</v>
      </c>
      <c r="T371" s="0" t="n">
        <v>26</v>
      </c>
      <c r="U371" s="0" t="n">
        <v>22</v>
      </c>
      <c r="V371" s="0" t="n">
        <v>20.9853856185386</v>
      </c>
      <c r="W371" s="0" t="n">
        <v>19.3320818134173</v>
      </c>
      <c r="X371" s="0" t="n">
        <v>0</v>
      </c>
      <c r="Y371" s="0" t="n">
        <v>0</v>
      </c>
      <c r="Z371" s="0" t="n">
        <v>0</v>
      </c>
      <c r="AA371" s="0" t="n">
        <v>9.33463086461325</v>
      </c>
      <c r="AB371" s="0" t="n">
        <v>0</v>
      </c>
      <c r="AC371" s="0" t="n">
        <v>0</v>
      </c>
      <c r="AD371" s="0" t="n">
        <v>0</v>
      </c>
      <c r="AE371" s="0" t="n">
        <v>1</v>
      </c>
      <c r="AF371" s="0" t="n">
        <v>0</v>
      </c>
      <c r="AG371" s="0" t="n">
        <v>0</v>
      </c>
      <c r="AH371" s="0" t="n">
        <v>0</v>
      </c>
      <c r="AI371" s="0" t="n">
        <v>2.57034676176162</v>
      </c>
      <c r="AK371" s="0" t="n">
        <f aca="false">A371</f>
        <v>354</v>
      </c>
      <c r="AL371" s="0" t="n">
        <v>0</v>
      </c>
      <c r="AM371" s="0" t="n">
        <v>1</v>
      </c>
      <c r="AO371" s="0" t="n">
        <v>354</v>
      </c>
      <c r="AP371" s="0" t="n">
        <v>0</v>
      </c>
      <c r="AQ371" s="0" t="n">
        <v>0.0360912771842723</v>
      </c>
      <c r="AR371" s="0" t="n">
        <v>310.432638119438</v>
      </c>
      <c r="AS371" s="0" t="n">
        <v>48</v>
      </c>
      <c r="AT371" s="0" t="n">
        <v>50</v>
      </c>
    </row>
    <row r="372" customFormat="false" ht="12" hidden="false" customHeight="false" outlineLevel="0" collapsed="false">
      <c r="A372" s="0" t="n">
        <v>355</v>
      </c>
      <c r="B372" s="0" t="n">
        <v>0</v>
      </c>
      <c r="C372" s="0" t="n">
        <v>0.361478865228065</v>
      </c>
      <c r="D372" s="0" t="n">
        <v>367.955822567449</v>
      </c>
      <c r="E372" s="0" t="n">
        <v>10</v>
      </c>
      <c r="F372" s="0" t="n">
        <v>12</v>
      </c>
      <c r="G372" s="0" t="n">
        <v>0.5</v>
      </c>
      <c r="H372" s="0" t="n">
        <v>0</v>
      </c>
      <c r="I372" s="0" t="n">
        <v>1.77366101714767</v>
      </c>
      <c r="J372" s="0" t="n">
        <v>376.592056006128</v>
      </c>
      <c r="K372" s="0" t="n">
        <v>8.63623343867886</v>
      </c>
      <c r="L372" s="0" t="n">
        <v>0</v>
      </c>
      <c r="M372" s="0" t="n">
        <v>376.928974566835</v>
      </c>
      <c r="N372" s="0" t="n">
        <v>0</v>
      </c>
      <c r="O372" s="0" t="n">
        <v>355</v>
      </c>
      <c r="P372" s="0" t="n">
        <v>180</v>
      </c>
      <c r="Q372" s="0" t="n">
        <v>175</v>
      </c>
      <c r="R372" s="0" t="n">
        <v>587.159050072138</v>
      </c>
      <c r="S372" s="0" t="n">
        <v>405.794656694278</v>
      </c>
      <c r="T372" s="0" t="n">
        <v>26</v>
      </c>
      <c r="U372" s="0" t="n">
        <v>22</v>
      </c>
      <c r="V372" s="0" t="n">
        <v>22.5830317016085</v>
      </c>
      <c r="W372" s="0" t="n">
        <v>18.4451278264316</v>
      </c>
      <c r="X372" s="0" t="n">
        <v>0</v>
      </c>
      <c r="Y372" s="0" t="n">
        <v>8.63623343867886</v>
      </c>
      <c r="Z372" s="0" t="n">
        <v>0</v>
      </c>
      <c r="AA372" s="0" t="n">
        <v>0</v>
      </c>
      <c r="AB372" s="0" t="n">
        <v>0</v>
      </c>
      <c r="AC372" s="0" t="n">
        <v>1</v>
      </c>
      <c r="AD372" s="0" t="n">
        <v>0</v>
      </c>
      <c r="AE372" s="0" t="n">
        <v>0</v>
      </c>
      <c r="AF372" s="0" t="n">
        <v>0</v>
      </c>
      <c r="AG372" s="0" t="n">
        <v>0.142563935329523</v>
      </c>
      <c r="AH372" s="0" t="n">
        <v>0</v>
      </c>
      <c r="AI372" s="0" t="n">
        <v>0</v>
      </c>
      <c r="AK372" s="0" t="n">
        <f aca="false">A372</f>
        <v>355</v>
      </c>
      <c r="AL372" s="0" t="n">
        <v>1</v>
      </c>
      <c r="AM372" s="0" t="n">
        <v>0</v>
      </c>
      <c r="AO372" s="0" t="n">
        <v>355</v>
      </c>
      <c r="AP372" s="0" t="n">
        <v>1</v>
      </c>
      <c r="AQ372" s="0" t="n">
        <v>0.132714613770561</v>
      </c>
      <c r="AR372" s="0" t="n">
        <v>310.565352733209</v>
      </c>
      <c r="AS372" s="0" t="n">
        <v>50</v>
      </c>
      <c r="AT372" s="0" t="n">
        <v>50</v>
      </c>
    </row>
    <row r="373" customFormat="false" ht="12" hidden="false" customHeight="false" outlineLevel="0" collapsed="false">
      <c r="A373" s="0" t="n">
        <v>356</v>
      </c>
      <c r="B373" s="0" t="n">
        <v>0</v>
      </c>
      <c r="C373" s="0" t="n">
        <v>0.353305949070064</v>
      </c>
      <c r="D373" s="0" t="n">
        <v>368.309128516519</v>
      </c>
      <c r="E373" s="0" t="n">
        <v>12</v>
      </c>
      <c r="F373" s="0" t="n">
        <v>12</v>
      </c>
      <c r="G373" s="0" t="n">
        <v>0.5</v>
      </c>
      <c r="H373" s="0" t="n">
        <v>0</v>
      </c>
      <c r="I373" s="0" t="n">
        <v>2.02403031592203</v>
      </c>
      <c r="J373" s="0" t="n">
        <v>378.61608632205</v>
      </c>
      <c r="K373" s="0" t="n">
        <v>10.3069578055308</v>
      </c>
      <c r="L373" s="0" t="n">
        <v>0</v>
      </c>
      <c r="M373" s="0" t="n">
        <v>376.928974566835</v>
      </c>
      <c r="N373" s="0" t="n">
        <v>0</v>
      </c>
      <c r="O373" s="0" t="n">
        <v>356</v>
      </c>
      <c r="P373" s="0" t="n">
        <v>181</v>
      </c>
      <c r="Q373" s="0" t="n">
        <v>175</v>
      </c>
      <c r="R373" s="0" t="n">
        <v>434.729229622494</v>
      </c>
      <c r="S373" s="0" t="n">
        <v>553.195677396295</v>
      </c>
      <c r="T373" s="0" t="n">
        <v>22</v>
      </c>
      <c r="U373" s="0" t="n">
        <v>26</v>
      </c>
      <c r="V373" s="0" t="n">
        <v>19.7604105462904</v>
      </c>
      <c r="W373" s="0" t="n">
        <v>21.2766749895691</v>
      </c>
      <c r="X373" s="0" t="n">
        <v>0</v>
      </c>
      <c r="Y373" s="0" t="n">
        <v>10.3069578055308</v>
      </c>
      <c r="Z373" s="0" t="n">
        <v>0</v>
      </c>
      <c r="AA373" s="0" t="n">
        <v>0</v>
      </c>
      <c r="AB373" s="0" t="n">
        <v>0</v>
      </c>
      <c r="AC373" s="0" t="n">
        <v>1</v>
      </c>
      <c r="AD373" s="0" t="n">
        <v>0</v>
      </c>
      <c r="AE373" s="0" t="n">
        <v>0</v>
      </c>
      <c r="AF373" s="0" t="n">
        <v>0</v>
      </c>
      <c r="AG373" s="0" t="n">
        <v>4.19553601788363</v>
      </c>
      <c r="AH373" s="0" t="n">
        <v>0</v>
      </c>
      <c r="AI373" s="0" t="n">
        <v>0</v>
      </c>
      <c r="AK373" s="0" t="n">
        <f aca="false">A373</f>
        <v>356</v>
      </c>
      <c r="AL373" s="0" t="n">
        <v>0</v>
      </c>
      <c r="AM373" s="0" t="n">
        <v>1</v>
      </c>
      <c r="AO373" s="0" t="n">
        <v>356</v>
      </c>
      <c r="AP373" s="0" t="n">
        <v>0</v>
      </c>
      <c r="AQ373" s="0" t="n">
        <v>0.397769609298103</v>
      </c>
      <c r="AR373" s="0" t="n">
        <v>310.963122342507</v>
      </c>
      <c r="AS373" s="0" t="n">
        <v>50</v>
      </c>
      <c r="AT373" s="0" t="n">
        <v>52</v>
      </c>
    </row>
    <row r="374" customFormat="false" ht="12" hidden="false" customHeight="false" outlineLevel="0" collapsed="false">
      <c r="A374" s="0" t="n">
        <v>357</v>
      </c>
      <c r="B374" s="0" t="n">
        <v>1</v>
      </c>
      <c r="C374" s="0" t="n">
        <v>0.0922045632813505</v>
      </c>
      <c r="D374" s="0" t="n">
        <v>368.401333079801</v>
      </c>
      <c r="E374" s="0" t="n">
        <v>14</v>
      </c>
      <c r="F374" s="0" t="n">
        <v>12</v>
      </c>
      <c r="G374" s="0" t="n">
        <v>0.5</v>
      </c>
      <c r="H374" s="0" t="n">
        <v>1</v>
      </c>
      <c r="I374" s="0" t="n">
        <v>0</v>
      </c>
      <c r="J374" s="0" t="n">
        <v>378.61608632205</v>
      </c>
      <c r="K374" s="0" t="n">
        <v>0</v>
      </c>
      <c r="L374" s="0" t="n">
        <v>2.14255353007626</v>
      </c>
      <c r="M374" s="0" t="n">
        <v>379.071528096911</v>
      </c>
      <c r="N374" s="0" t="n">
        <v>10.67019501711</v>
      </c>
      <c r="O374" s="0" t="n">
        <v>357</v>
      </c>
      <c r="P374" s="0" t="n">
        <v>181</v>
      </c>
      <c r="Q374" s="0" t="n">
        <v>176</v>
      </c>
      <c r="R374" s="0" t="n">
        <v>460.307601743433</v>
      </c>
      <c r="S374" s="0" t="n">
        <v>536.652136789137</v>
      </c>
      <c r="T374" s="0" t="n">
        <v>23</v>
      </c>
      <c r="U374" s="0" t="n">
        <v>25</v>
      </c>
      <c r="V374" s="0" t="n">
        <v>20.0133652873817</v>
      </c>
      <c r="W374" s="0" t="n">
        <v>21.465999607567</v>
      </c>
      <c r="X374" s="0" t="n">
        <v>0</v>
      </c>
      <c r="Y374" s="0" t="n">
        <v>0</v>
      </c>
      <c r="Z374" s="0" t="n">
        <v>10.67019501711</v>
      </c>
      <c r="AA374" s="0" t="n">
        <v>0</v>
      </c>
      <c r="AB374" s="0" t="n">
        <v>0</v>
      </c>
      <c r="AC374" s="0" t="n">
        <v>0</v>
      </c>
      <c r="AD374" s="0" t="n">
        <v>1</v>
      </c>
      <c r="AE374" s="0" t="n">
        <v>0</v>
      </c>
      <c r="AF374" s="0" t="n">
        <v>0</v>
      </c>
      <c r="AG374" s="0" t="n">
        <v>0</v>
      </c>
      <c r="AH374" s="0" t="n">
        <v>8.43491050278654</v>
      </c>
      <c r="AI374" s="0" t="n">
        <v>0</v>
      </c>
      <c r="AK374" s="0" t="n">
        <f aca="false">A374</f>
        <v>357</v>
      </c>
      <c r="AL374" s="0" t="n">
        <v>1</v>
      </c>
      <c r="AM374" s="0" t="n">
        <v>2</v>
      </c>
      <c r="AO374" s="0" t="n">
        <v>357</v>
      </c>
      <c r="AP374" s="0" t="n">
        <v>1</v>
      </c>
      <c r="AQ374" s="0" t="n">
        <v>0.44061276305094</v>
      </c>
      <c r="AR374" s="0" t="n">
        <v>311.403735105558</v>
      </c>
      <c r="AS374" s="0" t="n">
        <v>50</v>
      </c>
      <c r="AT374" s="0" t="n">
        <v>54</v>
      </c>
    </row>
    <row r="375" customFormat="false" ht="12" hidden="false" customHeight="false" outlineLevel="0" collapsed="false">
      <c r="A375" s="0" t="n">
        <v>358</v>
      </c>
      <c r="B375" s="0" t="n">
        <v>0</v>
      </c>
      <c r="C375" s="0" t="n">
        <v>1.76543771669907</v>
      </c>
      <c r="D375" s="0" t="n">
        <v>370.1667707965</v>
      </c>
      <c r="E375" s="0" t="n">
        <v>12</v>
      </c>
      <c r="F375" s="0" t="n">
        <v>12</v>
      </c>
      <c r="G375" s="0" t="n">
        <v>0.5</v>
      </c>
      <c r="H375" s="0" t="n">
        <v>0</v>
      </c>
      <c r="I375" s="0" t="n">
        <v>1.84306057558731</v>
      </c>
      <c r="J375" s="0" t="n">
        <v>380.459146897638</v>
      </c>
      <c r="K375" s="0" t="n">
        <v>10.2923761011376</v>
      </c>
      <c r="L375" s="0" t="n">
        <v>0</v>
      </c>
      <c r="M375" s="0" t="n">
        <v>379.071528096911</v>
      </c>
      <c r="N375" s="0" t="n">
        <v>0</v>
      </c>
      <c r="O375" s="0" t="n">
        <v>358</v>
      </c>
      <c r="P375" s="0" t="n">
        <v>182</v>
      </c>
      <c r="Q375" s="0" t="n">
        <v>176</v>
      </c>
      <c r="R375" s="0" t="n">
        <v>583.744288961516</v>
      </c>
      <c r="S375" s="0" t="n">
        <v>409.328801949717</v>
      </c>
      <c r="T375" s="0" t="n">
        <v>30</v>
      </c>
      <c r="U375" s="0" t="n">
        <v>18</v>
      </c>
      <c r="V375" s="0" t="n">
        <v>19.4581364793384</v>
      </c>
      <c r="W375" s="0" t="n">
        <v>22.7403626618584</v>
      </c>
      <c r="X375" s="0" t="n">
        <v>0</v>
      </c>
      <c r="Y375" s="0" t="n">
        <v>10.2923761011376</v>
      </c>
      <c r="Z375" s="0" t="n">
        <v>0</v>
      </c>
      <c r="AA375" s="0" t="n">
        <v>0</v>
      </c>
      <c r="AB375" s="0" t="n">
        <v>0</v>
      </c>
      <c r="AC375" s="0" t="n">
        <v>1</v>
      </c>
      <c r="AD375" s="0" t="n">
        <v>0</v>
      </c>
      <c r="AE375" s="0" t="n">
        <v>0</v>
      </c>
      <c r="AF375" s="0" t="n">
        <v>0</v>
      </c>
      <c r="AG375" s="0" t="n">
        <v>4.13601321150248</v>
      </c>
      <c r="AH375" s="0" t="n">
        <v>0</v>
      </c>
      <c r="AI375" s="0" t="n">
        <v>0</v>
      </c>
      <c r="AK375" s="0" t="n">
        <f aca="false">A375</f>
        <v>358</v>
      </c>
      <c r="AL375" s="0" t="n">
        <v>0</v>
      </c>
      <c r="AM375" s="0" t="n">
        <v>1</v>
      </c>
      <c r="AO375" s="0" t="n">
        <v>358</v>
      </c>
      <c r="AP375" s="0" t="n">
        <v>1</v>
      </c>
      <c r="AQ375" s="0" t="n">
        <v>4.86981430966631</v>
      </c>
      <c r="AR375" s="0" t="n">
        <v>316.273549415224</v>
      </c>
      <c r="AS375" s="0" t="n">
        <v>46</v>
      </c>
      <c r="AT375" s="0" t="n">
        <v>48</v>
      </c>
    </row>
    <row r="376" customFormat="false" ht="12" hidden="false" customHeight="false" outlineLevel="0" collapsed="false">
      <c r="A376" s="0" t="n">
        <v>359</v>
      </c>
      <c r="B376" s="0" t="n">
        <v>1</v>
      </c>
      <c r="C376" s="0" t="n">
        <v>0.302934023841718</v>
      </c>
      <c r="D376" s="0" t="n">
        <v>370.469704820342</v>
      </c>
      <c r="E376" s="0" t="n">
        <v>14</v>
      </c>
      <c r="F376" s="0" t="n">
        <v>12</v>
      </c>
      <c r="G376" s="0" t="n">
        <v>0.5</v>
      </c>
      <c r="H376" s="0" t="n">
        <v>1</v>
      </c>
      <c r="I376" s="0" t="n">
        <v>0</v>
      </c>
      <c r="J376" s="0" t="n">
        <v>380.459146897638</v>
      </c>
      <c r="K376" s="0" t="n">
        <v>0</v>
      </c>
      <c r="L376" s="0" t="n">
        <v>2.20514356454929</v>
      </c>
      <c r="M376" s="0" t="n">
        <v>381.27667166146</v>
      </c>
      <c r="N376" s="0" t="n">
        <v>10.8069668411185</v>
      </c>
      <c r="O376" s="0" t="n">
        <v>359</v>
      </c>
      <c r="P376" s="0" t="n">
        <v>182</v>
      </c>
      <c r="Q376" s="0" t="n">
        <v>177</v>
      </c>
      <c r="R376" s="0" t="n">
        <v>610.190826552298</v>
      </c>
      <c r="S376" s="0" t="n">
        <v>365.317268203864</v>
      </c>
      <c r="T376" s="0" t="n">
        <v>27</v>
      </c>
      <c r="U376" s="0" t="n">
        <v>21</v>
      </c>
      <c r="V376" s="0" t="n">
        <v>22.5996518724363</v>
      </c>
      <c r="W376" s="0" t="n">
        <v>17.3959775526718</v>
      </c>
      <c r="X376" s="0" t="n">
        <v>0</v>
      </c>
      <c r="Y376" s="0" t="n">
        <v>0</v>
      </c>
      <c r="Z376" s="0" t="n">
        <v>10.8069668411185</v>
      </c>
      <c r="AA376" s="0" t="n">
        <v>0</v>
      </c>
      <c r="AB376" s="0" t="n">
        <v>0</v>
      </c>
      <c r="AC376" s="0" t="n">
        <v>0</v>
      </c>
      <c r="AD376" s="0" t="n">
        <v>1</v>
      </c>
      <c r="AE376" s="0" t="n">
        <v>0</v>
      </c>
      <c r="AF376" s="0" t="n">
        <v>0</v>
      </c>
      <c r="AG376" s="0" t="n">
        <v>0</v>
      </c>
      <c r="AH376" s="0" t="n">
        <v>9.2480675917062</v>
      </c>
      <c r="AI376" s="0" t="n">
        <v>0</v>
      </c>
      <c r="AK376" s="0" t="n">
        <f aca="false">A376</f>
        <v>359</v>
      </c>
      <c r="AL376" s="0" t="n">
        <v>1</v>
      </c>
      <c r="AM376" s="0" t="n">
        <v>0</v>
      </c>
      <c r="AO376" s="0" t="n">
        <v>359</v>
      </c>
      <c r="AP376" s="0" t="n">
        <v>1</v>
      </c>
      <c r="AQ376" s="0" t="n">
        <v>0.134734238894141</v>
      </c>
      <c r="AR376" s="0" t="n">
        <v>316.408283654119</v>
      </c>
      <c r="AS376" s="0" t="n">
        <v>48</v>
      </c>
      <c r="AT376" s="0" t="n">
        <v>48</v>
      </c>
    </row>
    <row r="377" customFormat="false" ht="12" hidden="false" customHeight="false" outlineLevel="0" collapsed="false">
      <c r="A377" s="0" t="n">
        <v>360</v>
      </c>
      <c r="B377" s="0" t="n">
        <v>1</v>
      </c>
      <c r="C377" s="0" t="n">
        <v>0.61437399309284</v>
      </c>
      <c r="D377" s="0" t="n">
        <v>371.084078813434</v>
      </c>
      <c r="E377" s="0" t="n">
        <v>12</v>
      </c>
      <c r="F377" s="0" t="n">
        <v>12</v>
      </c>
      <c r="G377" s="0" t="n">
        <v>0.5</v>
      </c>
      <c r="H377" s="0" t="n">
        <v>1</v>
      </c>
      <c r="I377" s="0" t="n">
        <v>0</v>
      </c>
      <c r="J377" s="0" t="n">
        <v>380.459146897638</v>
      </c>
      <c r="K377" s="0" t="n">
        <v>0</v>
      </c>
      <c r="L377" s="0" t="n">
        <v>2.2386295591096</v>
      </c>
      <c r="M377" s="0" t="n">
        <v>383.51530122057</v>
      </c>
      <c r="N377" s="0" t="n">
        <v>12.4312224071353</v>
      </c>
      <c r="O377" s="0" t="n">
        <v>360</v>
      </c>
      <c r="P377" s="0" t="n">
        <v>182</v>
      </c>
      <c r="Q377" s="0" t="n">
        <v>178</v>
      </c>
      <c r="R377" s="0" t="n">
        <v>251.265981481541</v>
      </c>
      <c r="S377" s="0" t="n">
        <v>727.123085597779</v>
      </c>
      <c r="T377" s="0" t="n">
        <v>14</v>
      </c>
      <c r="U377" s="0" t="n">
        <v>34</v>
      </c>
      <c r="V377" s="0" t="n">
        <v>17.9475572861406</v>
      </c>
      <c r="W377" s="0" t="n">
        <v>21.3859102060811</v>
      </c>
      <c r="X377" s="0" t="n">
        <v>0</v>
      </c>
      <c r="Y377" s="0" t="n">
        <v>0</v>
      </c>
      <c r="Z377" s="0" t="n">
        <v>12.4312224071353</v>
      </c>
      <c r="AA377" s="0" t="n">
        <v>0</v>
      </c>
      <c r="AB377" s="0" t="n">
        <v>0</v>
      </c>
      <c r="AC377" s="0" t="n">
        <v>0</v>
      </c>
      <c r="AD377" s="0" t="n">
        <v>1</v>
      </c>
      <c r="AE377" s="0" t="n">
        <v>0</v>
      </c>
      <c r="AF377" s="0" t="n">
        <v>0</v>
      </c>
      <c r="AG377" s="0" t="n">
        <v>0</v>
      </c>
      <c r="AH377" s="0" t="n">
        <v>21.7652025717343</v>
      </c>
      <c r="AI377" s="0" t="n">
        <v>0</v>
      </c>
      <c r="AK377" s="0" t="n">
        <f aca="false">A377</f>
        <v>360</v>
      </c>
      <c r="AL377" s="0" t="n">
        <v>0</v>
      </c>
      <c r="AM377" s="0" t="n">
        <v>1</v>
      </c>
      <c r="AO377" s="0" t="n">
        <v>360</v>
      </c>
      <c r="AP377" s="0" t="n">
        <v>0</v>
      </c>
      <c r="AQ377" s="0" t="n">
        <v>0.93397886384044</v>
      </c>
      <c r="AR377" s="0" t="n">
        <v>317.342262517959</v>
      </c>
      <c r="AS377" s="0" t="n">
        <v>48</v>
      </c>
      <c r="AT377" s="0" t="n">
        <v>50</v>
      </c>
    </row>
    <row r="378" customFormat="false" ht="12" hidden="false" customHeight="false" outlineLevel="0" collapsed="false">
      <c r="A378" s="0" t="n">
        <v>361</v>
      </c>
      <c r="B378" s="0" t="n">
        <v>1</v>
      </c>
      <c r="C378" s="0" t="n">
        <v>0.0654711709776576</v>
      </c>
      <c r="D378" s="0" t="n">
        <v>371.149549984412</v>
      </c>
      <c r="E378" s="0" t="n">
        <v>12</v>
      </c>
      <c r="F378" s="0" t="n">
        <v>14</v>
      </c>
      <c r="G378" s="0" t="n">
        <v>0.5</v>
      </c>
      <c r="H378" s="0" t="n">
        <v>0</v>
      </c>
      <c r="I378" s="0" t="n">
        <v>2.16362548921434</v>
      </c>
      <c r="J378" s="0" t="n">
        <v>382.622772386852</v>
      </c>
      <c r="K378" s="0" t="n">
        <v>11.4732224024397</v>
      </c>
      <c r="L378" s="0" t="n">
        <v>0</v>
      </c>
      <c r="M378" s="0" t="n">
        <v>383.51530122057</v>
      </c>
      <c r="N378" s="0" t="n">
        <v>0</v>
      </c>
      <c r="O378" s="0" t="n">
        <v>361</v>
      </c>
      <c r="P378" s="0" t="n">
        <v>183</v>
      </c>
      <c r="Q378" s="0" t="n">
        <v>178</v>
      </c>
      <c r="R378" s="0" t="n">
        <v>632.134438210513</v>
      </c>
      <c r="S378" s="0" t="n">
        <v>357.765844442636</v>
      </c>
      <c r="T378" s="0" t="n">
        <v>29</v>
      </c>
      <c r="U378" s="0" t="n">
        <v>19</v>
      </c>
      <c r="V378" s="0" t="n">
        <v>21.7977317321791</v>
      </c>
      <c r="W378" s="0" t="n">
        <v>18.8296821828641</v>
      </c>
      <c r="X378" s="0" t="n">
        <v>11.4732224024397</v>
      </c>
      <c r="Y378" s="0" t="n">
        <v>0</v>
      </c>
      <c r="Z378" s="0" t="n">
        <v>0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  <c r="AF378" s="0" t="n">
        <v>16.3673831403842</v>
      </c>
      <c r="AG378" s="0" t="n">
        <v>0</v>
      </c>
      <c r="AH378" s="0" t="n">
        <v>0</v>
      </c>
      <c r="AI378" s="0" t="n">
        <v>0</v>
      </c>
      <c r="AK378" s="0" t="n">
        <f aca="false">A378</f>
        <v>361</v>
      </c>
      <c r="AL378" s="0" t="n">
        <v>1</v>
      </c>
      <c r="AM378" s="0" t="n">
        <v>3</v>
      </c>
      <c r="AO378" s="0" t="n">
        <v>361</v>
      </c>
      <c r="AP378" s="0" t="n">
        <v>1</v>
      </c>
      <c r="AQ378" s="0" t="n">
        <v>0.402257762749815</v>
      </c>
      <c r="AR378" s="0" t="n">
        <v>317.744520280709</v>
      </c>
      <c r="AS378" s="0" t="n">
        <v>46</v>
      </c>
      <c r="AT378" s="0" t="n">
        <v>52</v>
      </c>
    </row>
    <row r="379" customFormat="false" ht="12" hidden="false" customHeight="false" outlineLevel="0" collapsed="false">
      <c r="A379" s="0" t="n">
        <v>362</v>
      </c>
      <c r="B379" s="0" t="n">
        <v>0</v>
      </c>
      <c r="C379" s="0" t="n">
        <v>1.73768305673042</v>
      </c>
      <c r="D379" s="0" t="n">
        <v>372.887233041143</v>
      </c>
      <c r="E379" s="0" t="n">
        <v>12</v>
      </c>
      <c r="F379" s="0" t="n">
        <v>12</v>
      </c>
      <c r="G379" s="0" t="n">
        <v>0.5</v>
      </c>
      <c r="H379" s="0" t="n">
        <v>0</v>
      </c>
      <c r="I379" s="0" t="n">
        <v>2.11096769695173</v>
      </c>
      <c r="J379" s="0" t="n">
        <v>384.733740083804</v>
      </c>
      <c r="K379" s="0" t="n">
        <v>11.846507042661</v>
      </c>
      <c r="L379" s="0" t="n">
        <v>0</v>
      </c>
      <c r="M379" s="0" t="n">
        <v>383.51530122057</v>
      </c>
      <c r="N379" s="0" t="n">
        <v>0</v>
      </c>
      <c r="O379" s="0" t="n">
        <v>362</v>
      </c>
      <c r="P379" s="0" t="n">
        <v>184</v>
      </c>
      <c r="Q379" s="0" t="n">
        <v>178</v>
      </c>
      <c r="R379" s="0" t="n">
        <v>536.277165930189</v>
      </c>
      <c r="S379" s="0" t="n">
        <v>460.271277688013</v>
      </c>
      <c r="T379" s="0" t="n">
        <v>23</v>
      </c>
      <c r="U379" s="0" t="n">
        <v>25</v>
      </c>
      <c r="V379" s="0" t="n">
        <v>23.3163883811437</v>
      </c>
      <c r="W379" s="0" t="n">
        <v>18.4107774644107</v>
      </c>
      <c r="X379" s="0" t="n">
        <v>0</v>
      </c>
      <c r="Y379" s="0" t="n">
        <v>11.846507042661</v>
      </c>
      <c r="Z379" s="0" t="n">
        <v>0</v>
      </c>
      <c r="AA379" s="0" t="n">
        <v>0</v>
      </c>
      <c r="AB379" s="0" t="n">
        <v>0</v>
      </c>
      <c r="AC379" s="0" t="n">
        <v>1</v>
      </c>
      <c r="AD379" s="0" t="n">
        <v>0</v>
      </c>
      <c r="AE379" s="0" t="n">
        <v>0</v>
      </c>
      <c r="AF379" s="0" t="n">
        <v>0</v>
      </c>
      <c r="AG379" s="0" t="n">
        <v>12.8726676272483</v>
      </c>
      <c r="AH379" s="0" t="n">
        <v>0</v>
      </c>
      <c r="AI379" s="0" t="n">
        <v>0</v>
      </c>
      <c r="AK379" s="0" t="n">
        <f aca="false">A379</f>
        <v>362</v>
      </c>
      <c r="AL379" s="0" t="n">
        <v>0</v>
      </c>
      <c r="AM379" s="0" t="n">
        <v>2</v>
      </c>
      <c r="AO379" s="0" t="n">
        <v>362</v>
      </c>
      <c r="AP379" s="0" t="n">
        <v>0</v>
      </c>
      <c r="AQ379" s="0" t="n">
        <v>2.1795327634189</v>
      </c>
      <c r="AR379" s="0" t="n">
        <v>319.924053044128</v>
      </c>
      <c r="AS379" s="0" t="n">
        <v>46</v>
      </c>
      <c r="AT379" s="0" t="n">
        <v>50</v>
      </c>
    </row>
    <row r="380" customFormat="false" ht="12" hidden="false" customHeight="false" outlineLevel="0" collapsed="false">
      <c r="A380" s="0" t="n">
        <v>363</v>
      </c>
      <c r="B380" s="0" t="n">
        <v>0</v>
      </c>
      <c r="C380" s="0" t="n">
        <v>1.03455882747651</v>
      </c>
      <c r="D380" s="0" t="n">
        <v>373.921791868619</v>
      </c>
      <c r="E380" s="0" t="n">
        <v>14</v>
      </c>
      <c r="F380" s="0" t="n">
        <v>12</v>
      </c>
      <c r="G380" s="0" t="n">
        <v>0.5</v>
      </c>
      <c r="H380" s="0" t="n">
        <v>1</v>
      </c>
      <c r="I380" s="0" t="n">
        <v>0</v>
      </c>
      <c r="J380" s="0" t="n">
        <v>384.733740083804</v>
      </c>
      <c r="K380" s="0" t="n">
        <v>0</v>
      </c>
      <c r="L380" s="0" t="n">
        <v>1.79533949128394</v>
      </c>
      <c r="M380" s="0" t="n">
        <v>385.310640711854</v>
      </c>
      <c r="N380" s="0" t="n">
        <v>11.3888488432346</v>
      </c>
      <c r="O380" s="0" t="n">
        <v>363</v>
      </c>
      <c r="P380" s="0" t="n">
        <v>184</v>
      </c>
      <c r="Q380" s="0" t="n">
        <v>179</v>
      </c>
      <c r="R380" s="0" t="n">
        <v>506.806572222122</v>
      </c>
      <c r="S380" s="0" t="n">
        <v>474.563603352032</v>
      </c>
      <c r="T380" s="0" t="n">
        <v>24</v>
      </c>
      <c r="U380" s="0" t="n">
        <v>24</v>
      </c>
      <c r="V380" s="0" t="n">
        <v>21.1169317105335</v>
      </c>
      <c r="W380" s="0" t="n">
        <v>19.7734010838302</v>
      </c>
      <c r="X380" s="0" t="n">
        <v>0</v>
      </c>
      <c r="Y380" s="0" t="n">
        <v>0</v>
      </c>
      <c r="Z380" s="0" t="n">
        <v>0</v>
      </c>
      <c r="AA380" s="0" t="n">
        <v>11.3888488432346</v>
      </c>
      <c r="AB380" s="0" t="n">
        <v>0</v>
      </c>
      <c r="AC380" s="0" t="n">
        <v>0</v>
      </c>
      <c r="AD380" s="0" t="n">
        <v>0</v>
      </c>
      <c r="AE380" s="0" t="n">
        <v>1</v>
      </c>
      <c r="AF380" s="0" t="n">
        <v>0</v>
      </c>
      <c r="AG380" s="0" t="n">
        <v>0</v>
      </c>
      <c r="AH380" s="0" t="n">
        <v>0</v>
      </c>
      <c r="AI380" s="0" t="n">
        <v>13.3769264665533</v>
      </c>
      <c r="AK380" s="0" t="n">
        <f aca="false">A380</f>
        <v>363</v>
      </c>
      <c r="AL380" s="0" t="n">
        <v>1</v>
      </c>
      <c r="AM380" s="0" t="n">
        <v>1</v>
      </c>
      <c r="AO380" s="0" t="n">
        <v>363</v>
      </c>
      <c r="AP380" s="0" t="n">
        <v>0</v>
      </c>
      <c r="AQ380" s="0" t="n">
        <v>0.0188286984123174</v>
      </c>
      <c r="AR380" s="0" t="n">
        <v>319.94288174254</v>
      </c>
      <c r="AS380" s="0" t="n">
        <v>48</v>
      </c>
      <c r="AT380" s="0" t="n">
        <v>50</v>
      </c>
    </row>
    <row r="381" customFormat="false" ht="12" hidden="false" customHeight="false" outlineLevel="0" collapsed="false">
      <c r="A381" s="0" t="n">
        <v>364</v>
      </c>
      <c r="B381" s="0" t="n">
        <v>0</v>
      </c>
      <c r="C381" s="0" t="n">
        <v>0.908559903616281</v>
      </c>
      <c r="D381" s="0" t="n">
        <v>374.830351772235</v>
      </c>
      <c r="E381" s="0" t="n">
        <v>12</v>
      </c>
      <c r="F381" s="0" t="n">
        <v>12</v>
      </c>
      <c r="G381" s="0" t="n">
        <v>0.5</v>
      </c>
      <c r="H381" s="0" t="n">
        <v>0</v>
      </c>
      <c r="I381" s="0" t="n">
        <v>2.17675612236587</v>
      </c>
      <c r="J381" s="0" t="n">
        <v>386.910496206169</v>
      </c>
      <c r="K381" s="0" t="n">
        <v>12.0801444339341</v>
      </c>
      <c r="L381" s="0" t="n">
        <v>0</v>
      </c>
      <c r="M381" s="0" t="n">
        <v>385.310640711854</v>
      </c>
      <c r="N381" s="0" t="n">
        <v>0</v>
      </c>
      <c r="O381" s="0" t="n">
        <v>364</v>
      </c>
      <c r="P381" s="0" t="n">
        <v>185</v>
      </c>
      <c r="Q381" s="0" t="n">
        <v>179</v>
      </c>
      <c r="R381" s="0" t="n">
        <v>388.327696297453</v>
      </c>
      <c r="S381" s="0" t="n">
        <v>605.484394922336</v>
      </c>
      <c r="T381" s="0" t="n">
        <v>20</v>
      </c>
      <c r="U381" s="0" t="n">
        <v>28</v>
      </c>
      <c r="V381" s="0" t="n">
        <v>19.4163751066851</v>
      </c>
      <c r="W381" s="0" t="n">
        <v>21.6243654459211</v>
      </c>
      <c r="X381" s="0" t="n">
        <v>0</v>
      </c>
      <c r="Y381" s="0" t="n">
        <v>12.0801444339341</v>
      </c>
      <c r="Z381" s="0" t="n">
        <v>0</v>
      </c>
      <c r="AA381" s="0" t="n">
        <v>0</v>
      </c>
      <c r="AB381" s="0" t="n">
        <v>0</v>
      </c>
      <c r="AC381" s="0" t="n">
        <v>1</v>
      </c>
      <c r="AD381" s="0" t="n">
        <v>0</v>
      </c>
      <c r="AE381" s="0" t="n">
        <v>0</v>
      </c>
      <c r="AF381" s="0" t="n">
        <v>0</v>
      </c>
      <c r="AG381" s="0" t="n">
        <v>14.6037658867166</v>
      </c>
      <c r="AH381" s="0" t="n">
        <v>0</v>
      </c>
      <c r="AI381" s="0" t="n">
        <v>0</v>
      </c>
      <c r="AK381" s="0" t="n">
        <f aca="false">A381</f>
        <v>364</v>
      </c>
      <c r="AL381" s="0" t="n">
        <v>0</v>
      </c>
      <c r="AM381" s="0" t="n">
        <v>1</v>
      </c>
      <c r="AO381" s="0" t="n">
        <v>364</v>
      </c>
      <c r="AP381" s="0" t="n">
        <v>1</v>
      </c>
      <c r="AQ381" s="0" t="n">
        <v>0.650061818810875</v>
      </c>
      <c r="AR381" s="0" t="n">
        <v>320.592943561351</v>
      </c>
      <c r="AS381" s="0" t="n">
        <v>50</v>
      </c>
      <c r="AT381" s="0" t="n">
        <v>48</v>
      </c>
    </row>
    <row r="382" customFormat="false" ht="12" hidden="false" customHeight="false" outlineLevel="0" collapsed="false">
      <c r="A382" s="0" t="n">
        <v>365</v>
      </c>
      <c r="B382" s="0" t="n">
        <v>0</v>
      </c>
      <c r="C382" s="0" t="n">
        <v>0.226634947688435</v>
      </c>
      <c r="D382" s="0" t="n">
        <v>375.056986719924</v>
      </c>
      <c r="E382" s="0" t="n">
        <v>14</v>
      </c>
      <c r="F382" s="0" t="n">
        <v>12</v>
      </c>
      <c r="G382" s="0" t="n">
        <v>0.5</v>
      </c>
      <c r="H382" s="0" t="n">
        <v>0</v>
      </c>
      <c r="I382" s="0" t="n">
        <v>1.92473774086736</v>
      </c>
      <c r="J382" s="0" t="n">
        <v>388.835233947037</v>
      </c>
      <c r="K382" s="0" t="n">
        <v>13.778247227113</v>
      </c>
      <c r="L382" s="0" t="n">
        <v>0</v>
      </c>
      <c r="M382" s="0" t="n">
        <v>385.310640711854</v>
      </c>
      <c r="N382" s="0" t="n">
        <v>0</v>
      </c>
      <c r="O382" s="0" t="n">
        <v>365</v>
      </c>
      <c r="P382" s="0" t="n">
        <v>186</v>
      </c>
      <c r="Q382" s="0" t="n">
        <v>179</v>
      </c>
      <c r="R382" s="0" t="n">
        <v>414.004355301967</v>
      </c>
      <c r="S382" s="0" t="n">
        <v>566.195882600558</v>
      </c>
      <c r="T382" s="0" t="n">
        <v>26</v>
      </c>
      <c r="U382" s="0" t="n">
        <v>22</v>
      </c>
      <c r="V382" s="0" t="n">
        <v>15.9232383103686</v>
      </c>
      <c r="W382" s="0" t="n">
        <v>25.7360594997549</v>
      </c>
      <c r="X382" s="0" t="n">
        <v>0</v>
      </c>
      <c r="Y382" s="0" t="n">
        <v>13.778247227113</v>
      </c>
      <c r="Z382" s="0" t="n">
        <v>0</v>
      </c>
      <c r="AA382" s="0" t="n">
        <v>0</v>
      </c>
      <c r="AB382" s="0" t="n">
        <v>0</v>
      </c>
      <c r="AC382" s="0" t="n">
        <v>1</v>
      </c>
      <c r="AD382" s="0" t="n">
        <v>0</v>
      </c>
      <c r="AE382" s="0" t="n">
        <v>0</v>
      </c>
      <c r="AF382" s="0" t="n">
        <v>0</v>
      </c>
      <c r="AG382" s="0" t="n">
        <v>30.4658758116037</v>
      </c>
      <c r="AH382" s="0" t="n">
        <v>0</v>
      </c>
      <c r="AI382" s="0" t="n">
        <v>0</v>
      </c>
      <c r="AK382" s="0" t="n">
        <f aca="false">A382</f>
        <v>365</v>
      </c>
      <c r="AL382" s="0" t="n">
        <v>1</v>
      </c>
      <c r="AM382" s="0" t="n">
        <v>1</v>
      </c>
      <c r="AO382" s="0" t="n">
        <v>365</v>
      </c>
      <c r="AP382" s="0" t="n">
        <v>0</v>
      </c>
      <c r="AQ382" s="0" t="n">
        <v>0.839556336523294</v>
      </c>
      <c r="AR382" s="0" t="n">
        <v>321.432499897874</v>
      </c>
      <c r="AS382" s="0" t="n">
        <v>48</v>
      </c>
      <c r="AT382" s="0" t="n">
        <v>50</v>
      </c>
    </row>
    <row r="383" customFormat="false" ht="12" hidden="false" customHeight="false" outlineLevel="0" collapsed="false">
      <c r="A383" s="0" t="n">
        <v>366</v>
      </c>
      <c r="B383" s="0" t="n">
        <v>0</v>
      </c>
      <c r="C383" s="0" t="n">
        <v>0.366081887678502</v>
      </c>
      <c r="D383" s="0" t="n">
        <v>375.423068607602</v>
      </c>
      <c r="E383" s="0" t="n">
        <v>16</v>
      </c>
      <c r="F383" s="0" t="n">
        <v>12</v>
      </c>
      <c r="G383" s="0" t="n">
        <v>0.5</v>
      </c>
      <c r="H383" s="0" t="n">
        <v>1</v>
      </c>
      <c r="I383" s="0" t="n">
        <v>0</v>
      </c>
      <c r="J383" s="0" t="n">
        <v>388.835233947037</v>
      </c>
      <c r="K383" s="0" t="n">
        <v>0</v>
      </c>
      <c r="L383" s="0" t="n">
        <v>1.85026875504704</v>
      </c>
      <c r="M383" s="0" t="n">
        <v>387.160909466901</v>
      </c>
      <c r="N383" s="0" t="n">
        <v>11.7378408592985</v>
      </c>
      <c r="O383" s="0" t="n">
        <v>366</v>
      </c>
      <c r="P383" s="0" t="n">
        <v>186</v>
      </c>
      <c r="Q383" s="0" t="n">
        <v>180</v>
      </c>
      <c r="R383" s="0" t="n">
        <v>629.742086388646</v>
      </c>
      <c r="S383" s="0" t="n">
        <v>364.977274749714</v>
      </c>
      <c r="T383" s="0" t="n">
        <v>28</v>
      </c>
      <c r="U383" s="0" t="n">
        <v>20</v>
      </c>
      <c r="V383" s="0" t="n">
        <v>22.4907807671728</v>
      </c>
      <c r="W383" s="0" t="n">
        <v>18.2487724936232</v>
      </c>
      <c r="X383" s="0" t="n">
        <v>0</v>
      </c>
      <c r="Y383" s="0" t="n">
        <v>0</v>
      </c>
      <c r="Z383" s="0" t="n">
        <v>0</v>
      </c>
      <c r="AA383" s="0" t="n">
        <v>11.7378408592985</v>
      </c>
      <c r="AB383" s="0" t="n">
        <v>0</v>
      </c>
      <c r="AC383" s="0" t="n">
        <v>0</v>
      </c>
      <c r="AD383" s="0" t="n">
        <v>0</v>
      </c>
      <c r="AE383" s="0" t="n">
        <v>1</v>
      </c>
      <c r="AF383" s="0" t="n">
        <v>0</v>
      </c>
      <c r="AG383" s="0" t="n">
        <v>0</v>
      </c>
      <c r="AH383" s="0" t="n">
        <v>0</v>
      </c>
      <c r="AI383" s="0" t="n">
        <v>16.0515622528322</v>
      </c>
      <c r="AK383" s="0" t="n">
        <f aca="false">A383</f>
        <v>366</v>
      </c>
      <c r="AL383" s="0" t="n">
        <v>2</v>
      </c>
      <c r="AM383" s="0" t="n">
        <v>0</v>
      </c>
      <c r="AO383" s="0" t="n">
        <v>366</v>
      </c>
      <c r="AP383" s="0" t="n">
        <v>1</v>
      </c>
      <c r="AQ383" s="0" t="n">
        <v>0.332174147370687</v>
      </c>
      <c r="AR383" s="0" t="n">
        <v>321.764674045245</v>
      </c>
      <c r="AS383" s="0" t="n">
        <v>50</v>
      </c>
      <c r="AT383" s="0" t="n">
        <v>50</v>
      </c>
    </row>
    <row r="384" customFormat="false" ht="12" hidden="false" customHeight="false" outlineLevel="0" collapsed="false">
      <c r="A384" s="0" t="n">
        <v>367</v>
      </c>
      <c r="B384" s="0" t="n">
        <v>1</v>
      </c>
      <c r="C384" s="0" t="n">
        <v>0.49151058593906</v>
      </c>
      <c r="D384" s="0" t="n">
        <v>375.914579193541</v>
      </c>
      <c r="E384" s="0" t="n">
        <v>16</v>
      </c>
      <c r="F384" s="0" t="n">
        <v>14</v>
      </c>
      <c r="G384" s="0" t="n">
        <v>0.5</v>
      </c>
      <c r="H384" s="0" t="n">
        <v>1</v>
      </c>
      <c r="I384" s="0" t="n">
        <v>0</v>
      </c>
      <c r="J384" s="0" t="n">
        <v>388.835233947037</v>
      </c>
      <c r="K384" s="0" t="n">
        <v>0</v>
      </c>
      <c r="L384" s="0" t="n">
        <v>1.94205739086496</v>
      </c>
      <c r="M384" s="0" t="n">
        <v>389.102966857766</v>
      </c>
      <c r="N384" s="0" t="n">
        <v>13.1883876642244</v>
      </c>
      <c r="O384" s="0" t="n">
        <v>367</v>
      </c>
      <c r="P384" s="0" t="n">
        <v>186</v>
      </c>
      <c r="Q384" s="0" t="n">
        <v>181</v>
      </c>
      <c r="R384" s="0" t="n">
        <v>430.789420157138</v>
      </c>
      <c r="S384" s="0" t="n">
        <v>562.236896596398</v>
      </c>
      <c r="T384" s="0" t="n">
        <v>21</v>
      </c>
      <c r="U384" s="0" t="n">
        <v>27</v>
      </c>
      <c r="V384" s="0" t="n">
        <v>20.5137721437818</v>
      </c>
      <c r="W384" s="0" t="n">
        <v>20.8235116387124</v>
      </c>
      <c r="X384" s="0" t="n">
        <v>0</v>
      </c>
      <c r="Y384" s="0" t="n">
        <v>0</v>
      </c>
      <c r="Z384" s="0" t="n">
        <v>13.1883876642244</v>
      </c>
      <c r="AA384" s="0" t="n">
        <v>0</v>
      </c>
      <c r="AB384" s="0" t="n">
        <v>0</v>
      </c>
      <c r="AC384" s="0" t="n">
        <v>0</v>
      </c>
      <c r="AD384" s="0" t="n">
        <v>1</v>
      </c>
      <c r="AE384" s="0" t="n">
        <v>0</v>
      </c>
      <c r="AF384" s="0" t="n">
        <v>0</v>
      </c>
      <c r="AG384" s="0" t="n">
        <v>0</v>
      </c>
      <c r="AH384" s="0" t="n">
        <v>29.4033369131037</v>
      </c>
      <c r="AI384" s="0" t="n">
        <v>0</v>
      </c>
      <c r="AK384" s="0" t="n">
        <f aca="false">A384</f>
        <v>367</v>
      </c>
      <c r="AL384" s="0" t="n">
        <v>1</v>
      </c>
      <c r="AM384" s="0" t="n">
        <v>0</v>
      </c>
      <c r="AO384" s="0" t="n">
        <v>367</v>
      </c>
      <c r="AP384" s="0" t="n">
        <v>0</v>
      </c>
      <c r="AQ384" s="0" t="n">
        <v>0.325463515531423</v>
      </c>
      <c r="AR384" s="0" t="n">
        <v>322.090137560776</v>
      </c>
      <c r="AS384" s="0" t="n">
        <v>50</v>
      </c>
      <c r="AT384" s="0" t="n">
        <v>50</v>
      </c>
    </row>
    <row r="385" customFormat="false" ht="12" hidden="false" customHeight="false" outlineLevel="0" collapsed="false">
      <c r="A385" s="0" t="n">
        <v>368</v>
      </c>
      <c r="B385" s="0" t="n">
        <v>0</v>
      </c>
      <c r="C385" s="0" t="n">
        <v>0.235642136655714</v>
      </c>
      <c r="D385" s="0" t="n">
        <v>376.150221330197</v>
      </c>
      <c r="E385" s="0" t="n">
        <v>16</v>
      </c>
      <c r="F385" s="0" t="n">
        <v>16</v>
      </c>
      <c r="G385" s="0" t="n">
        <v>0.5</v>
      </c>
      <c r="H385" s="0" t="n">
        <v>0</v>
      </c>
      <c r="I385" s="0" t="n">
        <v>1.84942692182037</v>
      </c>
      <c r="J385" s="0" t="n">
        <v>390.684660868857</v>
      </c>
      <c r="K385" s="0" t="n">
        <v>14.5344395386601</v>
      </c>
      <c r="L385" s="0" t="n">
        <v>0</v>
      </c>
      <c r="M385" s="0" t="n">
        <v>389.102966857766</v>
      </c>
      <c r="N385" s="0" t="n">
        <v>0</v>
      </c>
      <c r="O385" s="0" t="n">
        <v>368</v>
      </c>
      <c r="P385" s="0" t="n">
        <v>187</v>
      </c>
      <c r="Q385" s="0" t="n">
        <v>181</v>
      </c>
      <c r="R385" s="0" t="n">
        <v>469.765159468822</v>
      </c>
      <c r="S385" s="0" t="n">
        <v>535.296848433593</v>
      </c>
      <c r="T385" s="0" t="n">
        <v>21</v>
      </c>
      <c r="U385" s="0" t="n">
        <v>27</v>
      </c>
      <c r="V385" s="0" t="n">
        <v>22.3697588462492</v>
      </c>
      <c r="W385" s="0" t="n">
        <v>19.8257357725932</v>
      </c>
      <c r="X385" s="0" t="n">
        <v>0</v>
      </c>
      <c r="Y385" s="0" t="n">
        <v>14.5344395386601</v>
      </c>
      <c r="Z385" s="0" t="n">
        <v>0</v>
      </c>
      <c r="AA385" s="0" t="n">
        <v>0</v>
      </c>
      <c r="AB385" s="0" t="n">
        <v>0</v>
      </c>
      <c r="AC385" s="0" t="n">
        <v>1</v>
      </c>
      <c r="AD385" s="0" t="n">
        <v>0</v>
      </c>
      <c r="AE385" s="0" t="n">
        <v>0</v>
      </c>
      <c r="AF385" s="0" t="n">
        <v>0</v>
      </c>
      <c r="AG385" s="0" t="n">
        <v>39.3854459453946</v>
      </c>
      <c r="AH385" s="0" t="n">
        <v>0</v>
      </c>
      <c r="AI385" s="0" t="n">
        <v>0</v>
      </c>
      <c r="AK385" s="0" t="n">
        <f aca="false">A385</f>
        <v>368</v>
      </c>
      <c r="AL385" s="0" t="n">
        <v>0</v>
      </c>
      <c r="AM385" s="0" t="n">
        <v>0</v>
      </c>
      <c r="AO385" s="0" t="n">
        <v>368</v>
      </c>
      <c r="AP385" s="0" t="n">
        <v>0</v>
      </c>
      <c r="AQ385" s="0" t="n">
        <v>1.37766925247682</v>
      </c>
      <c r="AR385" s="0" t="n">
        <v>323.467806813253</v>
      </c>
      <c r="AS385" s="0" t="n">
        <v>50</v>
      </c>
      <c r="AT385" s="0" t="n">
        <v>50</v>
      </c>
    </row>
    <row r="386" customFormat="false" ht="12" hidden="false" customHeight="false" outlineLevel="0" collapsed="false">
      <c r="A386" s="0" t="n">
        <v>369</v>
      </c>
      <c r="B386" s="0" t="n">
        <v>1</v>
      </c>
      <c r="C386" s="0" t="n">
        <v>1.29496343838007</v>
      </c>
      <c r="D386" s="0" t="n">
        <v>377.445184768577</v>
      </c>
      <c r="E386" s="0" t="n">
        <v>16</v>
      </c>
      <c r="F386" s="0" t="n">
        <v>14</v>
      </c>
      <c r="G386" s="0" t="n">
        <v>0.5</v>
      </c>
      <c r="H386" s="0" t="n">
        <v>1</v>
      </c>
      <c r="I386" s="0" t="n">
        <v>0</v>
      </c>
      <c r="J386" s="0" t="n">
        <v>390.684660868857</v>
      </c>
      <c r="K386" s="0" t="n">
        <v>0</v>
      </c>
      <c r="L386" s="0" t="n">
        <v>1.89072484311544</v>
      </c>
      <c r="M386" s="0" t="n">
        <v>390.993691700881</v>
      </c>
      <c r="N386" s="0" t="n">
        <v>13.548506932304</v>
      </c>
      <c r="O386" s="0" t="n">
        <v>369</v>
      </c>
      <c r="P386" s="0" t="n">
        <v>187</v>
      </c>
      <c r="Q386" s="0" t="n">
        <v>182</v>
      </c>
      <c r="R386" s="0" t="n">
        <v>575.40011072676</v>
      </c>
      <c r="S386" s="0" t="n">
        <v>421.48003003623</v>
      </c>
      <c r="T386" s="0" t="n">
        <v>28</v>
      </c>
      <c r="U386" s="0" t="n">
        <v>20</v>
      </c>
      <c r="V386" s="0" t="n">
        <v>20.5499966152426</v>
      </c>
      <c r="W386" s="0" t="n">
        <v>21.0738961323308</v>
      </c>
      <c r="X386" s="0" t="n">
        <v>0</v>
      </c>
      <c r="Y386" s="0" t="n">
        <v>0</v>
      </c>
      <c r="Z386" s="0" t="n">
        <v>13.548506932304</v>
      </c>
      <c r="AA386" s="0" t="n">
        <v>0</v>
      </c>
      <c r="AB386" s="0" t="n">
        <v>0</v>
      </c>
      <c r="AC386" s="0" t="n">
        <v>0</v>
      </c>
      <c r="AD386" s="0" t="n">
        <v>1</v>
      </c>
      <c r="AE386" s="0" t="n">
        <v>0</v>
      </c>
      <c r="AF386" s="0" t="n">
        <v>0</v>
      </c>
      <c r="AG386" s="0" t="n">
        <v>0</v>
      </c>
      <c r="AH386" s="0" t="n">
        <v>33.4385050166453</v>
      </c>
      <c r="AI386" s="0" t="n">
        <v>0</v>
      </c>
      <c r="AK386" s="0" t="n">
        <f aca="false">A386</f>
        <v>369</v>
      </c>
      <c r="AL386" s="0" t="n">
        <v>1</v>
      </c>
      <c r="AM386" s="0" t="n">
        <v>1</v>
      </c>
      <c r="AO386" s="0" t="n">
        <v>369</v>
      </c>
      <c r="AP386" s="0" t="n">
        <v>1</v>
      </c>
      <c r="AQ386" s="0" t="n">
        <v>0.282240503815165</v>
      </c>
      <c r="AR386" s="0" t="n">
        <v>323.750047317068</v>
      </c>
      <c r="AS386" s="0" t="n">
        <v>50</v>
      </c>
      <c r="AT386" s="0" t="n">
        <v>52</v>
      </c>
    </row>
    <row r="387" customFormat="false" ht="12" hidden="false" customHeight="false" outlineLevel="0" collapsed="false">
      <c r="A387" s="0" t="n">
        <v>370</v>
      </c>
      <c r="B387" s="0" t="n">
        <v>1</v>
      </c>
      <c r="C387" s="0" t="n">
        <v>0.326039987650757</v>
      </c>
      <c r="D387" s="0" t="n">
        <v>377.771224756228</v>
      </c>
      <c r="E387" s="0" t="n">
        <v>16</v>
      </c>
      <c r="F387" s="0" t="n">
        <v>16</v>
      </c>
      <c r="G387" s="0" t="n">
        <v>0.5</v>
      </c>
      <c r="H387" s="0" t="n">
        <v>1</v>
      </c>
      <c r="I387" s="0" t="n">
        <v>0</v>
      </c>
      <c r="J387" s="0" t="n">
        <v>390.684660868857</v>
      </c>
      <c r="K387" s="0" t="n">
        <v>0</v>
      </c>
      <c r="L387" s="0" t="n">
        <v>2.16121561228513</v>
      </c>
      <c r="M387" s="0" t="n">
        <v>393.154907313166</v>
      </c>
      <c r="N387" s="0" t="n">
        <v>15.3836825569384</v>
      </c>
      <c r="O387" s="0" t="n">
        <v>370</v>
      </c>
      <c r="P387" s="0" t="n">
        <v>187</v>
      </c>
      <c r="Q387" s="0" t="n">
        <v>183</v>
      </c>
      <c r="R387" s="0" t="n">
        <v>520.822048046671</v>
      </c>
      <c r="S387" s="0" t="n">
        <v>482.531560837026</v>
      </c>
      <c r="T387" s="0" t="n">
        <v>24</v>
      </c>
      <c r="U387" s="0" t="n">
        <v>24</v>
      </c>
      <c r="V387" s="0" t="n">
        <v>21.7009096265656</v>
      </c>
      <c r="W387" s="0" t="n">
        <v>20.1053979290514</v>
      </c>
      <c r="X387" s="0" t="n">
        <v>0</v>
      </c>
      <c r="Y387" s="0" t="n">
        <v>0</v>
      </c>
      <c r="Z387" s="0" t="n">
        <v>15.3836825569384</v>
      </c>
      <c r="AA387" s="0" t="n">
        <v>0</v>
      </c>
      <c r="AB387" s="0" t="n">
        <v>0</v>
      </c>
      <c r="AC387" s="0" t="n">
        <v>0</v>
      </c>
      <c r="AD387" s="0" t="n">
        <v>1</v>
      </c>
      <c r="AE387" s="0" t="n">
        <v>0</v>
      </c>
      <c r="AF387" s="0" t="n">
        <v>0</v>
      </c>
      <c r="AG387" s="0" t="n">
        <v>0</v>
      </c>
      <c r="AH387" s="0" t="n">
        <v>58.0305611345542</v>
      </c>
      <c r="AI387" s="0" t="n">
        <v>0</v>
      </c>
      <c r="AK387" s="0" t="n">
        <f aca="false">A387</f>
        <v>370</v>
      </c>
      <c r="AL387" s="0" t="n">
        <v>0</v>
      </c>
      <c r="AM387" s="0" t="n">
        <v>0</v>
      </c>
      <c r="AO387" s="0" t="n">
        <v>370</v>
      </c>
      <c r="AP387" s="0" t="n">
        <v>1</v>
      </c>
      <c r="AQ387" s="0" t="n">
        <v>0.0977902777635336</v>
      </c>
      <c r="AR387" s="0" t="n">
        <v>323.847837594832</v>
      </c>
      <c r="AS387" s="0" t="n">
        <v>52</v>
      </c>
      <c r="AT387" s="0" t="n">
        <v>52</v>
      </c>
    </row>
    <row r="388" customFormat="false" ht="12" hidden="false" customHeight="false" outlineLevel="0" collapsed="false">
      <c r="A388" s="0" t="n">
        <v>371</v>
      </c>
      <c r="B388" s="0" t="n">
        <v>1</v>
      </c>
      <c r="C388" s="0" t="n">
        <v>0.0710927471734958</v>
      </c>
      <c r="D388" s="0" t="n">
        <v>377.842317503401</v>
      </c>
      <c r="E388" s="0" t="n">
        <v>16</v>
      </c>
      <c r="F388" s="0" t="n">
        <v>18</v>
      </c>
      <c r="G388" s="0" t="n">
        <v>0.5</v>
      </c>
      <c r="H388" s="0" t="n">
        <v>0</v>
      </c>
      <c r="I388" s="0" t="n">
        <v>1.78626133198776</v>
      </c>
      <c r="J388" s="0" t="n">
        <v>392.470922200845</v>
      </c>
      <c r="K388" s="0" t="n">
        <v>14.6286046974436</v>
      </c>
      <c r="L388" s="0" t="n">
        <v>0</v>
      </c>
      <c r="M388" s="0" t="n">
        <v>393.154907313166</v>
      </c>
      <c r="N388" s="0" t="n">
        <v>0</v>
      </c>
      <c r="O388" s="0" t="n">
        <v>371</v>
      </c>
      <c r="P388" s="0" t="n">
        <v>188</v>
      </c>
      <c r="Q388" s="0" t="n">
        <v>183</v>
      </c>
      <c r="R388" s="0" t="n">
        <v>464.904448094529</v>
      </c>
      <c r="S388" s="0" t="n">
        <v>527.35497053282</v>
      </c>
      <c r="T388" s="0" t="n">
        <v>24</v>
      </c>
      <c r="U388" s="0" t="n">
        <v>24</v>
      </c>
      <c r="V388" s="0" t="n">
        <v>19.371010599351</v>
      </c>
      <c r="W388" s="0" t="n">
        <v>21.9730322178999</v>
      </c>
      <c r="X388" s="0" t="n">
        <v>14.6286046974436</v>
      </c>
      <c r="Y388" s="0" t="n">
        <v>0</v>
      </c>
      <c r="Z388" s="0" t="n">
        <v>0</v>
      </c>
      <c r="AA388" s="0" t="n">
        <v>0</v>
      </c>
      <c r="AB388" s="0" t="n">
        <v>1</v>
      </c>
      <c r="AC388" s="0" t="n">
        <v>0</v>
      </c>
      <c r="AD388" s="0" t="n">
        <v>0</v>
      </c>
      <c r="AE388" s="0" t="n">
        <v>0</v>
      </c>
      <c r="AF388" s="0" t="n">
        <v>51.8550427158941</v>
      </c>
      <c r="AG388" s="0" t="n">
        <v>0</v>
      </c>
      <c r="AH388" s="0" t="n">
        <v>0</v>
      </c>
      <c r="AI388" s="0" t="n">
        <v>0</v>
      </c>
      <c r="AK388" s="0" t="n">
        <f aca="false">A388</f>
        <v>371</v>
      </c>
      <c r="AL388" s="0" t="n">
        <v>1</v>
      </c>
      <c r="AM388" s="0" t="n">
        <v>1</v>
      </c>
      <c r="AO388" s="0" t="n">
        <v>371</v>
      </c>
      <c r="AP388" s="0" t="n">
        <v>1</v>
      </c>
      <c r="AQ388" s="0" t="n">
        <v>2.06351647000969</v>
      </c>
      <c r="AR388" s="0" t="n">
        <v>325.911354064841</v>
      </c>
      <c r="AS388" s="0" t="n">
        <v>52</v>
      </c>
      <c r="AT388" s="0" t="n">
        <v>50</v>
      </c>
    </row>
    <row r="389" customFormat="false" ht="12" hidden="false" customHeight="false" outlineLevel="0" collapsed="false">
      <c r="A389" s="0" t="n">
        <v>372</v>
      </c>
      <c r="B389" s="0" t="n">
        <v>1</v>
      </c>
      <c r="C389" s="0" t="n">
        <v>0.176380543621272</v>
      </c>
      <c r="D389" s="0" t="n">
        <v>378.018698047023</v>
      </c>
      <c r="E389" s="0" t="n">
        <v>18</v>
      </c>
      <c r="F389" s="0" t="n">
        <v>18</v>
      </c>
      <c r="G389" s="0" t="n">
        <v>0.5</v>
      </c>
      <c r="H389" s="0" t="n">
        <v>1</v>
      </c>
      <c r="I389" s="0" t="n">
        <v>0</v>
      </c>
      <c r="J389" s="0" t="n">
        <v>392.470922200845</v>
      </c>
      <c r="K389" s="0" t="n">
        <v>0</v>
      </c>
      <c r="L389" s="0" t="n">
        <v>2.12021584129993</v>
      </c>
      <c r="M389" s="0" t="n">
        <v>395.275123154466</v>
      </c>
      <c r="N389" s="0" t="n">
        <v>17.2564251074435</v>
      </c>
      <c r="O389" s="0" t="n">
        <v>372</v>
      </c>
      <c r="P389" s="0" t="n">
        <v>188</v>
      </c>
      <c r="Q389" s="0" t="n">
        <v>184</v>
      </c>
      <c r="R389" s="0" t="n">
        <v>424.640110624887</v>
      </c>
      <c r="S389" s="0" t="n">
        <v>579.073312498126</v>
      </c>
      <c r="T389" s="0" t="n">
        <v>23</v>
      </c>
      <c r="U389" s="0" t="n">
        <v>25</v>
      </c>
      <c r="V389" s="0" t="n">
        <v>18.4626054782101</v>
      </c>
      <c r="W389" s="0" t="n">
        <v>23.1628398485656</v>
      </c>
      <c r="X389" s="0" t="n">
        <v>0</v>
      </c>
      <c r="Y389" s="0" t="n">
        <v>0</v>
      </c>
      <c r="Z389" s="0" t="n">
        <v>17.2564251074435</v>
      </c>
      <c r="AA389" s="0" t="n">
        <v>0</v>
      </c>
      <c r="AB389" s="0" t="n">
        <v>0</v>
      </c>
      <c r="AC389" s="0" t="n">
        <v>0</v>
      </c>
      <c r="AD389" s="0" t="n">
        <v>1</v>
      </c>
      <c r="AE389" s="0" t="n">
        <v>0</v>
      </c>
      <c r="AF389" s="0" t="n">
        <v>0</v>
      </c>
      <c r="AG389" s="0" t="n">
        <v>0</v>
      </c>
      <c r="AH389" s="0" t="n">
        <v>90.070004585091</v>
      </c>
      <c r="AI389" s="0" t="n">
        <v>0</v>
      </c>
      <c r="AK389" s="0" t="n">
        <f aca="false">A389</f>
        <v>372</v>
      </c>
      <c r="AL389" s="0" t="n">
        <v>0</v>
      </c>
      <c r="AM389" s="0" t="n">
        <v>1</v>
      </c>
      <c r="AO389" s="0" t="n">
        <v>372</v>
      </c>
      <c r="AP389" s="0" t="n">
        <v>0</v>
      </c>
      <c r="AQ389" s="0" t="n">
        <v>0.455714025385026</v>
      </c>
      <c r="AR389" s="0" t="n">
        <v>326.367068090226</v>
      </c>
      <c r="AS389" s="0" t="n">
        <v>52</v>
      </c>
      <c r="AT389" s="0" t="n">
        <v>50</v>
      </c>
    </row>
    <row r="390" customFormat="false" ht="12" hidden="false" customHeight="false" outlineLevel="0" collapsed="false">
      <c r="A390" s="0" t="n">
        <v>373</v>
      </c>
      <c r="B390" s="0" t="n">
        <v>0</v>
      </c>
      <c r="C390" s="0" t="n">
        <v>0.990249614728259</v>
      </c>
      <c r="D390" s="0" t="n">
        <v>379.008947661751</v>
      </c>
      <c r="E390" s="0" t="n">
        <v>16</v>
      </c>
      <c r="F390" s="0" t="n">
        <v>20</v>
      </c>
      <c r="G390" s="0" t="n">
        <v>0.5</v>
      </c>
      <c r="H390" s="0" t="n">
        <v>0</v>
      </c>
      <c r="I390" s="0" t="n">
        <v>2.18134650196751</v>
      </c>
      <c r="J390" s="0" t="n">
        <v>394.652268702812</v>
      </c>
      <c r="K390" s="0" t="n">
        <v>15.6433210410615</v>
      </c>
      <c r="L390" s="0" t="n">
        <v>0</v>
      </c>
      <c r="M390" s="0" t="n">
        <v>395.275123154466</v>
      </c>
      <c r="N390" s="0" t="n">
        <v>0</v>
      </c>
      <c r="O390" s="0" t="n">
        <v>373</v>
      </c>
      <c r="P390" s="0" t="n">
        <v>189</v>
      </c>
      <c r="Q390" s="0" t="n">
        <v>184</v>
      </c>
      <c r="R390" s="0" t="n">
        <v>499.883398530001</v>
      </c>
      <c r="S390" s="0" t="n">
        <v>515.17106010701</v>
      </c>
      <c r="T390" s="0" t="n">
        <v>20</v>
      </c>
      <c r="U390" s="0" t="n">
        <v>28</v>
      </c>
      <c r="V390" s="0" t="n">
        <v>24.9941574294213</v>
      </c>
      <c r="W390" s="0" t="n">
        <v>18.3989007220335</v>
      </c>
      <c r="X390" s="0" t="n">
        <v>0</v>
      </c>
      <c r="Y390" s="0" t="n">
        <v>15.6433210410615</v>
      </c>
      <c r="Z390" s="0" t="n">
        <v>0</v>
      </c>
      <c r="AA390" s="0" t="n">
        <v>0</v>
      </c>
      <c r="AB390" s="0" t="n">
        <v>0</v>
      </c>
      <c r="AC390" s="0" t="n">
        <v>1</v>
      </c>
      <c r="AD390" s="0" t="n">
        <v>0</v>
      </c>
      <c r="AE390" s="0" t="n">
        <v>0</v>
      </c>
      <c r="AF390" s="0" t="n">
        <v>0</v>
      </c>
      <c r="AG390" s="0" t="n">
        <v>54.5332623790452</v>
      </c>
      <c r="AH390" s="0" t="n">
        <v>0</v>
      </c>
      <c r="AI390" s="0" t="n">
        <v>0</v>
      </c>
      <c r="AK390" s="0" t="n">
        <f aca="false">A390</f>
        <v>373</v>
      </c>
      <c r="AL390" s="0" t="n">
        <v>2</v>
      </c>
      <c r="AM390" s="0" t="n">
        <v>2</v>
      </c>
      <c r="AO390" s="0" t="n">
        <v>373</v>
      </c>
      <c r="AP390" s="0" t="n">
        <v>1</v>
      </c>
      <c r="AQ390" s="0" t="n">
        <v>2.90745152133628</v>
      </c>
      <c r="AR390" s="0" t="n">
        <v>329.274519611563</v>
      </c>
      <c r="AS390" s="0" t="n">
        <v>52</v>
      </c>
      <c r="AT390" s="0" t="n">
        <v>48</v>
      </c>
    </row>
    <row r="391" customFormat="false" ht="12" hidden="false" customHeight="false" outlineLevel="0" collapsed="false">
      <c r="A391" s="0" t="n">
        <v>374</v>
      </c>
      <c r="B391" s="0" t="n">
        <v>0</v>
      </c>
      <c r="C391" s="0" t="n">
        <v>0.06879722298763</v>
      </c>
      <c r="D391" s="0" t="n">
        <v>379.077744884739</v>
      </c>
      <c r="E391" s="0" t="n">
        <v>18</v>
      </c>
      <c r="F391" s="0" t="n">
        <v>18</v>
      </c>
      <c r="G391" s="0" t="n">
        <v>0.5</v>
      </c>
      <c r="H391" s="0" t="n">
        <v>0</v>
      </c>
      <c r="I391" s="0" t="n">
        <v>2.00986822093489</v>
      </c>
      <c r="J391" s="0" t="n">
        <v>396.662136923747</v>
      </c>
      <c r="K391" s="0" t="n">
        <v>17.5843920390087</v>
      </c>
      <c r="L391" s="0" t="n">
        <v>0</v>
      </c>
      <c r="M391" s="0" t="n">
        <v>395.275123154466</v>
      </c>
      <c r="N391" s="0" t="n">
        <v>0</v>
      </c>
      <c r="O391" s="0" t="n">
        <v>374</v>
      </c>
      <c r="P391" s="0" t="n">
        <v>190</v>
      </c>
      <c r="Q391" s="0" t="n">
        <v>184</v>
      </c>
      <c r="R391" s="0" t="n">
        <v>558.658619507038</v>
      </c>
      <c r="S391" s="0" t="n">
        <v>445.225490212906</v>
      </c>
      <c r="T391" s="0" t="n">
        <v>31</v>
      </c>
      <c r="U391" s="0" t="n">
        <v>17</v>
      </c>
      <c r="V391" s="0" t="n">
        <v>18.0212399772464</v>
      </c>
      <c r="W391" s="0" t="n">
        <v>26.1895806620494</v>
      </c>
      <c r="X391" s="0" t="n">
        <v>0</v>
      </c>
      <c r="Y391" s="0" t="n">
        <v>17.5843920390087</v>
      </c>
      <c r="Z391" s="0" t="n">
        <v>0</v>
      </c>
      <c r="AA391" s="0" t="n">
        <v>0</v>
      </c>
      <c r="AB391" s="0" t="n">
        <v>0</v>
      </c>
      <c r="AC391" s="0" t="n">
        <v>1</v>
      </c>
      <c r="AD391" s="0" t="n">
        <v>0</v>
      </c>
      <c r="AE391" s="0" t="n">
        <v>0</v>
      </c>
      <c r="AF391" s="0" t="n">
        <v>0</v>
      </c>
      <c r="AG391" s="0" t="n">
        <v>86.9693332344464</v>
      </c>
      <c r="AH391" s="0" t="n">
        <v>0</v>
      </c>
      <c r="AI391" s="0" t="n">
        <v>0</v>
      </c>
      <c r="AK391" s="0" t="n">
        <f aca="false">A391</f>
        <v>374</v>
      </c>
      <c r="AL391" s="0" t="n">
        <v>0</v>
      </c>
      <c r="AM391" s="0" t="n">
        <v>1</v>
      </c>
      <c r="AO391" s="0" t="n">
        <v>374</v>
      </c>
      <c r="AP391" s="0" t="n">
        <v>0</v>
      </c>
      <c r="AQ391" s="0" t="n">
        <v>1.49394972272435</v>
      </c>
      <c r="AR391" s="0" t="n">
        <v>330.768469334287</v>
      </c>
      <c r="AS391" s="0" t="n">
        <v>50</v>
      </c>
      <c r="AT391" s="0" t="n">
        <v>48</v>
      </c>
    </row>
    <row r="392" customFormat="false" ht="12" hidden="false" customHeight="false" outlineLevel="0" collapsed="false">
      <c r="A392" s="0" t="n">
        <v>375</v>
      </c>
      <c r="B392" s="0" t="n">
        <v>0</v>
      </c>
      <c r="C392" s="0" t="n">
        <v>1.87679473798182</v>
      </c>
      <c r="D392" s="0" t="n">
        <v>380.95453962272</v>
      </c>
      <c r="E392" s="0" t="n">
        <v>18</v>
      </c>
      <c r="F392" s="0" t="n">
        <v>18</v>
      </c>
      <c r="G392" s="0" t="n">
        <v>0.5</v>
      </c>
      <c r="H392" s="0" t="n">
        <v>0</v>
      </c>
      <c r="I392" s="0" t="n">
        <v>1.9026710693675</v>
      </c>
      <c r="J392" s="0" t="n">
        <v>398.564807993115</v>
      </c>
      <c r="K392" s="0" t="n">
        <v>17.6102683703944</v>
      </c>
      <c r="L392" s="0" t="n">
        <v>0</v>
      </c>
      <c r="M392" s="0" t="n">
        <v>395.275123154466</v>
      </c>
      <c r="N392" s="0" t="n">
        <v>0</v>
      </c>
      <c r="O392" s="0" t="n">
        <v>375</v>
      </c>
      <c r="P392" s="0" t="n">
        <v>191</v>
      </c>
      <c r="Q392" s="0" t="n">
        <v>184</v>
      </c>
      <c r="R392" s="0" t="n">
        <v>479.005156061152</v>
      </c>
      <c r="S392" s="0" t="n">
        <v>533.210743295332</v>
      </c>
      <c r="T392" s="0" t="n">
        <v>21</v>
      </c>
      <c r="U392" s="0" t="n">
        <v>27</v>
      </c>
      <c r="V392" s="0" t="n">
        <v>22.8097584744556</v>
      </c>
      <c r="W392" s="0" t="n">
        <v>19.748472905483</v>
      </c>
      <c r="X392" s="0" t="n">
        <v>0</v>
      </c>
      <c r="Y392" s="0" t="n">
        <v>17.6102683703944</v>
      </c>
      <c r="Z392" s="0" t="n">
        <v>0</v>
      </c>
      <c r="AA392" s="0" t="n">
        <v>0</v>
      </c>
      <c r="AB392" s="0" t="n">
        <v>0</v>
      </c>
      <c r="AC392" s="0" t="n">
        <v>1</v>
      </c>
      <c r="AD392" s="0" t="n">
        <v>0</v>
      </c>
      <c r="AE392" s="0" t="n">
        <v>0</v>
      </c>
      <c r="AF392" s="0" t="n">
        <v>0</v>
      </c>
      <c r="AG392" s="0" t="n">
        <v>87.4526344373678</v>
      </c>
      <c r="AH392" s="0" t="n">
        <v>0</v>
      </c>
      <c r="AI392" s="0" t="n">
        <v>0</v>
      </c>
      <c r="AK392" s="0" t="n">
        <f aca="false">A392</f>
        <v>375</v>
      </c>
      <c r="AL392" s="0" t="n">
        <v>0</v>
      </c>
      <c r="AM392" s="0" t="n">
        <v>0</v>
      </c>
      <c r="AO392" s="0" t="n">
        <v>375</v>
      </c>
      <c r="AP392" s="0" t="n">
        <v>1</v>
      </c>
      <c r="AQ392" s="0" t="n">
        <v>1.46162800262936</v>
      </c>
      <c r="AR392" s="0" t="n">
        <v>332.230097336916</v>
      </c>
      <c r="AS392" s="0" t="n">
        <v>48</v>
      </c>
      <c r="AT392" s="0" t="n">
        <v>48</v>
      </c>
    </row>
    <row r="393" customFormat="false" ht="12" hidden="false" customHeight="false" outlineLevel="0" collapsed="false">
      <c r="A393" s="0" t="n">
        <v>376</v>
      </c>
      <c r="B393" s="0" t="n">
        <v>1</v>
      </c>
      <c r="C393" s="0" t="n">
        <v>0.199801928664031</v>
      </c>
      <c r="D393" s="0" t="n">
        <v>381.154341551384</v>
      </c>
      <c r="E393" s="0" t="n">
        <v>20</v>
      </c>
      <c r="F393" s="0" t="n">
        <v>18</v>
      </c>
      <c r="G393" s="0" t="n">
        <v>0.5</v>
      </c>
      <c r="H393" s="0" t="n">
        <v>1</v>
      </c>
      <c r="I393" s="0" t="n">
        <v>0</v>
      </c>
      <c r="J393" s="0" t="n">
        <v>398.564807993115</v>
      </c>
      <c r="K393" s="0" t="n">
        <v>0</v>
      </c>
      <c r="L393" s="0" t="n">
        <v>1.95033325748585</v>
      </c>
      <c r="M393" s="0" t="n">
        <v>397.225456411952</v>
      </c>
      <c r="N393" s="0" t="n">
        <v>16.0711148605675</v>
      </c>
      <c r="O393" s="0" t="n">
        <v>376</v>
      </c>
      <c r="P393" s="0" t="n">
        <v>191</v>
      </c>
      <c r="Q393" s="0" t="n">
        <v>185</v>
      </c>
      <c r="R393" s="0" t="n">
        <v>447.765571618498</v>
      </c>
      <c r="S393" s="0" t="n">
        <v>552.536497222634</v>
      </c>
      <c r="T393" s="0" t="n">
        <v>24</v>
      </c>
      <c r="U393" s="0" t="n">
        <v>24</v>
      </c>
      <c r="V393" s="0" t="n">
        <v>18.6568910437328</v>
      </c>
      <c r="W393" s="0" t="n">
        <v>23.0222581248676</v>
      </c>
      <c r="X393" s="0" t="n">
        <v>0</v>
      </c>
      <c r="Y393" s="0" t="n">
        <v>0</v>
      </c>
      <c r="Z393" s="0" t="n">
        <v>16.0711148605675</v>
      </c>
      <c r="AA393" s="0" t="n">
        <v>0</v>
      </c>
      <c r="AB393" s="0" t="n">
        <v>0</v>
      </c>
      <c r="AC393" s="0" t="n">
        <v>0</v>
      </c>
      <c r="AD393" s="0" t="n">
        <v>1</v>
      </c>
      <c r="AE393" s="0" t="n">
        <v>0</v>
      </c>
      <c r="AF393" s="0" t="n">
        <v>0</v>
      </c>
      <c r="AG393" s="0" t="n">
        <v>0</v>
      </c>
      <c r="AH393" s="0" t="n">
        <v>68.9765394224175</v>
      </c>
      <c r="AI393" s="0" t="n">
        <v>0</v>
      </c>
      <c r="AK393" s="0" t="n">
        <f aca="false">A393</f>
        <v>376</v>
      </c>
      <c r="AL393" s="0" t="n">
        <v>1</v>
      </c>
      <c r="AM393" s="0" t="n">
        <v>1</v>
      </c>
      <c r="AO393" s="0" t="n">
        <v>376</v>
      </c>
      <c r="AP393" s="0" t="n">
        <v>0</v>
      </c>
      <c r="AQ393" s="0" t="n">
        <v>0.172164454264638</v>
      </c>
      <c r="AR393" s="0" t="n">
        <v>332.402261791181</v>
      </c>
      <c r="AS393" s="0" t="n">
        <v>50</v>
      </c>
      <c r="AT393" s="0" t="n">
        <v>48</v>
      </c>
    </row>
    <row r="394" customFormat="false" ht="12" hidden="false" customHeight="false" outlineLevel="0" collapsed="false">
      <c r="A394" s="0" t="n">
        <v>377</v>
      </c>
      <c r="B394" s="0" t="n">
        <v>0</v>
      </c>
      <c r="C394" s="0" t="n">
        <v>2.08404646262545</v>
      </c>
      <c r="D394" s="0" t="n">
        <v>383.23838801401</v>
      </c>
      <c r="E394" s="0" t="n">
        <v>18</v>
      </c>
      <c r="F394" s="0" t="n">
        <v>18</v>
      </c>
      <c r="G394" s="0" t="n">
        <v>0.5</v>
      </c>
      <c r="H394" s="0" t="n">
        <v>1</v>
      </c>
      <c r="I394" s="0" t="n">
        <v>0</v>
      </c>
      <c r="J394" s="0" t="n">
        <v>398.564807993115</v>
      </c>
      <c r="K394" s="0" t="n">
        <v>0</v>
      </c>
      <c r="L394" s="0" t="n">
        <v>1.82648562206013</v>
      </c>
      <c r="M394" s="0" t="n">
        <v>399.051942034012</v>
      </c>
      <c r="N394" s="0" t="n">
        <v>15.8135540200022</v>
      </c>
      <c r="O394" s="0" t="n">
        <v>377</v>
      </c>
      <c r="P394" s="0" t="n">
        <v>191</v>
      </c>
      <c r="Q394" s="0" t="n">
        <v>186</v>
      </c>
      <c r="R394" s="0" t="n">
        <v>568.7158886633</v>
      </c>
      <c r="S394" s="0" t="n">
        <v>443.457209174346</v>
      </c>
      <c r="T394" s="0" t="n">
        <v>24</v>
      </c>
      <c r="U394" s="0" t="n">
        <v>24</v>
      </c>
      <c r="V394" s="0" t="n">
        <v>23.6964854874352</v>
      </c>
      <c r="W394" s="0" t="n">
        <v>18.4773067268197</v>
      </c>
      <c r="X394" s="0" t="n">
        <v>0</v>
      </c>
      <c r="Y394" s="0" t="n">
        <v>0</v>
      </c>
      <c r="Z394" s="0" t="n">
        <v>0</v>
      </c>
      <c r="AA394" s="0" t="n">
        <v>15.8135540200022</v>
      </c>
      <c r="AB394" s="0" t="n">
        <v>0</v>
      </c>
      <c r="AC394" s="0" t="n">
        <v>0</v>
      </c>
      <c r="AD394" s="0" t="n">
        <v>0</v>
      </c>
      <c r="AE394" s="0" t="n">
        <v>1</v>
      </c>
      <c r="AF394" s="0" t="n">
        <v>0</v>
      </c>
      <c r="AG394" s="0" t="n">
        <v>0</v>
      </c>
      <c r="AH394" s="0" t="n">
        <v>0</v>
      </c>
      <c r="AI394" s="0" t="n">
        <v>65.3212012850112</v>
      </c>
      <c r="AK394" s="0" t="n">
        <f aca="false">A394</f>
        <v>377</v>
      </c>
      <c r="AL394" s="0" t="n">
        <v>0</v>
      </c>
      <c r="AM394" s="0" t="n">
        <v>1</v>
      </c>
      <c r="AO394" s="0" t="n">
        <v>377</v>
      </c>
      <c r="AP394" s="0" t="n">
        <v>1</v>
      </c>
      <c r="AQ394" s="0" t="n">
        <v>1.21650935027367</v>
      </c>
      <c r="AR394" s="0" t="n">
        <v>333.618771141455</v>
      </c>
      <c r="AS394" s="0" t="n">
        <v>50</v>
      </c>
      <c r="AT394" s="0" t="n">
        <v>48</v>
      </c>
    </row>
    <row r="395" customFormat="false" ht="12" hidden="false" customHeight="false" outlineLevel="0" collapsed="false">
      <c r="A395" s="0" t="n">
        <v>378</v>
      </c>
      <c r="B395" s="0" t="n">
        <v>0</v>
      </c>
      <c r="C395" s="0" t="n">
        <v>0.330157487053357</v>
      </c>
      <c r="D395" s="0" t="n">
        <v>383.568545501063</v>
      </c>
      <c r="E395" s="0" t="n">
        <v>18</v>
      </c>
      <c r="F395" s="0" t="n">
        <v>18</v>
      </c>
      <c r="G395" s="0" t="n">
        <v>0.5</v>
      </c>
      <c r="H395" s="0" t="n">
        <v>0</v>
      </c>
      <c r="I395" s="0" t="n">
        <v>2.08176117818605</v>
      </c>
      <c r="J395" s="0" t="n">
        <v>400.646569171301</v>
      </c>
      <c r="K395" s="0" t="n">
        <v>17.0780236702376</v>
      </c>
      <c r="L395" s="0" t="n">
        <v>0</v>
      </c>
      <c r="M395" s="0" t="n">
        <v>399.051942034012</v>
      </c>
      <c r="N395" s="0" t="n">
        <v>0</v>
      </c>
      <c r="O395" s="0" t="n">
        <v>378</v>
      </c>
      <c r="P395" s="0" t="n">
        <v>192</v>
      </c>
      <c r="Q395" s="0" t="n">
        <v>186</v>
      </c>
      <c r="R395" s="0" t="n">
        <v>470.938247103789</v>
      </c>
      <c r="S395" s="0" t="n">
        <v>541.807667252248</v>
      </c>
      <c r="T395" s="0" t="n">
        <v>24</v>
      </c>
      <c r="U395" s="0" t="n">
        <v>24</v>
      </c>
      <c r="V395" s="0" t="n">
        <v>19.62241878665</v>
      </c>
      <c r="W395" s="0" t="n">
        <v>22.5752254054045</v>
      </c>
      <c r="X395" s="0" t="n">
        <v>0</v>
      </c>
      <c r="Y395" s="0" t="n">
        <v>17.0780236702376</v>
      </c>
      <c r="Z395" s="0" t="n">
        <v>0</v>
      </c>
      <c r="AA395" s="0" t="n">
        <v>0</v>
      </c>
      <c r="AB395" s="0" t="n">
        <v>0</v>
      </c>
      <c r="AC395" s="0" t="n">
        <v>1</v>
      </c>
      <c r="AD395" s="0" t="n">
        <v>0</v>
      </c>
      <c r="AE395" s="0" t="n">
        <v>0</v>
      </c>
      <c r="AF395" s="0" t="n">
        <v>0</v>
      </c>
      <c r="AG395" s="0" t="n">
        <v>77.7812277232835</v>
      </c>
      <c r="AH395" s="0" t="n">
        <v>0</v>
      </c>
      <c r="AI395" s="0" t="n">
        <v>0</v>
      </c>
      <c r="AK395" s="0" t="n">
        <f aca="false">A395</f>
        <v>378</v>
      </c>
      <c r="AL395" s="0" t="n">
        <v>0</v>
      </c>
      <c r="AM395" s="0" t="n">
        <v>0</v>
      </c>
      <c r="AO395" s="0" t="n">
        <v>378</v>
      </c>
      <c r="AP395" s="0" t="n">
        <v>0</v>
      </c>
      <c r="AQ395" s="0" t="n">
        <v>1.74342375100599</v>
      </c>
      <c r="AR395" s="0" t="n">
        <v>335.362194892461</v>
      </c>
      <c r="AS395" s="0" t="n">
        <v>48</v>
      </c>
      <c r="AT395" s="0" t="n">
        <v>48</v>
      </c>
    </row>
    <row r="396" customFormat="false" ht="12" hidden="false" customHeight="false" outlineLevel="0" collapsed="false">
      <c r="A396" s="0" t="n">
        <v>379</v>
      </c>
      <c r="B396" s="0" t="n">
        <v>1</v>
      </c>
      <c r="C396" s="0" t="n">
        <v>1.90120720633831</v>
      </c>
      <c r="D396" s="0" t="n">
        <v>385.469752707402</v>
      </c>
      <c r="E396" s="0" t="n">
        <v>18</v>
      </c>
      <c r="F396" s="0" t="n">
        <v>16</v>
      </c>
      <c r="G396" s="0" t="n">
        <v>0.5</v>
      </c>
      <c r="H396" s="0" t="n">
        <v>1</v>
      </c>
      <c r="I396" s="0" t="n">
        <v>0</v>
      </c>
      <c r="J396" s="0" t="n">
        <v>400.646569171301</v>
      </c>
      <c r="K396" s="0" t="n">
        <v>0</v>
      </c>
      <c r="L396" s="0" t="n">
        <v>1.75310815454667</v>
      </c>
      <c r="M396" s="0" t="n">
        <v>400.805050188559</v>
      </c>
      <c r="N396" s="0" t="n">
        <v>15.3352974811572</v>
      </c>
      <c r="O396" s="0" t="n">
        <v>379</v>
      </c>
      <c r="P396" s="0" t="n">
        <v>192</v>
      </c>
      <c r="Q396" s="0" t="n">
        <v>187</v>
      </c>
      <c r="R396" s="0" t="n">
        <v>586.082230114201</v>
      </c>
      <c r="S396" s="0" t="n">
        <v>418.06819154145</v>
      </c>
      <c r="T396" s="0" t="n">
        <v>27</v>
      </c>
      <c r="U396" s="0" t="n">
        <v>21</v>
      </c>
      <c r="V396" s="0" t="n">
        <v>21.7067412239552</v>
      </c>
      <c r="W396" s="0" t="n">
        <v>19.9079143214294</v>
      </c>
      <c r="X396" s="0" t="n">
        <v>0</v>
      </c>
      <c r="Y396" s="0" t="n">
        <v>0</v>
      </c>
      <c r="Z396" s="0" t="n">
        <v>15.3352974811572</v>
      </c>
      <c r="AA396" s="0" t="n">
        <v>0</v>
      </c>
      <c r="AB396" s="0" t="n">
        <v>0</v>
      </c>
      <c r="AC396" s="0" t="n">
        <v>0</v>
      </c>
      <c r="AD396" s="0" t="n">
        <v>1</v>
      </c>
      <c r="AE396" s="0" t="n">
        <v>0</v>
      </c>
      <c r="AF396" s="0" t="n">
        <v>0</v>
      </c>
      <c r="AG396" s="0" t="n">
        <v>0</v>
      </c>
      <c r="AH396" s="0" t="n">
        <v>57.2957285947729</v>
      </c>
      <c r="AI396" s="0" t="n">
        <v>0</v>
      </c>
      <c r="AK396" s="0" t="n">
        <f aca="false">A396</f>
        <v>379</v>
      </c>
      <c r="AL396" s="0" t="n">
        <v>1</v>
      </c>
      <c r="AM396" s="0" t="n">
        <v>0</v>
      </c>
      <c r="AO396" s="0" t="n">
        <v>379</v>
      </c>
      <c r="AP396" s="0" t="n">
        <v>0</v>
      </c>
      <c r="AQ396" s="0" t="n">
        <v>1.7035882193728</v>
      </c>
      <c r="AR396" s="0" t="n">
        <v>337.065783111833</v>
      </c>
      <c r="AS396" s="0" t="n">
        <v>48</v>
      </c>
      <c r="AT396" s="0" t="n">
        <v>48</v>
      </c>
    </row>
    <row r="397" customFormat="false" ht="12" hidden="false" customHeight="false" outlineLevel="0" collapsed="false">
      <c r="A397" s="0" t="n">
        <v>380</v>
      </c>
      <c r="B397" s="0" t="n">
        <v>0</v>
      </c>
      <c r="C397" s="0" t="n">
        <v>1.83463110596605</v>
      </c>
      <c r="D397" s="0" t="n">
        <v>387.304383813368</v>
      </c>
      <c r="E397" s="0" t="n">
        <v>16</v>
      </c>
      <c r="F397" s="0" t="n">
        <v>16</v>
      </c>
      <c r="G397" s="0" t="n">
        <v>0.5</v>
      </c>
      <c r="H397" s="0" t="n">
        <v>1</v>
      </c>
      <c r="I397" s="0" t="n">
        <v>0</v>
      </c>
      <c r="J397" s="0" t="n">
        <v>400.646569171301</v>
      </c>
      <c r="K397" s="0" t="n">
        <v>0</v>
      </c>
      <c r="L397" s="0" t="n">
        <v>1.81366311111675</v>
      </c>
      <c r="M397" s="0" t="n">
        <v>402.618713299676</v>
      </c>
      <c r="N397" s="0" t="n">
        <v>15.3143294863079</v>
      </c>
      <c r="O397" s="0" t="n">
        <v>380</v>
      </c>
      <c r="P397" s="0" t="n">
        <v>192</v>
      </c>
      <c r="Q397" s="0" t="n">
        <v>188</v>
      </c>
      <c r="R397" s="0" t="n">
        <v>456.136686956414</v>
      </c>
      <c r="S397" s="0" t="n">
        <v>561.114093325039</v>
      </c>
      <c r="T397" s="0" t="n">
        <v>19</v>
      </c>
      <c r="U397" s="0" t="n">
        <v>29</v>
      </c>
      <c r="V397" s="0" t="n">
        <v>24.0071814149789</v>
      </c>
      <c r="W397" s="0" t="n">
        <v>19.3486951191561</v>
      </c>
      <c r="X397" s="0" t="n">
        <v>0</v>
      </c>
      <c r="Y397" s="0" t="n">
        <v>0</v>
      </c>
      <c r="Z397" s="0" t="n">
        <v>0</v>
      </c>
      <c r="AA397" s="0" t="n">
        <v>15.3143294863079</v>
      </c>
      <c r="AB397" s="0" t="n">
        <v>0</v>
      </c>
      <c r="AC397" s="0" t="n">
        <v>0</v>
      </c>
      <c r="AD397" s="0" t="n">
        <v>0</v>
      </c>
      <c r="AE397" s="0" t="n">
        <v>1</v>
      </c>
      <c r="AF397" s="0" t="n">
        <v>0</v>
      </c>
      <c r="AG397" s="0" t="n">
        <v>0</v>
      </c>
      <c r="AH397" s="0" t="n">
        <v>0</v>
      </c>
      <c r="AI397" s="0" t="n">
        <v>57.5008080371604</v>
      </c>
      <c r="AK397" s="0" t="n">
        <f aca="false">A397</f>
        <v>380</v>
      </c>
      <c r="AL397" s="0" t="n">
        <v>0</v>
      </c>
      <c r="AM397" s="0" t="n">
        <v>0</v>
      </c>
      <c r="AO397" s="0" t="n">
        <v>380</v>
      </c>
      <c r="AP397" s="0" t="n">
        <v>0</v>
      </c>
      <c r="AQ397" s="0" t="n">
        <v>0.329536982074474</v>
      </c>
      <c r="AR397" s="0" t="n">
        <v>337.395320093908</v>
      </c>
      <c r="AS397" s="0" t="n">
        <v>48</v>
      </c>
      <c r="AT397" s="0" t="n">
        <v>48</v>
      </c>
    </row>
    <row r="398" customFormat="false" ht="12" hidden="false" customHeight="false" outlineLevel="0" collapsed="false">
      <c r="A398" s="0" t="n">
        <v>381</v>
      </c>
      <c r="B398" s="0" t="n">
        <v>1</v>
      </c>
      <c r="C398" s="0" t="n">
        <v>1.23857721718454</v>
      </c>
      <c r="D398" s="0" t="n">
        <v>388.542961030552</v>
      </c>
      <c r="E398" s="0" t="n">
        <v>16</v>
      </c>
      <c r="F398" s="0" t="n">
        <v>18</v>
      </c>
      <c r="G398" s="0" t="n">
        <v>0.5</v>
      </c>
      <c r="H398" s="0" t="n">
        <v>0</v>
      </c>
      <c r="I398" s="0" t="n">
        <v>1.86679650503484</v>
      </c>
      <c r="J398" s="0" t="n">
        <v>402.513365676336</v>
      </c>
      <c r="K398" s="0" t="n">
        <v>13.9704046457836</v>
      </c>
      <c r="L398" s="0" t="n">
        <v>0</v>
      </c>
      <c r="M398" s="0" t="n">
        <v>402.618713299676</v>
      </c>
      <c r="N398" s="0" t="n">
        <v>0</v>
      </c>
      <c r="O398" s="0" t="n">
        <v>381</v>
      </c>
      <c r="P398" s="0" t="n">
        <v>193</v>
      </c>
      <c r="Q398" s="0" t="n">
        <v>188</v>
      </c>
      <c r="R398" s="0" t="n">
        <v>570.898706183596</v>
      </c>
      <c r="S398" s="0" t="n">
        <v>440.534211933469</v>
      </c>
      <c r="T398" s="0" t="n">
        <v>29</v>
      </c>
      <c r="U398" s="0" t="n">
        <v>19</v>
      </c>
      <c r="V398" s="0" t="n">
        <v>19.6861554938635</v>
      </c>
      <c r="W398" s="0" t="n">
        <v>23.1858891233977</v>
      </c>
      <c r="X398" s="0" t="n">
        <v>13.9704046457836</v>
      </c>
      <c r="Y398" s="0" t="n">
        <v>0</v>
      </c>
      <c r="Z398" s="0" t="n">
        <v>0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  <c r="AF398" s="0" t="n">
        <v>42.8088142246882</v>
      </c>
      <c r="AG398" s="0" t="n">
        <v>0</v>
      </c>
      <c r="AH398" s="0" t="n">
        <v>0</v>
      </c>
      <c r="AI398" s="0" t="n">
        <v>0</v>
      </c>
      <c r="AK398" s="0" t="n">
        <f aca="false">A398</f>
        <v>381</v>
      </c>
      <c r="AL398" s="0" t="n">
        <v>1</v>
      </c>
      <c r="AM398" s="0" t="n">
        <v>0</v>
      </c>
      <c r="AO398" s="0" t="n">
        <v>381</v>
      </c>
      <c r="AP398" s="0" t="n">
        <v>1</v>
      </c>
      <c r="AQ398" s="0" t="n">
        <v>0.505621066004536</v>
      </c>
      <c r="AR398" s="0" t="n">
        <v>337.900941159913</v>
      </c>
      <c r="AS398" s="0" t="n">
        <v>48</v>
      </c>
      <c r="AT398" s="0" t="n">
        <v>48</v>
      </c>
    </row>
    <row r="399" customFormat="false" ht="12" hidden="false" customHeight="false" outlineLevel="0" collapsed="false">
      <c r="A399" s="0" t="n">
        <v>382</v>
      </c>
      <c r="B399" s="0" t="n">
        <v>0</v>
      </c>
      <c r="C399" s="0" t="n">
        <v>0.435735653439914</v>
      </c>
      <c r="D399" s="0" t="n">
        <v>388.978696683992</v>
      </c>
      <c r="E399" s="0" t="n">
        <v>16</v>
      </c>
      <c r="F399" s="0" t="n">
        <v>18</v>
      </c>
      <c r="G399" s="0" t="n">
        <v>0.5</v>
      </c>
      <c r="H399" s="0" t="n">
        <v>1</v>
      </c>
      <c r="I399" s="0" t="n">
        <v>0</v>
      </c>
      <c r="J399" s="0" t="n">
        <v>402.513365676336</v>
      </c>
      <c r="K399" s="0" t="n">
        <v>0</v>
      </c>
      <c r="L399" s="0" t="n">
        <v>1.99769458642563</v>
      </c>
      <c r="M399" s="0" t="n">
        <v>404.616407886101</v>
      </c>
      <c r="N399" s="0" t="n">
        <v>15.6377112021091</v>
      </c>
      <c r="O399" s="0" t="n">
        <v>382</v>
      </c>
      <c r="P399" s="0" t="n">
        <v>193</v>
      </c>
      <c r="Q399" s="0" t="n">
        <v>189</v>
      </c>
      <c r="R399" s="0" t="n">
        <v>537.890755703226</v>
      </c>
      <c r="S399" s="0" t="n">
        <v>463.170378152079</v>
      </c>
      <c r="T399" s="0" t="n">
        <v>28</v>
      </c>
      <c r="U399" s="0" t="n">
        <v>20</v>
      </c>
      <c r="V399" s="0" t="n">
        <v>19.210377271409</v>
      </c>
      <c r="W399" s="0" t="n">
        <v>23.1584031155884</v>
      </c>
      <c r="X399" s="0" t="n">
        <v>0</v>
      </c>
      <c r="Y399" s="0" t="n">
        <v>0</v>
      </c>
      <c r="Z399" s="0" t="n">
        <v>0</v>
      </c>
      <c r="AA399" s="0" t="n">
        <v>15.6377112021091</v>
      </c>
      <c r="AB399" s="0" t="n">
        <v>0</v>
      </c>
      <c r="AC399" s="0" t="n">
        <v>0</v>
      </c>
      <c r="AD399" s="0" t="n">
        <v>0</v>
      </c>
      <c r="AE399" s="0" t="n">
        <v>1</v>
      </c>
      <c r="AF399" s="0" t="n">
        <v>0</v>
      </c>
      <c r="AG399" s="0" t="n">
        <v>0</v>
      </c>
      <c r="AH399" s="0" t="n">
        <v>0</v>
      </c>
      <c r="AI399" s="0" t="n">
        <v>62.5097447745715</v>
      </c>
      <c r="AK399" s="0" t="n">
        <f aca="false">A399</f>
        <v>382</v>
      </c>
      <c r="AL399" s="0" t="n">
        <v>1</v>
      </c>
      <c r="AM399" s="0" t="n">
        <v>1</v>
      </c>
      <c r="AO399" s="0" t="n">
        <v>382</v>
      </c>
      <c r="AP399" s="0" t="n">
        <v>1</v>
      </c>
      <c r="AQ399" s="0" t="n">
        <v>0.157680704738711</v>
      </c>
      <c r="AR399" s="0" t="n">
        <v>338.058621864651</v>
      </c>
      <c r="AS399" s="0" t="n">
        <v>48</v>
      </c>
      <c r="AT399" s="0" t="n">
        <v>50</v>
      </c>
    </row>
    <row r="400" customFormat="false" ht="12" hidden="false" customHeight="false" outlineLevel="0" collapsed="false">
      <c r="A400" s="0" t="n">
        <v>383</v>
      </c>
      <c r="B400" s="0" t="n">
        <v>1</v>
      </c>
      <c r="C400" s="0" t="n">
        <v>3.58369460088757</v>
      </c>
      <c r="D400" s="0" t="n">
        <v>392.56239128488</v>
      </c>
      <c r="E400" s="0" t="n">
        <v>12</v>
      </c>
      <c r="F400" s="0" t="n">
        <v>16</v>
      </c>
      <c r="G400" s="0" t="n">
        <v>0.5</v>
      </c>
      <c r="H400" s="0" t="n">
        <v>0</v>
      </c>
      <c r="I400" s="0" t="n">
        <v>1.77421680618508</v>
      </c>
      <c r="J400" s="0" t="n">
        <v>404.287582482521</v>
      </c>
      <c r="K400" s="0" t="n">
        <v>11.7251911976413</v>
      </c>
      <c r="L400" s="0" t="n">
        <v>0</v>
      </c>
      <c r="M400" s="0" t="n">
        <v>404.616407886101</v>
      </c>
      <c r="N400" s="0" t="n">
        <v>0</v>
      </c>
      <c r="O400" s="0" t="n">
        <v>383</v>
      </c>
      <c r="P400" s="0" t="n">
        <v>194</v>
      </c>
      <c r="Q400" s="0" t="n">
        <v>189</v>
      </c>
      <c r="R400" s="0" t="n">
        <v>471.379189197618</v>
      </c>
      <c r="S400" s="0" t="n">
        <v>534.146384045952</v>
      </c>
      <c r="T400" s="0" t="n">
        <v>21</v>
      </c>
      <c r="U400" s="0" t="n">
        <v>27</v>
      </c>
      <c r="V400" s="0" t="n">
        <v>22.446617368164</v>
      </c>
      <c r="W400" s="0" t="n">
        <v>19.7831261382718</v>
      </c>
      <c r="X400" s="0" t="n">
        <v>11.7251911976413</v>
      </c>
      <c r="Y400" s="0" t="n">
        <v>0</v>
      </c>
      <c r="Z400" s="0" t="n">
        <v>0</v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  <c r="AF400" s="0" t="n">
        <v>18.4696327061744</v>
      </c>
      <c r="AG400" s="0" t="n">
        <v>0</v>
      </c>
      <c r="AH400" s="0" t="n">
        <v>0</v>
      </c>
      <c r="AI400" s="0" t="n">
        <v>0</v>
      </c>
      <c r="AK400" s="0" t="n">
        <f aca="false">A400</f>
        <v>383</v>
      </c>
      <c r="AL400" s="0" t="n">
        <v>2</v>
      </c>
      <c r="AM400" s="0" t="n">
        <v>1</v>
      </c>
      <c r="AO400" s="0" t="n">
        <v>383</v>
      </c>
      <c r="AP400" s="0" t="n">
        <v>0</v>
      </c>
      <c r="AQ400" s="0" t="n">
        <v>1.31593218441501</v>
      </c>
      <c r="AR400" s="0" t="n">
        <v>339.374554049066</v>
      </c>
      <c r="AS400" s="0" t="n">
        <v>48</v>
      </c>
      <c r="AT400" s="0" t="n">
        <v>50</v>
      </c>
    </row>
    <row r="401" customFormat="false" ht="12" hidden="false" customHeight="false" outlineLevel="0" collapsed="false">
      <c r="A401" s="0" t="n">
        <v>384</v>
      </c>
      <c r="B401" s="0" t="n">
        <v>1</v>
      </c>
      <c r="C401" s="0" t="n">
        <v>0.806924576437577</v>
      </c>
      <c r="D401" s="0" t="n">
        <v>393.369315861317</v>
      </c>
      <c r="E401" s="0" t="n">
        <v>14</v>
      </c>
      <c r="F401" s="0" t="n">
        <v>14</v>
      </c>
      <c r="G401" s="0" t="n">
        <v>0.5</v>
      </c>
      <c r="H401" s="0" t="n">
        <v>0</v>
      </c>
      <c r="I401" s="0" t="n">
        <v>1.77249277496479</v>
      </c>
      <c r="J401" s="0" t="n">
        <v>406.060075257486</v>
      </c>
      <c r="K401" s="0" t="n">
        <v>12.6907593961685</v>
      </c>
      <c r="L401" s="0" t="n">
        <v>0</v>
      </c>
      <c r="M401" s="0" t="n">
        <v>404.616407886101</v>
      </c>
      <c r="N401" s="0" t="n">
        <v>0</v>
      </c>
      <c r="O401" s="0" t="n">
        <v>384</v>
      </c>
      <c r="P401" s="0" t="n">
        <v>195</v>
      </c>
      <c r="Q401" s="0" t="n">
        <v>189</v>
      </c>
      <c r="R401" s="0" t="n">
        <v>524.138608587649</v>
      </c>
      <c r="S401" s="0" t="n">
        <v>472.425757649843</v>
      </c>
      <c r="T401" s="0" t="n">
        <v>26</v>
      </c>
      <c r="U401" s="0" t="n">
        <v>22</v>
      </c>
      <c r="V401" s="0" t="n">
        <v>20.1591694998444</v>
      </c>
      <c r="W401" s="0" t="n">
        <v>21.4738004668089</v>
      </c>
      <c r="X401" s="0" t="n">
        <v>12.6907593961685</v>
      </c>
      <c r="Y401" s="0" t="n">
        <v>0</v>
      </c>
      <c r="Z401" s="0" t="n">
        <v>0</v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0</v>
      </c>
      <c r="AF401" s="0" t="n">
        <v>27.7012664083835</v>
      </c>
      <c r="AG401" s="0" t="n">
        <v>0</v>
      </c>
      <c r="AH401" s="0" t="n">
        <v>0</v>
      </c>
      <c r="AI401" s="0" t="n">
        <v>0</v>
      </c>
      <c r="AK401" s="0" t="n">
        <f aca="false">A401</f>
        <v>384</v>
      </c>
      <c r="AL401" s="0" t="n">
        <v>0</v>
      </c>
      <c r="AM401" s="0" t="n">
        <v>1</v>
      </c>
      <c r="AO401" s="0" t="n">
        <v>384</v>
      </c>
      <c r="AP401" s="0" t="n">
        <v>0</v>
      </c>
      <c r="AQ401" s="0" t="n">
        <v>0.443252433976547</v>
      </c>
      <c r="AR401" s="0" t="n">
        <v>339.817806483043</v>
      </c>
      <c r="AS401" s="0" t="n">
        <v>48</v>
      </c>
      <c r="AT401" s="0" t="n">
        <v>50</v>
      </c>
    </row>
    <row r="402" customFormat="false" ht="12" hidden="false" customHeight="false" outlineLevel="0" collapsed="false">
      <c r="A402" s="0" t="n">
        <v>385</v>
      </c>
      <c r="B402" s="0" t="n">
        <v>1</v>
      </c>
      <c r="C402" s="0" t="n">
        <v>3.34886193422972</v>
      </c>
      <c r="D402" s="0" t="n">
        <v>396.718177795547</v>
      </c>
      <c r="E402" s="0" t="n">
        <v>12</v>
      </c>
      <c r="F402" s="0" t="n">
        <v>12</v>
      </c>
      <c r="G402" s="0" t="n">
        <v>0.5</v>
      </c>
      <c r="H402" s="0" t="n">
        <v>1</v>
      </c>
      <c r="I402" s="0" t="n">
        <v>0</v>
      </c>
      <c r="J402" s="0" t="n">
        <v>406.060075257486</v>
      </c>
      <c r="K402" s="0" t="n">
        <v>0</v>
      </c>
      <c r="L402" s="0" t="n">
        <v>1.80535856313553</v>
      </c>
      <c r="M402" s="0" t="n">
        <v>406.421766449237</v>
      </c>
      <c r="N402" s="0" t="n">
        <v>9.70358865368985</v>
      </c>
      <c r="O402" s="0" t="n">
        <v>385</v>
      </c>
      <c r="P402" s="0" t="n">
        <v>195</v>
      </c>
      <c r="Q402" s="0" t="n">
        <v>190</v>
      </c>
      <c r="R402" s="0" t="n">
        <v>521.621440355748</v>
      </c>
      <c r="S402" s="0" t="n">
        <v>496.598539438813</v>
      </c>
      <c r="T402" s="0" t="n">
        <v>25</v>
      </c>
      <c r="U402" s="0" t="n">
        <v>23</v>
      </c>
      <c r="V402" s="0" t="n">
        <v>20.8648492682902</v>
      </c>
      <c r="W402" s="0" t="n">
        <v>21.5911469706137</v>
      </c>
      <c r="X402" s="0" t="n">
        <v>0</v>
      </c>
      <c r="Y402" s="0" t="n">
        <v>0</v>
      </c>
      <c r="Z402" s="0" t="n">
        <v>9.70358865368985</v>
      </c>
      <c r="AA402" s="0" t="n">
        <v>0</v>
      </c>
      <c r="AB402" s="0" t="n">
        <v>0</v>
      </c>
      <c r="AC402" s="0" t="n">
        <v>0</v>
      </c>
      <c r="AD402" s="0" t="n">
        <v>1</v>
      </c>
      <c r="AE402" s="0" t="n">
        <v>0</v>
      </c>
      <c r="AF402" s="0" t="n">
        <v>0</v>
      </c>
      <c r="AG402" s="0" t="n">
        <v>0</v>
      </c>
      <c r="AH402" s="0" t="n">
        <v>3.75462461310997</v>
      </c>
      <c r="AI402" s="0" t="n">
        <v>0</v>
      </c>
      <c r="AK402" s="0" t="n">
        <f aca="false">A402</f>
        <v>385</v>
      </c>
      <c r="AL402" s="0" t="n">
        <v>0</v>
      </c>
      <c r="AM402" s="0" t="n">
        <v>0</v>
      </c>
      <c r="AO402" s="0" t="n">
        <v>385</v>
      </c>
      <c r="AP402" s="0" t="n">
        <v>0</v>
      </c>
      <c r="AQ402" s="0" t="n">
        <v>0.1093242551988</v>
      </c>
      <c r="AR402" s="0" t="n">
        <v>339.927130738242</v>
      </c>
      <c r="AS402" s="0" t="n">
        <v>50</v>
      </c>
      <c r="AT402" s="0" t="n">
        <v>50</v>
      </c>
    </row>
    <row r="403" customFormat="false" ht="12" hidden="false" customHeight="false" outlineLevel="0" collapsed="false">
      <c r="A403" s="0" t="n">
        <v>386</v>
      </c>
      <c r="B403" s="0" t="n">
        <v>0</v>
      </c>
      <c r="C403" s="0" t="n">
        <v>1.4415507705158</v>
      </c>
      <c r="D403" s="0" t="n">
        <v>398.159728566063</v>
      </c>
      <c r="E403" s="0" t="n">
        <v>12</v>
      </c>
      <c r="F403" s="0" t="n">
        <v>12</v>
      </c>
      <c r="G403" s="0" t="n">
        <v>0.5</v>
      </c>
      <c r="H403" s="0" t="n">
        <v>0</v>
      </c>
      <c r="I403" s="0" t="n">
        <v>1.92408563228539</v>
      </c>
      <c r="J403" s="0" t="n">
        <v>407.984160889771</v>
      </c>
      <c r="K403" s="0" t="n">
        <v>9.82443232370838</v>
      </c>
      <c r="L403" s="0" t="n">
        <v>0</v>
      </c>
      <c r="M403" s="0" t="n">
        <v>406.421766449237</v>
      </c>
      <c r="N403" s="0" t="n">
        <v>0</v>
      </c>
      <c r="O403" s="0" t="n">
        <v>386</v>
      </c>
      <c r="P403" s="0" t="n">
        <v>196</v>
      </c>
      <c r="Q403" s="0" t="n">
        <v>190</v>
      </c>
      <c r="R403" s="0" t="n">
        <v>429.973646982982</v>
      </c>
      <c r="S403" s="0" t="n">
        <v>575.805103367387</v>
      </c>
      <c r="T403" s="0" t="n">
        <v>21</v>
      </c>
      <c r="U403" s="0" t="n">
        <v>27</v>
      </c>
      <c r="V403" s="0" t="n">
        <v>20.4749258206535</v>
      </c>
      <c r="W403" s="0" t="n">
        <v>21.3260359542145</v>
      </c>
      <c r="X403" s="0" t="n">
        <v>0</v>
      </c>
      <c r="Y403" s="0" t="n">
        <v>9.82443232370838</v>
      </c>
      <c r="Z403" s="0" t="n">
        <v>0</v>
      </c>
      <c r="AA403" s="0" t="n">
        <v>0</v>
      </c>
      <c r="AB403" s="0" t="n">
        <v>0</v>
      </c>
      <c r="AC403" s="0" t="n">
        <v>1</v>
      </c>
      <c r="AD403" s="0" t="n">
        <v>0</v>
      </c>
      <c r="AE403" s="0" t="n">
        <v>0</v>
      </c>
      <c r="AF403" s="0" t="n">
        <v>0</v>
      </c>
      <c r="AG403" s="0" t="n">
        <v>2.45165223281116</v>
      </c>
      <c r="AH403" s="0" t="n">
        <v>0</v>
      </c>
      <c r="AI403" s="0" t="n">
        <v>0</v>
      </c>
      <c r="AK403" s="0" t="n">
        <f aca="false">A403</f>
        <v>386</v>
      </c>
      <c r="AL403" s="0" t="n">
        <v>0</v>
      </c>
      <c r="AM403" s="0" t="n">
        <v>0</v>
      </c>
      <c r="AO403" s="0" t="n">
        <v>386</v>
      </c>
      <c r="AP403" s="0" t="n">
        <v>0</v>
      </c>
      <c r="AQ403" s="0" t="n">
        <v>1.14017384666468</v>
      </c>
      <c r="AR403" s="0" t="n">
        <v>341.067304584906</v>
      </c>
      <c r="AS403" s="0" t="n">
        <v>50</v>
      </c>
      <c r="AT403" s="0" t="n">
        <v>50</v>
      </c>
    </row>
    <row r="404" customFormat="false" ht="12" hidden="false" customHeight="false" outlineLevel="0" collapsed="false">
      <c r="A404" s="0" t="n">
        <v>387</v>
      </c>
      <c r="B404" s="0" t="n">
        <v>1</v>
      </c>
      <c r="C404" s="0" t="n">
        <v>0.818919743712438</v>
      </c>
      <c r="D404" s="0" t="n">
        <v>398.978648309775</v>
      </c>
      <c r="E404" s="0" t="n">
        <v>12</v>
      </c>
      <c r="F404" s="0" t="n">
        <v>12</v>
      </c>
      <c r="G404" s="0" t="n">
        <v>0.5</v>
      </c>
      <c r="H404" s="0" t="n">
        <v>0</v>
      </c>
      <c r="I404" s="0" t="n">
        <v>1.89315809032362</v>
      </c>
      <c r="J404" s="0" t="n">
        <v>409.877318980095</v>
      </c>
      <c r="K404" s="0" t="n">
        <v>10.8986706703195</v>
      </c>
      <c r="L404" s="0" t="n">
        <v>0</v>
      </c>
      <c r="M404" s="0" t="n">
        <v>406.421766449237</v>
      </c>
      <c r="N404" s="0" t="n">
        <v>0</v>
      </c>
      <c r="O404" s="0" t="n">
        <v>387</v>
      </c>
      <c r="P404" s="0" t="n">
        <v>197</v>
      </c>
      <c r="Q404" s="0" t="n">
        <v>190</v>
      </c>
      <c r="R404" s="0" t="n">
        <v>502.220651717746</v>
      </c>
      <c r="S404" s="0" t="n">
        <v>518.333786386942</v>
      </c>
      <c r="T404" s="0" t="n">
        <v>22</v>
      </c>
      <c r="U404" s="0" t="n">
        <v>26</v>
      </c>
      <c r="V404" s="0" t="n">
        <v>22.8282010652607</v>
      </c>
      <c r="W404" s="0" t="n">
        <v>19.9358381847355</v>
      </c>
      <c r="X404" s="0" t="n">
        <v>10.8986706703195</v>
      </c>
      <c r="Y404" s="0" t="n">
        <v>0</v>
      </c>
      <c r="Z404" s="0" t="n">
        <v>0</v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  <c r="AF404" s="0" t="n">
        <v>12.0486083125413</v>
      </c>
      <c r="AG404" s="0" t="n">
        <v>0</v>
      </c>
      <c r="AH404" s="0" t="n">
        <v>0</v>
      </c>
      <c r="AI404" s="0" t="n">
        <v>0</v>
      </c>
      <c r="AK404" s="0" t="n">
        <f aca="false">A404</f>
        <v>387</v>
      </c>
      <c r="AL404" s="0" t="n">
        <v>0</v>
      </c>
      <c r="AM404" s="0" t="n">
        <v>0</v>
      </c>
      <c r="AO404" s="0" t="n">
        <v>387</v>
      </c>
      <c r="AP404" s="0" t="n">
        <v>1</v>
      </c>
      <c r="AQ404" s="0" t="n">
        <v>1.11272622784188</v>
      </c>
      <c r="AR404" s="0" t="n">
        <v>342.180030812748</v>
      </c>
      <c r="AS404" s="0" t="n">
        <v>50</v>
      </c>
      <c r="AT404" s="0" t="n">
        <v>50</v>
      </c>
    </row>
    <row r="405" customFormat="false" ht="12" hidden="false" customHeight="false" outlineLevel="0" collapsed="false">
      <c r="A405" s="0" t="n">
        <v>388</v>
      </c>
      <c r="B405" s="0" t="n">
        <v>0</v>
      </c>
      <c r="C405" s="0" t="n">
        <v>0.157264573788741</v>
      </c>
      <c r="D405" s="0" t="n">
        <v>399.135912883564</v>
      </c>
      <c r="E405" s="0" t="n">
        <v>14</v>
      </c>
      <c r="F405" s="0" t="n">
        <v>10</v>
      </c>
      <c r="G405" s="0" t="n">
        <v>0.5</v>
      </c>
      <c r="H405" s="0" t="n">
        <v>1</v>
      </c>
      <c r="I405" s="0" t="n">
        <v>0</v>
      </c>
      <c r="J405" s="0" t="n">
        <v>409.877318980095</v>
      </c>
      <c r="K405" s="0" t="n">
        <v>0</v>
      </c>
      <c r="L405" s="0" t="n">
        <v>2.07494407096695</v>
      </c>
      <c r="M405" s="0" t="n">
        <v>408.496710520204</v>
      </c>
      <c r="N405" s="0" t="n">
        <v>9.36079763663986</v>
      </c>
      <c r="O405" s="0" t="n">
        <v>388</v>
      </c>
      <c r="P405" s="0" t="n">
        <v>197</v>
      </c>
      <c r="Q405" s="0" t="n">
        <v>191</v>
      </c>
      <c r="R405" s="0" t="n">
        <v>436.136874713261</v>
      </c>
      <c r="S405" s="0" t="n">
        <v>564.170275540258</v>
      </c>
      <c r="T405" s="0" t="n">
        <v>21</v>
      </c>
      <c r="U405" s="0" t="n">
        <v>27</v>
      </c>
      <c r="V405" s="0" t="n">
        <v>20.7684127156731</v>
      </c>
      <c r="W405" s="0" t="n">
        <v>20.895118001054</v>
      </c>
      <c r="X405" s="0" t="n">
        <v>0</v>
      </c>
      <c r="Y405" s="0" t="n">
        <v>0</v>
      </c>
      <c r="Z405" s="0" t="n">
        <v>0</v>
      </c>
      <c r="AA405" s="0" t="n">
        <v>9.36079763663986</v>
      </c>
      <c r="AB405" s="0" t="n">
        <v>0</v>
      </c>
      <c r="AC405" s="0" t="n">
        <v>0</v>
      </c>
      <c r="AD405" s="0" t="n">
        <v>0</v>
      </c>
      <c r="AE405" s="0" t="n">
        <v>1</v>
      </c>
      <c r="AF405" s="0" t="n">
        <v>0</v>
      </c>
      <c r="AG405" s="0" t="n">
        <v>0</v>
      </c>
      <c r="AH405" s="0" t="n">
        <v>0</v>
      </c>
      <c r="AI405" s="0" t="n">
        <v>2.65493417491981</v>
      </c>
      <c r="AK405" s="0" t="n">
        <f aca="false">A405</f>
        <v>388</v>
      </c>
      <c r="AL405" s="0" t="n">
        <v>2</v>
      </c>
      <c r="AM405" s="0" t="n">
        <v>1</v>
      </c>
      <c r="AO405" s="0" t="n">
        <v>388</v>
      </c>
      <c r="AP405" s="0" t="n">
        <v>1</v>
      </c>
      <c r="AQ405" s="0" t="n">
        <v>0.15271460839523</v>
      </c>
      <c r="AR405" s="0" t="n">
        <v>342.332745421144</v>
      </c>
      <c r="AS405" s="0" t="n">
        <v>50</v>
      </c>
      <c r="AT405" s="0" t="n">
        <v>52</v>
      </c>
    </row>
    <row r="406" customFormat="false" ht="12" hidden="false" customHeight="false" outlineLevel="0" collapsed="false">
      <c r="A406" s="0" t="n">
        <v>389</v>
      </c>
      <c r="B406" s="0" t="n">
        <v>0</v>
      </c>
      <c r="C406" s="0" t="n">
        <v>0.603148326230852</v>
      </c>
      <c r="D406" s="0" t="n">
        <v>399.739061209795</v>
      </c>
      <c r="E406" s="0" t="n">
        <v>14</v>
      </c>
      <c r="F406" s="0" t="n">
        <v>12</v>
      </c>
      <c r="G406" s="0" t="n">
        <v>0.5</v>
      </c>
      <c r="H406" s="0" t="n">
        <v>0</v>
      </c>
      <c r="I406" s="0" t="n">
        <v>1.83823775288239</v>
      </c>
      <c r="J406" s="0" t="n">
        <v>411.715556732977</v>
      </c>
      <c r="K406" s="0" t="n">
        <v>11.9764955231823</v>
      </c>
      <c r="L406" s="0" t="n">
        <v>0</v>
      </c>
      <c r="M406" s="0" t="n">
        <v>408.496710520204</v>
      </c>
      <c r="N406" s="0" t="n">
        <v>0</v>
      </c>
      <c r="O406" s="0" t="n">
        <v>389</v>
      </c>
      <c r="P406" s="0" t="n">
        <v>198</v>
      </c>
      <c r="Q406" s="0" t="n">
        <v>191</v>
      </c>
      <c r="R406" s="0" t="n">
        <v>551.989455099102</v>
      </c>
      <c r="S406" s="0" t="n">
        <v>454.952378769707</v>
      </c>
      <c r="T406" s="0" t="n">
        <v>28</v>
      </c>
      <c r="U406" s="0" t="n">
        <v>20</v>
      </c>
      <c r="V406" s="0" t="n">
        <v>19.7139020700029</v>
      </c>
      <c r="W406" s="0" t="n">
        <v>22.7475052009593</v>
      </c>
      <c r="X406" s="0" t="n">
        <v>0</v>
      </c>
      <c r="Y406" s="0" t="n">
        <v>11.9764955231823</v>
      </c>
      <c r="Z406" s="0" t="n">
        <v>0</v>
      </c>
      <c r="AA406" s="0" t="n">
        <v>0</v>
      </c>
      <c r="AB406" s="0" t="n">
        <v>0</v>
      </c>
      <c r="AC406" s="0" t="n">
        <v>1</v>
      </c>
      <c r="AD406" s="0" t="n">
        <v>0</v>
      </c>
      <c r="AE406" s="0" t="n">
        <v>0</v>
      </c>
      <c r="AF406" s="0" t="n">
        <v>0</v>
      </c>
      <c r="AG406" s="0" t="n">
        <v>13.8223229721654</v>
      </c>
      <c r="AH406" s="0" t="n">
        <v>0</v>
      </c>
      <c r="AI406" s="0" t="n">
        <v>0</v>
      </c>
      <c r="AK406" s="0" t="n">
        <f aca="false">A406</f>
        <v>389</v>
      </c>
      <c r="AL406" s="0" t="n">
        <v>1</v>
      </c>
      <c r="AM406" s="0" t="n">
        <v>1</v>
      </c>
      <c r="AO406" s="0" t="n">
        <v>389</v>
      </c>
      <c r="AP406" s="0" t="n">
        <v>0</v>
      </c>
      <c r="AQ406" s="0" t="n">
        <v>0.660908915315873</v>
      </c>
      <c r="AR406" s="0" t="n">
        <v>342.993654336459</v>
      </c>
      <c r="AS406" s="0" t="n">
        <v>50</v>
      </c>
      <c r="AT406" s="0" t="n">
        <v>52</v>
      </c>
    </row>
    <row r="407" customFormat="false" ht="12" hidden="false" customHeight="false" outlineLevel="0" collapsed="false">
      <c r="A407" s="0" t="n">
        <v>390</v>
      </c>
      <c r="B407" s="0" t="n">
        <v>1</v>
      </c>
      <c r="C407" s="0" t="n">
        <v>3.35110597640908</v>
      </c>
      <c r="D407" s="0" t="n">
        <v>403.090167186204</v>
      </c>
      <c r="E407" s="0" t="n">
        <v>12</v>
      </c>
      <c r="F407" s="0" t="n">
        <v>8</v>
      </c>
      <c r="G407" s="0" t="n">
        <v>0.5</v>
      </c>
      <c r="H407" s="0" t="n">
        <v>1</v>
      </c>
      <c r="I407" s="0" t="n">
        <v>0</v>
      </c>
      <c r="J407" s="0" t="n">
        <v>411.715556732977</v>
      </c>
      <c r="K407" s="0" t="n">
        <v>0</v>
      </c>
      <c r="L407" s="0" t="n">
        <v>2.19375324348536</v>
      </c>
      <c r="M407" s="0" t="n">
        <v>410.690463763689</v>
      </c>
      <c r="N407" s="0" t="n">
        <v>7.60029657748532</v>
      </c>
      <c r="O407" s="0" t="n">
        <v>390</v>
      </c>
      <c r="P407" s="0" t="n">
        <v>198</v>
      </c>
      <c r="Q407" s="0" t="n">
        <v>192</v>
      </c>
      <c r="R407" s="0" t="n">
        <v>611.404719654314</v>
      </c>
      <c r="S407" s="0" t="n">
        <v>390.867632059104</v>
      </c>
      <c r="T407" s="0" t="n">
        <v>26</v>
      </c>
      <c r="U407" s="0" t="n">
        <v>22</v>
      </c>
      <c r="V407" s="0" t="n">
        <v>23.5155570961055</v>
      </c>
      <c r="W407" s="0" t="n">
        <v>17.7666297907329</v>
      </c>
      <c r="X407" s="0" t="n">
        <v>0</v>
      </c>
      <c r="Y407" s="0" t="n">
        <v>0</v>
      </c>
      <c r="Z407" s="0" t="n">
        <v>7.60029657748532</v>
      </c>
      <c r="AA407" s="0" t="n">
        <v>0</v>
      </c>
      <c r="AB407" s="0" t="n">
        <v>0</v>
      </c>
      <c r="AC407" s="0" t="n">
        <v>0</v>
      </c>
      <c r="AD407" s="0" t="n">
        <v>1</v>
      </c>
      <c r="AE407" s="0" t="n">
        <v>0</v>
      </c>
      <c r="AF407" s="0" t="n">
        <v>0</v>
      </c>
      <c r="AG407" s="0" t="n">
        <v>0</v>
      </c>
      <c r="AH407" s="0" t="n">
        <v>0.0274255794307639</v>
      </c>
      <c r="AI407" s="0" t="n">
        <v>0</v>
      </c>
      <c r="AK407" s="0" t="n">
        <f aca="false">A407</f>
        <v>390</v>
      </c>
      <c r="AL407" s="0" t="n">
        <v>2</v>
      </c>
      <c r="AM407" s="0" t="n">
        <v>0</v>
      </c>
      <c r="AO407" s="0" t="n">
        <v>390</v>
      </c>
      <c r="AP407" s="0" t="n">
        <v>0</v>
      </c>
      <c r="AQ407" s="0" t="n">
        <v>0.592392517378556</v>
      </c>
      <c r="AR407" s="0" t="n">
        <v>343.586046853838</v>
      </c>
      <c r="AS407" s="0" t="n">
        <v>52</v>
      </c>
      <c r="AT407" s="0" t="n">
        <v>52</v>
      </c>
    </row>
    <row r="408" customFormat="false" ht="12" hidden="false" customHeight="false" outlineLevel="0" collapsed="false">
      <c r="A408" s="0" t="n">
        <v>391</v>
      </c>
      <c r="B408" s="0" t="n">
        <v>1</v>
      </c>
      <c r="C408" s="0" t="n">
        <v>1.04284929812512</v>
      </c>
      <c r="D408" s="0" t="n">
        <v>404.133016484329</v>
      </c>
      <c r="E408" s="0" t="n">
        <v>12</v>
      </c>
      <c r="F408" s="0" t="n">
        <v>10</v>
      </c>
      <c r="G408" s="0" t="n">
        <v>0.5</v>
      </c>
      <c r="H408" s="0" t="n">
        <v>1</v>
      </c>
      <c r="I408" s="0" t="n">
        <v>0</v>
      </c>
      <c r="J408" s="0" t="n">
        <v>411.715556732977</v>
      </c>
      <c r="K408" s="0" t="n">
        <v>0</v>
      </c>
      <c r="L408" s="0" t="n">
        <v>1.96311126159246</v>
      </c>
      <c r="M408" s="0" t="n">
        <v>412.653575025282</v>
      </c>
      <c r="N408" s="0" t="n">
        <v>8.52055854095266</v>
      </c>
      <c r="O408" s="0" t="n">
        <v>391</v>
      </c>
      <c r="P408" s="0" t="n">
        <v>198</v>
      </c>
      <c r="Q408" s="0" t="n">
        <v>193</v>
      </c>
      <c r="R408" s="0" t="n">
        <v>533.957783028612</v>
      </c>
      <c r="S408" s="0" t="n">
        <v>470.839054093646</v>
      </c>
      <c r="T408" s="0" t="n">
        <v>25</v>
      </c>
      <c r="U408" s="0" t="n">
        <v>23</v>
      </c>
      <c r="V408" s="0" t="n">
        <v>21.3583027778234</v>
      </c>
      <c r="W408" s="0" t="n">
        <v>20.4711742163576</v>
      </c>
      <c r="X408" s="0" t="n">
        <v>0</v>
      </c>
      <c r="Y408" s="0" t="n">
        <v>0</v>
      </c>
      <c r="Z408" s="0" t="n">
        <v>8.52055854095266</v>
      </c>
      <c r="AA408" s="0" t="n">
        <v>0</v>
      </c>
      <c r="AB408" s="0" t="n">
        <v>0</v>
      </c>
      <c r="AC408" s="0" t="n">
        <v>0</v>
      </c>
      <c r="AD408" s="0" t="n">
        <v>1</v>
      </c>
      <c r="AE408" s="0" t="n">
        <v>0</v>
      </c>
      <c r="AF408" s="0" t="n">
        <v>0</v>
      </c>
      <c r="AG408" s="0" t="n">
        <v>0</v>
      </c>
      <c r="AH408" s="0" t="n">
        <v>0.569504565102843</v>
      </c>
      <c r="AI408" s="0" t="n">
        <v>0</v>
      </c>
      <c r="AK408" s="0" t="n">
        <f aca="false">A408</f>
        <v>391</v>
      </c>
      <c r="AL408" s="0" t="n">
        <v>1</v>
      </c>
      <c r="AM408" s="0" t="n">
        <v>1</v>
      </c>
      <c r="AO408" s="0" t="n">
        <v>391</v>
      </c>
      <c r="AP408" s="0" t="n">
        <v>1</v>
      </c>
      <c r="AQ408" s="0" t="n">
        <v>1.23279420364966</v>
      </c>
      <c r="AR408" s="0" t="n">
        <v>344.818841057488</v>
      </c>
      <c r="AS408" s="0" t="n">
        <v>52</v>
      </c>
      <c r="AT408" s="0" t="n">
        <v>50</v>
      </c>
    </row>
    <row r="409" customFormat="false" ht="12" hidden="false" customHeight="false" outlineLevel="0" collapsed="false">
      <c r="A409" s="0" t="n">
        <v>392</v>
      </c>
      <c r="B409" s="0" t="n">
        <v>1</v>
      </c>
      <c r="C409" s="0" t="n">
        <v>0.341619737197791</v>
      </c>
      <c r="D409" s="0" t="n">
        <v>404.474636221527</v>
      </c>
      <c r="E409" s="0" t="n">
        <v>10</v>
      </c>
      <c r="F409" s="0" t="n">
        <v>12</v>
      </c>
      <c r="G409" s="0" t="n">
        <v>0.5</v>
      </c>
      <c r="H409" s="0" t="n">
        <v>0</v>
      </c>
      <c r="I409" s="0" t="n">
        <v>1.90758807610489</v>
      </c>
      <c r="J409" s="0" t="n">
        <v>413.623144809082</v>
      </c>
      <c r="K409" s="0" t="n">
        <v>9.14850858755523</v>
      </c>
      <c r="L409" s="0" t="n">
        <v>0</v>
      </c>
      <c r="M409" s="0" t="n">
        <v>412.653575025282</v>
      </c>
      <c r="N409" s="0" t="n">
        <v>0</v>
      </c>
      <c r="O409" s="0" t="n">
        <v>392</v>
      </c>
      <c r="P409" s="0" t="n">
        <v>199</v>
      </c>
      <c r="Q409" s="0" t="n">
        <v>193</v>
      </c>
      <c r="R409" s="0" t="n">
        <v>352.66235138381</v>
      </c>
      <c r="S409" s="0" t="n">
        <v>637.883238717221</v>
      </c>
      <c r="T409" s="0" t="n">
        <v>19</v>
      </c>
      <c r="U409" s="0" t="n">
        <v>29</v>
      </c>
      <c r="V409" s="0" t="n">
        <v>18.5611666195865</v>
      </c>
      <c r="W409" s="0" t="n">
        <v>21.9958979009459</v>
      </c>
      <c r="X409" s="0" t="n">
        <v>9.14850858755523</v>
      </c>
      <c r="Y409" s="0" t="n">
        <v>0</v>
      </c>
      <c r="Z409" s="0" t="n">
        <v>0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  <c r="AF409" s="0" t="n">
        <v>2.96166355857075</v>
      </c>
      <c r="AG409" s="0" t="n">
        <v>0</v>
      </c>
      <c r="AH409" s="0" t="n">
        <v>0</v>
      </c>
      <c r="AI409" s="0" t="n">
        <v>0</v>
      </c>
      <c r="AK409" s="0" t="n">
        <f aca="false">A409</f>
        <v>392</v>
      </c>
      <c r="AL409" s="0" t="n">
        <v>1</v>
      </c>
      <c r="AM409" s="0" t="n">
        <v>0</v>
      </c>
      <c r="AO409" s="0" t="n">
        <v>392</v>
      </c>
      <c r="AP409" s="0" t="n">
        <v>0</v>
      </c>
      <c r="AQ409" s="0" t="n">
        <v>0.366062984692648</v>
      </c>
      <c r="AR409" s="0" t="n">
        <v>345.18490404218</v>
      </c>
      <c r="AS409" s="0" t="n">
        <v>52</v>
      </c>
      <c r="AT409" s="0" t="n">
        <v>52</v>
      </c>
    </row>
    <row r="410" customFormat="false" ht="12" hidden="false" customHeight="false" outlineLevel="0" collapsed="false">
      <c r="A410" s="0" t="n">
        <v>393</v>
      </c>
      <c r="B410" s="0" t="n">
        <v>1</v>
      </c>
      <c r="C410" s="0" t="n">
        <v>0.0705776874164312</v>
      </c>
      <c r="D410" s="0" t="n">
        <v>404.545213908943</v>
      </c>
      <c r="E410" s="0" t="n">
        <v>12</v>
      </c>
      <c r="F410" s="0" t="n">
        <v>12</v>
      </c>
      <c r="G410" s="0" t="n">
        <v>0.5</v>
      </c>
      <c r="H410" s="0" t="n">
        <v>0</v>
      </c>
      <c r="I410" s="0" t="n">
        <v>2.04239752856555</v>
      </c>
      <c r="J410" s="0" t="n">
        <v>415.665542337647</v>
      </c>
      <c r="K410" s="0" t="n">
        <v>11.1203284287044</v>
      </c>
      <c r="L410" s="0" t="n">
        <v>0</v>
      </c>
      <c r="M410" s="0" t="n">
        <v>412.653575025282</v>
      </c>
      <c r="N410" s="0" t="n">
        <v>0</v>
      </c>
      <c r="O410" s="0" t="n">
        <v>393</v>
      </c>
      <c r="P410" s="0" t="n">
        <v>200</v>
      </c>
      <c r="Q410" s="0" t="n">
        <v>193</v>
      </c>
      <c r="R410" s="0" t="n">
        <v>429.985180675542</v>
      </c>
      <c r="S410" s="0" t="n">
        <v>578.175062328295</v>
      </c>
      <c r="T410" s="0" t="n">
        <v>21</v>
      </c>
      <c r="U410" s="0" t="n">
        <v>27</v>
      </c>
      <c r="V410" s="0" t="n">
        <v>20.4754750438472</v>
      </c>
      <c r="W410" s="0" t="n">
        <v>21.4138118869299</v>
      </c>
      <c r="X410" s="0" t="n">
        <v>11.1203284287044</v>
      </c>
      <c r="Y410" s="0" t="n">
        <v>0</v>
      </c>
      <c r="Z410" s="0" t="n">
        <v>0</v>
      </c>
      <c r="AA410" s="0" t="n">
        <v>0</v>
      </c>
      <c r="AB410" s="0" t="n">
        <v>1</v>
      </c>
      <c r="AC410" s="0" t="n">
        <v>0</v>
      </c>
      <c r="AD410" s="0" t="n">
        <v>0</v>
      </c>
      <c r="AE410" s="0" t="n">
        <v>0</v>
      </c>
      <c r="AF410" s="0" t="n">
        <v>13.6365376328334</v>
      </c>
      <c r="AG410" s="0" t="n">
        <v>0</v>
      </c>
      <c r="AH410" s="0" t="n">
        <v>0</v>
      </c>
      <c r="AI410" s="0" t="n">
        <v>0</v>
      </c>
      <c r="AK410" s="0" t="n">
        <f aca="false">A410</f>
        <v>393</v>
      </c>
      <c r="AL410" s="0" t="n">
        <v>0</v>
      </c>
      <c r="AM410" s="0" t="n">
        <v>1</v>
      </c>
      <c r="AO410" s="0" t="n">
        <v>393</v>
      </c>
      <c r="AP410" s="0" t="n">
        <v>1</v>
      </c>
      <c r="AQ410" s="0" t="n">
        <v>1.82249274954215</v>
      </c>
      <c r="AR410" s="0" t="n">
        <v>347.007396791722</v>
      </c>
      <c r="AS410" s="0" t="n">
        <v>52</v>
      </c>
      <c r="AT410" s="0" t="n">
        <v>50</v>
      </c>
    </row>
    <row r="411" customFormat="false" ht="12" hidden="false" customHeight="false" outlineLevel="0" collapsed="false">
      <c r="A411" s="0" t="n">
        <v>394</v>
      </c>
      <c r="B411" s="0" t="n">
        <v>0</v>
      </c>
      <c r="C411" s="0" t="n">
        <v>0.0487683008318841</v>
      </c>
      <c r="D411" s="0" t="n">
        <v>404.593982209775</v>
      </c>
      <c r="E411" s="0" t="n">
        <v>14</v>
      </c>
      <c r="F411" s="0" t="n">
        <v>12</v>
      </c>
      <c r="G411" s="0" t="n">
        <v>0.5</v>
      </c>
      <c r="H411" s="0" t="n">
        <v>1</v>
      </c>
      <c r="I411" s="0" t="n">
        <v>0</v>
      </c>
      <c r="J411" s="0" t="n">
        <v>415.665542337647</v>
      </c>
      <c r="K411" s="0" t="n">
        <v>0</v>
      </c>
      <c r="L411" s="0" t="n">
        <v>2.2343704453043</v>
      </c>
      <c r="M411" s="0" t="n">
        <v>414.887945470586</v>
      </c>
      <c r="N411" s="0" t="n">
        <v>10.2939632608109</v>
      </c>
      <c r="O411" s="0" t="n">
        <v>394</v>
      </c>
      <c r="P411" s="0" t="n">
        <v>200</v>
      </c>
      <c r="Q411" s="0" t="n">
        <v>194</v>
      </c>
      <c r="R411" s="0" t="n">
        <v>715.134774010226</v>
      </c>
      <c r="S411" s="0" t="n">
        <v>290.777985407016</v>
      </c>
      <c r="T411" s="0" t="n">
        <v>31</v>
      </c>
      <c r="U411" s="0" t="n">
        <v>17</v>
      </c>
      <c r="V411" s="0" t="n">
        <v>23.0688562361827</v>
      </c>
      <c r="W411" s="0" t="n">
        <v>17.1044867622553</v>
      </c>
      <c r="X411" s="0" t="n">
        <v>0</v>
      </c>
      <c r="Y411" s="0" t="n">
        <v>0</v>
      </c>
      <c r="Z411" s="0" t="n">
        <v>0</v>
      </c>
      <c r="AA411" s="0" t="n">
        <v>10.2939632608109</v>
      </c>
      <c r="AB411" s="0" t="n">
        <v>0</v>
      </c>
      <c r="AC411" s="0" t="n">
        <v>0</v>
      </c>
      <c r="AD411" s="0" t="n">
        <v>0</v>
      </c>
      <c r="AE411" s="0" t="n">
        <v>1</v>
      </c>
      <c r="AF411" s="0" t="n">
        <v>0</v>
      </c>
      <c r="AG411" s="0" t="n">
        <v>0</v>
      </c>
      <c r="AH411" s="0" t="n">
        <v>0</v>
      </c>
      <c r="AI411" s="0" t="n">
        <v>6.56672656005022</v>
      </c>
      <c r="AK411" s="0" t="n">
        <f aca="false">A411</f>
        <v>394</v>
      </c>
      <c r="AL411" s="0" t="n">
        <v>1</v>
      </c>
      <c r="AM411" s="0" t="n">
        <v>0</v>
      </c>
      <c r="AO411" s="0" t="n">
        <v>394</v>
      </c>
      <c r="AP411" s="0" t="n">
        <v>0</v>
      </c>
      <c r="AQ411" s="0" t="n">
        <v>2.10301291491237</v>
      </c>
      <c r="AR411" s="0" t="n">
        <v>349.110409706635</v>
      </c>
      <c r="AS411" s="0" t="n">
        <v>50</v>
      </c>
      <c r="AT411" s="0" t="n">
        <v>50</v>
      </c>
    </row>
    <row r="412" customFormat="false" ht="12" hidden="false" customHeight="false" outlineLevel="0" collapsed="false">
      <c r="A412" s="0" t="n">
        <v>395</v>
      </c>
      <c r="B412" s="0" t="n">
        <v>1</v>
      </c>
      <c r="C412" s="0" t="n">
        <v>2.05377445602134</v>
      </c>
      <c r="D412" s="0" t="n">
        <v>406.647756665796</v>
      </c>
      <c r="E412" s="0" t="n">
        <v>12</v>
      </c>
      <c r="F412" s="0" t="n">
        <v>10</v>
      </c>
      <c r="G412" s="0" t="n">
        <v>0.5</v>
      </c>
      <c r="H412" s="0" t="n">
        <v>1</v>
      </c>
      <c r="I412" s="0" t="n">
        <v>0</v>
      </c>
      <c r="J412" s="0" t="n">
        <v>415.665542337647</v>
      </c>
      <c r="K412" s="0" t="n">
        <v>0</v>
      </c>
      <c r="L412" s="0" t="n">
        <v>2.20796617402856</v>
      </c>
      <c r="M412" s="0" t="n">
        <v>417.095911644614</v>
      </c>
      <c r="N412" s="0" t="n">
        <v>10.4481549788181</v>
      </c>
      <c r="O412" s="0" t="n">
        <v>395</v>
      </c>
      <c r="P412" s="0" t="n">
        <v>200</v>
      </c>
      <c r="Q412" s="0" t="n">
        <v>195</v>
      </c>
      <c r="R412" s="0" t="n">
        <v>328.781164929916</v>
      </c>
      <c r="S412" s="0" t="n">
        <v>670.233688295449</v>
      </c>
      <c r="T412" s="0" t="n">
        <v>18</v>
      </c>
      <c r="U412" s="0" t="n">
        <v>30</v>
      </c>
      <c r="V412" s="0" t="n">
        <v>18.265610126323</v>
      </c>
      <c r="W412" s="0" t="n">
        <v>22.3410484730201</v>
      </c>
      <c r="X412" s="0" t="n">
        <v>0</v>
      </c>
      <c r="Y412" s="0" t="n">
        <v>0</v>
      </c>
      <c r="Z412" s="0" t="n">
        <v>10.4481549788181</v>
      </c>
      <c r="AA412" s="0" t="n">
        <v>0</v>
      </c>
      <c r="AB412" s="0" t="n">
        <v>0</v>
      </c>
      <c r="AC412" s="0" t="n">
        <v>0</v>
      </c>
      <c r="AD412" s="0" t="n">
        <v>1</v>
      </c>
      <c r="AE412" s="0" t="n">
        <v>0</v>
      </c>
      <c r="AF412" s="0" t="n">
        <v>0</v>
      </c>
      <c r="AG412" s="0" t="n">
        <v>0</v>
      </c>
      <c r="AH412" s="0" t="n">
        <v>7.19447418370052</v>
      </c>
      <c r="AI412" s="0" t="n">
        <v>0</v>
      </c>
      <c r="AK412" s="0" t="n">
        <f aca="false">A412</f>
        <v>395</v>
      </c>
      <c r="AL412" s="0" t="n">
        <v>1</v>
      </c>
      <c r="AM412" s="0" t="n">
        <v>1</v>
      </c>
      <c r="AO412" s="0" t="n">
        <v>395</v>
      </c>
      <c r="AP412" s="0" t="n">
        <v>1</v>
      </c>
      <c r="AQ412" s="0" t="n">
        <v>2.07934613059504</v>
      </c>
      <c r="AR412" s="0" t="n">
        <v>351.18975583723</v>
      </c>
      <c r="AS412" s="0" t="n">
        <v>48</v>
      </c>
      <c r="AT412" s="0" t="n">
        <v>50</v>
      </c>
    </row>
    <row r="413" customFormat="false" ht="12" hidden="false" customHeight="false" outlineLevel="0" collapsed="false">
      <c r="A413" s="0" t="n">
        <v>396</v>
      </c>
      <c r="B413" s="0" t="n">
        <v>1</v>
      </c>
      <c r="C413" s="0" t="n">
        <v>0.298408813424347</v>
      </c>
      <c r="D413" s="0" t="n">
        <v>406.946165479221</v>
      </c>
      <c r="E413" s="0" t="n">
        <v>12</v>
      </c>
      <c r="F413" s="0" t="n">
        <v>12</v>
      </c>
      <c r="G413" s="0" t="n">
        <v>0.5</v>
      </c>
      <c r="H413" s="0" t="n">
        <v>0</v>
      </c>
      <c r="I413" s="0" t="n">
        <v>2.17542706611438</v>
      </c>
      <c r="J413" s="0" t="n">
        <v>417.840969403762</v>
      </c>
      <c r="K413" s="0" t="n">
        <v>10.8948039245411</v>
      </c>
      <c r="L413" s="0" t="n">
        <v>0</v>
      </c>
      <c r="M413" s="0" t="n">
        <v>417.095911644614</v>
      </c>
      <c r="N413" s="0" t="n">
        <v>0</v>
      </c>
      <c r="O413" s="0" t="n">
        <v>396</v>
      </c>
      <c r="P413" s="0" t="n">
        <v>201</v>
      </c>
      <c r="Q413" s="0" t="n">
        <v>195</v>
      </c>
      <c r="R413" s="0" t="n">
        <v>593.305166295165</v>
      </c>
      <c r="S413" s="0" t="n">
        <v>408.771250738993</v>
      </c>
      <c r="T413" s="0" t="n">
        <v>26</v>
      </c>
      <c r="U413" s="0" t="n">
        <v>22</v>
      </c>
      <c r="V413" s="0" t="n">
        <v>22.8194206961907</v>
      </c>
      <c r="W413" s="0" t="n">
        <v>18.5804269407409</v>
      </c>
      <c r="X413" s="0" t="n">
        <v>10.8948039245411</v>
      </c>
      <c r="Y413" s="0" t="n">
        <v>0</v>
      </c>
      <c r="Z413" s="0" t="n">
        <v>0</v>
      </c>
      <c r="AA413" s="0" t="n">
        <v>0</v>
      </c>
      <c r="AB413" s="0" t="n">
        <v>1</v>
      </c>
      <c r="AC413" s="0" t="n">
        <v>0</v>
      </c>
      <c r="AD413" s="0" t="n">
        <v>0</v>
      </c>
      <c r="AE413" s="0" t="n">
        <v>0</v>
      </c>
      <c r="AF413" s="0" t="n">
        <v>12.0217794602866</v>
      </c>
      <c r="AG413" s="0" t="n">
        <v>0</v>
      </c>
      <c r="AH413" s="0" t="n">
        <v>0</v>
      </c>
      <c r="AI413" s="0" t="n">
        <v>0</v>
      </c>
      <c r="AK413" s="0" t="n">
        <f aca="false">A413</f>
        <v>396</v>
      </c>
      <c r="AL413" s="0" t="n">
        <v>0</v>
      </c>
      <c r="AM413" s="0" t="n">
        <v>0</v>
      </c>
      <c r="AO413" s="0" t="n">
        <v>396</v>
      </c>
      <c r="AP413" s="0" t="n">
        <v>1</v>
      </c>
      <c r="AQ413" s="0" t="n">
        <v>0.605235809724748</v>
      </c>
      <c r="AR413" s="0" t="n">
        <v>351.794991646955</v>
      </c>
      <c r="AS413" s="0" t="n">
        <v>50</v>
      </c>
      <c r="AT413" s="0" t="n">
        <v>50</v>
      </c>
    </row>
    <row r="414" customFormat="false" ht="12" hidden="false" customHeight="false" outlineLevel="0" collapsed="false">
      <c r="A414" s="0" t="n">
        <v>397</v>
      </c>
      <c r="B414" s="0" t="n">
        <v>1</v>
      </c>
      <c r="C414" s="0" t="n">
        <v>0.0308178151082438</v>
      </c>
      <c r="D414" s="0" t="n">
        <v>406.976983294329</v>
      </c>
      <c r="E414" s="0" t="n">
        <v>14</v>
      </c>
      <c r="F414" s="0" t="n">
        <v>12</v>
      </c>
      <c r="G414" s="0" t="n">
        <v>0.5</v>
      </c>
      <c r="H414" s="0" t="n">
        <v>1</v>
      </c>
      <c r="I414" s="0" t="n">
        <v>0</v>
      </c>
      <c r="J414" s="0" t="n">
        <v>417.840969403762</v>
      </c>
      <c r="K414" s="0" t="n">
        <v>0</v>
      </c>
      <c r="L414" s="0" t="n">
        <v>2.16373682857584</v>
      </c>
      <c r="M414" s="0" t="n">
        <v>419.25964847319</v>
      </c>
      <c r="N414" s="0" t="n">
        <v>12.2826651788613</v>
      </c>
      <c r="O414" s="0" t="n">
        <v>397</v>
      </c>
      <c r="P414" s="0" t="n">
        <v>201</v>
      </c>
      <c r="Q414" s="0" t="n">
        <v>196</v>
      </c>
      <c r="R414" s="0" t="n">
        <v>468.169672202437</v>
      </c>
      <c r="S414" s="0" t="n">
        <v>530.246566452242</v>
      </c>
      <c r="T414" s="0" t="n">
        <v>25</v>
      </c>
      <c r="U414" s="0" t="n">
        <v>23</v>
      </c>
      <c r="V414" s="0" t="n">
        <v>18.7267793973857</v>
      </c>
      <c r="W414" s="0" t="n">
        <v>23.0540983061918</v>
      </c>
      <c r="X414" s="0" t="n">
        <v>0</v>
      </c>
      <c r="Y414" s="0" t="n">
        <v>0</v>
      </c>
      <c r="Z414" s="0" t="n">
        <v>12.2826651788613</v>
      </c>
      <c r="AA414" s="0" t="n">
        <v>0</v>
      </c>
      <c r="AB414" s="0" t="n">
        <v>0</v>
      </c>
      <c r="AC414" s="0" t="n">
        <v>0</v>
      </c>
      <c r="AD414" s="0" t="n">
        <v>1</v>
      </c>
      <c r="AE414" s="0" t="n">
        <v>0</v>
      </c>
      <c r="AF414" s="0" t="n">
        <v>0</v>
      </c>
      <c r="AG414" s="0" t="n">
        <v>0</v>
      </c>
      <c r="AH414" s="0" t="n">
        <v>20.4011380642881</v>
      </c>
      <c r="AI414" s="0" t="n">
        <v>0</v>
      </c>
      <c r="AK414" s="0" t="n">
        <f aca="false">A414</f>
        <v>397</v>
      </c>
      <c r="AL414" s="0" t="n">
        <v>1</v>
      </c>
      <c r="AM414" s="0" t="n">
        <v>1</v>
      </c>
      <c r="AO414" s="0" t="n">
        <v>397</v>
      </c>
      <c r="AP414" s="0" t="n">
        <v>0</v>
      </c>
      <c r="AQ414" s="0" t="n">
        <v>0.145375068934202</v>
      </c>
      <c r="AR414" s="0" t="n">
        <v>351.940366715889</v>
      </c>
      <c r="AS414" s="0" t="n">
        <v>50</v>
      </c>
      <c r="AT414" s="0" t="n">
        <v>52</v>
      </c>
    </row>
    <row r="415" customFormat="false" ht="12" hidden="false" customHeight="false" outlineLevel="0" collapsed="false">
      <c r="A415" s="0" t="n">
        <v>398</v>
      </c>
      <c r="B415" s="0" t="n">
        <v>1</v>
      </c>
      <c r="C415" s="0" t="n">
        <v>1.26544219317101</v>
      </c>
      <c r="D415" s="0" t="n">
        <v>408.2424254875</v>
      </c>
      <c r="E415" s="0" t="n">
        <v>12</v>
      </c>
      <c r="F415" s="0" t="n">
        <v>14</v>
      </c>
      <c r="G415" s="0" t="n">
        <v>0.5</v>
      </c>
      <c r="H415" s="0" t="n">
        <v>0</v>
      </c>
      <c r="I415" s="0" t="n">
        <v>1.8885606351452</v>
      </c>
      <c r="J415" s="0" t="n">
        <v>419.729530038907</v>
      </c>
      <c r="K415" s="0" t="n">
        <v>11.4871045514071</v>
      </c>
      <c r="L415" s="0" t="n">
        <v>0</v>
      </c>
      <c r="M415" s="0" t="n">
        <v>419.25964847319</v>
      </c>
      <c r="N415" s="0" t="n">
        <v>0</v>
      </c>
      <c r="O415" s="0" t="n">
        <v>398</v>
      </c>
      <c r="P415" s="0" t="n">
        <v>202</v>
      </c>
      <c r="Q415" s="0" t="n">
        <v>196</v>
      </c>
      <c r="R415" s="0" t="n">
        <v>591.366583315609</v>
      </c>
      <c r="S415" s="0" t="n">
        <v>421.358480677618</v>
      </c>
      <c r="T415" s="0" t="n">
        <v>26</v>
      </c>
      <c r="U415" s="0" t="n">
        <v>22</v>
      </c>
      <c r="V415" s="0" t="n">
        <v>22.7448598410389</v>
      </c>
      <c r="W415" s="0" t="n">
        <v>19.1525711554774</v>
      </c>
      <c r="X415" s="0" t="n">
        <v>11.4871045514071</v>
      </c>
      <c r="Y415" s="0" t="n">
        <v>0</v>
      </c>
      <c r="Z415" s="0" t="n">
        <v>0</v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0</v>
      </c>
      <c r="AF415" s="0" t="n">
        <v>16.4799008268371</v>
      </c>
      <c r="AG415" s="0" t="n">
        <v>0</v>
      </c>
      <c r="AH415" s="0" t="n">
        <v>0</v>
      </c>
      <c r="AI415" s="0" t="n">
        <v>0</v>
      </c>
      <c r="AK415" s="0" t="n">
        <f aca="false">A415</f>
        <v>398</v>
      </c>
      <c r="AL415" s="0" t="n">
        <v>1</v>
      </c>
      <c r="AM415" s="0" t="n">
        <v>2</v>
      </c>
      <c r="AO415" s="0" t="n">
        <v>398</v>
      </c>
      <c r="AP415" s="0" t="n">
        <v>0</v>
      </c>
      <c r="AQ415" s="0" t="n">
        <v>1.83724142978742</v>
      </c>
      <c r="AR415" s="0" t="n">
        <v>353.777608145676</v>
      </c>
      <c r="AS415" s="0" t="n">
        <v>48</v>
      </c>
      <c r="AT415" s="0" t="n">
        <v>52</v>
      </c>
    </row>
    <row r="416" customFormat="false" ht="12" hidden="false" customHeight="false" outlineLevel="0" collapsed="false">
      <c r="A416" s="0" t="n">
        <v>399</v>
      </c>
      <c r="B416" s="0" t="n">
        <v>0</v>
      </c>
      <c r="C416" s="0" t="n">
        <v>0.289148061233829</v>
      </c>
      <c r="D416" s="0" t="n">
        <v>408.531573548734</v>
      </c>
      <c r="E416" s="0" t="n">
        <v>14</v>
      </c>
      <c r="F416" s="0" t="n">
        <v>12</v>
      </c>
      <c r="G416" s="0" t="n">
        <v>0.5</v>
      </c>
      <c r="H416" s="0" t="n">
        <v>0</v>
      </c>
      <c r="I416" s="0" t="n">
        <v>1.90566262793363</v>
      </c>
      <c r="J416" s="0" t="n">
        <v>421.635192666841</v>
      </c>
      <c r="K416" s="0" t="n">
        <v>13.1036191181068</v>
      </c>
      <c r="L416" s="0" t="n">
        <v>0</v>
      </c>
      <c r="M416" s="0" t="n">
        <v>419.25964847319</v>
      </c>
      <c r="N416" s="0" t="n">
        <v>0</v>
      </c>
      <c r="O416" s="0" t="n">
        <v>399</v>
      </c>
      <c r="P416" s="0" t="n">
        <v>203</v>
      </c>
      <c r="Q416" s="0" t="n">
        <v>196</v>
      </c>
      <c r="R416" s="0" t="n">
        <v>310.694948520827</v>
      </c>
      <c r="S416" s="0" t="n">
        <v>703.366770950008</v>
      </c>
      <c r="T416" s="0" t="n">
        <v>17</v>
      </c>
      <c r="U416" s="0" t="n">
        <v>31</v>
      </c>
      <c r="V416" s="0" t="n">
        <v>18.2761626917177</v>
      </c>
      <c r="W416" s="0" t="n">
        <v>22.6891774849116</v>
      </c>
      <c r="X416" s="0" t="n">
        <v>0</v>
      </c>
      <c r="Y416" s="0" t="n">
        <v>13.1036191181068</v>
      </c>
      <c r="Z416" s="0" t="n">
        <v>0</v>
      </c>
      <c r="AA416" s="0" t="n">
        <v>0</v>
      </c>
      <c r="AB416" s="0" t="n">
        <v>0</v>
      </c>
      <c r="AC416" s="0" t="n">
        <v>1</v>
      </c>
      <c r="AD416" s="0" t="n">
        <v>0</v>
      </c>
      <c r="AE416" s="0" t="n">
        <v>0</v>
      </c>
      <c r="AF416" s="0" t="n">
        <v>0</v>
      </c>
      <c r="AG416" s="0" t="n">
        <v>23.4736575189204</v>
      </c>
      <c r="AH416" s="0" t="n">
        <v>0</v>
      </c>
      <c r="AI416" s="0" t="n">
        <v>0</v>
      </c>
      <c r="AK416" s="0" t="n">
        <f aca="false">A416</f>
        <v>399</v>
      </c>
      <c r="AL416" s="0" t="n">
        <v>1</v>
      </c>
      <c r="AM416" s="0" t="n">
        <v>3</v>
      </c>
      <c r="AO416" s="0" t="n">
        <v>399</v>
      </c>
      <c r="AP416" s="0" t="n">
        <v>1</v>
      </c>
      <c r="AQ416" s="0" t="n">
        <v>1.41578474419156</v>
      </c>
      <c r="AR416" s="0" t="n">
        <v>355.193392889868</v>
      </c>
      <c r="AS416" s="0" t="n">
        <v>46</v>
      </c>
      <c r="AT416" s="0" t="n">
        <v>52</v>
      </c>
    </row>
    <row r="417" customFormat="false" ht="12" hidden="false" customHeight="false" outlineLevel="0" collapsed="false">
      <c r="A417" s="0" t="n">
        <v>400</v>
      </c>
      <c r="B417" s="0" t="n">
        <v>0</v>
      </c>
      <c r="C417" s="0" t="n">
        <v>2.13012767852887</v>
      </c>
      <c r="D417" s="0" t="n">
        <v>410.661701227263</v>
      </c>
      <c r="E417" s="0" t="n">
        <v>14</v>
      </c>
      <c r="F417" s="0" t="n">
        <v>12</v>
      </c>
      <c r="G417" s="0" t="n">
        <v>0.5</v>
      </c>
      <c r="H417" s="0" t="n">
        <v>0</v>
      </c>
      <c r="I417" s="0" t="n">
        <v>2.09570281272754</v>
      </c>
      <c r="J417" s="0" t="n">
        <v>423.730895479568</v>
      </c>
      <c r="K417" s="0" t="n">
        <v>13.0691942523055</v>
      </c>
      <c r="L417" s="0" t="n">
        <v>0</v>
      </c>
      <c r="M417" s="0" t="n">
        <v>419.25964847319</v>
      </c>
      <c r="N417" s="0" t="n">
        <v>0</v>
      </c>
      <c r="O417" s="0" t="n">
        <v>400</v>
      </c>
      <c r="P417" s="0" t="n">
        <v>204</v>
      </c>
      <c r="Q417" s="0" t="n">
        <v>196</v>
      </c>
      <c r="R417" s="0" t="n">
        <v>597.46522326557</v>
      </c>
      <c r="S417" s="0" t="n">
        <v>415.625677952488</v>
      </c>
      <c r="T417" s="0" t="n">
        <v>28</v>
      </c>
      <c r="U417" s="0" t="n">
        <v>20</v>
      </c>
      <c r="V417" s="0" t="n">
        <v>21.3380360673289</v>
      </c>
      <c r="W417" s="0" t="n">
        <v>20.7811799917245</v>
      </c>
      <c r="X417" s="0" t="n">
        <v>0</v>
      </c>
      <c r="Y417" s="0" t="n">
        <v>13.0691942523055</v>
      </c>
      <c r="Z417" s="0" t="n">
        <v>0</v>
      </c>
      <c r="AA417" s="0" t="n">
        <v>0</v>
      </c>
      <c r="AB417" s="0" t="n">
        <v>0</v>
      </c>
      <c r="AC417" s="0" t="n">
        <v>1</v>
      </c>
      <c r="AD417" s="0" t="n">
        <v>0</v>
      </c>
      <c r="AE417" s="0" t="n">
        <v>0</v>
      </c>
      <c r="AF417" s="0" t="n">
        <v>0</v>
      </c>
      <c r="AG417" s="0" t="n">
        <v>23.1412682517408</v>
      </c>
      <c r="AH417" s="0" t="n">
        <v>0</v>
      </c>
      <c r="AI417" s="0" t="n">
        <v>0</v>
      </c>
      <c r="AK417" s="0" t="n">
        <f aca="false">A417</f>
        <v>400</v>
      </c>
      <c r="AL417" s="0" t="n">
        <v>1</v>
      </c>
      <c r="AM417" s="0" t="n">
        <v>2</v>
      </c>
      <c r="AO417" s="0" t="n">
        <v>400</v>
      </c>
      <c r="AP417" s="0" t="n">
        <v>0</v>
      </c>
      <c r="AQ417" s="0" t="n">
        <v>0.0913466432554479</v>
      </c>
      <c r="AR417" s="0" t="n">
        <v>355.284739533123</v>
      </c>
      <c r="AS417" s="0" t="n">
        <v>48</v>
      </c>
      <c r="AT417" s="0" t="n">
        <v>52</v>
      </c>
    </row>
    <row r="418" customFormat="false" ht="12" hidden="false" customHeight="false" outlineLevel="0" collapsed="false">
      <c r="A418" s="0" t="n">
        <v>401</v>
      </c>
      <c r="B418" s="0" t="n">
        <v>0</v>
      </c>
      <c r="C418" s="0" t="n">
        <v>2.17284137702177</v>
      </c>
      <c r="D418" s="0" t="n">
        <v>412.834542604284</v>
      </c>
      <c r="E418" s="0" t="n">
        <v>14</v>
      </c>
      <c r="F418" s="0" t="n">
        <v>8</v>
      </c>
      <c r="G418" s="0" t="n">
        <v>0.5</v>
      </c>
      <c r="H418" s="0" t="n">
        <v>0</v>
      </c>
      <c r="I418" s="0" t="n">
        <v>1.82368101686313</v>
      </c>
      <c r="J418" s="0" t="n">
        <v>425.554576496431</v>
      </c>
      <c r="K418" s="0" t="n">
        <v>12.7200338921469</v>
      </c>
      <c r="L418" s="0" t="n">
        <v>0</v>
      </c>
      <c r="M418" s="0" t="n">
        <v>419.25964847319</v>
      </c>
      <c r="N418" s="0" t="n">
        <v>0</v>
      </c>
      <c r="O418" s="0" t="n">
        <v>401</v>
      </c>
      <c r="P418" s="0" t="n">
        <v>205</v>
      </c>
      <c r="Q418" s="0" t="n">
        <v>196</v>
      </c>
      <c r="R418" s="0" t="n">
        <v>444.828602203283</v>
      </c>
      <c r="S418" s="0" t="n">
        <v>579.96243437521</v>
      </c>
      <c r="T418" s="0" t="n">
        <v>22</v>
      </c>
      <c r="U418" s="0" t="n">
        <v>26</v>
      </c>
      <c r="V418" s="0" t="n">
        <v>20.2194727276616</v>
      </c>
      <c r="W418" s="0" t="n">
        <v>22.3061616830401</v>
      </c>
      <c r="X418" s="0" t="n">
        <v>0</v>
      </c>
      <c r="Y418" s="0" t="n">
        <v>12.7200338921469</v>
      </c>
      <c r="Z418" s="0" t="n">
        <v>0</v>
      </c>
      <c r="AA418" s="0" t="n">
        <v>0</v>
      </c>
      <c r="AB418" s="0" t="n">
        <v>0</v>
      </c>
      <c r="AC418" s="0" t="n">
        <v>1</v>
      </c>
      <c r="AD418" s="0" t="n">
        <v>0</v>
      </c>
      <c r="AE418" s="0" t="n">
        <v>0</v>
      </c>
      <c r="AF418" s="0" t="n">
        <v>0</v>
      </c>
      <c r="AG418" s="0" t="n">
        <v>19.9038833990329</v>
      </c>
      <c r="AH418" s="0" t="n">
        <v>0</v>
      </c>
      <c r="AI418" s="0" t="n">
        <v>0</v>
      </c>
      <c r="AK418" s="0" t="n">
        <f aca="false">A418</f>
        <v>401</v>
      </c>
      <c r="AL418" s="0" t="n">
        <v>3</v>
      </c>
      <c r="AM418" s="0" t="n">
        <v>2</v>
      </c>
      <c r="AO418" s="0" t="n">
        <v>401</v>
      </c>
      <c r="AP418" s="0" t="n">
        <v>0</v>
      </c>
      <c r="AQ418" s="0" t="n">
        <v>0.48155186609648</v>
      </c>
      <c r="AR418" s="0" t="n">
        <v>355.76629139922</v>
      </c>
      <c r="AS418" s="0" t="n">
        <v>48</v>
      </c>
      <c r="AT418" s="0" t="n">
        <v>52</v>
      </c>
    </row>
    <row r="419" customFormat="false" ht="12" hidden="false" customHeight="false" outlineLevel="0" collapsed="false">
      <c r="A419" s="0" t="n">
        <v>402</v>
      </c>
      <c r="B419" s="0" t="n">
        <v>1</v>
      </c>
      <c r="C419" s="0" t="n">
        <v>0.0229783659781631</v>
      </c>
      <c r="D419" s="0" t="n">
        <v>412.857520970263</v>
      </c>
      <c r="E419" s="0" t="n">
        <v>16</v>
      </c>
      <c r="F419" s="0" t="n">
        <v>8</v>
      </c>
      <c r="G419" s="0" t="n">
        <v>0.5</v>
      </c>
      <c r="H419" s="0" t="n">
        <v>1</v>
      </c>
      <c r="I419" s="0" t="n">
        <v>0</v>
      </c>
      <c r="J419" s="0" t="n">
        <v>425.554576496431</v>
      </c>
      <c r="K419" s="0" t="n">
        <v>0</v>
      </c>
      <c r="L419" s="0" t="n">
        <v>2.12173766714109</v>
      </c>
      <c r="M419" s="0" t="n">
        <v>421.381386140331</v>
      </c>
      <c r="N419" s="0" t="n">
        <v>8.52386517006869</v>
      </c>
      <c r="O419" s="0" t="n">
        <v>402</v>
      </c>
      <c r="P419" s="0" t="n">
        <v>205</v>
      </c>
      <c r="Q419" s="0" t="n">
        <v>197</v>
      </c>
      <c r="R419" s="0" t="n">
        <v>637.601315659287</v>
      </c>
      <c r="S419" s="0" t="n">
        <v>369.687642780033</v>
      </c>
      <c r="T419" s="0" t="n">
        <v>29</v>
      </c>
      <c r="U419" s="0" t="n">
        <v>19</v>
      </c>
      <c r="V419" s="0" t="n">
        <v>21.9862446826497</v>
      </c>
      <c r="W419" s="0" t="n">
        <v>19.4571419508336</v>
      </c>
      <c r="X419" s="0" t="n">
        <v>0</v>
      </c>
      <c r="Y419" s="0" t="n">
        <v>0</v>
      </c>
      <c r="Z419" s="0" t="n">
        <v>8.52386517006869</v>
      </c>
      <c r="AA419" s="0" t="n">
        <v>0</v>
      </c>
      <c r="AB419" s="0" t="n">
        <v>0</v>
      </c>
      <c r="AC419" s="0" t="n">
        <v>0</v>
      </c>
      <c r="AD419" s="0" t="n">
        <v>1</v>
      </c>
      <c r="AE419" s="0" t="n">
        <v>0</v>
      </c>
      <c r="AF419" s="0" t="n">
        <v>0</v>
      </c>
      <c r="AG419" s="0" t="n">
        <v>0</v>
      </c>
      <c r="AH419" s="0" t="n">
        <v>0.574506229025533</v>
      </c>
      <c r="AI419" s="0" t="n">
        <v>0</v>
      </c>
      <c r="AK419" s="0" t="n">
        <f aca="false">A419</f>
        <v>402</v>
      </c>
      <c r="AL419" s="0" t="n">
        <v>4</v>
      </c>
      <c r="AM419" s="0" t="n">
        <v>3</v>
      </c>
      <c r="AO419" s="0" t="n">
        <v>402</v>
      </c>
      <c r="AP419" s="0" t="n">
        <v>0</v>
      </c>
      <c r="AQ419" s="0" t="n">
        <v>0.784419587760572</v>
      </c>
      <c r="AR419" s="0" t="n">
        <v>356.55071098698</v>
      </c>
      <c r="AS419" s="0" t="n">
        <v>48</v>
      </c>
      <c r="AT419" s="0" t="n">
        <v>54</v>
      </c>
    </row>
    <row r="420" customFormat="false" ht="12" hidden="false" customHeight="false" outlineLevel="0" collapsed="false">
      <c r="A420" s="0" t="n">
        <v>403</v>
      </c>
      <c r="B420" s="0" t="n">
        <v>1</v>
      </c>
      <c r="C420" s="0" t="n">
        <v>0.5869084079433</v>
      </c>
      <c r="D420" s="0" t="n">
        <v>413.444429378206</v>
      </c>
      <c r="E420" s="0" t="n">
        <v>16</v>
      </c>
      <c r="F420" s="0" t="n">
        <v>10</v>
      </c>
      <c r="G420" s="0" t="n">
        <v>0.5</v>
      </c>
      <c r="H420" s="0" t="n">
        <v>1</v>
      </c>
      <c r="I420" s="0" t="n">
        <v>0</v>
      </c>
      <c r="J420" s="0" t="n">
        <v>425.554576496431</v>
      </c>
      <c r="K420" s="0" t="n">
        <v>0</v>
      </c>
      <c r="L420" s="0" t="n">
        <v>2.1716521743166</v>
      </c>
      <c r="M420" s="0" t="n">
        <v>423.553038314648</v>
      </c>
      <c r="N420" s="0" t="n">
        <v>10.108608936442</v>
      </c>
      <c r="O420" s="0" t="n">
        <v>403</v>
      </c>
      <c r="P420" s="0" t="n">
        <v>205</v>
      </c>
      <c r="Q420" s="0" t="n">
        <v>198</v>
      </c>
      <c r="R420" s="0" t="n">
        <v>407.047025934572</v>
      </c>
      <c r="S420" s="0" t="n">
        <v>616.145312991557</v>
      </c>
      <c r="T420" s="0" t="n">
        <v>20</v>
      </c>
      <c r="U420" s="0" t="n">
        <v>28</v>
      </c>
      <c r="V420" s="0" t="n">
        <v>20.352341120558</v>
      </c>
      <c r="W420" s="0" t="n">
        <v>22.0051111600157</v>
      </c>
      <c r="X420" s="0" t="n">
        <v>0</v>
      </c>
      <c r="Y420" s="0" t="n">
        <v>0</v>
      </c>
      <c r="Z420" s="0" t="n">
        <v>10.108608936442</v>
      </c>
      <c r="AA420" s="0" t="n">
        <v>0</v>
      </c>
      <c r="AB420" s="0" t="n">
        <v>0</v>
      </c>
      <c r="AC420" s="0" t="n">
        <v>0</v>
      </c>
      <c r="AD420" s="0" t="n">
        <v>1</v>
      </c>
      <c r="AE420" s="0" t="n">
        <v>0</v>
      </c>
      <c r="AF420" s="0" t="n">
        <v>0</v>
      </c>
      <c r="AG420" s="0" t="n">
        <v>0</v>
      </c>
      <c r="AH420" s="0" t="n">
        <v>5.48826979961462</v>
      </c>
      <c r="AI420" s="0" t="n">
        <v>0</v>
      </c>
      <c r="AK420" s="0" t="n">
        <f aca="false">A420</f>
        <v>403</v>
      </c>
      <c r="AL420" s="0" t="n">
        <v>3</v>
      </c>
      <c r="AM420" s="0" t="n">
        <v>3</v>
      </c>
      <c r="AO420" s="0" t="n">
        <v>403</v>
      </c>
      <c r="AP420" s="0" t="n">
        <v>0</v>
      </c>
      <c r="AQ420" s="0" t="n">
        <v>0.112404919598678</v>
      </c>
      <c r="AR420" s="0" t="n">
        <v>356.663115906579</v>
      </c>
      <c r="AS420" s="0" t="n">
        <v>48</v>
      </c>
      <c r="AT420" s="0" t="n">
        <v>54</v>
      </c>
    </row>
    <row r="421" customFormat="false" ht="12" hidden="false" customHeight="false" outlineLevel="0" collapsed="false">
      <c r="A421" s="0" t="n">
        <v>404</v>
      </c>
      <c r="B421" s="0" t="n">
        <v>0</v>
      </c>
      <c r="C421" s="0" t="n">
        <v>2.67901821172375</v>
      </c>
      <c r="D421" s="0" t="n">
        <v>416.12344758993</v>
      </c>
      <c r="E421" s="0" t="n">
        <v>12</v>
      </c>
      <c r="F421" s="0" t="n">
        <v>10</v>
      </c>
      <c r="G421" s="0" t="n">
        <v>0.5</v>
      </c>
      <c r="H421" s="0" t="n">
        <v>1</v>
      </c>
      <c r="I421" s="0" t="n">
        <v>0</v>
      </c>
      <c r="J421" s="0" t="n">
        <v>425.554576496431</v>
      </c>
      <c r="K421" s="0" t="n">
        <v>0</v>
      </c>
      <c r="L421" s="0" t="n">
        <v>2.18485480400506</v>
      </c>
      <c r="M421" s="0" t="n">
        <v>425.737893118653</v>
      </c>
      <c r="N421" s="0" t="n">
        <v>9.61444552872325</v>
      </c>
      <c r="O421" s="0" t="n">
        <v>404</v>
      </c>
      <c r="P421" s="0" t="n">
        <v>205</v>
      </c>
      <c r="Q421" s="0" t="n">
        <v>199</v>
      </c>
      <c r="R421" s="0" t="n">
        <v>456.018610127569</v>
      </c>
      <c r="S421" s="0" t="n">
        <v>553.448823253781</v>
      </c>
      <c r="T421" s="0" t="n">
        <v>21</v>
      </c>
      <c r="U421" s="0" t="n">
        <v>27</v>
      </c>
      <c r="V421" s="0" t="n">
        <v>21.7151615702835</v>
      </c>
      <c r="W421" s="0" t="n">
        <v>20.4980286463303</v>
      </c>
      <c r="X421" s="0" t="n">
        <v>0</v>
      </c>
      <c r="Y421" s="0" t="n">
        <v>0</v>
      </c>
      <c r="Z421" s="0" t="n">
        <v>0</v>
      </c>
      <c r="AA421" s="0" t="n">
        <v>9.61444552872325</v>
      </c>
      <c r="AB421" s="0" t="n">
        <v>0</v>
      </c>
      <c r="AC421" s="0" t="n">
        <v>0</v>
      </c>
      <c r="AD421" s="0" t="n">
        <v>0</v>
      </c>
      <c r="AE421" s="0" t="n">
        <v>1</v>
      </c>
      <c r="AF421" s="0" t="n">
        <v>0</v>
      </c>
      <c r="AG421" s="0" t="n">
        <v>0</v>
      </c>
      <c r="AH421" s="0" t="n">
        <v>0</v>
      </c>
      <c r="AI421" s="0" t="n">
        <v>3.5458575932916</v>
      </c>
      <c r="AK421" s="0" t="n">
        <f aca="false">A421</f>
        <v>404</v>
      </c>
      <c r="AL421" s="0" t="n">
        <v>1</v>
      </c>
      <c r="AM421" s="0" t="n">
        <v>2</v>
      </c>
      <c r="AO421" s="0" t="n">
        <v>404</v>
      </c>
      <c r="AP421" s="0" t="n">
        <v>1</v>
      </c>
      <c r="AQ421" s="0" t="n">
        <v>1.91711969155843</v>
      </c>
      <c r="AR421" s="0" t="n">
        <v>358.580235598137</v>
      </c>
      <c r="AS421" s="0" t="n">
        <v>48</v>
      </c>
      <c r="AT421" s="0" t="n">
        <v>52</v>
      </c>
    </row>
    <row r="422" customFormat="false" ht="12" hidden="false" customHeight="false" outlineLevel="0" collapsed="false">
      <c r="A422" s="0" t="n">
        <v>405</v>
      </c>
      <c r="B422" s="0" t="n">
        <v>1</v>
      </c>
      <c r="C422" s="0" t="n">
        <v>0.881525332297212</v>
      </c>
      <c r="D422" s="0" t="n">
        <v>417.004972922227</v>
      </c>
      <c r="E422" s="0" t="n">
        <v>12</v>
      </c>
      <c r="F422" s="0" t="n">
        <v>12</v>
      </c>
      <c r="G422" s="0" t="n">
        <v>0.5</v>
      </c>
      <c r="H422" s="0" t="n">
        <v>0</v>
      </c>
      <c r="I422" s="0" t="n">
        <v>2.19305404247983</v>
      </c>
      <c r="J422" s="0" t="n">
        <v>427.747630538911</v>
      </c>
      <c r="K422" s="0" t="n">
        <v>10.7426576166843</v>
      </c>
      <c r="L422" s="0" t="n">
        <v>0</v>
      </c>
      <c r="M422" s="0" t="n">
        <v>425.737893118653</v>
      </c>
      <c r="N422" s="0" t="n">
        <v>0</v>
      </c>
      <c r="O422" s="0" t="n">
        <v>405</v>
      </c>
      <c r="P422" s="0" t="n">
        <v>206</v>
      </c>
      <c r="Q422" s="0" t="n">
        <v>199</v>
      </c>
      <c r="R422" s="0" t="n">
        <v>573.107124326841</v>
      </c>
      <c r="S422" s="0" t="n">
        <v>442.90789414201</v>
      </c>
      <c r="T422" s="0" t="n">
        <v>25</v>
      </c>
      <c r="U422" s="0" t="n">
        <v>23</v>
      </c>
      <c r="V422" s="0" t="n">
        <v>22.9242758033633</v>
      </c>
      <c r="W422" s="0" t="n">
        <v>19.2567812375603</v>
      </c>
      <c r="X422" s="0" t="n">
        <v>10.7426576166843</v>
      </c>
      <c r="Y422" s="0" t="n">
        <v>0</v>
      </c>
      <c r="Z422" s="0" t="n">
        <v>0</v>
      </c>
      <c r="AA422" s="0" t="n">
        <v>0</v>
      </c>
      <c r="AB422" s="0" t="n">
        <v>1</v>
      </c>
      <c r="AC422" s="0" t="n">
        <v>0</v>
      </c>
      <c r="AD422" s="0" t="n">
        <v>0</v>
      </c>
      <c r="AE422" s="0" t="n">
        <v>0</v>
      </c>
      <c r="AF422" s="0" t="n">
        <v>10.9898712788165</v>
      </c>
      <c r="AG422" s="0" t="n">
        <v>0</v>
      </c>
      <c r="AH422" s="0" t="n">
        <v>0</v>
      </c>
      <c r="AI422" s="0" t="n">
        <v>0</v>
      </c>
      <c r="AK422" s="0" t="n">
        <f aca="false">A422</f>
        <v>405</v>
      </c>
      <c r="AL422" s="0" t="n">
        <v>0</v>
      </c>
      <c r="AM422" s="0" t="n">
        <v>1</v>
      </c>
      <c r="AO422" s="0" t="n">
        <v>405</v>
      </c>
      <c r="AP422" s="0" t="n">
        <v>0</v>
      </c>
      <c r="AQ422" s="0" t="n">
        <v>0.255349214331159</v>
      </c>
      <c r="AR422" s="0" t="n">
        <v>358.835584812468</v>
      </c>
      <c r="AS422" s="0" t="n">
        <v>50</v>
      </c>
      <c r="AT422" s="0" t="n">
        <v>52</v>
      </c>
    </row>
    <row r="423" customFormat="false" ht="12" hidden="false" customHeight="false" outlineLevel="0" collapsed="false">
      <c r="A423" s="0" t="n">
        <v>406</v>
      </c>
      <c r="B423" s="0" t="n">
        <v>1</v>
      </c>
      <c r="C423" s="0" t="n">
        <v>1.8984559497981</v>
      </c>
      <c r="D423" s="0" t="n">
        <v>418.903428872025</v>
      </c>
      <c r="E423" s="0" t="n">
        <v>12</v>
      </c>
      <c r="F423" s="0" t="n">
        <v>10</v>
      </c>
      <c r="G423" s="0" t="n">
        <v>0.5</v>
      </c>
      <c r="H423" s="0" t="n">
        <v>1</v>
      </c>
      <c r="I423" s="0" t="n">
        <v>0</v>
      </c>
      <c r="J423" s="0" t="n">
        <v>427.747630538911</v>
      </c>
      <c r="K423" s="0" t="n">
        <v>0</v>
      </c>
      <c r="L423" s="0" t="n">
        <v>2.09695567207141</v>
      </c>
      <c r="M423" s="0" t="n">
        <v>427.834848790724</v>
      </c>
      <c r="N423" s="0" t="n">
        <v>8.93141991869936</v>
      </c>
      <c r="O423" s="0" t="n">
        <v>406</v>
      </c>
      <c r="P423" s="0" t="n">
        <v>206</v>
      </c>
      <c r="Q423" s="0" t="n">
        <v>200</v>
      </c>
      <c r="R423" s="0" t="n">
        <v>522.245943768103</v>
      </c>
      <c r="S423" s="0" t="n">
        <v>492.151121833707</v>
      </c>
      <c r="T423" s="0" t="n">
        <v>24</v>
      </c>
      <c r="U423" s="0" t="n">
        <v>24</v>
      </c>
      <c r="V423" s="0" t="n">
        <v>21.7602385902382</v>
      </c>
      <c r="W423" s="0" t="n">
        <v>20.506211300524</v>
      </c>
      <c r="X423" s="0" t="n">
        <v>0</v>
      </c>
      <c r="Y423" s="0" t="n">
        <v>0</v>
      </c>
      <c r="Z423" s="0" t="n">
        <v>8.93141991869936</v>
      </c>
      <c r="AA423" s="0" t="n">
        <v>0</v>
      </c>
      <c r="AB423" s="0" t="n">
        <v>0</v>
      </c>
      <c r="AC423" s="0" t="n">
        <v>0</v>
      </c>
      <c r="AD423" s="0" t="n">
        <v>1</v>
      </c>
      <c r="AE423" s="0" t="n">
        <v>0</v>
      </c>
      <c r="AF423" s="0" t="n">
        <v>0</v>
      </c>
      <c r="AG423" s="0" t="n">
        <v>0</v>
      </c>
      <c r="AH423" s="0" t="n">
        <v>1.35842903851264</v>
      </c>
      <c r="AI423" s="0" t="n">
        <v>0</v>
      </c>
      <c r="AK423" s="0" t="n">
        <f aca="false">A423</f>
        <v>406</v>
      </c>
      <c r="AL423" s="0" t="n">
        <v>1</v>
      </c>
      <c r="AM423" s="0" t="n">
        <v>1</v>
      </c>
      <c r="AO423" s="0" t="n">
        <v>406</v>
      </c>
      <c r="AP423" s="0" t="n">
        <v>1</v>
      </c>
      <c r="AQ423" s="0" t="n">
        <v>0.825616628249148</v>
      </c>
      <c r="AR423" s="0" t="n">
        <v>359.661201440718</v>
      </c>
      <c r="AS423" s="0" t="n">
        <v>52</v>
      </c>
      <c r="AT423" s="0" t="n">
        <v>50</v>
      </c>
    </row>
    <row r="424" customFormat="false" ht="12" hidden="false" customHeight="false" outlineLevel="0" collapsed="false">
      <c r="A424" s="0" t="n">
        <v>407</v>
      </c>
      <c r="B424" s="0" t="n">
        <v>0</v>
      </c>
      <c r="C424" s="0" t="n">
        <v>0.00553625806378865</v>
      </c>
      <c r="D424" s="0" t="n">
        <v>418.908965130089</v>
      </c>
      <c r="E424" s="0" t="n">
        <v>12</v>
      </c>
      <c r="F424" s="0" t="n">
        <v>12</v>
      </c>
      <c r="G424" s="0" t="n">
        <v>0.5</v>
      </c>
      <c r="H424" s="0" t="n">
        <v>1</v>
      </c>
      <c r="I424" s="0" t="n">
        <v>0</v>
      </c>
      <c r="J424" s="0" t="n">
        <v>427.747630538911</v>
      </c>
      <c r="K424" s="0" t="n">
        <v>0</v>
      </c>
      <c r="L424" s="0" t="n">
        <v>1.82565866979744</v>
      </c>
      <c r="M424" s="0" t="n">
        <v>429.660507460522</v>
      </c>
      <c r="N424" s="0" t="n">
        <v>10.751542330433</v>
      </c>
      <c r="O424" s="0" t="n">
        <v>407</v>
      </c>
      <c r="P424" s="0" t="n">
        <v>206</v>
      </c>
      <c r="Q424" s="0" t="n">
        <v>201</v>
      </c>
      <c r="R424" s="0" t="n">
        <v>562.699623741622</v>
      </c>
      <c r="S424" s="0" t="n">
        <v>462.961677065274</v>
      </c>
      <c r="T424" s="0" t="n">
        <v>27</v>
      </c>
      <c r="U424" s="0" t="n">
        <v>21</v>
      </c>
      <c r="V424" s="0" t="n">
        <v>20.8407190864604</v>
      </c>
      <c r="W424" s="0" t="n">
        <v>22.0456891664932</v>
      </c>
      <c r="X424" s="0" t="n">
        <v>0</v>
      </c>
      <c r="Y424" s="0" t="n">
        <v>0</v>
      </c>
      <c r="Z424" s="0" t="n">
        <v>0</v>
      </c>
      <c r="AA424" s="0" t="n">
        <v>10.751542330433</v>
      </c>
      <c r="AB424" s="0" t="n">
        <v>0</v>
      </c>
      <c r="AC424" s="0" t="n">
        <v>0</v>
      </c>
      <c r="AD424" s="0" t="n">
        <v>0</v>
      </c>
      <c r="AE424" s="0" t="n">
        <v>1</v>
      </c>
      <c r="AF424" s="0" t="n">
        <v>0</v>
      </c>
      <c r="AG424" s="0" t="n">
        <v>0</v>
      </c>
      <c r="AH424" s="0" t="n">
        <v>0</v>
      </c>
      <c r="AI424" s="0" t="n">
        <v>9.12125509306888</v>
      </c>
      <c r="AK424" s="0" t="n">
        <f aca="false">A424</f>
        <v>407</v>
      </c>
      <c r="AL424" s="0" t="n">
        <v>0</v>
      </c>
      <c r="AM424" s="0" t="n">
        <v>0</v>
      </c>
      <c r="AO424" s="0" t="n">
        <v>407</v>
      </c>
      <c r="AP424" s="0" t="n">
        <v>1</v>
      </c>
      <c r="AQ424" s="0" t="n">
        <v>0.116549676940206</v>
      </c>
      <c r="AR424" s="0" t="n">
        <v>359.777751117658</v>
      </c>
      <c r="AS424" s="0" t="n">
        <v>52</v>
      </c>
      <c r="AT424" s="0" t="n">
        <v>52</v>
      </c>
    </row>
    <row r="425" customFormat="false" ht="12" hidden="false" customHeight="false" outlineLevel="0" collapsed="false">
      <c r="A425" s="0" t="n">
        <v>408</v>
      </c>
      <c r="B425" s="0" t="n">
        <v>1</v>
      </c>
      <c r="C425" s="0" t="n">
        <v>6.2489393922979</v>
      </c>
      <c r="D425" s="0" t="n">
        <v>425.157904522387</v>
      </c>
      <c r="E425" s="0" t="n">
        <v>6</v>
      </c>
      <c r="F425" s="0" t="n">
        <v>8</v>
      </c>
      <c r="G425" s="0" t="n">
        <v>0.5</v>
      </c>
      <c r="H425" s="0" t="n">
        <v>0</v>
      </c>
      <c r="I425" s="0" t="n">
        <v>2.18040039652002</v>
      </c>
      <c r="J425" s="0" t="n">
        <v>429.928030935431</v>
      </c>
      <c r="K425" s="0" t="n">
        <v>4.77012641304447</v>
      </c>
      <c r="L425" s="0" t="n">
        <v>0</v>
      </c>
      <c r="M425" s="0" t="n">
        <v>429.660507460522</v>
      </c>
      <c r="N425" s="0" t="n">
        <v>0</v>
      </c>
      <c r="O425" s="0" t="n">
        <v>408</v>
      </c>
      <c r="P425" s="0" t="n">
        <v>207</v>
      </c>
      <c r="Q425" s="0" t="n">
        <v>201</v>
      </c>
      <c r="R425" s="0" t="n">
        <v>445.334000323073</v>
      </c>
      <c r="S425" s="0" t="n">
        <v>569.608345621324</v>
      </c>
      <c r="T425" s="0" t="n">
        <v>21</v>
      </c>
      <c r="U425" s="0" t="n">
        <v>27</v>
      </c>
      <c r="V425" s="0" t="n">
        <v>21.2063708694935</v>
      </c>
      <c r="W425" s="0" t="n">
        <v>21.0965272580962</v>
      </c>
      <c r="X425" s="0" t="n">
        <v>4.77012641304447</v>
      </c>
      <c r="Y425" s="0" t="n">
        <v>0</v>
      </c>
      <c r="Z425" s="0" t="n">
        <v>0</v>
      </c>
      <c r="AA425" s="0" t="n">
        <v>0</v>
      </c>
      <c r="AB425" s="0" t="n">
        <v>1</v>
      </c>
      <c r="AC425" s="0" t="n">
        <v>0</v>
      </c>
      <c r="AD425" s="0" t="n">
        <v>0</v>
      </c>
      <c r="AE425" s="0" t="n">
        <v>0</v>
      </c>
      <c r="AF425" s="0" t="n">
        <v>7.06195401404404</v>
      </c>
      <c r="AG425" s="0" t="n">
        <v>0</v>
      </c>
      <c r="AH425" s="0" t="n">
        <v>0</v>
      </c>
      <c r="AI425" s="0" t="n">
        <v>0</v>
      </c>
      <c r="AK425" s="0" t="n">
        <f aca="false">A425</f>
        <v>408</v>
      </c>
      <c r="AL425" s="0" t="n">
        <v>1</v>
      </c>
      <c r="AM425" s="0" t="n">
        <v>1</v>
      </c>
      <c r="AO425" s="0" t="n">
        <v>408</v>
      </c>
      <c r="AP425" s="0" t="n">
        <v>0</v>
      </c>
      <c r="AQ425" s="0" t="n">
        <v>0.52521338290879</v>
      </c>
      <c r="AR425" s="0" t="n">
        <v>360.302964500567</v>
      </c>
      <c r="AS425" s="0" t="n">
        <v>54</v>
      </c>
      <c r="AT425" s="0" t="n">
        <v>52</v>
      </c>
    </row>
    <row r="426" customFormat="false" ht="12" hidden="false" customHeight="false" outlineLevel="0" collapsed="false">
      <c r="A426" s="0" t="n">
        <v>409</v>
      </c>
      <c r="B426" s="0" t="n">
        <v>1</v>
      </c>
      <c r="C426" s="0" t="n">
        <v>0.115112212347462</v>
      </c>
      <c r="D426" s="0" t="n">
        <v>425.273016734734</v>
      </c>
      <c r="E426" s="0" t="n">
        <v>8</v>
      </c>
      <c r="F426" s="0" t="n">
        <v>8</v>
      </c>
      <c r="G426" s="0" t="n">
        <v>0.5</v>
      </c>
      <c r="H426" s="0" t="n">
        <v>1</v>
      </c>
      <c r="I426" s="0" t="n">
        <v>0</v>
      </c>
      <c r="J426" s="0" t="n">
        <v>429.928030935431</v>
      </c>
      <c r="K426" s="0" t="n">
        <v>0</v>
      </c>
      <c r="L426" s="0" t="n">
        <v>2.04483608022779</v>
      </c>
      <c r="M426" s="0" t="n">
        <v>431.70534354075</v>
      </c>
      <c r="N426" s="0" t="n">
        <v>6.43232680601545</v>
      </c>
      <c r="O426" s="0" t="n">
        <v>409</v>
      </c>
      <c r="P426" s="0" t="n">
        <v>207</v>
      </c>
      <c r="Q426" s="0" t="n">
        <v>202</v>
      </c>
      <c r="R426" s="0" t="n">
        <v>431.57931094479</v>
      </c>
      <c r="S426" s="0" t="n">
        <v>584.581408781842</v>
      </c>
      <c r="T426" s="0" t="n">
        <v>20</v>
      </c>
      <c r="U426" s="0" t="n">
        <v>28</v>
      </c>
      <c r="V426" s="0" t="n">
        <v>21.5789547577621</v>
      </c>
      <c r="W426" s="0" t="n">
        <v>20.8778328928055</v>
      </c>
      <c r="X426" s="0" t="n">
        <v>0</v>
      </c>
      <c r="Y426" s="0" t="n">
        <v>0</v>
      </c>
      <c r="Z426" s="0" t="n">
        <v>6.43232680601545</v>
      </c>
      <c r="AA426" s="0" t="n">
        <v>0</v>
      </c>
      <c r="AB426" s="0" t="n">
        <v>0</v>
      </c>
      <c r="AC426" s="0" t="n">
        <v>0</v>
      </c>
      <c r="AD426" s="0" t="n">
        <v>1</v>
      </c>
      <c r="AE426" s="0" t="n">
        <v>0</v>
      </c>
      <c r="AF426" s="0" t="n">
        <v>0</v>
      </c>
      <c r="AG426" s="0" t="n">
        <v>0</v>
      </c>
      <c r="AH426" s="0" t="n">
        <v>1.77842620804324</v>
      </c>
      <c r="AI426" s="0" t="n">
        <v>0</v>
      </c>
      <c r="AK426" s="0" t="n">
        <f aca="false">A426</f>
        <v>409</v>
      </c>
      <c r="AL426" s="0" t="n">
        <v>0</v>
      </c>
      <c r="AM426" s="0" t="n">
        <v>1</v>
      </c>
      <c r="AO426" s="0" t="n">
        <v>409</v>
      </c>
      <c r="AP426" s="0" t="n">
        <v>1</v>
      </c>
      <c r="AQ426" s="0" t="n">
        <v>1.0625236216356</v>
      </c>
      <c r="AR426" s="0" t="n">
        <v>361.365488122202</v>
      </c>
      <c r="AS426" s="0" t="n">
        <v>54</v>
      </c>
      <c r="AT426" s="0" t="n">
        <v>52</v>
      </c>
    </row>
    <row r="427" customFormat="false" ht="12" hidden="false" customHeight="false" outlineLevel="0" collapsed="false">
      <c r="A427" s="0" t="n">
        <v>410</v>
      </c>
      <c r="B427" s="0" t="n">
        <v>1</v>
      </c>
      <c r="C427" s="0" t="n">
        <v>0.1744158342927</v>
      </c>
      <c r="D427" s="0" t="n">
        <v>425.447432569027</v>
      </c>
      <c r="E427" s="0" t="n">
        <v>8</v>
      </c>
      <c r="F427" s="0" t="n">
        <v>10</v>
      </c>
      <c r="G427" s="0" t="n">
        <v>0.5</v>
      </c>
      <c r="H427" s="0" t="n">
        <v>0</v>
      </c>
      <c r="I427" s="0" t="n">
        <v>1.89434637787991</v>
      </c>
      <c r="J427" s="0" t="n">
        <v>431.822377313311</v>
      </c>
      <c r="K427" s="0" t="n">
        <v>6.37494474428422</v>
      </c>
      <c r="L427" s="0" t="n">
        <v>0</v>
      </c>
      <c r="M427" s="0" t="n">
        <v>431.70534354075</v>
      </c>
      <c r="N427" s="0" t="n">
        <v>0</v>
      </c>
      <c r="O427" s="0" t="n">
        <v>410</v>
      </c>
      <c r="P427" s="0" t="n">
        <v>208</v>
      </c>
      <c r="Q427" s="0" t="n">
        <v>202</v>
      </c>
      <c r="R427" s="0" t="n">
        <v>671.147464794606</v>
      </c>
      <c r="S427" s="0" t="n">
        <v>352.370629106361</v>
      </c>
      <c r="T427" s="0" t="n">
        <v>30</v>
      </c>
      <c r="U427" s="0" t="n">
        <v>18</v>
      </c>
      <c r="V427" s="0" t="n">
        <v>22.3715747026286</v>
      </c>
      <c r="W427" s="0" t="n">
        <v>19.5760373057017</v>
      </c>
      <c r="X427" s="0" t="n">
        <v>6.37494474428422</v>
      </c>
      <c r="Y427" s="0" t="n">
        <v>0</v>
      </c>
      <c r="Z427" s="0" t="n">
        <v>0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  <c r="AF427" s="0" t="n">
        <v>1.10799917164775</v>
      </c>
      <c r="AG427" s="0" t="n">
        <v>0</v>
      </c>
      <c r="AH427" s="0" t="n">
        <v>0</v>
      </c>
      <c r="AI427" s="0" t="n">
        <v>0</v>
      </c>
      <c r="AK427" s="0" t="n">
        <f aca="false">A427</f>
        <v>410</v>
      </c>
      <c r="AL427" s="0" t="n">
        <v>1</v>
      </c>
      <c r="AM427" s="0" t="n">
        <v>1</v>
      </c>
      <c r="AO427" s="0" t="n">
        <v>410</v>
      </c>
      <c r="AP427" s="0" t="n">
        <v>1</v>
      </c>
      <c r="AQ427" s="0" t="n">
        <v>0.0749262364623533</v>
      </c>
      <c r="AR427" s="0" t="n">
        <v>361.440414358665</v>
      </c>
      <c r="AS427" s="0" t="n">
        <v>54</v>
      </c>
      <c r="AT427" s="0" t="n">
        <v>52</v>
      </c>
    </row>
    <row r="428" customFormat="false" ht="12" hidden="false" customHeight="false" outlineLevel="0" collapsed="false">
      <c r="A428" s="0" t="n">
        <v>411</v>
      </c>
      <c r="B428" s="0" t="n">
        <v>1</v>
      </c>
      <c r="C428" s="0" t="n">
        <v>3.14056057860128</v>
      </c>
      <c r="D428" s="0" t="n">
        <v>428.587993147628</v>
      </c>
      <c r="E428" s="0" t="n">
        <v>6</v>
      </c>
      <c r="F428" s="0" t="n">
        <v>6</v>
      </c>
      <c r="G428" s="0" t="n">
        <v>0.5</v>
      </c>
      <c r="H428" s="0" t="n">
        <v>1</v>
      </c>
      <c r="I428" s="0" t="n">
        <v>0</v>
      </c>
      <c r="J428" s="0" t="n">
        <v>431.822377313311</v>
      </c>
      <c r="K428" s="0" t="n">
        <v>0</v>
      </c>
      <c r="L428" s="0" t="n">
        <v>2.20766770542466</v>
      </c>
      <c r="M428" s="0" t="n">
        <v>433.913011246174</v>
      </c>
      <c r="N428" s="0" t="n">
        <v>5.3250180985462</v>
      </c>
      <c r="O428" s="0" t="n">
        <v>411</v>
      </c>
      <c r="P428" s="0" t="n">
        <v>208</v>
      </c>
      <c r="Q428" s="0" t="n">
        <v>203</v>
      </c>
      <c r="R428" s="0" t="n">
        <v>300.39319356161</v>
      </c>
      <c r="S428" s="0" t="n">
        <v>721.229663588684</v>
      </c>
      <c r="T428" s="0" t="n">
        <v>16</v>
      </c>
      <c r="U428" s="0" t="n">
        <v>32</v>
      </c>
      <c r="V428" s="0" t="n">
        <v>18.7745628634988</v>
      </c>
      <c r="W428" s="0" t="n">
        <v>22.5383565547821</v>
      </c>
      <c r="X428" s="0" t="n">
        <v>0</v>
      </c>
      <c r="Y428" s="0" t="n">
        <v>0</v>
      </c>
      <c r="Z428" s="0" t="n">
        <v>5.3250180985462</v>
      </c>
      <c r="AA428" s="0" t="n">
        <v>0</v>
      </c>
      <c r="AB428" s="0" t="n">
        <v>0</v>
      </c>
      <c r="AC428" s="0" t="n">
        <v>0</v>
      </c>
      <c r="AD428" s="0" t="n">
        <v>1</v>
      </c>
      <c r="AE428" s="0" t="n">
        <v>0</v>
      </c>
      <c r="AF428" s="0" t="n">
        <v>0</v>
      </c>
      <c r="AG428" s="0" t="n">
        <v>0</v>
      </c>
      <c r="AH428" s="0" t="n">
        <v>5.95792046186255</v>
      </c>
      <c r="AI428" s="0" t="n">
        <v>0</v>
      </c>
      <c r="AK428" s="0" t="n">
        <f aca="false">A428</f>
        <v>411</v>
      </c>
      <c r="AL428" s="0" t="n">
        <v>0</v>
      </c>
      <c r="AM428" s="0" t="n">
        <v>0</v>
      </c>
      <c r="AO428" s="0" t="n">
        <v>411</v>
      </c>
      <c r="AP428" s="0" t="n">
        <v>1</v>
      </c>
      <c r="AQ428" s="0" t="n">
        <v>0.803019501141422</v>
      </c>
      <c r="AR428" s="0" t="n">
        <v>362.243433859806</v>
      </c>
      <c r="AS428" s="0" t="n">
        <v>54</v>
      </c>
      <c r="AT428" s="0" t="n">
        <v>54</v>
      </c>
    </row>
    <row r="429" customFormat="false" ht="12" hidden="false" customHeight="false" outlineLevel="0" collapsed="false">
      <c r="A429" s="0" t="n">
        <v>412</v>
      </c>
      <c r="B429" s="0" t="n">
        <v>1</v>
      </c>
      <c r="C429" s="0" t="n">
        <v>0.86213028298153</v>
      </c>
      <c r="D429" s="0" t="n">
        <v>429.45012343061</v>
      </c>
      <c r="E429" s="0" t="n">
        <v>6</v>
      </c>
      <c r="F429" s="0" t="n">
        <v>8</v>
      </c>
      <c r="G429" s="0" t="n">
        <v>0.5</v>
      </c>
      <c r="H429" s="0" t="n">
        <v>0</v>
      </c>
      <c r="I429" s="0" t="n">
        <v>2.21587919116542</v>
      </c>
      <c r="J429" s="0" t="n">
        <v>434.038256504477</v>
      </c>
      <c r="K429" s="0" t="n">
        <v>4.58813307386686</v>
      </c>
      <c r="L429" s="0" t="n">
        <v>0</v>
      </c>
      <c r="M429" s="0" t="n">
        <v>433.913011246174</v>
      </c>
      <c r="N429" s="0" t="n">
        <v>0</v>
      </c>
      <c r="O429" s="0" t="n">
        <v>412</v>
      </c>
      <c r="P429" s="0" t="n">
        <v>209</v>
      </c>
      <c r="Q429" s="0" t="n">
        <v>203</v>
      </c>
      <c r="R429" s="0" t="n">
        <v>618.517526901744</v>
      </c>
      <c r="S429" s="0" t="n">
        <v>388.275477554825</v>
      </c>
      <c r="T429" s="0" t="n">
        <v>28</v>
      </c>
      <c r="U429" s="0" t="n">
        <v>20</v>
      </c>
      <c r="V429" s="0" t="n">
        <v>22.0899037858109</v>
      </c>
      <c r="W429" s="0" t="n">
        <v>19.4136768093572</v>
      </c>
      <c r="X429" s="0" t="n">
        <v>4.58813307386686</v>
      </c>
      <c r="Y429" s="0" t="n">
        <v>0</v>
      </c>
      <c r="Z429" s="0" t="n">
        <v>0</v>
      </c>
      <c r="AA429" s="0" t="n">
        <v>0</v>
      </c>
      <c r="AB429" s="0" t="n">
        <v>1</v>
      </c>
      <c r="AC429" s="0" t="n">
        <v>0</v>
      </c>
      <c r="AD429" s="0" t="n">
        <v>0</v>
      </c>
      <c r="AE429" s="0" t="n">
        <v>0</v>
      </c>
      <c r="AF429" s="0" t="n">
        <v>8.06234606483322</v>
      </c>
      <c r="AG429" s="0" t="n">
        <v>0</v>
      </c>
      <c r="AH429" s="0" t="n">
        <v>0</v>
      </c>
      <c r="AI429" s="0" t="n">
        <v>0</v>
      </c>
      <c r="AK429" s="0" t="n">
        <f aca="false">A429</f>
        <v>412</v>
      </c>
      <c r="AL429" s="0" t="n">
        <v>1</v>
      </c>
      <c r="AM429" s="0" t="n">
        <v>2</v>
      </c>
      <c r="AO429" s="0" t="n">
        <v>412</v>
      </c>
      <c r="AP429" s="0" t="n">
        <v>0</v>
      </c>
      <c r="AQ429" s="0" t="n">
        <v>0.974996343519203</v>
      </c>
      <c r="AR429" s="0" t="n">
        <v>363.218430203325</v>
      </c>
      <c r="AS429" s="0" t="n">
        <v>52</v>
      </c>
      <c r="AT429" s="0" t="n">
        <v>56</v>
      </c>
    </row>
    <row r="430" customFormat="false" ht="12" hidden="false" customHeight="false" outlineLevel="0" collapsed="false">
      <c r="A430" s="0" t="n">
        <v>413</v>
      </c>
      <c r="B430" s="0" t="n">
        <v>0</v>
      </c>
      <c r="C430" s="0" t="n">
        <v>1.54801087091189</v>
      </c>
      <c r="D430" s="0" t="n">
        <v>430.998134301522</v>
      </c>
      <c r="E430" s="0" t="n">
        <v>6</v>
      </c>
      <c r="F430" s="0" t="n">
        <v>6</v>
      </c>
      <c r="G430" s="0" t="n">
        <v>0.5</v>
      </c>
      <c r="H430" s="0" t="n">
        <v>1</v>
      </c>
      <c r="I430" s="0" t="n">
        <v>0</v>
      </c>
      <c r="J430" s="0" t="n">
        <v>434.038256504477</v>
      </c>
      <c r="K430" s="0" t="n">
        <v>0</v>
      </c>
      <c r="L430" s="0" t="n">
        <v>1.91177214118468</v>
      </c>
      <c r="M430" s="0" t="n">
        <v>435.824783387359</v>
      </c>
      <c r="N430" s="0" t="n">
        <v>4.82664908583746</v>
      </c>
      <c r="O430" s="0" t="n">
        <v>413</v>
      </c>
      <c r="P430" s="0" t="n">
        <v>209</v>
      </c>
      <c r="Q430" s="0" t="n">
        <v>204</v>
      </c>
      <c r="R430" s="0" t="n">
        <v>665.840276127255</v>
      </c>
      <c r="S430" s="0" t="n">
        <v>374.263289814057</v>
      </c>
      <c r="T430" s="0" t="n">
        <v>25</v>
      </c>
      <c r="U430" s="0" t="n">
        <v>23</v>
      </c>
      <c r="V430" s="0" t="n">
        <v>26.6336003916501</v>
      </c>
      <c r="W430" s="0" t="n">
        <v>16.2722461995407</v>
      </c>
      <c r="X430" s="0" t="n">
        <v>0</v>
      </c>
      <c r="Y430" s="0" t="n">
        <v>0</v>
      </c>
      <c r="Z430" s="0" t="n">
        <v>0</v>
      </c>
      <c r="AA430" s="0" t="n">
        <v>4.82664908583746</v>
      </c>
      <c r="AB430" s="0" t="n">
        <v>0</v>
      </c>
      <c r="AC430" s="0" t="n">
        <v>0</v>
      </c>
      <c r="AD430" s="0" t="n">
        <v>0</v>
      </c>
      <c r="AE430" s="0" t="n">
        <v>1</v>
      </c>
      <c r="AF430" s="0" t="n">
        <v>0</v>
      </c>
      <c r="AG430" s="0" t="n">
        <v>0</v>
      </c>
      <c r="AH430" s="0" t="n">
        <v>0</v>
      </c>
      <c r="AI430" s="0" t="n">
        <v>8.43758230046561</v>
      </c>
      <c r="AK430" s="0" t="n">
        <f aca="false">A430</f>
        <v>413</v>
      </c>
      <c r="AL430" s="0" t="n">
        <v>0</v>
      </c>
      <c r="AM430" s="0" t="n">
        <v>2</v>
      </c>
      <c r="AO430" s="0" t="n">
        <v>413</v>
      </c>
      <c r="AP430" s="0" t="n">
        <v>1</v>
      </c>
      <c r="AQ430" s="0" t="n">
        <v>0.964085423300834</v>
      </c>
      <c r="AR430" s="0" t="n">
        <v>364.182515626626</v>
      </c>
      <c r="AS430" s="0" t="n">
        <v>52</v>
      </c>
      <c r="AT430" s="0" t="n">
        <v>56</v>
      </c>
    </row>
    <row r="431" customFormat="false" ht="12" hidden="false" customHeight="false" outlineLevel="0" collapsed="false">
      <c r="A431" s="0" t="n">
        <v>414</v>
      </c>
      <c r="B431" s="0" t="n">
        <v>1</v>
      </c>
      <c r="C431" s="0" t="n">
        <v>0.829478600053553</v>
      </c>
      <c r="D431" s="0" t="n">
        <v>431.827612901575</v>
      </c>
      <c r="E431" s="0" t="n">
        <v>4</v>
      </c>
      <c r="F431" s="0" t="n">
        <v>6</v>
      </c>
      <c r="G431" s="0" t="n">
        <v>0.5</v>
      </c>
      <c r="H431" s="0" t="n">
        <v>0</v>
      </c>
      <c r="I431" s="0" t="n">
        <v>2.07510110957353</v>
      </c>
      <c r="J431" s="0" t="n">
        <v>436.11335761405</v>
      </c>
      <c r="K431" s="0" t="n">
        <v>4.28574471247498</v>
      </c>
      <c r="L431" s="0" t="n">
        <v>0</v>
      </c>
      <c r="M431" s="0" t="n">
        <v>435.824783387359</v>
      </c>
      <c r="N431" s="0" t="n">
        <v>0</v>
      </c>
      <c r="O431" s="0" t="n">
        <v>414</v>
      </c>
      <c r="P431" s="0" t="n">
        <v>210</v>
      </c>
      <c r="Q431" s="0" t="n">
        <v>204</v>
      </c>
      <c r="R431" s="0" t="n">
        <v>340.080042796399</v>
      </c>
      <c r="S431" s="0" t="n">
        <v>685.951942471368</v>
      </c>
      <c r="T431" s="0" t="n">
        <v>22</v>
      </c>
      <c r="U431" s="0" t="n">
        <v>26</v>
      </c>
      <c r="V431" s="0" t="n">
        <v>15.4581767370287</v>
      </c>
      <c r="W431" s="0" t="n">
        <v>26.382665546339</v>
      </c>
      <c r="X431" s="0" t="n">
        <v>4.28574471247498</v>
      </c>
      <c r="Y431" s="0" t="n">
        <v>0</v>
      </c>
      <c r="Z431" s="0" t="n">
        <v>0</v>
      </c>
      <c r="AA431" s="0" t="n">
        <v>0</v>
      </c>
      <c r="AB431" s="0" t="n">
        <v>1</v>
      </c>
      <c r="AC431" s="0" t="n">
        <v>0</v>
      </c>
      <c r="AD431" s="0" t="n">
        <v>0</v>
      </c>
      <c r="AE431" s="0" t="n">
        <v>0</v>
      </c>
      <c r="AF431" s="0" t="n">
        <v>9.87100418167848</v>
      </c>
      <c r="AG431" s="0" t="n">
        <v>0</v>
      </c>
      <c r="AH431" s="0" t="n">
        <v>0</v>
      </c>
      <c r="AI431" s="0" t="n">
        <v>0</v>
      </c>
      <c r="AK431" s="0" t="n">
        <f aca="false">A431</f>
        <v>414</v>
      </c>
      <c r="AL431" s="0" t="n">
        <v>1</v>
      </c>
      <c r="AM431" s="0" t="n">
        <v>1</v>
      </c>
      <c r="AO431" s="0" t="n">
        <v>414</v>
      </c>
      <c r="AP431" s="0" t="n">
        <v>1</v>
      </c>
      <c r="AQ431" s="0" t="n">
        <v>2.07423817447323</v>
      </c>
      <c r="AR431" s="0" t="n">
        <v>366.256753801099</v>
      </c>
      <c r="AS431" s="0" t="n">
        <v>52</v>
      </c>
      <c r="AT431" s="0" t="n">
        <v>54</v>
      </c>
    </row>
    <row r="432" customFormat="false" ht="12" hidden="false" customHeight="false" outlineLevel="0" collapsed="false">
      <c r="A432" s="0" t="n">
        <v>415</v>
      </c>
      <c r="B432" s="0" t="n">
        <v>0</v>
      </c>
      <c r="C432" s="0" t="n">
        <v>3.3319502439531</v>
      </c>
      <c r="D432" s="0" t="n">
        <v>435.159563145528</v>
      </c>
      <c r="E432" s="0" t="n">
        <v>4</v>
      </c>
      <c r="F432" s="0" t="n">
        <v>4</v>
      </c>
      <c r="G432" s="0" t="n">
        <v>0.5</v>
      </c>
      <c r="H432" s="0" t="n">
        <v>0</v>
      </c>
      <c r="I432" s="0" t="n">
        <v>1.8427210032931</v>
      </c>
      <c r="J432" s="0" t="n">
        <v>437.956078617343</v>
      </c>
      <c r="K432" s="0" t="n">
        <v>2.79651547181498</v>
      </c>
      <c r="L432" s="0" t="n">
        <v>0</v>
      </c>
      <c r="M432" s="0" t="n">
        <v>435.824783387359</v>
      </c>
      <c r="N432" s="0" t="n">
        <v>0</v>
      </c>
      <c r="O432" s="0" t="n">
        <v>415</v>
      </c>
      <c r="P432" s="0" t="n">
        <v>211</v>
      </c>
      <c r="Q432" s="0" t="n">
        <v>204</v>
      </c>
      <c r="R432" s="0" t="n">
        <v>456.354801963868</v>
      </c>
      <c r="S432" s="0" t="n">
        <v>585.854072706563</v>
      </c>
      <c r="T432" s="0" t="n">
        <v>24</v>
      </c>
      <c r="U432" s="0" t="n">
        <v>24</v>
      </c>
      <c r="V432" s="0" t="n">
        <v>19.0147754923381</v>
      </c>
      <c r="W432" s="0" t="n">
        <v>24.4104846524208</v>
      </c>
      <c r="X432" s="0" t="n">
        <v>0</v>
      </c>
      <c r="Y432" s="0" t="n">
        <v>2.79651547181498</v>
      </c>
      <c r="Z432" s="0" t="n">
        <v>0</v>
      </c>
      <c r="AA432" s="0" t="n">
        <v>0</v>
      </c>
      <c r="AB432" s="0" t="n">
        <v>0</v>
      </c>
      <c r="AC432" s="0" t="n">
        <v>1</v>
      </c>
      <c r="AD432" s="0" t="n">
        <v>0</v>
      </c>
      <c r="AE432" s="0" t="n">
        <v>0</v>
      </c>
      <c r="AF432" s="0" t="n">
        <v>0</v>
      </c>
      <c r="AG432" s="0" t="n">
        <v>29.8349905327355</v>
      </c>
      <c r="AH432" s="0" t="n">
        <v>0</v>
      </c>
      <c r="AI432" s="0" t="n">
        <v>0</v>
      </c>
      <c r="AK432" s="0" t="n">
        <f aca="false">A432</f>
        <v>415</v>
      </c>
      <c r="AL432" s="0" t="n">
        <v>0</v>
      </c>
      <c r="AM432" s="0" t="n">
        <v>0</v>
      </c>
      <c r="AO432" s="0" t="n">
        <v>415</v>
      </c>
      <c r="AP432" s="0" t="n">
        <v>1</v>
      </c>
      <c r="AQ432" s="0" t="n">
        <v>0.143143032593582</v>
      </c>
      <c r="AR432" s="0" t="n">
        <v>366.399896833693</v>
      </c>
      <c r="AS432" s="0" t="n">
        <v>54</v>
      </c>
      <c r="AT432" s="0" t="n">
        <v>54</v>
      </c>
    </row>
    <row r="433" customFormat="false" ht="12" hidden="false" customHeight="false" outlineLevel="0" collapsed="false">
      <c r="A433" s="0" t="n">
        <v>416</v>
      </c>
      <c r="B433" s="0" t="n">
        <v>0</v>
      </c>
      <c r="C433" s="0" t="n">
        <v>0.0442201393716274</v>
      </c>
      <c r="D433" s="0" t="n">
        <v>435.2037832849</v>
      </c>
      <c r="E433" s="0" t="n">
        <v>6</v>
      </c>
      <c r="F433" s="0" t="n">
        <v>4</v>
      </c>
      <c r="G433" s="0" t="n">
        <v>0.5</v>
      </c>
      <c r="H433" s="0" t="n">
        <v>1</v>
      </c>
      <c r="I433" s="0" t="n">
        <v>0</v>
      </c>
      <c r="J433" s="0" t="n">
        <v>437.956078617343</v>
      </c>
      <c r="K433" s="0" t="n">
        <v>0</v>
      </c>
      <c r="L433" s="0" t="n">
        <v>1.76475794239622</v>
      </c>
      <c r="M433" s="0" t="n">
        <v>437.589541329755</v>
      </c>
      <c r="N433" s="0" t="n">
        <v>2.38575804485538</v>
      </c>
      <c r="O433" s="0" t="n">
        <v>416</v>
      </c>
      <c r="P433" s="0" t="n">
        <v>211</v>
      </c>
      <c r="Q433" s="0" t="n">
        <v>205</v>
      </c>
      <c r="R433" s="0" t="n">
        <v>556.244213463024</v>
      </c>
      <c r="S433" s="0" t="n">
        <v>478.982318483548</v>
      </c>
      <c r="T433" s="0" t="n">
        <v>27</v>
      </c>
      <c r="U433" s="0" t="n">
        <v>21</v>
      </c>
      <c r="V433" s="0" t="n">
        <v>20.6016299054343</v>
      </c>
      <c r="W433" s="0" t="n">
        <v>22.8085732202965</v>
      </c>
      <c r="X433" s="0" t="n">
        <v>0</v>
      </c>
      <c r="Y433" s="0" t="n">
        <v>0</v>
      </c>
      <c r="Z433" s="0" t="n">
        <v>0</v>
      </c>
      <c r="AA433" s="0" t="n">
        <v>2.38575804485538</v>
      </c>
      <c r="AB433" s="0" t="n">
        <v>0</v>
      </c>
      <c r="AC433" s="0" t="n">
        <v>0</v>
      </c>
      <c r="AD433" s="0" t="n">
        <v>0</v>
      </c>
      <c r="AE433" s="0" t="n">
        <v>1</v>
      </c>
      <c r="AF433" s="0" t="n">
        <v>0</v>
      </c>
      <c r="AG433" s="0" t="n">
        <v>0</v>
      </c>
      <c r="AH433" s="0" t="n">
        <v>0</v>
      </c>
      <c r="AI433" s="0" t="n">
        <v>28.575896059907</v>
      </c>
      <c r="AK433" s="0" t="n">
        <f aca="false">A433</f>
        <v>416</v>
      </c>
      <c r="AL433" s="0" t="n">
        <v>1</v>
      </c>
      <c r="AM433" s="0" t="n">
        <v>2</v>
      </c>
      <c r="AO433" s="0" t="n">
        <v>416</v>
      </c>
      <c r="AP433" s="0" t="n">
        <v>0</v>
      </c>
      <c r="AQ433" s="0" t="n">
        <v>0.595595306772722</v>
      </c>
      <c r="AR433" s="0" t="n">
        <v>366.995492140466</v>
      </c>
      <c r="AS433" s="0" t="n">
        <v>52</v>
      </c>
      <c r="AT433" s="0" t="n">
        <v>56</v>
      </c>
    </row>
    <row r="434" customFormat="false" ht="12" hidden="false" customHeight="false" outlineLevel="0" collapsed="false">
      <c r="A434" s="0" t="n">
        <v>417</v>
      </c>
      <c r="B434" s="0" t="n">
        <v>0</v>
      </c>
      <c r="C434" s="0" t="n">
        <v>0.157794478095034</v>
      </c>
      <c r="D434" s="0" t="n">
        <v>435.361577762995</v>
      </c>
      <c r="E434" s="0" t="n">
        <v>6</v>
      </c>
      <c r="F434" s="0" t="n">
        <v>6</v>
      </c>
      <c r="G434" s="0" t="n">
        <v>0.5</v>
      </c>
      <c r="H434" s="0" t="n">
        <v>1</v>
      </c>
      <c r="I434" s="0" t="n">
        <v>0</v>
      </c>
      <c r="J434" s="0" t="n">
        <v>437.956078617343</v>
      </c>
      <c r="K434" s="0" t="n">
        <v>0</v>
      </c>
      <c r="L434" s="0" t="n">
        <v>1.84665988241133</v>
      </c>
      <c r="M434" s="0" t="n">
        <v>439.436201212167</v>
      </c>
      <c r="N434" s="0" t="n">
        <v>4.07462344917173</v>
      </c>
      <c r="O434" s="0" t="n">
        <v>417</v>
      </c>
      <c r="P434" s="0" t="n">
        <v>211</v>
      </c>
      <c r="Q434" s="0" t="n">
        <v>206</v>
      </c>
      <c r="R434" s="0" t="n">
        <v>677.395186753022</v>
      </c>
      <c r="S434" s="0" t="n">
        <v>373.027989683436</v>
      </c>
      <c r="T434" s="0" t="n">
        <v>28</v>
      </c>
      <c r="U434" s="0" t="n">
        <v>20</v>
      </c>
      <c r="V434" s="0" t="n">
        <v>24.1926766009377</v>
      </c>
      <c r="W434" s="0" t="n">
        <v>18.6513062276406</v>
      </c>
      <c r="X434" s="0" t="n">
        <v>0</v>
      </c>
      <c r="Y434" s="0" t="n">
        <v>0</v>
      </c>
      <c r="Z434" s="0" t="n">
        <v>0</v>
      </c>
      <c r="AA434" s="0" t="n">
        <v>4.07462344917173</v>
      </c>
      <c r="AB434" s="0" t="n">
        <v>0</v>
      </c>
      <c r="AC434" s="0" t="n">
        <v>0</v>
      </c>
      <c r="AD434" s="0" t="n">
        <v>0</v>
      </c>
      <c r="AE434" s="0" t="n">
        <v>1</v>
      </c>
      <c r="AF434" s="0" t="n">
        <v>0</v>
      </c>
      <c r="AG434" s="0" t="n">
        <v>0</v>
      </c>
      <c r="AH434" s="0" t="n">
        <v>0</v>
      </c>
      <c r="AI434" s="0" t="n">
        <v>13.3720203159889</v>
      </c>
      <c r="AK434" s="0" t="n">
        <f aca="false">A434</f>
        <v>417</v>
      </c>
      <c r="AL434" s="0" t="n">
        <v>0</v>
      </c>
      <c r="AM434" s="0" t="n">
        <v>0</v>
      </c>
      <c r="AO434" s="0" t="n">
        <v>417</v>
      </c>
      <c r="AP434" s="0" t="n">
        <v>0</v>
      </c>
      <c r="AQ434" s="0" t="n">
        <v>1.35082894871154</v>
      </c>
      <c r="AR434" s="0" t="n">
        <v>368.346321089177</v>
      </c>
      <c r="AS434" s="0" t="n">
        <v>54</v>
      </c>
      <c r="AT434" s="0" t="n">
        <v>54</v>
      </c>
    </row>
    <row r="435" customFormat="false" ht="12" hidden="false" customHeight="false" outlineLevel="0" collapsed="false">
      <c r="A435" s="0" t="n">
        <v>418</v>
      </c>
      <c r="B435" s="0" t="n">
        <v>0</v>
      </c>
      <c r="C435" s="0" t="n">
        <v>0.631363572580981</v>
      </c>
      <c r="D435" s="0" t="n">
        <v>435.992941335576</v>
      </c>
      <c r="E435" s="0" t="n">
        <v>6</v>
      </c>
      <c r="F435" s="0" t="n">
        <v>6</v>
      </c>
      <c r="G435" s="0" t="n">
        <v>0.5</v>
      </c>
      <c r="H435" s="0" t="n">
        <v>0</v>
      </c>
      <c r="I435" s="0" t="n">
        <v>2.22223625394729</v>
      </c>
      <c r="J435" s="0" t="n">
        <v>440.17831487129</v>
      </c>
      <c r="K435" s="0" t="n">
        <v>4.18537353571463</v>
      </c>
      <c r="L435" s="0" t="n">
        <v>0</v>
      </c>
      <c r="M435" s="0" t="n">
        <v>439.436201212167</v>
      </c>
      <c r="N435" s="0" t="n">
        <v>0</v>
      </c>
      <c r="O435" s="0" t="n">
        <v>418</v>
      </c>
      <c r="P435" s="0" t="n">
        <v>212</v>
      </c>
      <c r="Q435" s="0" t="n">
        <v>206</v>
      </c>
      <c r="R435" s="0" t="n">
        <v>586.796090832646</v>
      </c>
      <c r="S435" s="0" t="n">
        <v>467.864921525124</v>
      </c>
      <c r="T435" s="0" t="n">
        <v>27</v>
      </c>
      <c r="U435" s="0" t="n">
        <v>21</v>
      </c>
      <c r="V435" s="0" t="n">
        <v>21.7331805000311</v>
      </c>
      <c r="W435" s="0" t="n">
        <v>22.2791758860731</v>
      </c>
      <c r="X435" s="0" t="n">
        <v>0</v>
      </c>
      <c r="Y435" s="0" t="n">
        <v>4.18537353571463</v>
      </c>
      <c r="Z435" s="0" t="n">
        <v>0</v>
      </c>
      <c r="AA435" s="0" t="n">
        <v>0</v>
      </c>
      <c r="AB435" s="0" t="n">
        <v>0</v>
      </c>
      <c r="AC435" s="0" t="n">
        <v>1</v>
      </c>
      <c r="AD435" s="0" t="n">
        <v>0</v>
      </c>
      <c r="AE435" s="0" t="n">
        <v>0</v>
      </c>
      <c r="AF435" s="0" t="n">
        <v>0</v>
      </c>
      <c r="AG435" s="0" t="n">
        <v>16.5916385225707</v>
      </c>
      <c r="AH435" s="0" t="n">
        <v>0</v>
      </c>
      <c r="AI435" s="0" t="n">
        <v>0</v>
      </c>
      <c r="AK435" s="0" t="n">
        <f aca="false">A435</f>
        <v>418</v>
      </c>
      <c r="AL435" s="0" t="n">
        <v>0</v>
      </c>
      <c r="AM435" s="0" t="n">
        <v>1</v>
      </c>
      <c r="AO435" s="0" t="n">
        <v>418</v>
      </c>
      <c r="AP435" s="0" t="n">
        <v>1</v>
      </c>
      <c r="AQ435" s="0" t="n">
        <v>0.172187214141476</v>
      </c>
      <c r="AR435" s="0" t="n">
        <v>368.518508303319</v>
      </c>
      <c r="AS435" s="0" t="n">
        <v>54</v>
      </c>
      <c r="AT435" s="0" t="n">
        <v>56</v>
      </c>
    </row>
    <row r="436" customFormat="false" ht="12" hidden="false" customHeight="false" outlineLevel="0" collapsed="false">
      <c r="A436" s="0" t="n">
        <v>419</v>
      </c>
      <c r="B436" s="0" t="n">
        <v>0</v>
      </c>
      <c r="C436" s="0" t="n">
        <v>0.0419022439430104</v>
      </c>
      <c r="D436" s="0" t="n">
        <v>436.034843579519</v>
      </c>
      <c r="E436" s="0" t="n">
        <v>8</v>
      </c>
      <c r="F436" s="0" t="n">
        <v>6</v>
      </c>
      <c r="G436" s="0" t="n">
        <v>0.5</v>
      </c>
      <c r="H436" s="0" t="n">
        <v>0</v>
      </c>
      <c r="I436" s="0" t="n">
        <v>1.81008569644017</v>
      </c>
      <c r="J436" s="0" t="n">
        <v>441.988400567731</v>
      </c>
      <c r="K436" s="0" t="n">
        <v>5.9535569882118</v>
      </c>
      <c r="L436" s="0" t="n">
        <v>0</v>
      </c>
      <c r="M436" s="0" t="n">
        <v>439.436201212167</v>
      </c>
      <c r="N436" s="0" t="n">
        <v>0</v>
      </c>
      <c r="O436" s="0" t="n">
        <v>419</v>
      </c>
      <c r="P436" s="0" t="n">
        <v>213</v>
      </c>
      <c r="Q436" s="0" t="n">
        <v>206</v>
      </c>
      <c r="R436" s="0" t="n">
        <v>464.139668196254</v>
      </c>
      <c r="S436" s="0" t="n">
        <v>574.014665807979</v>
      </c>
      <c r="T436" s="0" t="n">
        <v>22</v>
      </c>
      <c r="U436" s="0" t="n">
        <v>26</v>
      </c>
      <c r="V436" s="0" t="n">
        <v>21.0972480556261</v>
      </c>
      <c r="W436" s="0" t="n">
        <v>22.0774022333752</v>
      </c>
      <c r="X436" s="0" t="n">
        <v>0</v>
      </c>
      <c r="Y436" s="0" t="n">
        <v>5.9535569882118</v>
      </c>
      <c r="Z436" s="0" t="n">
        <v>0</v>
      </c>
      <c r="AA436" s="0" t="n">
        <v>0</v>
      </c>
      <c r="AB436" s="0" t="n">
        <v>0</v>
      </c>
      <c r="AC436" s="0" t="n">
        <v>1</v>
      </c>
      <c r="AD436" s="0" t="n">
        <v>0</v>
      </c>
      <c r="AE436" s="0" t="n">
        <v>0</v>
      </c>
      <c r="AF436" s="0" t="n">
        <v>0</v>
      </c>
      <c r="AG436" s="0" t="n">
        <v>5.3134862579711</v>
      </c>
      <c r="AH436" s="0" t="n">
        <v>0</v>
      </c>
      <c r="AI436" s="0" t="n">
        <v>0</v>
      </c>
      <c r="AK436" s="0" t="n">
        <f aca="false">A436</f>
        <v>419</v>
      </c>
      <c r="AL436" s="0" t="n">
        <v>1</v>
      </c>
      <c r="AM436" s="0" t="n">
        <v>1</v>
      </c>
      <c r="AO436" s="0" t="n">
        <v>419</v>
      </c>
      <c r="AP436" s="0" t="n">
        <v>1</v>
      </c>
      <c r="AQ436" s="0" t="n">
        <v>0.444510985263025</v>
      </c>
      <c r="AR436" s="0" t="n">
        <v>368.963019288582</v>
      </c>
      <c r="AS436" s="0" t="n">
        <v>54</v>
      </c>
      <c r="AT436" s="0" t="n">
        <v>56</v>
      </c>
    </row>
    <row r="437" customFormat="false" ht="12" hidden="false" customHeight="false" outlineLevel="0" collapsed="false">
      <c r="A437" s="0" t="n">
        <v>420</v>
      </c>
      <c r="B437" s="0" t="n">
        <v>0</v>
      </c>
      <c r="C437" s="0" t="n">
        <v>0.698078402084898</v>
      </c>
      <c r="D437" s="0" t="n">
        <v>436.732921981604</v>
      </c>
      <c r="E437" s="0" t="n">
        <v>8</v>
      </c>
      <c r="F437" s="0" t="n">
        <v>6</v>
      </c>
      <c r="G437" s="0" t="n">
        <v>0.5</v>
      </c>
      <c r="H437" s="0" t="n">
        <v>1</v>
      </c>
      <c r="I437" s="0" t="n">
        <v>0</v>
      </c>
      <c r="J437" s="0" t="n">
        <v>441.988400567731</v>
      </c>
      <c r="K437" s="0" t="n">
        <v>0</v>
      </c>
      <c r="L437" s="0" t="n">
        <v>1.93720132112016</v>
      </c>
      <c r="M437" s="0" t="n">
        <v>441.373402533287</v>
      </c>
      <c r="N437" s="0" t="n">
        <v>4.64048055168297</v>
      </c>
      <c r="O437" s="0" t="n">
        <v>420</v>
      </c>
      <c r="P437" s="0" t="n">
        <v>213</v>
      </c>
      <c r="Q437" s="0" t="n">
        <v>207</v>
      </c>
      <c r="R437" s="0" t="n">
        <v>499.275233106432</v>
      </c>
      <c r="S437" s="0" t="n">
        <v>551.912423100135</v>
      </c>
      <c r="T437" s="0" t="n">
        <v>23</v>
      </c>
      <c r="U437" s="0" t="n">
        <v>25</v>
      </c>
      <c r="V437" s="0" t="n">
        <v>21.7076093926234</v>
      </c>
      <c r="W437" s="0" t="n">
        <v>22.0764086183709</v>
      </c>
      <c r="X437" s="0" t="n">
        <v>0</v>
      </c>
      <c r="Y437" s="0" t="n">
        <v>0</v>
      </c>
      <c r="Z437" s="0" t="n">
        <v>0</v>
      </c>
      <c r="AA437" s="0" t="n">
        <v>4.64048055168297</v>
      </c>
      <c r="AB437" s="0" t="n">
        <v>0</v>
      </c>
      <c r="AC437" s="0" t="n">
        <v>0</v>
      </c>
      <c r="AD437" s="0" t="n">
        <v>0</v>
      </c>
      <c r="AE437" s="0" t="n">
        <v>1</v>
      </c>
      <c r="AF437" s="0" t="n">
        <v>0</v>
      </c>
      <c r="AG437" s="0" t="n">
        <v>0</v>
      </c>
      <c r="AH437" s="0" t="n">
        <v>0</v>
      </c>
      <c r="AI437" s="0" t="n">
        <v>9.5537877468618</v>
      </c>
      <c r="AK437" s="0" t="n">
        <f aca="false">A437</f>
        <v>420</v>
      </c>
      <c r="AL437" s="0" t="n">
        <v>1</v>
      </c>
      <c r="AM437" s="0" t="n">
        <v>1</v>
      </c>
      <c r="AO437" s="0" t="n">
        <v>420</v>
      </c>
      <c r="AP437" s="0" t="n">
        <v>1</v>
      </c>
      <c r="AQ437" s="0" t="n">
        <v>1.13295198599939</v>
      </c>
      <c r="AR437" s="0" t="n">
        <v>370.095971274581</v>
      </c>
      <c r="AS437" s="0" t="n">
        <v>56</v>
      </c>
      <c r="AT437" s="0" t="n">
        <v>54</v>
      </c>
    </row>
    <row r="438" customFormat="false" ht="12" hidden="false" customHeight="false" outlineLevel="0" collapsed="false">
      <c r="A438" s="0" t="n">
        <v>421</v>
      </c>
      <c r="B438" s="0" t="n">
        <v>0</v>
      </c>
      <c r="C438" s="0" t="n">
        <v>2.48777861505063</v>
      </c>
      <c r="D438" s="0" t="n">
        <v>439.220700596654</v>
      </c>
      <c r="E438" s="0" t="n">
        <v>6</v>
      </c>
      <c r="F438" s="0" t="n">
        <v>6</v>
      </c>
      <c r="G438" s="0" t="n">
        <v>0.5</v>
      </c>
      <c r="H438" s="0" t="n">
        <v>1</v>
      </c>
      <c r="I438" s="0" t="n">
        <v>0</v>
      </c>
      <c r="J438" s="0" t="n">
        <v>441.988400567731</v>
      </c>
      <c r="K438" s="0" t="n">
        <v>0</v>
      </c>
      <c r="L438" s="0" t="n">
        <v>2.1972151480354</v>
      </c>
      <c r="M438" s="0" t="n">
        <v>443.570617681322</v>
      </c>
      <c r="N438" s="0" t="n">
        <v>4.34991708466777</v>
      </c>
      <c r="O438" s="0" t="n">
        <v>421</v>
      </c>
      <c r="P438" s="0" t="n">
        <v>213</v>
      </c>
      <c r="Q438" s="0" t="n">
        <v>208</v>
      </c>
      <c r="R438" s="0" t="n">
        <v>505.773387655115</v>
      </c>
      <c r="S438" s="0" t="n">
        <v>519.159347253919</v>
      </c>
      <c r="T438" s="0" t="n">
        <v>22</v>
      </c>
      <c r="U438" s="0" t="n">
        <v>26</v>
      </c>
      <c r="V438" s="0" t="n">
        <v>22.9896889890103</v>
      </c>
      <c r="W438" s="0" t="n">
        <v>19.9675904036492</v>
      </c>
      <c r="X438" s="0" t="n">
        <v>0</v>
      </c>
      <c r="Y438" s="0" t="n">
        <v>0</v>
      </c>
      <c r="Z438" s="0" t="n">
        <v>0</v>
      </c>
      <c r="AA438" s="0" t="n">
        <v>4.34991708466777</v>
      </c>
      <c r="AB438" s="0" t="n">
        <v>0</v>
      </c>
      <c r="AC438" s="0" t="n">
        <v>0</v>
      </c>
      <c r="AD438" s="0" t="n">
        <v>0</v>
      </c>
      <c r="AE438" s="0" t="n">
        <v>1</v>
      </c>
      <c r="AF438" s="0" t="n">
        <v>0</v>
      </c>
      <c r="AG438" s="0" t="n">
        <v>0</v>
      </c>
      <c r="AH438" s="0" t="n">
        <v>0</v>
      </c>
      <c r="AI438" s="0" t="n">
        <v>11.4344318604095</v>
      </c>
      <c r="AK438" s="0" t="n">
        <f aca="false">A438</f>
        <v>421</v>
      </c>
      <c r="AL438" s="0" t="n">
        <v>0</v>
      </c>
      <c r="AM438" s="0" t="n">
        <v>0</v>
      </c>
      <c r="AO438" s="0" t="n">
        <v>421</v>
      </c>
      <c r="AP438" s="0" t="n">
        <v>1</v>
      </c>
      <c r="AQ438" s="0" t="n">
        <v>4.18165489172149</v>
      </c>
      <c r="AR438" s="0" t="n">
        <v>374.277626166303</v>
      </c>
      <c r="AS438" s="0" t="n">
        <v>52</v>
      </c>
      <c r="AT438" s="0" t="n">
        <v>52</v>
      </c>
    </row>
    <row r="439" customFormat="false" ht="12" hidden="false" customHeight="false" outlineLevel="0" collapsed="false">
      <c r="A439" s="0" t="n">
        <v>422</v>
      </c>
      <c r="B439" s="0" t="n">
        <v>0</v>
      </c>
      <c r="C439" s="0" t="n">
        <v>0.165559833217162</v>
      </c>
      <c r="D439" s="0" t="n">
        <v>439.386260429872</v>
      </c>
      <c r="E439" s="0" t="n">
        <v>6</v>
      </c>
      <c r="F439" s="0" t="n">
        <v>8</v>
      </c>
      <c r="G439" s="0" t="n">
        <v>0.5</v>
      </c>
      <c r="H439" s="0" t="n">
        <v>1</v>
      </c>
      <c r="I439" s="0" t="n">
        <v>0</v>
      </c>
      <c r="J439" s="0" t="n">
        <v>441.988400567731</v>
      </c>
      <c r="K439" s="0" t="n">
        <v>0</v>
      </c>
      <c r="L439" s="0" t="n">
        <v>1.84801501107369</v>
      </c>
      <c r="M439" s="0" t="n">
        <v>445.418632692396</v>
      </c>
      <c r="N439" s="0" t="n">
        <v>6.03237226252429</v>
      </c>
      <c r="O439" s="0" t="n">
        <v>422</v>
      </c>
      <c r="P439" s="0" t="n">
        <v>213</v>
      </c>
      <c r="Q439" s="0" t="n">
        <v>209</v>
      </c>
      <c r="R439" s="0" t="n">
        <v>656.844391564125</v>
      </c>
      <c r="S439" s="0" t="n">
        <v>405.260942202838</v>
      </c>
      <c r="T439" s="0" t="n">
        <v>29</v>
      </c>
      <c r="U439" s="0" t="n">
        <v>19</v>
      </c>
      <c r="V439" s="0" t="n">
        <v>22.649798795384</v>
      </c>
      <c r="W439" s="0" t="n">
        <v>21.3294110137756</v>
      </c>
      <c r="X439" s="0" t="n">
        <v>0</v>
      </c>
      <c r="Y439" s="0" t="n">
        <v>0</v>
      </c>
      <c r="Z439" s="0" t="n">
        <v>0</v>
      </c>
      <c r="AA439" s="0" t="n">
        <v>6.03237226252429</v>
      </c>
      <c r="AB439" s="0" t="n">
        <v>0</v>
      </c>
      <c r="AC439" s="0" t="n">
        <v>0</v>
      </c>
      <c r="AD439" s="0" t="n">
        <v>0</v>
      </c>
      <c r="AE439" s="0" t="n">
        <v>1</v>
      </c>
      <c r="AF439" s="0" t="n">
        <v>0</v>
      </c>
      <c r="AG439" s="0" t="n">
        <v>0</v>
      </c>
      <c r="AH439" s="0" t="n">
        <v>0</v>
      </c>
      <c r="AI439" s="0" t="n">
        <v>2.88669784220412</v>
      </c>
      <c r="AK439" s="0" t="n">
        <f aca="false">A439</f>
        <v>422</v>
      </c>
      <c r="AL439" s="0" t="n">
        <v>1</v>
      </c>
      <c r="AM439" s="0" t="n">
        <v>1</v>
      </c>
      <c r="AO439" s="0" t="n">
        <v>422</v>
      </c>
      <c r="AP439" s="0" t="n">
        <v>0</v>
      </c>
      <c r="AQ439" s="0" t="n">
        <v>0.251720308781739</v>
      </c>
      <c r="AR439" s="0" t="n">
        <v>374.529346475084</v>
      </c>
      <c r="AS439" s="0" t="n">
        <v>52</v>
      </c>
      <c r="AT439" s="0" t="n">
        <v>54</v>
      </c>
    </row>
    <row r="440" customFormat="false" ht="12" hidden="false" customHeight="false" outlineLevel="0" collapsed="false">
      <c r="A440" s="0" t="n">
        <v>423</v>
      </c>
      <c r="B440" s="0" t="n">
        <v>1</v>
      </c>
      <c r="C440" s="0" t="n">
        <v>0.833286622659484</v>
      </c>
      <c r="D440" s="0" t="n">
        <v>440.219547052531</v>
      </c>
      <c r="E440" s="0" t="n">
        <v>4</v>
      </c>
      <c r="F440" s="0" t="n">
        <v>8</v>
      </c>
      <c r="G440" s="0" t="n">
        <v>0.5</v>
      </c>
      <c r="H440" s="0" t="n">
        <v>0</v>
      </c>
      <c r="I440" s="0" t="n">
        <v>2.11928089765984</v>
      </c>
      <c r="J440" s="0" t="n">
        <v>444.107681465391</v>
      </c>
      <c r="K440" s="0" t="n">
        <v>3.88813441285947</v>
      </c>
      <c r="L440" s="0" t="n">
        <v>0</v>
      </c>
      <c r="M440" s="0" t="n">
        <v>445.418632692396</v>
      </c>
      <c r="N440" s="0" t="n">
        <v>0</v>
      </c>
      <c r="O440" s="0" t="n">
        <v>423</v>
      </c>
      <c r="P440" s="0" t="n">
        <v>214</v>
      </c>
      <c r="Q440" s="0" t="n">
        <v>209</v>
      </c>
      <c r="R440" s="0" t="n">
        <v>450.921212866739</v>
      </c>
      <c r="S440" s="0" t="n">
        <v>606.133041198604</v>
      </c>
      <c r="T440" s="0" t="n">
        <v>23</v>
      </c>
      <c r="U440" s="0" t="n">
        <v>25</v>
      </c>
      <c r="V440" s="0" t="n">
        <v>19.6052616006141</v>
      </c>
      <c r="W440" s="0" t="n">
        <v>24.2452246670455</v>
      </c>
      <c r="X440" s="0" t="n">
        <v>3.88813441285947</v>
      </c>
      <c r="Y440" s="0" t="n">
        <v>0</v>
      </c>
      <c r="Z440" s="0" t="n">
        <v>0</v>
      </c>
      <c r="AA440" s="0" t="n">
        <v>0</v>
      </c>
      <c r="AB440" s="0" t="n">
        <v>1</v>
      </c>
      <c r="AC440" s="0" t="n">
        <v>0</v>
      </c>
      <c r="AD440" s="0" t="n">
        <v>0</v>
      </c>
      <c r="AE440" s="0" t="n">
        <v>0</v>
      </c>
      <c r="AF440" s="0" t="n">
        <v>12.5275344791207</v>
      </c>
      <c r="AG440" s="0" t="n">
        <v>0</v>
      </c>
      <c r="AH440" s="0" t="n">
        <v>0</v>
      </c>
      <c r="AI440" s="0" t="n">
        <v>0</v>
      </c>
      <c r="AK440" s="0" t="n">
        <f aca="false">A440</f>
        <v>423</v>
      </c>
      <c r="AL440" s="0" t="n">
        <v>2</v>
      </c>
      <c r="AM440" s="0" t="n">
        <v>2</v>
      </c>
      <c r="AO440" s="0" t="n">
        <v>423</v>
      </c>
      <c r="AP440" s="0" t="n">
        <v>0</v>
      </c>
      <c r="AQ440" s="0" t="n">
        <v>0.0998270210505534</v>
      </c>
      <c r="AR440" s="0" t="n">
        <v>374.629173496135</v>
      </c>
      <c r="AS440" s="0" t="n">
        <v>52</v>
      </c>
      <c r="AT440" s="0" t="n">
        <v>56</v>
      </c>
    </row>
    <row r="441" customFormat="false" ht="12" hidden="false" customHeight="false" outlineLevel="0" collapsed="false">
      <c r="A441" s="0" t="n">
        <v>424</v>
      </c>
      <c r="B441" s="0" t="n">
        <v>1</v>
      </c>
      <c r="C441" s="0" t="n">
        <v>0.998796887063833</v>
      </c>
      <c r="D441" s="0" t="n">
        <v>441.218343939595</v>
      </c>
      <c r="E441" s="0" t="n">
        <v>6</v>
      </c>
      <c r="F441" s="0" t="n">
        <v>8</v>
      </c>
      <c r="G441" s="0" t="n">
        <v>0.5</v>
      </c>
      <c r="H441" s="0" t="n">
        <v>0</v>
      </c>
      <c r="I441" s="0" t="n">
        <v>1.93776154492337</v>
      </c>
      <c r="J441" s="0" t="n">
        <v>446.045443010314</v>
      </c>
      <c r="K441" s="0" t="n">
        <v>4.82709907071899</v>
      </c>
      <c r="L441" s="0" t="n">
        <v>0</v>
      </c>
      <c r="M441" s="0" t="n">
        <v>445.418632692396</v>
      </c>
      <c r="N441" s="0" t="n">
        <v>0</v>
      </c>
      <c r="O441" s="0" t="n">
        <v>424</v>
      </c>
      <c r="P441" s="0" t="n">
        <v>215</v>
      </c>
      <c r="Q441" s="0" t="n">
        <v>209</v>
      </c>
      <c r="R441" s="0" t="n">
        <v>350.348362815362</v>
      </c>
      <c r="S441" s="0" t="n">
        <v>707.204178030794</v>
      </c>
      <c r="T441" s="0" t="n">
        <v>17</v>
      </c>
      <c r="U441" s="0" t="n">
        <v>31</v>
      </c>
      <c r="V441" s="0" t="n">
        <v>20.6087151016594</v>
      </c>
      <c r="W441" s="0" t="n">
        <v>22.8129644107856</v>
      </c>
      <c r="X441" s="0" t="n">
        <v>4.82709907071899</v>
      </c>
      <c r="Y441" s="0" t="n">
        <v>0</v>
      </c>
      <c r="Z441" s="0" t="n">
        <v>0</v>
      </c>
      <c r="AA441" s="0" t="n">
        <v>0</v>
      </c>
      <c r="AB441" s="0" t="n">
        <v>1</v>
      </c>
      <c r="AC441" s="0" t="n">
        <v>0</v>
      </c>
      <c r="AD441" s="0" t="n">
        <v>0</v>
      </c>
      <c r="AE441" s="0" t="n">
        <v>0</v>
      </c>
      <c r="AF441" s="0" t="n">
        <v>6.76239777371048</v>
      </c>
      <c r="AG441" s="0" t="n">
        <v>0</v>
      </c>
      <c r="AH441" s="0" t="n">
        <v>0</v>
      </c>
      <c r="AI441" s="0" t="n">
        <v>0</v>
      </c>
      <c r="AK441" s="0" t="n">
        <f aca="false">A441</f>
        <v>424</v>
      </c>
      <c r="AL441" s="0" t="n">
        <v>1</v>
      </c>
      <c r="AM441" s="0" t="n">
        <v>3</v>
      </c>
      <c r="AO441" s="0" t="n">
        <v>424</v>
      </c>
      <c r="AP441" s="0" t="n">
        <v>1</v>
      </c>
      <c r="AQ441" s="0" t="n">
        <v>0.225207461922035</v>
      </c>
      <c r="AR441" s="0" t="n">
        <v>374.854380958057</v>
      </c>
      <c r="AS441" s="0" t="n">
        <v>52</v>
      </c>
      <c r="AT441" s="0" t="n">
        <v>58</v>
      </c>
    </row>
    <row r="442" customFormat="false" ht="12" hidden="false" customHeight="false" outlineLevel="0" collapsed="false">
      <c r="A442" s="0" t="n">
        <v>425</v>
      </c>
      <c r="B442" s="0" t="n">
        <v>0</v>
      </c>
      <c r="C442" s="0" t="n">
        <v>1.60826794614273</v>
      </c>
      <c r="D442" s="0" t="n">
        <v>442.826611885738</v>
      </c>
      <c r="E442" s="0" t="n">
        <v>6</v>
      </c>
      <c r="F442" s="0" t="n">
        <v>6</v>
      </c>
      <c r="G442" s="0" t="n">
        <v>0.5</v>
      </c>
      <c r="H442" s="0" t="n">
        <v>1</v>
      </c>
      <c r="I442" s="0" t="n">
        <v>0</v>
      </c>
      <c r="J442" s="0" t="n">
        <v>446.045443010314</v>
      </c>
      <c r="K442" s="0" t="n">
        <v>0</v>
      </c>
      <c r="L442" s="0" t="n">
        <v>1.98039209602976</v>
      </c>
      <c r="M442" s="0" t="n">
        <v>447.399024788426</v>
      </c>
      <c r="N442" s="0" t="n">
        <v>4.57241290268792</v>
      </c>
      <c r="O442" s="0" t="n">
        <v>425</v>
      </c>
      <c r="P442" s="0" t="n">
        <v>215</v>
      </c>
      <c r="Q442" s="0" t="n">
        <v>210</v>
      </c>
      <c r="R442" s="0" t="n">
        <v>660.092349867158</v>
      </c>
      <c r="S442" s="0" t="n">
        <v>411.019219901696</v>
      </c>
      <c r="T442" s="0" t="n">
        <v>25</v>
      </c>
      <c r="U442" s="0" t="n">
        <v>23</v>
      </c>
      <c r="V442" s="0" t="n">
        <v>26.4036834332129</v>
      </c>
      <c r="W442" s="0" t="n">
        <v>17.8703231682339</v>
      </c>
      <c r="X442" s="0" t="n">
        <v>0</v>
      </c>
      <c r="Y442" s="0" t="n">
        <v>0</v>
      </c>
      <c r="Z442" s="0" t="n">
        <v>0</v>
      </c>
      <c r="AA442" s="0" t="n">
        <v>4.57241290268792</v>
      </c>
      <c r="AB442" s="0" t="n">
        <v>0</v>
      </c>
      <c r="AC442" s="0" t="n">
        <v>0</v>
      </c>
      <c r="AD442" s="0" t="n">
        <v>0</v>
      </c>
      <c r="AE442" s="0" t="n">
        <v>1</v>
      </c>
      <c r="AF442" s="0" t="n">
        <v>0</v>
      </c>
      <c r="AG442" s="0" t="n">
        <v>0</v>
      </c>
      <c r="AH442" s="0" t="n">
        <v>0</v>
      </c>
      <c r="AI442" s="0" t="n">
        <v>9.97920429560362</v>
      </c>
      <c r="AK442" s="0" t="n">
        <f aca="false">A442</f>
        <v>425</v>
      </c>
      <c r="AL442" s="0" t="n">
        <v>0</v>
      </c>
      <c r="AM442" s="0" t="n">
        <v>2</v>
      </c>
      <c r="AO442" s="0" t="n">
        <v>425</v>
      </c>
      <c r="AP442" s="0" t="n">
        <v>1</v>
      </c>
      <c r="AQ442" s="0" t="n">
        <v>1.72978985704614</v>
      </c>
      <c r="AR442" s="0" t="n">
        <v>376.584170815103</v>
      </c>
      <c r="AS442" s="0" t="n">
        <v>52</v>
      </c>
      <c r="AT442" s="0" t="n">
        <v>56</v>
      </c>
    </row>
    <row r="443" customFormat="false" ht="12" hidden="false" customHeight="false" outlineLevel="0" collapsed="false">
      <c r="A443" s="0" t="n">
        <v>426</v>
      </c>
      <c r="B443" s="0" t="n">
        <v>1</v>
      </c>
      <c r="C443" s="0" t="n">
        <v>0.691785380571154</v>
      </c>
      <c r="D443" s="0" t="n">
        <v>443.518397266309</v>
      </c>
      <c r="E443" s="0" t="n">
        <v>6</v>
      </c>
      <c r="F443" s="0" t="n">
        <v>8</v>
      </c>
      <c r="G443" s="0" t="n">
        <v>0.5</v>
      </c>
      <c r="H443" s="0" t="n">
        <v>0</v>
      </c>
      <c r="I443" s="0" t="n">
        <v>1.96630386120377</v>
      </c>
      <c r="J443" s="0" t="n">
        <v>448.011746871518</v>
      </c>
      <c r="K443" s="0" t="n">
        <v>4.49334960520883</v>
      </c>
      <c r="L443" s="0" t="n">
        <v>0</v>
      </c>
      <c r="M443" s="0" t="n">
        <v>447.399024788426</v>
      </c>
      <c r="N443" s="0" t="n">
        <v>0</v>
      </c>
      <c r="O443" s="0" t="n">
        <v>426</v>
      </c>
      <c r="P443" s="0" t="n">
        <v>216</v>
      </c>
      <c r="Q443" s="0" t="n">
        <v>210</v>
      </c>
      <c r="R443" s="0" t="n">
        <v>647.099891976749</v>
      </c>
      <c r="S443" s="0" t="n">
        <v>431.828195795707</v>
      </c>
      <c r="T443" s="0" t="n">
        <v>28</v>
      </c>
      <c r="U443" s="0" t="n">
        <v>20</v>
      </c>
      <c r="V443" s="0" t="n">
        <v>23.1107021739188</v>
      </c>
      <c r="W443" s="0" t="n">
        <v>21.5913018332762</v>
      </c>
      <c r="X443" s="0" t="n">
        <v>4.49334960520883</v>
      </c>
      <c r="Y443" s="0" t="n">
        <v>0</v>
      </c>
      <c r="Z443" s="0" t="n">
        <v>0</v>
      </c>
      <c r="AA443" s="0" t="n">
        <v>0</v>
      </c>
      <c r="AB443" s="0" t="n">
        <v>1</v>
      </c>
      <c r="AC443" s="0" t="n">
        <v>0</v>
      </c>
      <c r="AD443" s="0" t="n">
        <v>0</v>
      </c>
      <c r="AE443" s="0" t="n">
        <v>0</v>
      </c>
      <c r="AF443" s="0" t="n">
        <v>8.60959146345471</v>
      </c>
      <c r="AG443" s="0" t="n">
        <v>0</v>
      </c>
      <c r="AH443" s="0" t="n">
        <v>0</v>
      </c>
      <c r="AI443" s="0" t="n">
        <v>0</v>
      </c>
      <c r="AK443" s="0" t="n">
        <f aca="false">A443</f>
        <v>426</v>
      </c>
      <c r="AL443" s="0" t="n">
        <v>1</v>
      </c>
      <c r="AM443" s="0" t="n">
        <v>2</v>
      </c>
      <c r="AO443" s="0" t="n">
        <v>426</v>
      </c>
      <c r="AP443" s="0" t="n">
        <v>0</v>
      </c>
      <c r="AQ443" s="0" t="n">
        <v>0.313265937913067</v>
      </c>
      <c r="AR443" s="0" t="n">
        <v>376.897436753016</v>
      </c>
      <c r="AS443" s="0" t="n">
        <v>52</v>
      </c>
      <c r="AT443" s="0" t="n">
        <v>56</v>
      </c>
    </row>
    <row r="444" customFormat="false" ht="12" hidden="false" customHeight="false" outlineLevel="0" collapsed="false">
      <c r="A444" s="0" t="n">
        <v>427</v>
      </c>
      <c r="B444" s="0" t="n">
        <v>0</v>
      </c>
      <c r="C444" s="0" t="n">
        <v>0.867854909080204</v>
      </c>
      <c r="D444" s="0" t="n">
        <v>444.386252175389</v>
      </c>
      <c r="E444" s="0" t="n">
        <v>6</v>
      </c>
      <c r="F444" s="0" t="n">
        <v>6</v>
      </c>
      <c r="G444" s="0" t="n">
        <v>0.5</v>
      </c>
      <c r="H444" s="0" t="n">
        <v>0</v>
      </c>
      <c r="I444" s="0" t="n">
        <v>1.81371927739331</v>
      </c>
      <c r="J444" s="0" t="n">
        <v>449.825466148911</v>
      </c>
      <c r="K444" s="0" t="n">
        <v>5.43921397352193</v>
      </c>
      <c r="L444" s="0" t="n">
        <v>0</v>
      </c>
      <c r="M444" s="0" t="n">
        <v>447.399024788426</v>
      </c>
      <c r="N444" s="0" t="n">
        <v>0</v>
      </c>
      <c r="O444" s="0" t="n">
        <v>427</v>
      </c>
      <c r="P444" s="0" t="n">
        <v>217</v>
      </c>
      <c r="Q444" s="0" t="n">
        <v>210</v>
      </c>
      <c r="R444" s="0" t="n">
        <v>408.965250542936</v>
      </c>
      <c r="S444" s="0" t="n">
        <v>649.835134548507</v>
      </c>
      <c r="T444" s="0" t="n">
        <v>23</v>
      </c>
      <c r="U444" s="0" t="n">
        <v>25</v>
      </c>
      <c r="V444" s="0" t="n">
        <v>17.7810901187841</v>
      </c>
      <c r="W444" s="0" t="n">
        <v>25.9933014087347</v>
      </c>
      <c r="X444" s="0" t="n">
        <v>0</v>
      </c>
      <c r="Y444" s="0" t="n">
        <v>5.43921397352193</v>
      </c>
      <c r="Z444" s="0" t="n">
        <v>0</v>
      </c>
      <c r="AA444" s="0" t="n">
        <v>0</v>
      </c>
      <c r="AB444" s="0" t="n">
        <v>0</v>
      </c>
      <c r="AC444" s="0" t="n">
        <v>1</v>
      </c>
      <c r="AD444" s="0" t="n">
        <v>0</v>
      </c>
      <c r="AE444" s="0" t="n">
        <v>0</v>
      </c>
      <c r="AF444" s="0" t="n">
        <v>0</v>
      </c>
      <c r="AG444" s="0" t="n">
        <v>7.94925921638505</v>
      </c>
      <c r="AH444" s="0" t="n">
        <v>0</v>
      </c>
      <c r="AI444" s="0" t="n">
        <v>0</v>
      </c>
      <c r="AK444" s="0" t="n">
        <f aca="false">A444</f>
        <v>427</v>
      </c>
      <c r="AL444" s="0" t="n">
        <v>0</v>
      </c>
      <c r="AM444" s="0" t="n">
        <v>3</v>
      </c>
      <c r="AO444" s="0" t="n">
        <v>427</v>
      </c>
      <c r="AP444" s="0" t="n">
        <v>1</v>
      </c>
      <c r="AQ444" s="0" t="n">
        <v>0.131838134523987</v>
      </c>
      <c r="AR444" s="0" t="n">
        <v>377.02927488754</v>
      </c>
      <c r="AS444" s="0" t="n">
        <v>52</v>
      </c>
      <c r="AT444" s="0" t="n">
        <v>58</v>
      </c>
    </row>
    <row r="445" customFormat="false" ht="12" hidden="false" customHeight="false" outlineLevel="0" collapsed="false">
      <c r="A445" s="0" t="n">
        <v>428</v>
      </c>
      <c r="B445" s="0" t="n">
        <v>1</v>
      </c>
      <c r="C445" s="0" t="n">
        <v>0.844240820774498</v>
      </c>
      <c r="D445" s="0" t="n">
        <v>445.230492996164</v>
      </c>
      <c r="E445" s="0" t="n">
        <v>8</v>
      </c>
      <c r="F445" s="0" t="n">
        <v>6</v>
      </c>
      <c r="G445" s="0" t="n">
        <v>0.5</v>
      </c>
      <c r="H445" s="0" t="n">
        <v>1</v>
      </c>
      <c r="I445" s="0" t="n">
        <v>0</v>
      </c>
      <c r="J445" s="0" t="n">
        <v>449.825466148911</v>
      </c>
      <c r="K445" s="0" t="n">
        <v>0</v>
      </c>
      <c r="L445" s="0" t="n">
        <v>1.95702747230395</v>
      </c>
      <c r="M445" s="0" t="n">
        <v>449.35605226073</v>
      </c>
      <c r="N445" s="0" t="n">
        <v>4.12555926456599</v>
      </c>
      <c r="O445" s="0" t="n">
        <v>428</v>
      </c>
      <c r="P445" s="0" t="n">
        <v>217</v>
      </c>
      <c r="Q445" s="0" t="n">
        <v>211</v>
      </c>
      <c r="R445" s="0" t="n">
        <v>623.672336209691</v>
      </c>
      <c r="S445" s="0" t="n">
        <v>450.191591492167</v>
      </c>
      <c r="T445" s="0" t="n">
        <v>27</v>
      </c>
      <c r="U445" s="0" t="n">
        <v>21</v>
      </c>
      <c r="V445" s="0" t="n">
        <v>23.0989668600008</v>
      </c>
      <c r="W445" s="0" t="n">
        <v>21.4375927491853</v>
      </c>
      <c r="X445" s="0" t="n">
        <v>0</v>
      </c>
      <c r="Y445" s="0" t="n">
        <v>0</v>
      </c>
      <c r="Z445" s="0" t="n">
        <v>4.12555926456599</v>
      </c>
      <c r="AA445" s="0" t="n">
        <v>0</v>
      </c>
      <c r="AB445" s="0" t="n">
        <v>0</v>
      </c>
      <c r="AC445" s="0" t="n">
        <v>0</v>
      </c>
      <c r="AD445" s="0" t="n">
        <v>1</v>
      </c>
      <c r="AE445" s="0" t="n">
        <v>0</v>
      </c>
      <c r="AF445" s="0" t="n">
        <v>0</v>
      </c>
      <c r="AG445" s="0" t="n">
        <v>0</v>
      </c>
      <c r="AH445" s="0" t="n">
        <v>13.2521045400006</v>
      </c>
      <c r="AI445" s="0" t="n">
        <v>0</v>
      </c>
      <c r="AK445" s="0" t="n">
        <f aca="false">A445</f>
        <v>428</v>
      </c>
      <c r="AL445" s="0" t="n">
        <v>1</v>
      </c>
      <c r="AM445" s="0" t="n">
        <v>2</v>
      </c>
      <c r="AO445" s="0" t="n">
        <v>428</v>
      </c>
      <c r="AP445" s="0" t="n">
        <v>1</v>
      </c>
      <c r="AQ445" s="0" t="n">
        <v>1.54961849542185</v>
      </c>
      <c r="AR445" s="0" t="n">
        <v>378.578893382962</v>
      </c>
      <c r="AS445" s="0" t="n">
        <v>52</v>
      </c>
      <c r="AT445" s="0" t="n">
        <v>56</v>
      </c>
    </row>
    <row r="446" customFormat="false" ht="12" hidden="false" customHeight="false" outlineLevel="0" collapsed="false">
      <c r="A446" s="0" t="n">
        <v>429</v>
      </c>
      <c r="B446" s="0" t="n">
        <v>0</v>
      </c>
      <c r="C446" s="0" t="n">
        <v>1.06074518819406</v>
      </c>
      <c r="D446" s="0" t="n">
        <v>446.291238184358</v>
      </c>
      <c r="E446" s="0" t="n">
        <v>6</v>
      </c>
      <c r="F446" s="0" t="n">
        <v>6</v>
      </c>
      <c r="G446" s="0" t="n">
        <v>0.5</v>
      </c>
      <c r="H446" s="0" t="n">
        <v>0</v>
      </c>
      <c r="I446" s="0" t="n">
        <v>1.94489389224799</v>
      </c>
      <c r="J446" s="0" t="n">
        <v>451.770360041159</v>
      </c>
      <c r="K446" s="0" t="n">
        <v>5.47912185680139</v>
      </c>
      <c r="L446" s="0" t="n">
        <v>0</v>
      </c>
      <c r="M446" s="0" t="n">
        <v>449.35605226073</v>
      </c>
      <c r="N446" s="0" t="n">
        <v>0</v>
      </c>
      <c r="O446" s="0" t="n">
        <v>429</v>
      </c>
      <c r="P446" s="0" t="n">
        <v>218</v>
      </c>
      <c r="Q446" s="0" t="n">
        <v>211</v>
      </c>
      <c r="R446" s="0" t="n">
        <v>615.956097095954</v>
      </c>
      <c r="S446" s="0" t="n">
        <v>476.299459418601</v>
      </c>
      <c r="T446" s="0" t="n">
        <v>24</v>
      </c>
      <c r="U446" s="0" t="n">
        <v>24</v>
      </c>
      <c r="V446" s="0" t="n">
        <v>25.6648266853203</v>
      </c>
      <c r="W446" s="0" t="n">
        <v>19.8457281185746</v>
      </c>
      <c r="X446" s="0" t="n">
        <v>0</v>
      </c>
      <c r="Y446" s="0" t="n">
        <v>5.47912185680139</v>
      </c>
      <c r="Z446" s="0" t="n">
        <v>0</v>
      </c>
      <c r="AA446" s="0" t="n">
        <v>0</v>
      </c>
      <c r="AB446" s="0" t="n">
        <v>0</v>
      </c>
      <c r="AC446" s="0" t="n">
        <v>1</v>
      </c>
      <c r="AD446" s="0" t="n">
        <v>0</v>
      </c>
      <c r="AE446" s="0" t="n">
        <v>0</v>
      </c>
      <c r="AF446" s="0" t="n">
        <v>0</v>
      </c>
      <c r="AG446" s="0" t="n">
        <v>7.72581584575318</v>
      </c>
      <c r="AH446" s="0" t="n">
        <v>0</v>
      </c>
      <c r="AI446" s="0" t="n">
        <v>0</v>
      </c>
      <c r="AK446" s="0" t="n">
        <f aca="false">A446</f>
        <v>429</v>
      </c>
      <c r="AL446" s="0" t="n">
        <v>0</v>
      </c>
      <c r="AM446" s="0" t="n">
        <v>1</v>
      </c>
      <c r="AO446" s="0" t="n">
        <v>429</v>
      </c>
      <c r="AP446" s="0" t="n">
        <v>1</v>
      </c>
      <c r="AQ446" s="0" t="n">
        <v>0.96029437831258</v>
      </c>
      <c r="AR446" s="0" t="n">
        <v>379.539187761274</v>
      </c>
      <c r="AS446" s="0" t="n">
        <v>54</v>
      </c>
      <c r="AT446" s="0" t="n">
        <v>56</v>
      </c>
    </row>
    <row r="447" customFormat="false" ht="12" hidden="false" customHeight="false" outlineLevel="0" collapsed="false">
      <c r="A447" s="0" t="n">
        <v>430</v>
      </c>
      <c r="B447" s="0" t="n">
        <v>1</v>
      </c>
      <c r="C447" s="0" t="n">
        <v>0.71479707819185</v>
      </c>
      <c r="D447" s="0" t="n">
        <v>447.006035262549</v>
      </c>
      <c r="E447" s="0" t="n">
        <v>8</v>
      </c>
      <c r="F447" s="0" t="n">
        <v>6</v>
      </c>
      <c r="G447" s="0" t="n">
        <v>0.5</v>
      </c>
      <c r="H447" s="0" t="n">
        <v>1</v>
      </c>
      <c r="I447" s="0" t="n">
        <v>0</v>
      </c>
      <c r="J447" s="0" t="n">
        <v>451.770360041159</v>
      </c>
      <c r="K447" s="0" t="n">
        <v>0</v>
      </c>
      <c r="L447" s="0" t="n">
        <v>2.08737321887695</v>
      </c>
      <c r="M447" s="0" t="n">
        <v>451.443425479606</v>
      </c>
      <c r="N447" s="0" t="n">
        <v>4.43739021705704</v>
      </c>
      <c r="O447" s="0" t="n">
        <v>430</v>
      </c>
      <c r="P447" s="0" t="n">
        <v>218</v>
      </c>
      <c r="Q447" s="0" t="n">
        <v>212</v>
      </c>
      <c r="R447" s="0" t="n">
        <v>261.555595751878</v>
      </c>
      <c r="S447" s="0" t="n">
        <v>793.915467906464</v>
      </c>
      <c r="T447" s="0" t="n">
        <v>15</v>
      </c>
      <c r="U447" s="0" t="n">
        <v>33</v>
      </c>
      <c r="V447" s="0" t="n">
        <v>17.4370280921065</v>
      </c>
      <c r="W447" s="0" t="n">
        <v>24.0579715790699</v>
      </c>
      <c r="X447" s="0" t="n">
        <v>0</v>
      </c>
      <c r="Y447" s="0" t="n">
        <v>0</v>
      </c>
      <c r="Z447" s="0" t="n">
        <v>4.43739021705704</v>
      </c>
      <c r="AA447" s="0" t="n">
        <v>0</v>
      </c>
      <c r="AB447" s="0" t="n">
        <v>0</v>
      </c>
      <c r="AC447" s="0" t="n">
        <v>0</v>
      </c>
      <c r="AD447" s="0" t="n">
        <v>1</v>
      </c>
      <c r="AE447" s="0" t="n">
        <v>0</v>
      </c>
      <c r="AF447" s="0" t="n">
        <v>0</v>
      </c>
      <c r="AG447" s="0" t="n">
        <v>0</v>
      </c>
      <c r="AH447" s="0" t="n">
        <v>11.0789992003933</v>
      </c>
      <c r="AI447" s="0" t="n">
        <v>0</v>
      </c>
      <c r="AK447" s="0" t="n">
        <f aca="false">A447</f>
        <v>430</v>
      </c>
      <c r="AL447" s="0" t="n">
        <v>1</v>
      </c>
      <c r="AM447" s="0" t="n">
        <v>1</v>
      </c>
      <c r="AO447" s="0" t="n">
        <v>430</v>
      </c>
      <c r="AP447" s="0" t="n">
        <v>0</v>
      </c>
      <c r="AQ447" s="0" t="n">
        <v>0.0143442509235682</v>
      </c>
      <c r="AR447" s="0" t="n">
        <v>379.553532012198</v>
      </c>
      <c r="AS447" s="0" t="n">
        <v>56</v>
      </c>
      <c r="AT447" s="0" t="n">
        <v>54</v>
      </c>
    </row>
    <row r="448" customFormat="false" ht="12" hidden="false" customHeight="false" outlineLevel="0" collapsed="false">
      <c r="A448" s="0" t="n">
        <v>431</v>
      </c>
      <c r="B448" s="0" t="n">
        <v>1</v>
      </c>
      <c r="C448" s="0" t="n">
        <v>3.87050799993553</v>
      </c>
      <c r="D448" s="0" t="n">
        <v>450.876543262485</v>
      </c>
      <c r="E448" s="0" t="n">
        <v>4</v>
      </c>
      <c r="F448" s="0" t="n">
        <v>4</v>
      </c>
      <c r="G448" s="0" t="n">
        <v>0.5</v>
      </c>
      <c r="H448" s="0" t="n">
        <v>0</v>
      </c>
      <c r="I448" s="0" t="n">
        <v>1.82859260983421</v>
      </c>
      <c r="J448" s="0" t="n">
        <v>453.598952650993</v>
      </c>
      <c r="K448" s="0" t="n">
        <v>2.72240938850825</v>
      </c>
      <c r="L448" s="0" t="n">
        <v>0</v>
      </c>
      <c r="M448" s="0" t="n">
        <v>451.443425479606</v>
      </c>
      <c r="N448" s="0" t="n">
        <v>0</v>
      </c>
      <c r="O448" s="0" t="n">
        <v>431</v>
      </c>
      <c r="P448" s="0" t="n">
        <v>219</v>
      </c>
      <c r="Q448" s="0" t="n">
        <v>212</v>
      </c>
      <c r="R448" s="0" t="n">
        <v>644.485458466759</v>
      </c>
      <c r="S448" s="0" t="n">
        <v>432.608984648537</v>
      </c>
      <c r="T448" s="0" t="n">
        <v>28</v>
      </c>
      <c r="U448" s="0" t="n">
        <v>20</v>
      </c>
      <c r="V448" s="0" t="n">
        <v>23.0173295819094</v>
      </c>
      <c r="W448" s="0" t="n">
        <v>21.6303410807214</v>
      </c>
      <c r="X448" s="0" t="n">
        <v>2.72240938850825</v>
      </c>
      <c r="Y448" s="0" t="n">
        <v>0</v>
      </c>
      <c r="Z448" s="0" t="n">
        <v>0</v>
      </c>
      <c r="AA448" s="0" t="n">
        <v>0</v>
      </c>
      <c r="AB448" s="0" t="n">
        <v>1</v>
      </c>
      <c r="AC448" s="0" t="n">
        <v>0</v>
      </c>
      <c r="AD448" s="0" t="n">
        <v>0</v>
      </c>
      <c r="AE448" s="0" t="n">
        <v>0</v>
      </c>
      <c r="AF448" s="0" t="n">
        <v>22.1384435958272</v>
      </c>
      <c r="AG448" s="0" t="n">
        <v>0</v>
      </c>
      <c r="AH448" s="0" t="n">
        <v>0</v>
      </c>
      <c r="AI448" s="0" t="n">
        <v>0</v>
      </c>
      <c r="AK448" s="0" t="n">
        <f aca="false">A448</f>
        <v>431</v>
      </c>
      <c r="AL448" s="0" t="n">
        <v>0</v>
      </c>
      <c r="AM448" s="0" t="n">
        <v>0</v>
      </c>
      <c r="AO448" s="0" t="n">
        <v>431</v>
      </c>
      <c r="AP448" s="0" t="n">
        <v>1</v>
      </c>
      <c r="AQ448" s="0" t="n">
        <v>0.216127584993602</v>
      </c>
      <c r="AR448" s="0" t="n">
        <v>379.769659597192</v>
      </c>
      <c r="AS448" s="0" t="n">
        <v>56</v>
      </c>
      <c r="AT448" s="0" t="n">
        <v>56</v>
      </c>
    </row>
    <row r="449" customFormat="false" ht="12" hidden="false" customHeight="false" outlineLevel="0" collapsed="false">
      <c r="A449" s="0" t="n">
        <v>432</v>
      </c>
      <c r="B449" s="0" t="n">
        <v>0</v>
      </c>
      <c r="C449" s="0" t="n">
        <v>0.862557808803368</v>
      </c>
      <c r="D449" s="0" t="n">
        <v>451.739101071288</v>
      </c>
      <c r="E449" s="0" t="n">
        <v>6</v>
      </c>
      <c r="F449" s="0" t="n">
        <v>2</v>
      </c>
      <c r="G449" s="0" t="n">
        <v>0.5</v>
      </c>
      <c r="H449" s="0" t="n">
        <v>0</v>
      </c>
      <c r="I449" s="0" t="n">
        <v>2.03824163059158</v>
      </c>
      <c r="J449" s="0" t="n">
        <v>455.637194281585</v>
      </c>
      <c r="K449" s="0" t="n">
        <v>3.89809321029645</v>
      </c>
      <c r="L449" s="0" t="n">
        <v>0</v>
      </c>
      <c r="M449" s="0" t="n">
        <v>451.739101071288</v>
      </c>
      <c r="N449" s="0" t="n">
        <v>0</v>
      </c>
      <c r="O449" s="0" t="n">
        <v>432</v>
      </c>
      <c r="P449" s="0" t="n">
        <v>220</v>
      </c>
      <c r="Q449" s="0" t="n">
        <v>212</v>
      </c>
      <c r="R449" s="0" t="n">
        <v>764.942333217289</v>
      </c>
      <c r="S449" s="0" t="n">
        <v>314.907763812025</v>
      </c>
      <c r="T449" s="0" t="n">
        <v>29</v>
      </c>
      <c r="U449" s="0" t="n">
        <v>19</v>
      </c>
      <c r="V449" s="0" t="n">
        <v>26.3773127394539</v>
      </c>
      <c r="W449" s="0" t="n">
        <v>16.5740056006034</v>
      </c>
      <c r="X449" s="0" t="n">
        <v>0</v>
      </c>
      <c r="Y449" s="0" t="n">
        <v>3.89809321029645</v>
      </c>
      <c r="Z449" s="0" t="n">
        <v>0</v>
      </c>
      <c r="AA449" s="0" t="n">
        <v>0</v>
      </c>
      <c r="AB449" s="0" t="n">
        <v>0</v>
      </c>
      <c r="AC449" s="0" t="n">
        <v>1</v>
      </c>
      <c r="AD449" s="0" t="n">
        <v>0</v>
      </c>
      <c r="AE449" s="0" t="n">
        <v>0</v>
      </c>
      <c r="AF449" s="0" t="n">
        <v>0</v>
      </c>
      <c r="AG449" s="0" t="n">
        <v>19.014516930355</v>
      </c>
      <c r="AH449" s="0" t="n">
        <v>0</v>
      </c>
      <c r="AI449" s="0" t="n">
        <v>0</v>
      </c>
      <c r="AK449" s="0" t="n">
        <f aca="false">A449</f>
        <v>432</v>
      </c>
      <c r="AL449" s="0" t="n">
        <v>2</v>
      </c>
      <c r="AM449" s="0" t="n">
        <v>1</v>
      </c>
      <c r="AO449" s="0" t="n">
        <v>432</v>
      </c>
      <c r="AP449" s="0" t="n">
        <v>1</v>
      </c>
      <c r="AQ449" s="0" t="n">
        <v>0.155770977220248</v>
      </c>
      <c r="AR449" s="0" t="n">
        <v>379.925430574412</v>
      </c>
      <c r="AS449" s="0" t="n">
        <v>58</v>
      </c>
      <c r="AT449" s="0" t="n">
        <v>56</v>
      </c>
    </row>
    <row r="450" customFormat="false" ht="12" hidden="false" customHeight="false" outlineLevel="0" collapsed="false">
      <c r="A450" s="0" t="n">
        <v>433</v>
      </c>
      <c r="B450" s="0" t="n">
        <v>0</v>
      </c>
      <c r="C450" s="0" t="n">
        <v>0.685575993773767</v>
      </c>
      <c r="D450" s="0" t="n">
        <v>452.424677065062</v>
      </c>
      <c r="E450" s="0" t="n">
        <v>6</v>
      </c>
      <c r="F450" s="0" t="n">
        <v>2</v>
      </c>
      <c r="G450" s="0" t="n">
        <v>0.5</v>
      </c>
      <c r="H450" s="0" t="n">
        <v>0</v>
      </c>
      <c r="I450" s="0" t="n">
        <v>2.08154896530471</v>
      </c>
      <c r="J450" s="0" t="n">
        <v>457.718743246889</v>
      </c>
      <c r="K450" s="0" t="n">
        <v>5.29406618182742</v>
      </c>
      <c r="L450" s="0" t="n">
        <v>0</v>
      </c>
      <c r="M450" s="0" t="n">
        <v>452.424677065062</v>
      </c>
      <c r="N450" s="0" t="n">
        <v>0</v>
      </c>
      <c r="O450" s="0" t="n">
        <v>433</v>
      </c>
      <c r="P450" s="0" t="n">
        <v>221</v>
      </c>
      <c r="Q450" s="0" t="n">
        <v>212</v>
      </c>
      <c r="R450" s="0" t="n">
        <v>323.661440964429</v>
      </c>
      <c r="S450" s="0" t="n">
        <v>766.839621167031</v>
      </c>
      <c r="T450" s="0" t="n">
        <v>15</v>
      </c>
      <c r="U450" s="0" t="n">
        <v>33</v>
      </c>
      <c r="V450" s="0" t="n">
        <v>21.5774150126852</v>
      </c>
      <c r="W450" s="0" t="n">
        <v>23.2374938611407</v>
      </c>
      <c r="X450" s="0" t="n">
        <v>0</v>
      </c>
      <c r="Y450" s="0" t="n">
        <v>5.29406618182742</v>
      </c>
      <c r="Z450" s="0" t="n">
        <v>0</v>
      </c>
      <c r="AA450" s="0" t="n">
        <v>0</v>
      </c>
      <c r="AB450" s="0" t="n">
        <v>0</v>
      </c>
      <c r="AC450" s="0" t="n">
        <v>1</v>
      </c>
      <c r="AD450" s="0" t="n">
        <v>0</v>
      </c>
      <c r="AE450" s="0" t="n">
        <v>0</v>
      </c>
      <c r="AF450" s="0" t="n">
        <v>0</v>
      </c>
      <c r="AG450" s="0" t="n">
        <v>8.78879896821463</v>
      </c>
      <c r="AH450" s="0" t="n">
        <v>0</v>
      </c>
      <c r="AI450" s="0" t="n">
        <v>0</v>
      </c>
      <c r="AK450" s="0" t="n">
        <f aca="false">A450</f>
        <v>433</v>
      </c>
      <c r="AL450" s="0" t="n">
        <v>2</v>
      </c>
      <c r="AM450" s="0" t="n">
        <v>1</v>
      </c>
      <c r="AO450" s="0" t="n">
        <v>433</v>
      </c>
      <c r="AP450" s="0" t="n">
        <v>1</v>
      </c>
      <c r="AQ450" s="0" t="n">
        <v>1.54974061747137</v>
      </c>
      <c r="AR450" s="0" t="n">
        <v>381.475171191883</v>
      </c>
      <c r="AS450" s="0" t="n">
        <v>56</v>
      </c>
      <c r="AT450" s="0" t="n">
        <v>58</v>
      </c>
    </row>
    <row r="451" customFormat="false" ht="12" hidden="false" customHeight="false" outlineLevel="0" collapsed="false">
      <c r="A451" s="0" t="n">
        <v>434</v>
      </c>
      <c r="B451" s="0" t="n">
        <v>0</v>
      </c>
      <c r="C451" s="0" t="n">
        <v>0.0351517224541319</v>
      </c>
      <c r="D451" s="0" t="n">
        <v>452.459828787516</v>
      </c>
      <c r="E451" s="0" t="n">
        <v>8</v>
      </c>
      <c r="F451" s="0" t="n">
        <v>2</v>
      </c>
      <c r="G451" s="0" t="n">
        <v>0.5</v>
      </c>
      <c r="H451" s="0" t="n">
        <v>1</v>
      </c>
      <c r="I451" s="0" t="n">
        <v>0</v>
      </c>
      <c r="J451" s="0" t="n">
        <v>457.718743246889</v>
      </c>
      <c r="K451" s="0" t="n">
        <v>0</v>
      </c>
      <c r="L451" s="0" t="n">
        <v>1.78466131161916</v>
      </c>
      <c r="M451" s="0" t="n">
        <v>454.244490099135</v>
      </c>
      <c r="N451" s="0" t="n">
        <v>1.78466131161917</v>
      </c>
      <c r="O451" s="0" t="n">
        <v>434</v>
      </c>
      <c r="P451" s="0" t="n">
        <v>221</v>
      </c>
      <c r="Q451" s="0" t="n">
        <v>213</v>
      </c>
      <c r="R451" s="0" t="n">
        <v>737.648884158723</v>
      </c>
      <c r="S451" s="0" t="n">
        <v>357.446208317621</v>
      </c>
      <c r="T451" s="0" t="n">
        <v>29</v>
      </c>
      <c r="U451" s="0" t="n">
        <v>19</v>
      </c>
      <c r="V451" s="0" t="n">
        <v>25.4361596481768</v>
      </c>
      <c r="W451" s="0" t="n">
        <v>18.8128593174574</v>
      </c>
      <c r="X451" s="0" t="n">
        <v>0</v>
      </c>
      <c r="Y451" s="0" t="n">
        <v>0</v>
      </c>
      <c r="Z451" s="0" t="n">
        <v>0</v>
      </c>
      <c r="AA451" s="0" t="n">
        <v>1.78466131161917</v>
      </c>
      <c r="AB451" s="0" t="n">
        <v>0</v>
      </c>
      <c r="AC451" s="0" t="n">
        <v>0</v>
      </c>
      <c r="AD451" s="0" t="n">
        <v>0</v>
      </c>
      <c r="AE451" s="0" t="n">
        <v>1</v>
      </c>
      <c r="AF451" s="0" t="n">
        <v>0</v>
      </c>
      <c r="AG451" s="0" t="n">
        <v>0</v>
      </c>
      <c r="AH451" s="0" t="n">
        <v>0</v>
      </c>
      <c r="AI451" s="0" t="n">
        <v>35.3637100913227</v>
      </c>
      <c r="AK451" s="0" t="n">
        <f aca="false">A451</f>
        <v>434</v>
      </c>
      <c r="AL451" s="0" t="n">
        <v>3</v>
      </c>
      <c r="AM451" s="0" t="n">
        <v>0</v>
      </c>
      <c r="AO451" s="0" t="n">
        <v>434</v>
      </c>
      <c r="AP451" s="0" t="n">
        <v>1</v>
      </c>
      <c r="AQ451" s="0" t="n">
        <v>0.0098664669425558</v>
      </c>
      <c r="AR451" s="0" t="n">
        <v>381.485037658826</v>
      </c>
      <c r="AS451" s="0" t="n">
        <v>58</v>
      </c>
      <c r="AT451" s="0" t="n">
        <v>58</v>
      </c>
    </row>
    <row r="452" customFormat="false" ht="12" hidden="false" customHeight="false" outlineLevel="0" collapsed="false">
      <c r="A452" s="0" t="n">
        <v>435</v>
      </c>
      <c r="B452" s="0" t="n">
        <v>1</v>
      </c>
      <c r="C452" s="0" t="n">
        <v>1.52123642684459</v>
      </c>
      <c r="D452" s="0" t="n">
        <v>453.981065214361</v>
      </c>
      <c r="E452" s="0" t="n">
        <v>6</v>
      </c>
      <c r="F452" s="0" t="n">
        <v>4</v>
      </c>
      <c r="G452" s="0" t="n">
        <v>0.5</v>
      </c>
      <c r="H452" s="0" t="n">
        <v>1</v>
      </c>
      <c r="I452" s="0" t="n">
        <v>0</v>
      </c>
      <c r="J452" s="0" t="n">
        <v>457.718743246889</v>
      </c>
      <c r="K452" s="0" t="n">
        <v>0</v>
      </c>
      <c r="L452" s="0" t="n">
        <v>2.21859970357321</v>
      </c>
      <c r="M452" s="0" t="n">
        <v>456.463089802709</v>
      </c>
      <c r="N452" s="0" t="n">
        <v>2.48202458834777</v>
      </c>
      <c r="O452" s="0" t="n">
        <v>435</v>
      </c>
      <c r="P452" s="0" t="n">
        <v>221</v>
      </c>
      <c r="Q452" s="0" t="n">
        <v>214</v>
      </c>
      <c r="R452" s="0" t="n">
        <v>428.595515538537</v>
      </c>
      <c r="S452" s="0" t="n">
        <v>666.481229954936</v>
      </c>
      <c r="T452" s="0" t="n">
        <v>20</v>
      </c>
      <c r="U452" s="0" t="n">
        <v>28</v>
      </c>
      <c r="V452" s="0" t="n">
        <v>21.4297650620443</v>
      </c>
      <c r="W452" s="0" t="n">
        <v>23.8028160597618</v>
      </c>
      <c r="X452" s="0" t="n">
        <v>0</v>
      </c>
      <c r="Y452" s="0" t="n">
        <v>0</v>
      </c>
      <c r="Z452" s="0" t="n">
        <v>2.48202458834777</v>
      </c>
      <c r="AA452" s="0" t="n">
        <v>0</v>
      </c>
      <c r="AB452" s="0" t="n">
        <v>0</v>
      </c>
      <c r="AC452" s="0" t="n">
        <v>0</v>
      </c>
      <c r="AD452" s="0" t="n">
        <v>1</v>
      </c>
      <c r="AE452" s="0" t="n">
        <v>0</v>
      </c>
      <c r="AF452" s="0" t="n">
        <v>0</v>
      </c>
      <c r="AG452" s="0" t="n">
        <v>0</v>
      </c>
      <c r="AH452" s="0" t="n">
        <v>27.9193740125575</v>
      </c>
      <c r="AI452" s="0" t="n">
        <v>0</v>
      </c>
      <c r="AK452" s="0" t="n">
        <f aca="false">A452</f>
        <v>435</v>
      </c>
      <c r="AL452" s="0" t="n">
        <v>1</v>
      </c>
      <c r="AM452" s="0" t="n">
        <v>1</v>
      </c>
      <c r="AO452" s="0" t="n">
        <v>435</v>
      </c>
      <c r="AP452" s="0" t="n">
        <v>1</v>
      </c>
      <c r="AQ452" s="0" t="n">
        <v>0.258137711219868</v>
      </c>
      <c r="AR452" s="0" t="n">
        <v>381.743175370046</v>
      </c>
      <c r="AS452" s="0" t="n">
        <v>60</v>
      </c>
      <c r="AT452" s="0" t="n">
        <v>58</v>
      </c>
    </row>
    <row r="453" customFormat="false" ht="12" hidden="false" customHeight="false" outlineLevel="0" collapsed="false">
      <c r="A453" s="0" t="n">
        <v>436</v>
      </c>
      <c r="B453" s="0" t="n">
        <v>1</v>
      </c>
      <c r="C453" s="0" t="n">
        <v>1.97885012781361</v>
      </c>
      <c r="D453" s="0" t="n">
        <v>455.959915342174</v>
      </c>
      <c r="E453" s="0" t="n">
        <v>4</v>
      </c>
      <c r="F453" s="0" t="n">
        <v>4</v>
      </c>
      <c r="G453" s="0" t="n">
        <v>0.5</v>
      </c>
      <c r="H453" s="0" t="n">
        <v>1</v>
      </c>
      <c r="I453" s="0" t="n">
        <v>0</v>
      </c>
      <c r="J453" s="0" t="n">
        <v>457.718743246889</v>
      </c>
      <c r="K453" s="0" t="n">
        <v>0</v>
      </c>
      <c r="L453" s="0" t="n">
        <v>2.10015729799925</v>
      </c>
      <c r="M453" s="0" t="n">
        <v>458.563247100708</v>
      </c>
      <c r="N453" s="0" t="n">
        <v>2.60333175853344</v>
      </c>
      <c r="O453" s="0" t="n">
        <v>436</v>
      </c>
      <c r="P453" s="0" t="n">
        <v>221</v>
      </c>
      <c r="Q453" s="0" t="n">
        <v>215</v>
      </c>
      <c r="R453" s="0" t="n">
        <v>508.84306333706</v>
      </c>
      <c r="S453" s="0" t="n">
        <v>595.614833323526</v>
      </c>
      <c r="T453" s="0" t="n">
        <v>25</v>
      </c>
      <c r="U453" s="0" t="n">
        <v>23</v>
      </c>
      <c r="V453" s="0" t="n">
        <v>20.3537143919966</v>
      </c>
      <c r="W453" s="0" t="n">
        <v>25.8961845089163</v>
      </c>
      <c r="X453" s="0" t="n">
        <v>0</v>
      </c>
      <c r="Y453" s="0" t="n">
        <v>0</v>
      </c>
      <c r="Z453" s="0" t="n">
        <v>2.60333175853344</v>
      </c>
      <c r="AA453" s="0" t="n">
        <v>0</v>
      </c>
      <c r="AB453" s="0" t="n">
        <v>0</v>
      </c>
      <c r="AC453" s="0" t="n">
        <v>0</v>
      </c>
      <c r="AD453" s="0" t="n">
        <v>1</v>
      </c>
      <c r="AE453" s="0" t="n">
        <v>0</v>
      </c>
      <c r="AF453" s="0" t="n">
        <v>0</v>
      </c>
      <c r="AG453" s="0" t="n">
        <v>0</v>
      </c>
      <c r="AH453" s="0" t="n">
        <v>26.6521446990753</v>
      </c>
      <c r="AI453" s="0" t="n">
        <v>0</v>
      </c>
      <c r="AK453" s="0" t="n">
        <f aca="false">A453</f>
        <v>436</v>
      </c>
      <c r="AL453" s="0" t="n">
        <v>0</v>
      </c>
      <c r="AM453" s="0" t="n">
        <v>1</v>
      </c>
      <c r="AO453" s="0" t="n">
        <v>436</v>
      </c>
      <c r="AP453" s="0" t="n">
        <v>0</v>
      </c>
      <c r="AQ453" s="0" t="n">
        <v>0.145251054071822</v>
      </c>
      <c r="AR453" s="0" t="n">
        <v>381.888426424118</v>
      </c>
      <c r="AS453" s="0" t="n">
        <v>60</v>
      </c>
      <c r="AT453" s="0" t="n">
        <v>58</v>
      </c>
    </row>
    <row r="454" customFormat="false" ht="12" hidden="false" customHeight="false" outlineLevel="0" collapsed="false">
      <c r="A454" s="0" t="n">
        <v>437</v>
      </c>
      <c r="B454" s="0" t="n">
        <v>1</v>
      </c>
      <c r="C454" s="0" t="n">
        <v>0.528836719037116</v>
      </c>
      <c r="D454" s="0" t="n">
        <v>456.488752061211</v>
      </c>
      <c r="E454" s="0" t="n">
        <v>4</v>
      </c>
      <c r="F454" s="0" t="n">
        <v>4</v>
      </c>
      <c r="G454" s="0" t="n">
        <v>0.5</v>
      </c>
      <c r="H454" s="0" t="n">
        <v>1</v>
      </c>
      <c r="I454" s="0" t="n">
        <v>0</v>
      </c>
      <c r="J454" s="0" t="n">
        <v>457.718743246889</v>
      </c>
      <c r="K454" s="0" t="n">
        <v>0</v>
      </c>
      <c r="L454" s="0" t="n">
        <v>2.09478990437197</v>
      </c>
      <c r="M454" s="0" t="n">
        <v>460.65803700508</v>
      </c>
      <c r="N454" s="0" t="n">
        <v>4.16928494386832</v>
      </c>
      <c r="O454" s="0" t="n">
        <v>437</v>
      </c>
      <c r="P454" s="0" t="n">
        <v>221</v>
      </c>
      <c r="Q454" s="0" t="n">
        <v>216</v>
      </c>
      <c r="R454" s="0" t="n">
        <v>494.597399888951</v>
      </c>
      <c r="S454" s="0" t="n">
        <v>619.429724154525</v>
      </c>
      <c r="T454" s="0" t="n">
        <v>24</v>
      </c>
      <c r="U454" s="0" t="n">
        <v>24</v>
      </c>
      <c r="V454" s="0" t="n">
        <v>20.6082164086161</v>
      </c>
      <c r="W454" s="0" t="n">
        <v>25.8094643003373</v>
      </c>
      <c r="X454" s="0" t="n">
        <v>0</v>
      </c>
      <c r="Y454" s="0" t="n">
        <v>0</v>
      </c>
      <c r="Z454" s="0" t="n">
        <v>4.16928494386832</v>
      </c>
      <c r="AA454" s="0" t="n">
        <v>0</v>
      </c>
      <c r="AB454" s="0" t="n">
        <v>0</v>
      </c>
      <c r="AC454" s="0" t="n">
        <v>0</v>
      </c>
      <c r="AD454" s="0" t="n">
        <v>1</v>
      </c>
      <c r="AE454" s="0" t="n">
        <v>0</v>
      </c>
      <c r="AF454" s="0" t="n">
        <v>0</v>
      </c>
      <c r="AG454" s="0" t="n">
        <v>0</v>
      </c>
      <c r="AH454" s="0" t="n">
        <v>12.9356634452216</v>
      </c>
      <c r="AI454" s="0" t="n">
        <v>0</v>
      </c>
      <c r="AK454" s="0" t="n">
        <f aca="false">A454</f>
        <v>437</v>
      </c>
      <c r="AL454" s="0" t="n">
        <v>0</v>
      </c>
      <c r="AM454" s="0" t="n">
        <v>1</v>
      </c>
      <c r="AO454" s="0" t="n">
        <v>437</v>
      </c>
      <c r="AP454" s="0" t="n">
        <v>1</v>
      </c>
      <c r="AQ454" s="0" t="n">
        <v>1.23660229794208</v>
      </c>
      <c r="AR454" s="0" t="n">
        <v>383.12502872206</v>
      </c>
      <c r="AS454" s="0" t="n">
        <v>60</v>
      </c>
      <c r="AT454" s="0" t="n">
        <v>58</v>
      </c>
    </row>
    <row r="455" customFormat="false" ht="12" hidden="false" customHeight="false" outlineLevel="0" collapsed="false">
      <c r="A455" s="0" t="n">
        <v>438</v>
      </c>
      <c r="B455" s="0" t="n">
        <v>0</v>
      </c>
      <c r="C455" s="0" t="n">
        <v>5.07031030999426</v>
      </c>
      <c r="D455" s="0" t="n">
        <v>461.559062371206</v>
      </c>
      <c r="E455" s="0" t="n">
        <v>2</v>
      </c>
      <c r="F455" s="0" t="n">
        <v>2</v>
      </c>
      <c r="G455" s="0" t="n">
        <v>0.5</v>
      </c>
      <c r="H455" s="0" t="n">
        <v>0</v>
      </c>
      <c r="I455" s="0" t="n">
        <v>2.19003269876212</v>
      </c>
      <c r="J455" s="0" t="n">
        <v>463.749095069968</v>
      </c>
      <c r="K455" s="0" t="n">
        <v>2.19003269876214</v>
      </c>
      <c r="L455" s="0" t="n">
        <v>0</v>
      </c>
      <c r="M455" s="0" t="n">
        <v>461.559062371206</v>
      </c>
      <c r="N455" s="0" t="n">
        <v>0</v>
      </c>
      <c r="O455" s="0" t="n">
        <v>438</v>
      </c>
      <c r="P455" s="0" t="n">
        <v>222</v>
      </c>
      <c r="Q455" s="0" t="n">
        <v>216</v>
      </c>
      <c r="R455" s="0" t="n">
        <v>556.223789336322</v>
      </c>
      <c r="S455" s="0" t="n">
        <v>565.719911353413</v>
      </c>
      <c r="T455" s="0" t="n">
        <v>24</v>
      </c>
      <c r="U455" s="0" t="n">
        <v>24</v>
      </c>
      <c r="V455" s="0" t="n">
        <v>23.1759815656878</v>
      </c>
      <c r="W455" s="0" t="n">
        <v>23.5715647582057</v>
      </c>
      <c r="X455" s="0" t="n">
        <v>0</v>
      </c>
      <c r="Y455" s="0" t="n">
        <v>2.19003269876214</v>
      </c>
      <c r="Z455" s="0" t="n">
        <v>0</v>
      </c>
      <c r="AA455" s="0" t="n">
        <v>0</v>
      </c>
      <c r="AB455" s="0" t="n">
        <v>0</v>
      </c>
      <c r="AC455" s="0" t="n">
        <v>1</v>
      </c>
      <c r="AD455" s="0" t="n">
        <v>0</v>
      </c>
      <c r="AE455" s="0" t="n">
        <v>0</v>
      </c>
      <c r="AF455" s="0" t="n">
        <v>0</v>
      </c>
      <c r="AG455" s="0" t="n">
        <v>36.8282014193306</v>
      </c>
      <c r="AH455" s="0" t="n">
        <v>0</v>
      </c>
      <c r="AI455" s="0" t="n">
        <v>0</v>
      </c>
      <c r="AK455" s="0" t="n">
        <f aca="false">A455</f>
        <v>438</v>
      </c>
      <c r="AL455" s="0" t="n">
        <v>0</v>
      </c>
      <c r="AM455" s="0" t="n">
        <v>1</v>
      </c>
      <c r="AO455" s="0" t="n">
        <v>438</v>
      </c>
      <c r="AP455" s="0" t="n">
        <v>0</v>
      </c>
      <c r="AQ455" s="0" t="n">
        <v>1.05302182962647</v>
      </c>
      <c r="AR455" s="0" t="n">
        <v>384.178050551686</v>
      </c>
      <c r="AS455" s="0" t="n">
        <v>60</v>
      </c>
      <c r="AT455" s="0" t="n">
        <v>58</v>
      </c>
    </row>
    <row r="456" customFormat="false" ht="12" hidden="false" customHeight="false" outlineLevel="0" collapsed="false">
      <c r="A456" s="0" t="n">
        <v>439</v>
      </c>
      <c r="B456" s="0" t="n">
        <v>0</v>
      </c>
      <c r="C456" s="0" t="n">
        <v>2.50905749566514</v>
      </c>
      <c r="D456" s="0" t="n">
        <v>464.068119866871</v>
      </c>
      <c r="E456" s="0" t="n">
        <v>2</v>
      </c>
      <c r="F456" s="0" t="n">
        <v>2</v>
      </c>
      <c r="G456" s="0" t="n">
        <v>0.5</v>
      </c>
      <c r="H456" s="0" t="n">
        <v>1</v>
      </c>
      <c r="I456" s="0" t="n">
        <v>0</v>
      </c>
      <c r="J456" s="0" t="n">
        <v>464.068119866871</v>
      </c>
      <c r="K456" s="0" t="n">
        <v>0</v>
      </c>
      <c r="L456" s="0" t="n">
        <v>2.00039497582398</v>
      </c>
      <c r="M456" s="0" t="n">
        <v>466.068514842695</v>
      </c>
      <c r="N456" s="0" t="n">
        <v>2.00039497582395</v>
      </c>
      <c r="O456" s="0" t="n">
        <v>439</v>
      </c>
      <c r="P456" s="0" t="n">
        <v>222</v>
      </c>
      <c r="Q456" s="0" t="n">
        <v>217</v>
      </c>
      <c r="R456" s="0" t="n">
        <v>600.493697685079</v>
      </c>
      <c r="S456" s="0" t="n">
        <v>520.197611154171</v>
      </c>
      <c r="T456" s="0" t="n">
        <v>20</v>
      </c>
      <c r="U456" s="0" t="n">
        <v>28</v>
      </c>
      <c r="V456" s="0" t="n">
        <v>30.024669871919</v>
      </c>
      <c r="W456" s="0" t="n">
        <v>18.5784197611498</v>
      </c>
      <c r="X456" s="0" t="n">
        <v>0</v>
      </c>
      <c r="Y456" s="0" t="n">
        <v>0</v>
      </c>
      <c r="Z456" s="0" t="n">
        <v>0</v>
      </c>
      <c r="AA456" s="0" t="n">
        <v>2.00039497582395</v>
      </c>
      <c r="AB456" s="0" t="n">
        <v>0</v>
      </c>
      <c r="AC456" s="0" t="n">
        <v>0</v>
      </c>
      <c r="AD456" s="0" t="n">
        <v>0</v>
      </c>
      <c r="AE456" s="0" t="n">
        <v>1</v>
      </c>
      <c r="AF456" s="0" t="n">
        <v>0</v>
      </c>
      <c r="AG456" s="0" t="n">
        <v>0</v>
      </c>
      <c r="AH456" s="0" t="n">
        <v>0</v>
      </c>
      <c r="AI456" s="0" t="n">
        <v>32.8444273217684</v>
      </c>
      <c r="AK456" s="0" t="n">
        <f aca="false">A456</f>
        <v>439</v>
      </c>
      <c r="AL456" s="0" t="n">
        <v>0</v>
      </c>
      <c r="AM456" s="0" t="n">
        <v>0</v>
      </c>
      <c r="AO456" s="0" t="n">
        <v>439</v>
      </c>
      <c r="AP456" s="0" t="n">
        <v>0</v>
      </c>
      <c r="AQ456" s="0" t="n">
        <v>0.296754677576882</v>
      </c>
      <c r="AR456" s="0" t="n">
        <v>384.474805229263</v>
      </c>
      <c r="AS456" s="0" t="n">
        <v>60</v>
      </c>
      <c r="AT456" s="0" t="n">
        <v>60</v>
      </c>
    </row>
    <row r="457" customFormat="false" ht="12" hidden="false" customHeight="false" outlineLevel="0" collapsed="false">
      <c r="A457" s="0" t="n">
        <v>440</v>
      </c>
      <c r="B457" s="0" t="n">
        <v>1</v>
      </c>
      <c r="C457" s="0" t="n">
        <v>0.023487507829782</v>
      </c>
      <c r="D457" s="0" t="n">
        <v>464.091607374701</v>
      </c>
      <c r="E457" s="0" t="n">
        <v>2</v>
      </c>
      <c r="F457" s="0" t="n">
        <v>4</v>
      </c>
      <c r="G457" s="0" t="n">
        <v>0.5</v>
      </c>
      <c r="H457" s="0" t="n">
        <v>0</v>
      </c>
      <c r="I457" s="0" t="n">
        <v>2.08216455025025</v>
      </c>
      <c r="J457" s="0" t="n">
        <v>466.173771924951</v>
      </c>
      <c r="K457" s="0" t="n">
        <v>2.08216455025024</v>
      </c>
      <c r="L457" s="0" t="n">
        <v>0</v>
      </c>
      <c r="M457" s="0" t="n">
        <v>466.068514842695</v>
      </c>
      <c r="N457" s="0" t="n">
        <v>0</v>
      </c>
      <c r="O457" s="0" t="n">
        <v>440</v>
      </c>
      <c r="P457" s="0" t="n">
        <v>223</v>
      </c>
      <c r="Q457" s="0" t="n">
        <v>217</v>
      </c>
      <c r="R457" s="0" t="n">
        <v>582.669249511021</v>
      </c>
      <c r="S457" s="0" t="n">
        <v>530.305526774108</v>
      </c>
      <c r="T457" s="0" t="n">
        <v>29</v>
      </c>
      <c r="U457" s="0" t="n">
        <v>19</v>
      </c>
      <c r="V457" s="0" t="n">
        <v>20.0920361582986</v>
      </c>
      <c r="W457" s="0" t="n">
        <v>27.9106703003725</v>
      </c>
      <c r="X457" s="0" t="n">
        <v>2.08216455025024</v>
      </c>
      <c r="Y457" s="0" t="n">
        <v>0</v>
      </c>
      <c r="Z457" s="0" t="n">
        <v>0</v>
      </c>
      <c r="AA457" s="0" t="n">
        <v>0</v>
      </c>
      <c r="AB457" s="0" t="n">
        <v>1</v>
      </c>
      <c r="AC457" s="0" t="n">
        <v>0</v>
      </c>
      <c r="AD457" s="0" t="n">
        <v>0</v>
      </c>
      <c r="AE457" s="0" t="n">
        <v>0</v>
      </c>
      <c r="AF457" s="0" t="n">
        <v>28.5732540126928</v>
      </c>
      <c r="AG457" s="0" t="n">
        <v>0</v>
      </c>
      <c r="AH457" s="0" t="n">
        <v>0</v>
      </c>
      <c r="AI457" s="0" t="n">
        <v>0</v>
      </c>
      <c r="AK457" s="0" t="n">
        <f aca="false">A457</f>
        <v>440</v>
      </c>
      <c r="AL457" s="0" t="n">
        <v>1</v>
      </c>
      <c r="AM457" s="0" t="n">
        <v>2</v>
      </c>
      <c r="AO457" s="0" t="n">
        <v>440</v>
      </c>
      <c r="AP457" s="0" t="n">
        <v>0</v>
      </c>
      <c r="AQ457" s="0" t="n">
        <v>0.279040597843257</v>
      </c>
      <c r="AR457" s="0" t="n">
        <v>384.753845827106</v>
      </c>
      <c r="AS457" s="0" t="n">
        <v>58</v>
      </c>
      <c r="AT457" s="0" t="n">
        <v>62</v>
      </c>
    </row>
    <row r="458" customFormat="false" ht="12" hidden="false" customHeight="false" outlineLevel="0" collapsed="false">
      <c r="A458" s="0" t="n">
        <v>441</v>
      </c>
      <c r="B458" s="0" t="n">
        <v>1</v>
      </c>
      <c r="C458" s="0" t="n">
        <v>0.533280873673173</v>
      </c>
      <c r="D458" s="0" t="n">
        <v>464.624888248374</v>
      </c>
      <c r="E458" s="0" t="n">
        <v>4</v>
      </c>
      <c r="F458" s="0" t="n">
        <v>4</v>
      </c>
      <c r="G458" s="0" t="n">
        <v>0.5</v>
      </c>
      <c r="H458" s="0" t="n">
        <v>0</v>
      </c>
      <c r="I458" s="0" t="n">
        <v>1.98644139128097</v>
      </c>
      <c r="J458" s="0" t="n">
        <v>468.160213316232</v>
      </c>
      <c r="K458" s="0" t="n">
        <v>3.53532506785803</v>
      </c>
      <c r="L458" s="0" t="n">
        <v>0</v>
      </c>
      <c r="M458" s="0" t="n">
        <v>466.068514842695</v>
      </c>
      <c r="N458" s="0" t="n">
        <v>0</v>
      </c>
      <c r="O458" s="0" t="n">
        <v>441</v>
      </c>
      <c r="P458" s="0" t="n">
        <v>224</v>
      </c>
      <c r="Q458" s="0" t="n">
        <v>217</v>
      </c>
      <c r="R458" s="0" t="n">
        <v>492.257315287988</v>
      </c>
      <c r="S458" s="0" t="n">
        <v>628.905327083171</v>
      </c>
      <c r="T458" s="0" t="n">
        <v>20</v>
      </c>
      <c r="U458" s="0" t="n">
        <v>28</v>
      </c>
      <c r="V458" s="0" t="n">
        <v>24.6128534579727</v>
      </c>
      <c r="W458" s="0" t="n">
        <v>22.4608243214549</v>
      </c>
      <c r="X458" s="0" t="n">
        <v>3.53532506785803</v>
      </c>
      <c r="Y458" s="0" t="n">
        <v>0</v>
      </c>
      <c r="Z458" s="0" t="n">
        <v>0</v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0</v>
      </c>
      <c r="AF458" s="0" t="n">
        <v>15.1494938581057</v>
      </c>
      <c r="AG458" s="0" t="n">
        <v>0</v>
      </c>
      <c r="AH458" s="0" t="n">
        <v>0</v>
      </c>
      <c r="AI458" s="0" t="n">
        <v>0</v>
      </c>
      <c r="AK458" s="0" t="n">
        <f aca="false">A458</f>
        <v>441</v>
      </c>
      <c r="AL458" s="0" t="n">
        <v>0</v>
      </c>
      <c r="AM458" s="0" t="n">
        <v>3</v>
      </c>
      <c r="AO458" s="0" t="n">
        <v>441</v>
      </c>
      <c r="AP458" s="0" t="n">
        <v>1</v>
      </c>
      <c r="AQ458" s="0" t="n">
        <v>0.0861341665840735</v>
      </c>
      <c r="AR458" s="0" t="n">
        <v>384.83997999369</v>
      </c>
      <c r="AS458" s="0" t="n">
        <v>58</v>
      </c>
      <c r="AT458" s="0" t="n">
        <v>64</v>
      </c>
    </row>
    <row r="459" customFormat="false" ht="12" hidden="false" customHeight="false" outlineLevel="0" collapsed="false">
      <c r="A459" s="0" t="n">
        <v>442</v>
      </c>
      <c r="B459" s="0" t="n">
        <v>1</v>
      </c>
      <c r="C459" s="0" t="n">
        <v>0.931320406603949</v>
      </c>
      <c r="D459" s="0" t="n">
        <v>465.556208654978</v>
      </c>
      <c r="E459" s="0" t="n">
        <v>6</v>
      </c>
      <c r="F459" s="0" t="n">
        <v>4</v>
      </c>
      <c r="G459" s="0" t="n">
        <v>0.5</v>
      </c>
      <c r="H459" s="0" t="n">
        <v>1</v>
      </c>
      <c r="I459" s="0" t="n">
        <v>0</v>
      </c>
      <c r="J459" s="0" t="n">
        <v>468.160213316232</v>
      </c>
      <c r="K459" s="0" t="n">
        <v>0</v>
      </c>
      <c r="L459" s="0" t="n">
        <v>1.99736578672477</v>
      </c>
      <c r="M459" s="0" t="n">
        <v>468.06588062942</v>
      </c>
      <c r="N459" s="0" t="n">
        <v>2.50967197444186</v>
      </c>
      <c r="O459" s="0" t="n">
        <v>442</v>
      </c>
      <c r="P459" s="0" t="n">
        <v>224</v>
      </c>
      <c r="Q459" s="0" t="n">
        <v>218</v>
      </c>
      <c r="R459" s="0" t="n">
        <v>483.068206308331</v>
      </c>
      <c r="S459" s="0" t="n">
        <v>646.896427956921</v>
      </c>
      <c r="T459" s="0" t="n">
        <v>20</v>
      </c>
      <c r="U459" s="0" t="n">
        <v>28</v>
      </c>
      <c r="V459" s="0" t="n">
        <v>24.1533982387174</v>
      </c>
      <c r="W459" s="0" t="n">
        <v>23.1033613435995</v>
      </c>
      <c r="X459" s="0" t="n">
        <v>0</v>
      </c>
      <c r="Y459" s="0" t="n">
        <v>0</v>
      </c>
      <c r="Z459" s="0" t="n">
        <v>2.50967197444186</v>
      </c>
      <c r="AA459" s="0" t="n">
        <v>0</v>
      </c>
      <c r="AB459" s="0" t="n">
        <v>0</v>
      </c>
      <c r="AC459" s="0" t="n">
        <v>0</v>
      </c>
      <c r="AD459" s="0" t="n">
        <v>1</v>
      </c>
      <c r="AE459" s="0" t="n">
        <v>0</v>
      </c>
      <c r="AF459" s="0" t="n">
        <v>0</v>
      </c>
      <c r="AG459" s="0" t="n">
        <v>0</v>
      </c>
      <c r="AH459" s="0" t="n">
        <v>27.6279675220718</v>
      </c>
      <c r="AI459" s="0" t="n">
        <v>0</v>
      </c>
      <c r="AK459" s="0" t="n">
        <f aca="false">A459</f>
        <v>442</v>
      </c>
      <c r="AL459" s="0" t="n">
        <v>1</v>
      </c>
      <c r="AM459" s="0" t="n">
        <v>2</v>
      </c>
      <c r="AO459" s="0" t="n">
        <v>442</v>
      </c>
      <c r="AP459" s="0" t="n">
        <v>1</v>
      </c>
      <c r="AQ459" s="0" t="n">
        <v>1.8696182717814</v>
      </c>
      <c r="AR459" s="0" t="n">
        <v>386.709598265472</v>
      </c>
      <c r="AS459" s="0" t="n">
        <v>58</v>
      </c>
      <c r="AT459" s="0" t="n">
        <v>62</v>
      </c>
    </row>
    <row r="460" customFormat="false" ht="12" hidden="false" customHeight="false" outlineLevel="0" collapsed="false">
      <c r="A460" s="0" t="n">
        <v>443</v>
      </c>
      <c r="B460" s="0" t="n">
        <v>1</v>
      </c>
      <c r="C460" s="0" t="n">
        <v>1.77250948001779</v>
      </c>
      <c r="D460" s="0" t="n">
        <v>467.328718134996</v>
      </c>
      <c r="E460" s="0" t="n">
        <v>4</v>
      </c>
      <c r="F460" s="0" t="n">
        <v>4</v>
      </c>
      <c r="G460" s="0" t="n">
        <v>0.5</v>
      </c>
      <c r="H460" s="0" t="n">
        <v>0</v>
      </c>
      <c r="I460" s="0" t="n">
        <v>2.16408830627752</v>
      </c>
      <c r="J460" s="0" t="n">
        <v>470.324301622509</v>
      </c>
      <c r="K460" s="0" t="n">
        <v>2.99558348751378</v>
      </c>
      <c r="L460" s="0" t="n">
        <v>0</v>
      </c>
      <c r="M460" s="0" t="n">
        <v>468.06588062942</v>
      </c>
      <c r="N460" s="0" t="n">
        <v>0</v>
      </c>
      <c r="O460" s="0" t="n">
        <v>443</v>
      </c>
      <c r="P460" s="0" t="n">
        <v>225</v>
      </c>
      <c r="Q460" s="0" t="n">
        <v>218</v>
      </c>
      <c r="R460" s="0" t="n">
        <v>549.07741925757</v>
      </c>
      <c r="S460" s="0" t="n">
        <v>576.742777584135</v>
      </c>
      <c r="T460" s="0" t="n">
        <v>26</v>
      </c>
      <c r="U460" s="0" t="n">
        <v>22</v>
      </c>
      <c r="V460" s="0" t="n">
        <v>21.1183541566934</v>
      </c>
      <c r="W460" s="0" t="n">
        <v>26.2154616380896</v>
      </c>
      <c r="X460" s="0" t="n">
        <v>2.99558348751378</v>
      </c>
      <c r="Y460" s="0" t="n">
        <v>0</v>
      </c>
      <c r="Z460" s="0" t="n">
        <v>0</v>
      </c>
      <c r="AA460" s="0" t="n">
        <v>0</v>
      </c>
      <c r="AB460" s="0" t="n">
        <v>1</v>
      </c>
      <c r="AC460" s="0" t="n">
        <v>0</v>
      </c>
      <c r="AD460" s="0" t="n">
        <v>0</v>
      </c>
      <c r="AE460" s="0" t="n">
        <v>0</v>
      </c>
      <c r="AF460" s="0" t="n">
        <v>19.642417049656</v>
      </c>
      <c r="AG460" s="0" t="n">
        <v>0</v>
      </c>
      <c r="AH460" s="0" t="n">
        <v>0</v>
      </c>
      <c r="AI460" s="0" t="n">
        <v>0</v>
      </c>
      <c r="AK460" s="0" t="n">
        <f aca="false">A460</f>
        <v>443</v>
      </c>
      <c r="AL460" s="0" t="n">
        <v>0</v>
      </c>
      <c r="AM460" s="0" t="n">
        <v>1</v>
      </c>
      <c r="AO460" s="0" t="n">
        <v>443</v>
      </c>
      <c r="AP460" s="0" t="n">
        <v>1</v>
      </c>
      <c r="AQ460" s="0" t="n">
        <v>0.390523942832508</v>
      </c>
      <c r="AR460" s="0" t="n">
        <v>387.100122208304</v>
      </c>
      <c r="AS460" s="0" t="n">
        <v>60</v>
      </c>
      <c r="AT460" s="0" t="n">
        <v>62</v>
      </c>
    </row>
    <row r="461" customFormat="false" ht="12" hidden="false" customHeight="false" outlineLevel="0" collapsed="false">
      <c r="A461" s="0" t="n">
        <v>444</v>
      </c>
      <c r="B461" s="0" t="n">
        <v>0</v>
      </c>
      <c r="C461" s="0" t="n">
        <v>0.762700949442852</v>
      </c>
      <c r="D461" s="0" t="n">
        <v>468.091419084438</v>
      </c>
      <c r="E461" s="0" t="n">
        <v>6</v>
      </c>
      <c r="F461" s="0" t="n">
        <v>2</v>
      </c>
      <c r="G461" s="0" t="n">
        <v>0.5</v>
      </c>
      <c r="H461" s="0" t="n">
        <v>0</v>
      </c>
      <c r="I461" s="0" t="n">
        <v>1.92241086540018</v>
      </c>
      <c r="J461" s="0" t="n">
        <v>472.24671248791</v>
      </c>
      <c r="K461" s="0" t="n">
        <v>4.15529340347115</v>
      </c>
      <c r="L461" s="0" t="n">
        <v>0</v>
      </c>
      <c r="M461" s="0" t="n">
        <v>468.091419084438</v>
      </c>
      <c r="N461" s="0" t="n">
        <v>0</v>
      </c>
      <c r="O461" s="0" t="n">
        <v>444</v>
      </c>
      <c r="P461" s="0" t="n">
        <v>226</v>
      </c>
      <c r="Q461" s="0" t="n">
        <v>218</v>
      </c>
      <c r="R461" s="0" t="n">
        <v>662.900883635283</v>
      </c>
      <c r="S461" s="0" t="n">
        <v>472.052966718793</v>
      </c>
      <c r="T461" s="0" t="n">
        <v>26</v>
      </c>
      <c r="U461" s="0" t="n">
        <v>22</v>
      </c>
      <c r="V461" s="0" t="n">
        <v>25.496178025904</v>
      </c>
      <c r="W461" s="0" t="n">
        <v>21.456855501511</v>
      </c>
      <c r="X461" s="0" t="n">
        <v>0</v>
      </c>
      <c r="Y461" s="0" t="n">
        <v>4.15529340347115</v>
      </c>
      <c r="Z461" s="0" t="n">
        <v>0</v>
      </c>
      <c r="AA461" s="0" t="n">
        <v>0</v>
      </c>
      <c r="AB461" s="0" t="n">
        <v>0</v>
      </c>
      <c r="AC461" s="0" t="n">
        <v>1</v>
      </c>
      <c r="AD461" s="0" t="n">
        <v>0</v>
      </c>
      <c r="AE461" s="0" t="n">
        <v>0</v>
      </c>
      <c r="AF461" s="0" t="n">
        <v>0</v>
      </c>
      <c r="AG461" s="0" t="n">
        <v>16.8375931499949</v>
      </c>
      <c r="AH461" s="0" t="n">
        <v>0</v>
      </c>
      <c r="AI461" s="0" t="n">
        <v>0</v>
      </c>
      <c r="AK461" s="0" t="n">
        <f aca="false">A461</f>
        <v>444</v>
      </c>
      <c r="AL461" s="0" t="n">
        <v>2</v>
      </c>
      <c r="AM461" s="0" t="n">
        <v>0</v>
      </c>
      <c r="AO461" s="0" t="n">
        <v>444</v>
      </c>
      <c r="AP461" s="0" t="n">
        <v>1</v>
      </c>
      <c r="AQ461" s="0" t="n">
        <v>0.532237886593994</v>
      </c>
      <c r="AR461" s="0" t="n">
        <v>387.632360094898</v>
      </c>
      <c r="AS461" s="0" t="n">
        <v>62</v>
      </c>
      <c r="AT461" s="0" t="n">
        <v>62</v>
      </c>
    </row>
    <row r="462" customFormat="false" ht="12" hidden="false" customHeight="false" outlineLevel="0" collapsed="false">
      <c r="A462" s="0" t="n">
        <v>445</v>
      </c>
      <c r="B462" s="0" t="n">
        <v>1</v>
      </c>
      <c r="C462" s="0" t="n">
        <v>0.497314711305595</v>
      </c>
      <c r="D462" s="0" t="n">
        <v>468.588733795744</v>
      </c>
      <c r="E462" s="0" t="n">
        <v>6</v>
      </c>
      <c r="F462" s="0" t="n">
        <v>2</v>
      </c>
      <c r="G462" s="0" t="n">
        <v>0.5</v>
      </c>
      <c r="H462" s="0" t="n">
        <v>1</v>
      </c>
      <c r="I462" s="0" t="n">
        <v>0</v>
      </c>
      <c r="J462" s="0" t="n">
        <v>472.24671248791</v>
      </c>
      <c r="K462" s="0" t="n">
        <v>0</v>
      </c>
      <c r="L462" s="0" t="n">
        <v>1.89108648029488</v>
      </c>
      <c r="M462" s="0" t="n">
        <v>470.479820276039</v>
      </c>
      <c r="N462" s="0" t="n">
        <v>1.89108648029486</v>
      </c>
      <c r="O462" s="0" t="n">
        <v>445</v>
      </c>
      <c r="P462" s="0" t="n">
        <v>226</v>
      </c>
      <c r="Q462" s="0" t="n">
        <v>219</v>
      </c>
      <c r="R462" s="0" t="n">
        <v>650.004696684616</v>
      </c>
      <c r="S462" s="0" t="n">
        <v>496.719236462996</v>
      </c>
      <c r="T462" s="0" t="n">
        <v>26</v>
      </c>
      <c r="U462" s="0" t="n">
        <v>22</v>
      </c>
      <c r="V462" s="0" t="n">
        <v>25.0001710262656</v>
      </c>
      <c r="W462" s="0" t="n">
        <v>22.5780444844794</v>
      </c>
      <c r="X462" s="0" t="n">
        <v>0</v>
      </c>
      <c r="Y462" s="0" t="n">
        <v>0</v>
      </c>
      <c r="Z462" s="0" t="n">
        <v>1.89108648029486</v>
      </c>
      <c r="AA462" s="0" t="n">
        <v>0</v>
      </c>
      <c r="AB462" s="0" t="n">
        <v>0</v>
      </c>
      <c r="AC462" s="0" t="n">
        <v>0</v>
      </c>
      <c r="AD462" s="0" t="n">
        <v>1</v>
      </c>
      <c r="AE462" s="0" t="n">
        <v>0</v>
      </c>
      <c r="AF462" s="0" t="n">
        <v>0</v>
      </c>
      <c r="AG462" s="0" t="n">
        <v>0</v>
      </c>
      <c r="AH462" s="0" t="n">
        <v>34.5134724128209</v>
      </c>
      <c r="AI462" s="0" t="n">
        <v>0</v>
      </c>
      <c r="AK462" s="0" t="n">
        <f aca="false">A462</f>
        <v>445</v>
      </c>
      <c r="AL462" s="0" t="n">
        <v>2</v>
      </c>
      <c r="AM462" s="0" t="n">
        <v>2</v>
      </c>
      <c r="AO462" s="0" t="n">
        <v>445</v>
      </c>
      <c r="AP462" s="0" t="n">
        <v>1</v>
      </c>
      <c r="AQ462" s="0" t="n">
        <v>0.597632733110607</v>
      </c>
      <c r="AR462" s="0" t="n">
        <v>388.229992828009</v>
      </c>
      <c r="AS462" s="0" t="n">
        <v>64</v>
      </c>
      <c r="AT462" s="0" t="n">
        <v>60</v>
      </c>
    </row>
    <row r="463" customFormat="false" ht="12" hidden="false" customHeight="false" outlineLevel="0" collapsed="false">
      <c r="A463" s="0" t="n">
        <v>446</v>
      </c>
      <c r="B463" s="0" t="n">
        <v>0</v>
      </c>
      <c r="C463" s="0" t="n">
        <v>1.04475769004253</v>
      </c>
      <c r="D463" s="0" t="n">
        <v>469.633491485787</v>
      </c>
      <c r="E463" s="0" t="n">
        <v>6</v>
      </c>
      <c r="F463" s="0" t="n">
        <v>4</v>
      </c>
      <c r="G463" s="0" t="n">
        <v>0.5</v>
      </c>
      <c r="H463" s="0" t="n">
        <v>1</v>
      </c>
      <c r="I463" s="0" t="n">
        <v>0</v>
      </c>
      <c r="J463" s="0" t="n">
        <v>472.24671248791</v>
      </c>
      <c r="K463" s="0" t="n">
        <v>0</v>
      </c>
      <c r="L463" s="0" t="n">
        <v>1.92354935456546</v>
      </c>
      <c r="M463" s="0" t="n">
        <v>472.403369630604</v>
      </c>
      <c r="N463" s="0" t="n">
        <v>2.76987814481777</v>
      </c>
      <c r="O463" s="0" t="n">
        <v>446</v>
      </c>
      <c r="P463" s="0" t="n">
        <v>226</v>
      </c>
      <c r="Q463" s="0" t="n">
        <v>220</v>
      </c>
      <c r="R463" s="0" t="n">
        <v>507.480437803801</v>
      </c>
      <c r="S463" s="0" t="n">
        <v>645.419692750641</v>
      </c>
      <c r="T463" s="0" t="n">
        <v>25</v>
      </c>
      <c r="U463" s="0" t="n">
        <v>23</v>
      </c>
      <c r="V463" s="0" t="n">
        <v>20.2992093924683</v>
      </c>
      <c r="W463" s="0" t="n">
        <v>28.0616037647941</v>
      </c>
      <c r="X463" s="0" t="n">
        <v>0</v>
      </c>
      <c r="Y463" s="0" t="n">
        <v>0</v>
      </c>
      <c r="Z463" s="0" t="n">
        <v>0</v>
      </c>
      <c r="AA463" s="0" t="n">
        <v>2.76987814481777</v>
      </c>
      <c r="AB463" s="0" t="n">
        <v>0</v>
      </c>
      <c r="AC463" s="0" t="n">
        <v>0</v>
      </c>
      <c r="AD463" s="0" t="n">
        <v>0</v>
      </c>
      <c r="AE463" s="0" t="n">
        <v>1</v>
      </c>
      <c r="AF463" s="0" t="n">
        <v>0</v>
      </c>
      <c r="AG463" s="0" t="n">
        <v>0</v>
      </c>
      <c r="AH463" s="0" t="n">
        <v>0</v>
      </c>
      <c r="AI463" s="0" t="n">
        <v>24.6167066813173</v>
      </c>
      <c r="AK463" s="0" t="n">
        <f aca="false">A463</f>
        <v>446</v>
      </c>
      <c r="AL463" s="0" t="n">
        <v>1</v>
      </c>
      <c r="AM463" s="0" t="n">
        <v>1</v>
      </c>
      <c r="AO463" s="0" t="n">
        <v>446</v>
      </c>
      <c r="AP463" s="0" t="n">
        <v>1</v>
      </c>
      <c r="AQ463" s="0" t="n">
        <v>1.98676559540216</v>
      </c>
      <c r="AR463" s="0" t="n">
        <v>390.216758423411</v>
      </c>
      <c r="AS463" s="0" t="n">
        <v>62</v>
      </c>
      <c r="AT463" s="0" t="n">
        <v>60</v>
      </c>
    </row>
    <row r="464" customFormat="false" ht="12" hidden="false" customHeight="false" outlineLevel="0" collapsed="false">
      <c r="A464" s="0" t="n">
        <v>447</v>
      </c>
      <c r="B464" s="0" t="n">
        <v>0</v>
      </c>
      <c r="C464" s="0" t="n">
        <v>0.674986566645666</v>
      </c>
      <c r="D464" s="0" t="n">
        <v>470.308478052432</v>
      </c>
      <c r="E464" s="0" t="n">
        <v>6</v>
      </c>
      <c r="F464" s="0" t="n">
        <v>6</v>
      </c>
      <c r="G464" s="0" t="n">
        <v>0.5</v>
      </c>
      <c r="H464" s="0" t="n">
        <v>1</v>
      </c>
      <c r="I464" s="0" t="n">
        <v>0</v>
      </c>
      <c r="J464" s="0" t="n">
        <v>472.24671248791</v>
      </c>
      <c r="K464" s="0" t="n">
        <v>0</v>
      </c>
      <c r="L464" s="0" t="n">
        <v>2.02695321302757</v>
      </c>
      <c r="M464" s="0" t="n">
        <v>474.430322843632</v>
      </c>
      <c r="N464" s="0" t="n">
        <v>4.12184479119969</v>
      </c>
      <c r="O464" s="0" t="n">
        <v>447</v>
      </c>
      <c r="P464" s="0" t="n">
        <v>226</v>
      </c>
      <c r="Q464" s="0" t="n">
        <v>221</v>
      </c>
      <c r="R464" s="0" t="n">
        <v>577.983821057694</v>
      </c>
      <c r="S464" s="0" t="n">
        <v>577.717718463956</v>
      </c>
      <c r="T464" s="0" t="n">
        <v>22</v>
      </c>
      <c r="U464" s="0" t="n">
        <v>26</v>
      </c>
      <c r="V464" s="0" t="n">
        <v>26.2719799244498</v>
      </c>
      <c r="W464" s="0" t="n">
        <v>22.2198267877414</v>
      </c>
      <c r="X464" s="0" t="n">
        <v>0</v>
      </c>
      <c r="Y464" s="0" t="n">
        <v>0</v>
      </c>
      <c r="Z464" s="0" t="n">
        <v>0</v>
      </c>
      <c r="AA464" s="0" t="n">
        <v>4.12184479119969</v>
      </c>
      <c r="AB464" s="0" t="n">
        <v>0</v>
      </c>
      <c r="AC464" s="0" t="n">
        <v>0</v>
      </c>
      <c r="AD464" s="0" t="n">
        <v>0</v>
      </c>
      <c r="AE464" s="0" t="n">
        <v>1</v>
      </c>
      <c r="AF464" s="0" t="n">
        <v>0</v>
      </c>
      <c r="AG464" s="0" t="n">
        <v>0</v>
      </c>
      <c r="AH464" s="0" t="n">
        <v>0</v>
      </c>
      <c r="AI464" s="0" t="n">
        <v>13.0288943067086</v>
      </c>
      <c r="AK464" s="0" t="n">
        <f aca="false">A464</f>
        <v>447</v>
      </c>
      <c r="AL464" s="0" t="n">
        <v>0</v>
      </c>
      <c r="AM464" s="0" t="n">
        <v>1</v>
      </c>
      <c r="AO464" s="0" t="n">
        <v>447</v>
      </c>
      <c r="AP464" s="0" t="n">
        <v>1</v>
      </c>
      <c r="AQ464" s="0" t="n">
        <v>0.757608625078518</v>
      </c>
      <c r="AR464" s="0" t="n">
        <v>390.974367048489</v>
      </c>
      <c r="AS464" s="0" t="n">
        <v>60</v>
      </c>
      <c r="AT464" s="0" t="n">
        <v>62</v>
      </c>
    </row>
    <row r="465" customFormat="false" ht="12" hidden="false" customHeight="false" outlineLevel="0" collapsed="false">
      <c r="A465" s="0" t="n">
        <v>448</v>
      </c>
      <c r="B465" s="0" t="n">
        <v>0</v>
      </c>
      <c r="C465" s="0" t="n">
        <v>2.20120414401899</v>
      </c>
      <c r="D465" s="0" t="n">
        <v>472.509682196451</v>
      </c>
      <c r="E465" s="0" t="n">
        <v>2</v>
      </c>
      <c r="F465" s="0" t="n">
        <v>4</v>
      </c>
      <c r="G465" s="0" t="n">
        <v>0.5</v>
      </c>
      <c r="H465" s="0" t="n">
        <v>1</v>
      </c>
      <c r="I465" s="0" t="n">
        <v>0</v>
      </c>
      <c r="J465" s="0" t="n">
        <v>472.509682196451</v>
      </c>
      <c r="K465" s="0" t="n">
        <v>0</v>
      </c>
      <c r="L465" s="0" t="n">
        <v>1.98631313317382</v>
      </c>
      <c r="M465" s="0" t="n">
        <v>476.416635976806</v>
      </c>
      <c r="N465" s="0" t="n">
        <v>3.90695378035451</v>
      </c>
      <c r="O465" s="0" t="n">
        <v>448</v>
      </c>
      <c r="P465" s="0" t="n">
        <v>226</v>
      </c>
      <c r="Q465" s="0" t="n">
        <v>222</v>
      </c>
      <c r="R465" s="0" t="n">
        <v>772.539867797064</v>
      </c>
      <c r="S465" s="0" t="n">
        <v>391.634296898854</v>
      </c>
      <c r="T465" s="0" t="n">
        <v>32</v>
      </c>
      <c r="U465" s="0" t="n">
        <v>16</v>
      </c>
      <c r="V465" s="0" t="n">
        <v>24.141863324326</v>
      </c>
      <c r="W465" s="0" t="n">
        <v>24.4769905749873</v>
      </c>
      <c r="X465" s="0" t="n">
        <v>0</v>
      </c>
      <c r="Y465" s="0" t="n">
        <v>0</v>
      </c>
      <c r="Z465" s="0" t="n">
        <v>0</v>
      </c>
      <c r="AA465" s="0" t="n">
        <v>3.90695378035451</v>
      </c>
      <c r="AB465" s="0" t="n">
        <v>0</v>
      </c>
      <c r="AC465" s="0" t="n">
        <v>0</v>
      </c>
      <c r="AD465" s="0" t="n">
        <v>0</v>
      </c>
      <c r="AE465" s="0" t="n">
        <v>1</v>
      </c>
      <c r="AF465" s="0" t="n">
        <v>0</v>
      </c>
      <c r="AG465" s="0" t="n">
        <v>0</v>
      </c>
      <c r="AH465" s="0" t="n">
        <v>0</v>
      </c>
      <c r="AI465" s="0" t="n">
        <v>14.6263947158077</v>
      </c>
      <c r="AK465" s="0" t="n">
        <f aca="false">A465</f>
        <v>448</v>
      </c>
      <c r="AL465" s="0" t="n">
        <v>1</v>
      </c>
      <c r="AM465" s="0" t="n">
        <v>1</v>
      </c>
      <c r="AO465" s="0" t="n">
        <v>448</v>
      </c>
      <c r="AP465" s="0" t="n">
        <v>1</v>
      </c>
      <c r="AQ465" s="0" t="n">
        <v>1.36819749238612</v>
      </c>
      <c r="AR465" s="0" t="n">
        <v>392.342564540876</v>
      </c>
      <c r="AS465" s="0" t="n">
        <v>62</v>
      </c>
      <c r="AT465" s="0" t="n">
        <v>60</v>
      </c>
    </row>
    <row r="466" customFormat="false" ht="12" hidden="false" customHeight="false" outlineLevel="0" collapsed="false">
      <c r="A466" s="0" t="n">
        <v>449</v>
      </c>
      <c r="B466" s="0" t="n">
        <v>0</v>
      </c>
      <c r="C466" s="0" t="n">
        <v>0.112889189348109</v>
      </c>
      <c r="D466" s="0" t="n">
        <v>472.622571385799</v>
      </c>
      <c r="E466" s="0" t="n">
        <v>2</v>
      </c>
      <c r="F466" s="0" t="n">
        <v>6</v>
      </c>
      <c r="G466" s="0" t="n">
        <v>0.5</v>
      </c>
      <c r="H466" s="0" t="n">
        <v>0</v>
      </c>
      <c r="I466" s="0" t="n">
        <v>1.94947714551877</v>
      </c>
      <c r="J466" s="0" t="n">
        <v>474.572048531318</v>
      </c>
      <c r="K466" s="0" t="n">
        <v>1.94947714551876</v>
      </c>
      <c r="L466" s="0" t="n">
        <v>0</v>
      </c>
      <c r="M466" s="0" t="n">
        <v>476.416635976806</v>
      </c>
      <c r="N466" s="0" t="n">
        <v>0</v>
      </c>
      <c r="O466" s="0" t="n">
        <v>449</v>
      </c>
      <c r="P466" s="0" t="n">
        <v>227</v>
      </c>
      <c r="Q466" s="0" t="n">
        <v>222</v>
      </c>
      <c r="R466" s="0" t="n">
        <v>374.034453410908</v>
      </c>
      <c r="S466" s="0" t="n">
        <v>791.54999332022</v>
      </c>
      <c r="T466" s="0" t="n">
        <v>17</v>
      </c>
      <c r="U466" s="0" t="n">
        <v>31</v>
      </c>
      <c r="V466" s="0" t="n">
        <v>22.0020137288689</v>
      </c>
      <c r="W466" s="0" t="n">
        <v>25.5337883852059</v>
      </c>
      <c r="X466" s="0" t="n">
        <v>0</v>
      </c>
      <c r="Y466" s="0" t="n">
        <v>1.94947714551876</v>
      </c>
      <c r="Z466" s="0" t="n">
        <v>0</v>
      </c>
      <c r="AA466" s="0" t="n">
        <v>0</v>
      </c>
      <c r="AB466" s="0" t="n">
        <v>0</v>
      </c>
      <c r="AC466" s="0" t="n">
        <v>1</v>
      </c>
      <c r="AD466" s="0" t="n">
        <v>0</v>
      </c>
      <c r="AE466" s="0" t="n">
        <v>0</v>
      </c>
      <c r="AF466" s="0" t="n">
        <v>0</v>
      </c>
      <c r="AG466" s="0" t="n">
        <v>39.8057509661542</v>
      </c>
      <c r="AH466" s="0" t="n">
        <v>0</v>
      </c>
      <c r="AI466" s="0" t="n">
        <v>0</v>
      </c>
      <c r="AK466" s="0" t="n">
        <f aca="false">A466</f>
        <v>449</v>
      </c>
      <c r="AL466" s="0" t="n">
        <v>2</v>
      </c>
      <c r="AM466" s="0" t="n">
        <v>0</v>
      </c>
      <c r="AO466" s="0" t="n">
        <v>449</v>
      </c>
      <c r="AP466" s="0" t="n">
        <v>1</v>
      </c>
      <c r="AQ466" s="0" t="n">
        <v>0.242078810104001</v>
      </c>
      <c r="AR466" s="0" t="n">
        <v>392.58464335098</v>
      </c>
      <c r="AS466" s="0" t="n">
        <v>62</v>
      </c>
      <c r="AT466" s="0" t="n">
        <v>62</v>
      </c>
    </row>
    <row r="467" customFormat="false" ht="12" hidden="false" customHeight="false" outlineLevel="0" collapsed="false">
      <c r="A467" s="0" t="n">
        <v>450</v>
      </c>
      <c r="B467" s="0" t="n">
        <v>0</v>
      </c>
      <c r="C467" s="0" t="n">
        <v>3.30499755965926</v>
      </c>
      <c r="D467" s="0" t="n">
        <v>475.927568945459</v>
      </c>
      <c r="E467" s="0" t="n">
        <v>2</v>
      </c>
      <c r="F467" s="0" t="n">
        <v>4</v>
      </c>
      <c r="G467" s="0" t="n">
        <v>0.5</v>
      </c>
      <c r="H467" s="0" t="n">
        <v>1</v>
      </c>
      <c r="I467" s="0" t="n">
        <v>0</v>
      </c>
      <c r="J467" s="0" t="n">
        <v>475.927568945459</v>
      </c>
      <c r="K467" s="0" t="n">
        <v>0</v>
      </c>
      <c r="L467" s="0" t="n">
        <v>1.83685524636339</v>
      </c>
      <c r="M467" s="0" t="n">
        <v>478.253491223169</v>
      </c>
      <c r="N467" s="0" t="n">
        <v>2.3259222777105</v>
      </c>
      <c r="O467" s="0" t="n">
        <v>450</v>
      </c>
      <c r="P467" s="0" t="n">
        <v>227</v>
      </c>
      <c r="Q467" s="0" t="n">
        <v>223</v>
      </c>
      <c r="R467" s="0" t="n">
        <v>580.825009276886</v>
      </c>
      <c r="S467" s="0" t="n">
        <v>569.187635308284</v>
      </c>
      <c r="T467" s="0" t="n">
        <v>23</v>
      </c>
      <c r="U467" s="0" t="n">
        <v>25</v>
      </c>
      <c r="V467" s="0" t="n">
        <v>25.253250293234</v>
      </c>
      <c r="W467" s="0" t="n">
        <v>22.767414342674</v>
      </c>
      <c r="X467" s="0" t="n">
        <v>0</v>
      </c>
      <c r="Y467" s="0" t="n">
        <v>0</v>
      </c>
      <c r="Z467" s="0" t="n">
        <v>0</v>
      </c>
      <c r="AA467" s="0" t="n">
        <v>2.3259222777105</v>
      </c>
      <c r="AB467" s="0" t="n">
        <v>0</v>
      </c>
      <c r="AC467" s="0" t="n">
        <v>0</v>
      </c>
      <c r="AD467" s="0" t="n">
        <v>0</v>
      </c>
      <c r="AE467" s="0" t="n">
        <v>1</v>
      </c>
      <c r="AF467" s="0" t="n">
        <v>0</v>
      </c>
      <c r="AG467" s="0" t="n">
        <v>0</v>
      </c>
      <c r="AH467" s="0" t="n">
        <v>0</v>
      </c>
      <c r="AI467" s="0" t="n">
        <v>29.2191976446685</v>
      </c>
      <c r="AK467" s="0" t="n">
        <f aca="false">A467</f>
        <v>450</v>
      </c>
      <c r="AL467" s="0" t="n">
        <v>1</v>
      </c>
      <c r="AM467" s="0" t="n">
        <v>0</v>
      </c>
      <c r="AO467" s="0" t="n">
        <v>450</v>
      </c>
      <c r="AP467" s="0" t="n">
        <v>1</v>
      </c>
      <c r="AQ467" s="0" t="n">
        <v>0.630609990580987</v>
      </c>
      <c r="AR467" s="0" t="n">
        <v>393.215253341561</v>
      </c>
      <c r="AS467" s="0" t="n">
        <v>62</v>
      </c>
      <c r="AT467" s="0" t="n">
        <v>62</v>
      </c>
    </row>
    <row r="468" customFormat="false" ht="12" hidden="false" customHeight="false" outlineLevel="0" collapsed="false">
      <c r="A468" s="0" t="n">
        <v>451</v>
      </c>
      <c r="B468" s="0" t="n">
        <v>1</v>
      </c>
      <c r="C468" s="0" t="n">
        <v>4.13117261938675</v>
      </c>
      <c r="D468" s="0" t="n">
        <v>480.058741564845</v>
      </c>
      <c r="E468" s="0" t="n">
        <v>2</v>
      </c>
      <c r="F468" s="0" t="n">
        <v>2</v>
      </c>
      <c r="G468" s="0" t="n">
        <v>0.5</v>
      </c>
      <c r="H468" s="0" t="n">
        <v>1</v>
      </c>
      <c r="I468" s="0" t="n">
        <v>0</v>
      </c>
      <c r="J468" s="0" t="n">
        <v>480.058741564845</v>
      </c>
      <c r="K468" s="0" t="n">
        <v>0</v>
      </c>
      <c r="L468" s="0" t="n">
        <v>2.24717079304759</v>
      </c>
      <c r="M468" s="0" t="n">
        <v>482.305912357893</v>
      </c>
      <c r="N468" s="0" t="n">
        <v>2.24717079304759</v>
      </c>
      <c r="O468" s="0" t="n">
        <v>451</v>
      </c>
      <c r="P468" s="0" t="n">
        <v>227</v>
      </c>
      <c r="Q468" s="0" t="n">
        <v>224</v>
      </c>
      <c r="R468" s="0" t="n">
        <v>587.241749750367</v>
      </c>
      <c r="S468" s="0" t="n">
        <v>576.462741530388</v>
      </c>
      <c r="T468" s="0" t="n">
        <v>24</v>
      </c>
      <c r="U468" s="0" t="n">
        <v>24</v>
      </c>
      <c r="V468" s="0" t="n">
        <v>24.4683960444336</v>
      </c>
      <c r="W468" s="0" t="n">
        <v>24.0191808171794</v>
      </c>
      <c r="X468" s="0" t="n">
        <v>0</v>
      </c>
      <c r="Y468" s="0" t="n">
        <v>0</v>
      </c>
      <c r="Z468" s="0" t="n">
        <v>2.24717079304759</v>
      </c>
      <c r="AA468" s="0" t="n">
        <v>0</v>
      </c>
      <c r="AB468" s="0" t="n">
        <v>0</v>
      </c>
      <c r="AC468" s="0" t="n">
        <v>0</v>
      </c>
      <c r="AD468" s="0" t="n">
        <v>1</v>
      </c>
      <c r="AE468" s="0" t="n">
        <v>0</v>
      </c>
      <c r="AF468" s="0" t="n">
        <v>0</v>
      </c>
      <c r="AG468" s="0" t="n">
        <v>0</v>
      </c>
      <c r="AH468" s="0" t="n">
        <v>30.4564082463143</v>
      </c>
      <c r="AI468" s="0" t="n">
        <v>0</v>
      </c>
      <c r="AK468" s="0" t="n">
        <f aca="false">A468</f>
        <v>451</v>
      </c>
      <c r="AL468" s="0" t="n">
        <v>0</v>
      </c>
      <c r="AM468" s="0" t="n">
        <v>2</v>
      </c>
      <c r="AO468" s="0" t="n">
        <v>451</v>
      </c>
      <c r="AP468" s="0" t="n">
        <v>1</v>
      </c>
      <c r="AQ468" s="0" t="n">
        <v>0.656978329366099</v>
      </c>
      <c r="AR468" s="0" t="n">
        <v>393.872231670927</v>
      </c>
      <c r="AS468" s="0" t="n">
        <v>64</v>
      </c>
      <c r="AT468" s="0" t="n">
        <v>60</v>
      </c>
    </row>
    <row r="469" customFormat="false" ht="12" hidden="false" customHeight="false" outlineLevel="0" collapsed="false">
      <c r="A469" s="0" t="n">
        <v>452</v>
      </c>
      <c r="B469" s="0" t="n">
        <v>1</v>
      </c>
      <c r="C469" s="0" t="n">
        <v>0.192352716934322</v>
      </c>
      <c r="D469" s="0" t="n">
        <v>480.25109428178</v>
      </c>
      <c r="E469" s="0" t="n">
        <v>2</v>
      </c>
      <c r="F469" s="0" t="n">
        <v>4</v>
      </c>
      <c r="G469" s="0" t="n">
        <v>0.5</v>
      </c>
      <c r="H469" s="0" t="n">
        <v>0</v>
      </c>
      <c r="I469" s="0" t="n">
        <v>2.10692998069971</v>
      </c>
      <c r="J469" s="0" t="n">
        <v>482.358024262479</v>
      </c>
      <c r="K469" s="0" t="n">
        <v>2.1069299806997</v>
      </c>
      <c r="L469" s="0" t="n">
        <v>0</v>
      </c>
      <c r="M469" s="0" t="n">
        <v>482.305912357893</v>
      </c>
      <c r="N469" s="0" t="n">
        <v>0</v>
      </c>
      <c r="O469" s="0" t="n">
        <v>452</v>
      </c>
      <c r="P469" s="0" t="n">
        <v>228</v>
      </c>
      <c r="Q469" s="0" t="n">
        <v>224</v>
      </c>
      <c r="R469" s="0" t="n">
        <v>670.824666607516</v>
      </c>
      <c r="S469" s="0" t="n">
        <v>507.866353169532</v>
      </c>
      <c r="T469" s="0" t="n">
        <v>26</v>
      </c>
      <c r="U469" s="0" t="n">
        <v>22</v>
      </c>
      <c r="V469" s="0" t="n">
        <v>25.8009387922357</v>
      </c>
      <c r="W469" s="0" t="n">
        <v>23.084729304391</v>
      </c>
      <c r="X469" s="0" t="n">
        <v>2.1069299806997</v>
      </c>
      <c r="Y469" s="0" t="n">
        <v>0</v>
      </c>
      <c r="Z469" s="0" t="n">
        <v>0</v>
      </c>
      <c r="AA469" s="0" t="n">
        <v>0</v>
      </c>
      <c r="AB469" s="0" t="n">
        <v>1</v>
      </c>
      <c r="AC469" s="0" t="n">
        <v>0</v>
      </c>
      <c r="AD469" s="0" t="n">
        <v>0</v>
      </c>
      <c r="AE469" s="0" t="n">
        <v>0</v>
      </c>
      <c r="AF469" s="0" t="n">
        <v>28.3091052938243</v>
      </c>
      <c r="AG469" s="0" t="n">
        <v>0</v>
      </c>
      <c r="AH469" s="0" t="n">
        <v>0</v>
      </c>
      <c r="AI469" s="0" t="n">
        <v>0</v>
      </c>
      <c r="AK469" s="0" t="n">
        <f aca="false">A469</f>
        <v>452</v>
      </c>
      <c r="AL469" s="0" t="n">
        <v>1</v>
      </c>
      <c r="AM469" s="0" t="n">
        <v>1</v>
      </c>
      <c r="AO469" s="0" t="n">
        <v>452</v>
      </c>
      <c r="AP469" s="0" t="n">
        <v>1</v>
      </c>
      <c r="AQ469" s="0" t="n">
        <v>0.700117183008004</v>
      </c>
      <c r="AR469" s="0" t="n">
        <v>394.572348853935</v>
      </c>
      <c r="AS469" s="0" t="n">
        <v>64</v>
      </c>
      <c r="AT469" s="0" t="n">
        <v>62</v>
      </c>
    </row>
    <row r="470" customFormat="false" ht="12" hidden="false" customHeight="false" outlineLevel="0" collapsed="false">
      <c r="A470" s="0" t="n">
        <v>453</v>
      </c>
      <c r="B470" s="0" t="n">
        <v>0</v>
      </c>
      <c r="C470" s="0" t="n">
        <v>2.60917010915381</v>
      </c>
      <c r="D470" s="0" t="n">
        <v>482.860264390934</v>
      </c>
      <c r="E470" s="0" t="n">
        <v>2</v>
      </c>
      <c r="F470" s="0" t="n">
        <v>2</v>
      </c>
      <c r="G470" s="0" t="n">
        <v>0.5</v>
      </c>
      <c r="H470" s="0" t="n">
        <v>1</v>
      </c>
      <c r="I470" s="0" t="n">
        <v>0</v>
      </c>
      <c r="J470" s="0" t="n">
        <v>482.860264390934</v>
      </c>
      <c r="K470" s="0" t="n">
        <v>0</v>
      </c>
      <c r="L470" s="0" t="n">
        <v>1.78782376166718</v>
      </c>
      <c r="M470" s="0" t="n">
        <v>484.648088152601</v>
      </c>
      <c r="N470" s="0" t="n">
        <v>1.7878237616672</v>
      </c>
      <c r="O470" s="0" t="n">
        <v>453</v>
      </c>
      <c r="P470" s="0" t="n">
        <v>228</v>
      </c>
      <c r="Q470" s="0" t="n">
        <v>225</v>
      </c>
      <c r="R470" s="0" t="n">
        <v>695.131115673266</v>
      </c>
      <c r="S470" s="0" t="n">
        <v>487.236222963296</v>
      </c>
      <c r="T470" s="0" t="n">
        <v>30</v>
      </c>
      <c r="U470" s="0" t="n">
        <v>18</v>
      </c>
      <c r="V470" s="0" t="n">
        <v>23.1710294654324</v>
      </c>
      <c r="W470" s="0" t="n">
        <v>27.0685286728016</v>
      </c>
      <c r="X470" s="0" t="n">
        <v>0</v>
      </c>
      <c r="Y470" s="0" t="n">
        <v>0</v>
      </c>
      <c r="Z470" s="0" t="n">
        <v>0</v>
      </c>
      <c r="AA470" s="0" t="n">
        <v>1.7878237616672</v>
      </c>
      <c r="AB470" s="0" t="n">
        <v>0</v>
      </c>
      <c r="AC470" s="0" t="n">
        <v>0</v>
      </c>
      <c r="AD470" s="0" t="n">
        <v>0</v>
      </c>
      <c r="AE470" s="0" t="n">
        <v>1</v>
      </c>
      <c r="AF470" s="0" t="n">
        <v>0</v>
      </c>
      <c r="AG470" s="0" t="n">
        <v>0</v>
      </c>
      <c r="AH470" s="0" t="n">
        <v>0</v>
      </c>
      <c r="AI470" s="0" t="n">
        <v>35.3261075594918</v>
      </c>
      <c r="AK470" s="0" t="n">
        <f aca="false">A470</f>
        <v>453</v>
      </c>
      <c r="AL470" s="0" t="n">
        <v>0</v>
      </c>
      <c r="AM470" s="0" t="n">
        <v>0</v>
      </c>
      <c r="AO470" s="0" t="n">
        <v>453</v>
      </c>
      <c r="AP470" s="0" t="n">
        <v>0</v>
      </c>
      <c r="AQ470" s="0" t="n">
        <v>0.0211882173268719</v>
      </c>
      <c r="AR470" s="0" t="n">
        <v>394.593537071262</v>
      </c>
      <c r="AS470" s="0" t="n">
        <v>64</v>
      </c>
      <c r="AT470" s="0" t="n">
        <v>64</v>
      </c>
    </row>
    <row r="471" customFormat="false" ht="12" hidden="false" customHeight="false" outlineLevel="0" collapsed="false">
      <c r="A471" s="0" t="n">
        <v>454</v>
      </c>
      <c r="B471" s="0" t="n">
        <v>0</v>
      </c>
      <c r="C471" s="0" t="n">
        <v>1.59467436240477</v>
      </c>
      <c r="D471" s="0" t="n">
        <v>484.454938753338</v>
      </c>
      <c r="E471" s="0" t="n">
        <v>2</v>
      </c>
      <c r="F471" s="0" t="n">
        <v>4</v>
      </c>
      <c r="G471" s="0" t="n">
        <v>0.5</v>
      </c>
      <c r="H471" s="0" t="n">
        <v>1</v>
      </c>
      <c r="I471" s="0" t="n">
        <v>0</v>
      </c>
      <c r="J471" s="0" t="n">
        <v>484.454938753338</v>
      </c>
      <c r="K471" s="0" t="n">
        <v>0</v>
      </c>
      <c r="L471" s="0" t="n">
        <v>2.01141037581734</v>
      </c>
      <c r="M471" s="0" t="n">
        <v>486.659498528418</v>
      </c>
      <c r="N471" s="0" t="n">
        <v>2.20455977507976</v>
      </c>
      <c r="O471" s="0" t="n">
        <v>454</v>
      </c>
      <c r="P471" s="0" t="n">
        <v>228</v>
      </c>
      <c r="Q471" s="0" t="n">
        <v>226</v>
      </c>
      <c r="R471" s="0" t="n">
        <v>364.134144680694</v>
      </c>
      <c r="S471" s="0" t="n">
        <v>829.204164059071</v>
      </c>
      <c r="T471" s="0" t="n">
        <v>15</v>
      </c>
      <c r="U471" s="0" t="n">
        <v>33</v>
      </c>
      <c r="V471" s="0" t="n">
        <v>24.2755934616506</v>
      </c>
      <c r="W471" s="0" t="n">
        <v>25.1273227674786</v>
      </c>
      <c r="X471" s="0" t="n">
        <v>0</v>
      </c>
      <c r="Y471" s="0" t="n">
        <v>0</v>
      </c>
      <c r="Z471" s="0" t="n">
        <v>0</v>
      </c>
      <c r="AA471" s="0" t="n">
        <v>2.20455977507976</v>
      </c>
      <c r="AB471" s="0" t="n">
        <v>0</v>
      </c>
      <c r="AC471" s="0" t="n">
        <v>0</v>
      </c>
      <c r="AD471" s="0" t="n">
        <v>0</v>
      </c>
      <c r="AE471" s="0" t="n">
        <v>1</v>
      </c>
      <c r="AF471" s="0" t="n">
        <v>0</v>
      </c>
      <c r="AG471" s="0" t="n">
        <v>0</v>
      </c>
      <c r="AH471" s="0" t="n">
        <v>0</v>
      </c>
      <c r="AI471" s="0" t="n">
        <v>30.5459712952657</v>
      </c>
      <c r="AK471" s="0" t="n">
        <f aca="false">A471</f>
        <v>454</v>
      </c>
      <c r="AL471" s="0" t="n">
        <v>1</v>
      </c>
      <c r="AM471" s="0" t="n">
        <v>1</v>
      </c>
      <c r="AO471" s="0" t="n">
        <v>454</v>
      </c>
      <c r="AP471" s="0" t="n">
        <v>1</v>
      </c>
      <c r="AQ471" s="0" t="n">
        <v>1.02759477143319</v>
      </c>
      <c r="AR471" s="0" t="n">
        <v>395.621131842695</v>
      </c>
      <c r="AS471" s="0" t="n">
        <v>62</v>
      </c>
      <c r="AT471" s="0" t="n">
        <v>64</v>
      </c>
    </row>
    <row r="472" customFormat="false" ht="12" hidden="false" customHeight="false" outlineLevel="0" collapsed="false">
      <c r="A472" s="0" t="n">
        <v>455</v>
      </c>
      <c r="B472" s="0" t="n">
        <v>0</v>
      </c>
      <c r="C472" s="0" t="n">
        <v>2.50367514462365</v>
      </c>
      <c r="D472" s="0" t="n">
        <v>486.958613897962</v>
      </c>
      <c r="E472" s="0" t="n">
        <v>2</v>
      </c>
      <c r="F472" s="0" t="n">
        <v>2</v>
      </c>
      <c r="G472" s="0" t="n">
        <v>0.5</v>
      </c>
      <c r="H472" s="0" t="n">
        <v>0</v>
      </c>
      <c r="I472" s="0" t="n">
        <v>2.00782777421447</v>
      </c>
      <c r="J472" s="0" t="n">
        <v>488.966441672176</v>
      </c>
      <c r="K472" s="0" t="n">
        <v>2.00782777421449</v>
      </c>
      <c r="L472" s="0" t="n">
        <v>0</v>
      </c>
      <c r="M472" s="0" t="n">
        <v>486.958613897962</v>
      </c>
      <c r="N472" s="0" t="n">
        <v>0</v>
      </c>
      <c r="O472" s="0" t="n">
        <v>455</v>
      </c>
      <c r="P472" s="0" t="n">
        <v>229</v>
      </c>
      <c r="Q472" s="0" t="n">
        <v>226</v>
      </c>
      <c r="R472" s="0" t="n">
        <v>755.013798341307</v>
      </c>
      <c r="S472" s="0" t="n">
        <v>429.182377127141</v>
      </c>
      <c r="T472" s="0" t="n">
        <v>27</v>
      </c>
      <c r="U472" s="0" t="n">
        <v>21</v>
      </c>
      <c r="V472" s="0" t="n">
        <v>27.9634636558026</v>
      </c>
      <c r="W472" s="0" t="n">
        <v>20.4371587338699</v>
      </c>
      <c r="X472" s="0" t="n">
        <v>0</v>
      </c>
      <c r="Y472" s="0" t="n">
        <v>2.00782777421449</v>
      </c>
      <c r="Z472" s="0" t="n">
        <v>0</v>
      </c>
      <c r="AA472" s="0" t="n">
        <v>0</v>
      </c>
      <c r="AB472" s="0" t="n">
        <v>0</v>
      </c>
      <c r="AC472" s="0" t="n">
        <v>1</v>
      </c>
      <c r="AD472" s="0" t="n">
        <v>0</v>
      </c>
      <c r="AE472" s="0" t="n">
        <v>0</v>
      </c>
      <c r="AF472" s="0" t="n">
        <v>0</v>
      </c>
      <c r="AG472" s="0" t="n">
        <v>39.0728665349951</v>
      </c>
      <c r="AH472" s="0" t="n">
        <v>0</v>
      </c>
      <c r="AI472" s="0" t="n">
        <v>0</v>
      </c>
      <c r="AK472" s="0" t="n">
        <f aca="false">A472</f>
        <v>455</v>
      </c>
      <c r="AL472" s="0" t="n">
        <v>0</v>
      </c>
      <c r="AM472" s="0" t="n">
        <v>0</v>
      </c>
      <c r="AO472" s="0" t="n">
        <v>455</v>
      </c>
      <c r="AP472" s="0" t="n">
        <v>1</v>
      </c>
      <c r="AQ472" s="0" t="n">
        <v>0.227426688791458</v>
      </c>
      <c r="AR472" s="0" t="n">
        <v>395.848558531486</v>
      </c>
      <c r="AS472" s="0" t="n">
        <v>64</v>
      </c>
      <c r="AT472" s="0" t="n">
        <v>64</v>
      </c>
    </row>
    <row r="473" customFormat="false" ht="12" hidden="false" customHeight="false" outlineLevel="0" collapsed="false">
      <c r="A473" s="0" t="n">
        <v>456</v>
      </c>
      <c r="B473" s="0" t="n">
        <v>1</v>
      </c>
      <c r="C473" s="0" t="n">
        <v>0.145971616441412</v>
      </c>
      <c r="D473" s="0" t="n">
        <v>487.104585514403</v>
      </c>
      <c r="E473" s="0" t="n">
        <v>4</v>
      </c>
      <c r="F473" s="0" t="n">
        <v>2</v>
      </c>
      <c r="G473" s="0" t="n">
        <v>0.5</v>
      </c>
      <c r="H473" s="0" t="n">
        <v>1</v>
      </c>
      <c r="I473" s="0" t="n">
        <v>0</v>
      </c>
      <c r="J473" s="0" t="n">
        <v>488.966441672176</v>
      </c>
      <c r="K473" s="0" t="n">
        <v>0</v>
      </c>
      <c r="L473" s="0" t="n">
        <v>2.18235072626106</v>
      </c>
      <c r="M473" s="0" t="n">
        <v>489.286936240664</v>
      </c>
      <c r="N473" s="0" t="n">
        <v>2.18235072626106</v>
      </c>
      <c r="O473" s="0" t="n">
        <v>456</v>
      </c>
      <c r="P473" s="0" t="n">
        <v>229</v>
      </c>
      <c r="Q473" s="0" t="n">
        <v>227</v>
      </c>
      <c r="R473" s="0" t="n">
        <v>577.214731496529</v>
      </c>
      <c r="S473" s="0" t="n">
        <v>608.845923216555</v>
      </c>
      <c r="T473" s="0" t="n">
        <v>24</v>
      </c>
      <c r="U473" s="0" t="n">
        <v>24</v>
      </c>
      <c r="V473" s="0" t="n">
        <v>24.0506037912705</v>
      </c>
      <c r="W473" s="0" t="n">
        <v>25.3684744320463</v>
      </c>
      <c r="X473" s="0" t="n">
        <v>0</v>
      </c>
      <c r="Y473" s="0" t="n">
        <v>0</v>
      </c>
      <c r="Z473" s="0" t="n">
        <v>2.18235072626106</v>
      </c>
      <c r="AA473" s="0" t="n">
        <v>0</v>
      </c>
      <c r="AB473" s="0" t="n">
        <v>0</v>
      </c>
      <c r="AC473" s="0" t="n">
        <v>0</v>
      </c>
      <c r="AD473" s="0" t="n">
        <v>1</v>
      </c>
      <c r="AE473" s="0" t="n">
        <v>0</v>
      </c>
      <c r="AF473" s="0" t="n">
        <v>0</v>
      </c>
      <c r="AG473" s="0" t="n">
        <v>0</v>
      </c>
      <c r="AH473" s="0" t="n">
        <v>31.1760591039443</v>
      </c>
      <c r="AI473" s="0" t="n">
        <v>0</v>
      </c>
      <c r="AK473" s="0" t="n">
        <f aca="false">A473</f>
        <v>456</v>
      </c>
      <c r="AL473" s="0" t="n">
        <v>1</v>
      </c>
      <c r="AM473" s="0" t="n">
        <v>1</v>
      </c>
      <c r="AO473" s="0" t="n">
        <v>456</v>
      </c>
      <c r="AP473" s="0" t="n">
        <v>0</v>
      </c>
      <c r="AQ473" s="0" t="n">
        <v>0.102356498613179</v>
      </c>
      <c r="AR473" s="0" t="n">
        <v>395.950915030099</v>
      </c>
      <c r="AS473" s="0" t="n">
        <v>64</v>
      </c>
      <c r="AT473" s="0" t="n">
        <v>66</v>
      </c>
    </row>
    <row r="474" customFormat="false" ht="12" hidden="false" customHeight="false" outlineLevel="0" collapsed="false">
      <c r="A474" s="0" t="n">
        <v>457</v>
      </c>
      <c r="B474" s="0" t="n">
        <v>1</v>
      </c>
      <c r="C474" s="0" t="n">
        <v>0.298985505622445</v>
      </c>
      <c r="D474" s="0" t="n">
        <v>487.403571020026</v>
      </c>
      <c r="E474" s="0" t="n">
        <v>4</v>
      </c>
      <c r="F474" s="0" t="n">
        <v>4</v>
      </c>
      <c r="G474" s="0" t="n">
        <v>0.5</v>
      </c>
      <c r="H474" s="0" t="n">
        <v>1</v>
      </c>
      <c r="I474" s="0" t="n">
        <v>0</v>
      </c>
      <c r="J474" s="0" t="n">
        <v>488.966441672176</v>
      </c>
      <c r="K474" s="0" t="n">
        <v>0</v>
      </c>
      <c r="L474" s="0" t="n">
        <v>2.08495482071131</v>
      </c>
      <c r="M474" s="0" t="n">
        <v>491.371891061376</v>
      </c>
      <c r="N474" s="0" t="n">
        <v>3.9683200413499</v>
      </c>
      <c r="O474" s="0" t="n">
        <v>457</v>
      </c>
      <c r="P474" s="0" t="n">
        <v>229</v>
      </c>
      <c r="Q474" s="0" t="n">
        <v>228</v>
      </c>
      <c r="R474" s="0" t="n">
        <v>619.914739010273</v>
      </c>
      <c r="S474" s="0" t="n">
        <v>575.854284199071</v>
      </c>
      <c r="T474" s="0" t="n">
        <v>23</v>
      </c>
      <c r="U474" s="0" t="n">
        <v>25</v>
      </c>
      <c r="V474" s="0" t="n">
        <v>26.9528030209671</v>
      </c>
      <c r="W474" s="0" t="n">
        <v>23.0340792316459</v>
      </c>
      <c r="X474" s="0" t="n">
        <v>0</v>
      </c>
      <c r="Y474" s="0" t="n">
        <v>0</v>
      </c>
      <c r="Z474" s="0" t="n">
        <v>3.9683200413499</v>
      </c>
      <c r="AA474" s="0" t="n">
        <v>0</v>
      </c>
      <c r="AB474" s="0" t="n">
        <v>0</v>
      </c>
      <c r="AC474" s="0" t="n">
        <v>0</v>
      </c>
      <c r="AD474" s="0" t="n">
        <v>1</v>
      </c>
      <c r="AE474" s="0" t="n">
        <v>0</v>
      </c>
      <c r="AF474" s="0" t="n">
        <v>0</v>
      </c>
      <c r="AG474" s="0" t="n">
        <v>0</v>
      </c>
      <c r="AH474" s="0" t="n">
        <v>14.4216384433082</v>
      </c>
      <c r="AI474" s="0" t="n">
        <v>0</v>
      </c>
      <c r="AK474" s="0" t="n">
        <f aca="false">A474</f>
        <v>457</v>
      </c>
      <c r="AL474" s="0" t="n">
        <v>0</v>
      </c>
      <c r="AM474" s="0" t="n">
        <v>2</v>
      </c>
      <c r="AO474" s="0" t="n">
        <v>457</v>
      </c>
      <c r="AP474" s="0" t="n">
        <v>0</v>
      </c>
      <c r="AQ474" s="0" t="n">
        <v>2.05861007678081</v>
      </c>
      <c r="AR474" s="0" t="n">
        <v>398.00952510688</v>
      </c>
      <c r="AS474" s="0" t="n">
        <v>62</v>
      </c>
      <c r="AT474" s="0" t="n">
        <v>66</v>
      </c>
    </row>
    <row r="475" customFormat="false" ht="12" hidden="false" customHeight="false" outlineLevel="0" collapsed="false">
      <c r="A475" s="0" t="n">
        <v>458</v>
      </c>
      <c r="B475" s="0" t="n">
        <v>0</v>
      </c>
      <c r="C475" s="0" t="n">
        <v>3.36282740827738</v>
      </c>
      <c r="D475" s="0" t="n">
        <v>490.766398428303</v>
      </c>
      <c r="E475" s="0" t="n">
        <v>2</v>
      </c>
      <c r="F475" s="0" t="n">
        <v>4</v>
      </c>
      <c r="G475" s="0" t="n">
        <v>0.5</v>
      </c>
      <c r="H475" s="0" t="n">
        <v>1</v>
      </c>
      <c r="I475" s="0" t="n">
        <v>0</v>
      </c>
      <c r="J475" s="0" t="n">
        <v>490.766398428303</v>
      </c>
      <c r="K475" s="0" t="n">
        <v>0</v>
      </c>
      <c r="L475" s="0" t="n">
        <v>2.08663795007135</v>
      </c>
      <c r="M475" s="0" t="n">
        <v>493.458529011447</v>
      </c>
      <c r="N475" s="0" t="n">
        <v>2.69213058314386</v>
      </c>
      <c r="O475" s="0" t="n">
        <v>458</v>
      </c>
      <c r="P475" s="0" t="n">
        <v>229</v>
      </c>
      <c r="Q475" s="0" t="n">
        <v>229</v>
      </c>
      <c r="R475" s="0" t="n">
        <v>578.536871936878</v>
      </c>
      <c r="S475" s="0" t="n">
        <v>611.154538492606</v>
      </c>
      <c r="T475" s="0" t="n">
        <v>23</v>
      </c>
      <c r="U475" s="0" t="n">
        <v>25</v>
      </c>
      <c r="V475" s="0" t="n">
        <v>25.1537661043138</v>
      </c>
      <c r="W475" s="0" t="n">
        <v>24.4460837553692</v>
      </c>
      <c r="X475" s="0" t="n">
        <v>0</v>
      </c>
      <c r="Y475" s="0" t="n">
        <v>0</v>
      </c>
      <c r="Z475" s="0" t="n">
        <v>0</v>
      </c>
      <c r="AA475" s="0" t="n">
        <v>2.69213058314386</v>
      </c>
      <c r="AB475" s="0" t="n">
        <v>0</v>
      </c>
      <c r="AC475" s="0" t="n">
        <v>0</v>
      </c>
      <c r="AD475" s="0" t="n">
        <v>0</v>
      </c>
      <c r="AE475" s="0" t="n">
        <v>1</v>
      </c>
      <c r="AF475" s="0" t="n">
        <v>0</v>
      </c>
      <c r="AG475" s="0" t="n">
        <v>0</v>
      </c>
      <c r="AH475" s="0" t="n">
        <v>0</v>
      </c>
      <c r="AI475" s="0" t="n">
        <v>25.3942439360232</v>
      </c>
      <c r="AK475" s="0" t="n">
        <f aca="false">A475</f>
        <v>458</v>
      </c>
      <c r="AL475" s="0" t="n">
        <v>1</v>
      </c>
      <c r="AM475" s="0" t="n">
        <v>1</v>
      </c>
      <c r="AO475" s="0" t="n">
        <v>458</v>
      </c>
      <c r="AP475" s="0" t="n">
        <v>1</v>
      </c>
      <c r="AQ475" s="0" t="n">
        <v>0.108420566490268</v>
      </c>
      <c r="AR475" s="0" t="n">
        <v>398.11794567337</v>
      </c>
      <c r="AS475" s="0" t="n">
        <v>64</v>
      </c>
      <c r="AT475" s="0" t="n">
        <v>66</v>
      </c>
    </row>
    <row r="476" customFormat="false" ht="12" hidden="false" customHeight="false" outlineLevel="0" collapsed="false">
      <c r="A476" s="0" t="n">
        <v>459</v>
      </c>
      <c r="B476" s="0" t="n">
        <v>0</v>
      </c>
      <c r="C476" s="0" t="n">
        <v>2.61691986648163</v>
      </c>
      <c r="D476" s="0" t="n">
        <v>493.383318294785</v>
      </c>
      <c r="E476" s="0" t="n">
        <v>2</v>
      </c>
      <c r="F476" s="0" t="n">
        <v>4</v>
      </c>
      <c r="G476" s="0" t="n">
        <v>0.5</v>
      </c>
      <c r="H476" s="0" t="n">
        <v>1</v>
      </c>
      <c r="I476" s="0" t="n">
        <v>0</v>
      </c>
      <c r="J476" s="0" t="n">
        <v>493.383318294785</v>
      </c>
      <c r="K476" s="0" t="n">
        <v>0</v>
      </c>
      <c r="L476" s="0" t="n">
        <v>1.86710388171113</v>
      </c>
      <c r="M476" s="0" t="n">
        <v>495.325632893158</v>
      </c>
      <c r="N476" s="0" t="n">
        <v>1.94231459837334</v>
      </c>
      <c r="O476" s="0" t="n">
        <v>459</v>
      </c>
      <c r="P476" s="0" t="n">
        <v>229</v>
      </c>
      <c r="Q476" s="0" t="n">
        <v>230</v>
      </c>
      <c r="R476" s="0" t="n">
        <v>675.88708693908</v>
      </c>
      <c r="S476" s="0" t="n">
        <v>503.625316419791</v>
      </c>
      <c r="T476" s="0" t="n">
        <v>28</v>
      </c>
      <c r="U476" s="0" t="n">
        <v>20</v>
      </c>
      <c r="V476" s="0" t="n">
        <v>24.1388159125329</v>
      </c>
      <c r="W476" s="0" t="n">
        <v>25.18113991529</v>
      </c>
      <c r="X476" s="0" t="n">
        <v>0</v>
      </c>
      <c r="Y476" s="0" t="n">
        <v>0</v>
      </c>
      <c r="Z476" s="0" t="n">
        <v>0</v>
      </c>
      <c r="AA476" s="0" t="n">
        <v>1.94231459837334</v>
      </c>
      <c r="AB476" s="0" t="n">
        <v>0</v>
      </c>
      <c r="AC476" s="0" t="n">
        <v>0</v>
      </c>
      <c r="AD476" s="0" t="n">
        <v>0</v>
      </c>
      <c r="AE476" s="0" t="n">
        <v>1</v>
      </c>
      <c r="AF476" s="0" t="n">
        <v>0</v>
      </c>
      <c r="AG476" s="0" t="n">
        <v>0</v>
      </c>
      <c r="AH476" s="0" t="n">
        <v>0</v>
      </c>
      <c r="AI476" s="0" t="n">
        <v>33.5135186104846</v>
      </c>
      <c r="AK476" s="0" t="n">
        <f aca="false">A476</f>
        <v>459</v>
      </c>
      <c r="AL476" s="0" t="n">
        <v>1</v>
      </c>
      <c r="AM476" s="0" t="n">
        <v>0</v>
      </c>
      <c r="AO476" s="0" t="n">
        <v>459</v>
      </c>
      <c r="AP476" s="0" t="n">
        <v>1</v>
      </c>
      <c r="AQ476" s="0" t="n">
        <v>0.0521325954974583</v>
      </c>
      <c r="AR476" s="0" t="n">
        <v>398.170078268868</v>
      </c>
      <c r="AS476" s="0" t="n">
        <v>66</v>
      </c>
      <c r="AT476" s="0" t="n">
        <v>66</v>
      </c>
    </row>
    <row r="477" customFormat="false" ht="12" hidden="false" customHeight="false" outlineLevel="0" collapsed="false">
      <c r="A477" s="0" t="n">
        <v>460</v>
      </c>
      <c r="B477" s="0" t="n">
        <v>1</v>
      </c>
      <c r="C477" s="0" t="n">
        <v>2.15314529844029</v>
      </c>
      <c r="D477" s="0" t="n">
        <v>495.536463593225</v>
      </c>
      <c r="E477" s="0" t="n">
        <v>2</v>
      </c>
      <c r="F477" s="0" t="n">
        <v>2</v>
      </c>
      <c r="G477" s="0" t="n">
        <v>0.5</v>
      </c>
      <c r="H477" s="0" t="n">
        <v>1</v>
      </c>
      <c r="I477" s="0" t="n">
        <v>0</v>
      </c>
      <c r="J477" s="0" t="n">
        <v>495.536463593225</v>
      </c>
      <c r="K477" s="0" t="n">
        <v>0</v>
      </c>
      <c r="L477" s="0" t="n">
        <v>2.12584298025144</v>
      </c>
      <c r="M477" s="0" t="n">
        <v>497.662306573476</v>
      </c>
      <c r="N477" s="0" t="n">
        <v>2.12584298025143</v>
      </c>
      <c r="O477" s="0" t="n">
        <v>460</v>
      </c>
      <c r="P477" s="0" t="n">
        <v>229</v>
      </c>
      <c r="Q477" s="0" t="n">
        <v>231</v>
      </c>
      <c r="R477" s="0" t="n">
        <v>387.891995927236</v>
      </c>
      <c r="S477" s="0" t="n">
        <v>794.761024139177</v>
      </c>
      <c r="T477" s="0" t="n">
        <v>17</v>
      </c>
      <c r="U477" s="0" t="n">
        <v>31</v>
      </c>
      <c r="V477" s="0" t="n">
        <v>22.8171628091534</v>
      </c>
      <c r="W477" s="0" t="n">
        <v>25.6373696903938</v>
      </c>
      <c r="X477" s="0" t="n">
        <v>0</v>
      </c>
      <c r="Y477" s="0" t="n">
        <v>0</v>
      </c>
      <c r="Z477" s="0" t="n">
        <v>2.12584298025143</v>
      </c>
      <c r="AA477" s="0" t="n">
        <v>0</v>
      </c>
      <c r="AB477" s="0" t="n">
        <v>0</v>
      </c>
      <c r="AC477" s="0" t="n">
        <v>0</v>
      </c>
      <c r="AD477" s="0" t="n">
        <v>1</v>
      </c>
      <c r="AE477" s="0" t="n">
        <v>0</v>
      </c>
      <c r="AF477" s="0" t="n">
        <v>0</v>
      </c>
      <c r="AG477" s="0" t="n">
        <v>0</v>
      </c>
      <c r="AH477" s="0" t="n">
        <v>31.8102801682134</v>
      </c>
      <c r="AI477" s="0" t="n">
        <v>0</v>
      </c>
      <c r="AK477" s="0" t="n">
        <f aca="false">A477</f>
        <v>460</v>
      </c>
      <c r="AL477" s="0" t="n">
        <v>0</v>
      </c>
      <c r="AM477" s="0" t="n">
        <v>2</v>
      </c>
      <c r="AO477" s="0" t="n">
        <v>460</v>
      </c>
      <c r="AP477" s="0" t="n">
        <v>0</v>
      </c>
      <c r="AQ477" s="0" t="n">
        <v>0.311330374191876</v>
      </c>
      <c r="AR477" s="0" t="n">
        <v>398.48140864306</v>
      </c>
      <c r="AS477" s="0" t="n">
        <v>64</v>
      </c>
      <c r="AT477" s="0" t="n">
        <v>68</v>
      </c>
    </row>
    <row r="478" customFormat="false" ht="12" hidden="false" customHeight="false" outlineLevel="0" collapsed="false">
      <c r="A478" s="0" t="n">
        <v>461</v>
      </c>
      <c r="B478" s="0" t="n">
        <v>1</v>
      </c>
      <c r="C478" s="0" t="n">
        <v>2.28872422187684</v>
      </c>
      <c r="D478" s="0" t="n">
        <v>497.825187815102</v>
      </c>
      <c r="E478" s="0" t="n">
        <v>2</v>
      </c>
      <c r="F478" s="0" t="n">
        <v>2</v>
      </c>
      <c r="G478" s="0" t="n">
        <v>0.5</v>
      </c>
      <c r="H478" s="0" t="n">
        <v>0</v>
      </c>
      <c r="I478" s="0" t="n">
        <v>1.99285108308948</v>
      </c>
      <c r="J478" s="0" t="n">
        <v>499.818038898191</v>
      </c>
      <c r="K478" s="0" t="n">
        <v>1.99285108308948</v>
      </c>
      <c r="L478" s="0" t="n">
        <v>0</v>
      </c>
      <c r="M478" s="0" t="n">
        <v>497.825187815102</v>
      </c>
      <c r="N478" s="0" t="n">
        <v>0</v>
      </c>
      <c r="O478" s="0" t="n">
        <v>461</v>
      </c>
      <c r="P478" s="0" t="n">
        <v>230</v>
      </c>
      <c r="Q478" s="0" t="n">
        <v>231</v>
      </c>
      <c r="R478" s="0" t="n">
        <v>735.994871426901</v>
      </c>
      <c r="S478" s="0" t="n">
        <v>448.658994387534</v>
      </c>
      <c r="T478" s="0" t="n">
        <v>28</v>
      </c>
      <c r="U478" s="0" t="n">
        <v>20</v>
      </c>
      <c r="V478" s="0" t="n">
        <v>26.285521734703</v>
      </c>
      <c r="W478" s="0" t="n">
        <v>22.4328375551889</v>
      </c>
      <c r="X478" s="0" t="n">
        <v>1.99285108308948</v>
      </c>
      <c r="Y478" s="0" t="n">
        <v>0</v>
      </c>
      <c r="Z478" s="0" t="n">
        <v>0</v>
      </c>
      <c r="AA478" s="0" t="n">
        <v>0</v>
      </c>
      <c r="AB478" s="0" t="n">
        <v>1</v>
      </c>
      <c r="AC478" s="0" t="n">
        <v>0</v>
      </c>
      <c r="AD478" s="0" t="n">
        <v>0</v>
      </c>
      <c r="AE478" s="0" t="n">
        <v>0</v>
      </c>
      <c r="AF478" s="0" t="n">
        <v>29.5360625350716</v>
      </c>
      <c r="AG478" s="0" t="n">
        <v>0</v>
      </c>
      <c r="AH478" s="0" t="n">
        <v>0</v>
      </c>
      <c r="AI478" s="0" t="n">
        <v>0</v>
      </c>
      <c r="AK478" s="0" t="n">
        <f aca="false">A478</f>
        <v>461</v>
      </c>
      <c r="AL478" s="0" t="n">
        <v>0</v>
      </c>
      <c r="AM478" s="0" t="n">
        <v>1</v>
      </c>
      <c r="AO478" s="0" t="n">
        <v>461</v>
      </c>
      <c r="AP478" s="0" t="n">
        <v>0</v>
      </c>
      <c r="AQ478" s="0" t="n">
        <v>0.0936540313565884</v>
      </c>
      <c r="AR478" s="0" t="n">
        <v>398.575062674416</v>
      </c>
      <c r="AS478" s="0" t="n">
        <v>66</v>
      </c>
      <c r="AT478" s="0" t="n">
        <v>68</v>
      </c>
    </row>
    <row r="479" customFormat="false" ht="12" hidden="false" customHeight="false" outlineLevel="0" collapsed="false">
      <c r="A479" s="0" t="n">
        <v>462</v>
      </c>
      <c r="B479" s="0" t="n">
        <v>0</v>
      </c>
      <c r="C479" s="0" t="n">
        <v>4.58296958843667</v>
      </c>
      <c r="D479" s="0" t="n">
        <v>502.408157403539</v>
      </c>
      <c r="E479" s="0" t="n">
        <v>2</v>
      </c>
      <c r="F479" s="0" t="n">
        <v>2</v>
      </c>
      <c r="G479" s="0" t="n">
        <v>0.5</v>
      </c>
      <c r="H479" s="0" t="n">
        <v>1</v>
      </c>
      <c r="I479" s="0" t="n">
        <v>0</v>
      </c>
      <c r="J479" s="0" t="n">
        <v>502.408157403539</v>
      </c>
      <c r="K479" s="0" t="n">
        <v>0</v>
      </c>
      <c r="L479" s="0" t="n">
        <v>2.12690887555405</v>
      </c>
      <c r="M479" s="0" t="n">
        <v>504.535066279093</v>
      </c>
      <c r="N479" s="0" t="n">
        <v>2.12690887555402</v>
      </c>
      <c r="O479" s="0" t="n">
        <v>462</v>
      </c>
      <c r="P479" s="0" t="n">
        <v>230</v>
      </c>
      <c r="Q479" s="0" t="n">
        <v>232</v>
      </c>
      <c r="R479" s="0" t="n">
        <v>480.678834675578</v>
      </c>
      <c r="S479" s="0" t="n">
        <v>687.836193471053</v>
      </c>
      <c r="T479" s="0" t="n">
        <v>22</v>
      </c>
      <c r="U479" s="0" t="n">
        <v>26</v>
      </c>
      <c r="V479" s="0" t="n">
        <v>21.8490280084227</v>
      </c>
      <c r="W479" s="0" t="n">
        <v>26.4551364599003</v>
      </c>
      <c r="X479" s="0" t="n">
        <v>0</v>
      </c>
      <c r="Y479" s="0" t="n">
        <v>0</v>
      </c>
      <c r="Z479" s="0" t="n">
        <v>0</v>
      </c>
      <c r="AA479" s="0" t="n">
        <v>2.12690887555402</v>
      </c>
      <c r="AB479" s="0" t="n">
        <v>0</v>
      </c>
      <c r="AC479" s="0" t="n">
        <v>0</v>
      </c>
      <c r="AD479" s="0" t="n">
        <v>0</v>
      </c>
      <c r="AE479" s="0" t="n">
        <v>1</v>
      </c>
      <c r="AF479" s="0" t="n">
        <v>0</v>
      </c>
      <c r="AG479" s="0" t="n">
        <v>0</v>
      </c>
      <c r="AH479" s="0" t="n">
        <v>0</v>
      </c>
      <c r="AI479" s="0" t="n">
        <v>31.4103293058109</v>
      </c>
      <c r="AK479" s="0" t="n">
        <f aca="false">A479</f>
        <v>462</v>
      </c>
      <c r="AL479" s="0" t="n">
        <v>0</v>
      </c>
      <c r="AM479" s="0" t="n">
        <v>2</v>
      </c>
      <c r="AO479" s="0" t="n">
        <v>462</v>
      </c>
      <c r="AP479" s="0" t="n">
        <v>1</v>
      </c>
      <c r="AQ479" s="0" t="n">
        <v>0.0251916243868611</v>
      </c>
      <c r="AR479" s="0" t="n">
        <v>398.600254298803</v>
      </c>
      <c r="AS479" s="0" t="n">
        <v>66</v>
      </c>
      <c r="AT479" s="0" t="n">
        <v>70</v>
      </c>
    </row>
    <row r="480" customFormat="false" ht="12" hidden="false" customHeight="false" outlineLevel="0" collapsed="false">
      <c r="A480" s="0" t="n">
        <v>463</v>
      </c>
      <c r="B480" s="0" t="n">
        <v>0</v>
      </c>
      <c r="C480" s="0" t="n">
        <v>0.11668055113048</v>
      </c>
      <c r="D480" s="0" t="n">
        <v>502.524837954669</v>
      </c>
      <c r="E480" s="0" t="n">
        <v>2</v>
      </c>
      <c r="F480" s="0" t="n">
        <v>4</v>
      </c>
      <c r="G480" s="0" t="n">
        <v>0.5</v>
      </c>
      <c r="H480" s="0" t="n">
        <v>1</v>
      </c>
      <c r="I480" s="0" t="n">
        <v>0</v>
      </c>
      <c r="J480" s="0" t="n">
        <v>502.524837954669</v>
      </c>
      <c r="K480" s="0" t="n">
        <v>0</v>
      </c>
      <c r="L480" s="0" t="n">
        <v>1.89173704714655</v>
      </c>
      <c r="M480" s="0" t="n">
        <v>506.426803326239</v>
      </c>
      <c r="N480" s="0" t="n">
        <v>3.9019653715701</v>
      </c>
      <c r="O480" s="0" t="n">
        <v>463</v>
      </c>
      <c r="P480" s="0" t="n">
        <v>230</v>
      </c>
      <c r="Q480" s="0" t="n">
        <v>233</v>
      </c>
      <c r="R480" s="0" t="n">
        <v>739.939401672764</v>
      </c>
      <c r="S480" s="0" t="n">
        <v>446.883313320918</v>
      </c>
      <c r="T480" s="0" t="n">
        <v>29</v>
      </c>
      <c r="U480" s="0" t="n">
        <v>19</v>
      </c>
      <c r="V480" s="0" t="n">
        <v>25.5151429834943</v>
      </c>
      <c r="W480" s="0" t="n">
        <v>23.5200505955715</v>
      </c>
      <c r="X480" s="0" t="n">
        <v>0</v>
      </c>
      <c r="Y480" s="0" t="n">
        <v>0</v>
      </c>
      <c r="Z480" s="0" t="n">
        <v>0</v>
      </c>
      <c r="AA480" s="0" t="n">
        <v>3.9019653715701</v>
      </c>
      <c r="AB480" s="0" t="n">
        <v>0</v>
      </c>
      <c r="AC480" s="0" t="n">
        <v>0</v>
      </c>
      <c r="AD480" s="0" t="n">
        <v>0</v>
      </c>
      <c r="AE480" s="0" t="n">
        <v>1</v>
      </c>
      <c r="AF480" s="0" t="n">
        <v>0</v>
      </c>
      <c r="AG480" s="0" t="n">
        <v>0</v>
      </c>
      <c r="AH480" s="0" t="n">
        <v>0</v>
      </c>
      <c r="AI480" s="0" t="n">
        <v>14.6645754098679</v>
      </c>
      <c r="AK480" s="0" t="n">
        <f aca="false">A480</f>
        <v>463</v>
      </c>
      <c r="AL480" s="0" t="n">
        <v>1</v>
      </c>
      <c r="AM480" s="0" t="n">
        <v>1</v>
      </c>
      <c r="AO480" s="0" t="n">
        <v>463</v>
      </c>
      <c r="AP480" s="0" t="n">
        <v>1</v>
      </c>
      <c r="AQ480" s="0" t="n">
        <v>0.227115565514626</v>
      </c>
      <c r="AR480" s="0" t="n">
        <v>398.827369864318</v>
      </c>
      <c r="AS480" s="0" t="n">
        <v>68</v>
      </c>
      <c r="AT480" s="0" t="n">
        <v>70</v>
      </c>
    </row>
    <row r="481" customFormat="false" ht="12" hidden="false" customHeight="false" outlineLevel="0" collapsed="false">
      <c r="A481" s="0" t="n">
        <v>464</v>
      </c>
      <c r="B481" s="0" t="n">
        <v>1</v>
      </c>
      <c r="C481" s="0" t="n">
        <v>1.37967480693738</v>
      </c>
      <c r="D481" s="0" t="n">
        <v>503.904512761606</v>
      </c>
      <c r="E481" s="0" t="n">
        <v>2</v>
      </c>
      <c r="F481" s="0" t="n">
        <v>6</v>
      </c>
      <c r="G481" s="0" t="n">
        <v>0.5</v>
      </c>
      <c r="H481" s="0" t="n">
        <v>0</v>
      </c>
      <c r="I481" s="0" t="n">
        <v>1.90285394404082</v>
      </c>
      <c r="J481" s="0" t="n">
        <v>505.807366705647</v>
      </c>
      <c r="K481" s="0" t="n">
        <v>1.90285394404083</v>
      </c>
      <c r="L481" s="0" t="n">
        <v>0</v>
      </c>
      <c r="M481" s="0" t="n">
        <v>506.426803326239</v>
      </c>
      <c r="N481" s="0" t="n">
        <v>0</v>
      </c>
      <c r="O481" s="0" t="n">
        <v>464</v>
      </c>
      <c r="P481" s="0" t="n">
        <v>231</v>
      </c>
      <c r="Q481" s="0" t="n">
        <v>233</v>
      </c>
      <c r="R481" s="0" t="n">
        <v>381.317547450002</v>
      </c>
      <c r="S481" s="0" t="n">
        <v>810.814113615029</v>
      </c>
      <c r="T481" s="0" t="n">
        <v>20</v>
      </c>
      <c r="U481" s="0" t="n">
        <v>28</v>
      </c>
      <c r="V481" s="0" t="n">
        <v>19.0658678395662</v>
      </c>
      <c r="W481" s="0" t="n">
        <v>28.9575434950243</v>
      </c>
      <c r="X481" s="0" t="n">
        <v>1.90285394404083</v>
      </c>
      <c r="Y481" s="0" t="n">
        <v>0</v>
      </c>
      <c r="Z481" s="0" t="n">
        <v>0</v>
      </c>
      <c r="AA481" s="0" t="n">
        <v>0</v>
      </c>
      <c r="AB481" s="0" t="n">
        <v>1</v>
      </c>
      <c r="AC481" s="0" t="n">
        <v>0</v>
      </c>
      <c r="AD481" s="0" t="n">
        <v>0</v>
      </c>
      <c r="AE481" s="0" t="n">
        <v>0</v>
      </c>
      <c r="AF481" s="0" t="n">
        <v>30.5223785535059</v>
      </c>
      <c r="AG481" s="0" t="n">
        <v>0</v>
      </c>
      <c r="AH481" s="0" t="n">
        <v>0</v>
      </c>
      <c r="AI481" s="0" t="n">
        <v>0</v>
      </c>
      <c r="AK481" s="0" t="n">
        <f aca="false">A481</f>
        <v>464</v>
      </c>
      <c r="AL481" s="0" t="n">
        <v>2</v>
      </c>
      <c r="AM481" s="0" t="n">
        <v>1</v>
      </c>
      <c r="AO481" s="0" t="n">
        <v>464</v>
      </c>
      <c r="AP481" s="0" t="n">
        <v>1</v>
      </c>
      <c r="AQ481" s="0" t="n">
        <v>1.21552369805855</v>
      </c>
      <c r="AR481" s="0" t="n">
        <v>400.042893562376</v>
      </c>
      <c r="AS481" s="0" t="n">
        <v>70</v>
      </c>
      <c r="AT481" s="0" t="n">
        <v>68</v>
      </c>
    </row>
    <row r="482" customFormat="false" ht="12" hidden="false" customHeight="false" outlineLevel="0" collapsed="false">
      <c r="A482" s="0" t="n">
        <v>465</v>
      </c>
      <c r="B482" s="0" t="n">
        <v>1</v>
      </c>
      <c r="C482" s="0" t="n">
        <v>0.504912858740652</v>
      </c>
      <c r="D482" s="0" t="n">
        <v>504.409425620347</v>
      </c>
      <c r="E482" s="0" t="n">
        <v>4</v>
      </c>
      <c r="F482" s="0" t="n">
        <v>6</v>
      </c>
      <c r="G482" s="0" t="n">
        <v>0.5</v>
      </c>
      <c r="H482" s="0" t="n">
        <v>0</v>
      </c>
      <c r="I482" s="0" t="n">
        <v>2.08715364951662</v>
      </c>
      <c r="J482" s="0" t="n">
        <v>507.894520355164</v>
      </c>
      <c r="K482" s="0" t="n">
        <v>3.48509473481681</v>
      </c>
      <c r="L482" s="0" t="n">
        <v>0</v>
      </c>
      <c r="M482" s="0" t="n">
        <v>506.426803326239</v>
      </c>
      <c r="N482" s="0" t="n">
        <v>0</v>
      </c>
      <c r="O482" s="0" t="n">
        <v>465</v>
      </c>
      <c r="P482" s="0" t="n">
        <v>232</v>
      </c>
      <c r="Q482" s="0" t="n">
        <v>233</v>
      </c>
      <c r="R482" s="0" t="n">
        <v>684.084504487342</v>
      </c>
      <c r="S482" s="0" t="n">
        <v>497.076598656603</v>
      </c>
      <c r="T482" s="0" t="n">
        <v>25</v>
      </c>
      <c r="U482" s="0" t="n">
        <v>23</v>
      </c>
      <c r="V482" s="0" t="n">
        <v>27.363369234146</v>
      </c>
      <c r="W482" s="0" t="n">
        <v>21.6119320636259</v>
      </c>
      <c r="X482" s="0" t="n">
        <v>3.48509473481681</v>
      </c>
      <c r="Y482" s="0" t="n">
        <v>0</v>
      </c>
      <c r="Z482" s="0" t="n">
        <v>0</v>
      </c>
      <c r="AA482" s="0" t="n">
        <v>0</v>
      </c>
      <c r="AB482" s="0" t="n">
        <v>1</v>
      </c>
      <c r="AC482" s="0" t="n">
        <v>0</v>
      </c>
      <c r="AD482" s="0" t="n">
        <v>0</v>
      </c>
      <c r="AE482" s="0" t="n">
        <v>0</v>
      </c>
      <c r="AF482" s="0" t="n">
        <v>15.5430334723766</v>
      </c>
      <c r="AG482" s="0" t="n">
        <v>0</v>
      </c>
      <c r="AH482" s="0" t="n">
        <v>0</v>
      </c>
      <c r="AI482" s="0" t="n">
        <v>0</v>
      </c>
      <c r="AK482" s="0" t="n">
        <f aca="false">A482</f>
        <v>465</v>
      </c>
      <c r="AL482" s="0" t="n">
        <v>1</v>
      </c>
      <c r="AM482" s="0" t="n">
        <v>1</v>
      </c>
      <c r="AO482" s="0" t="n">
        <v>465</v>
      </c>
      <c r="AP482" s="0" t="n">
        <v>0</v>
      </c>
      <c r="AQ482" s="0" t="n">
        <v>0.611445933209031</v>
      </c>
      <c r="AR482" s="0" t="n">
        <v>400.654339495585</v>
      </c>
      <c r="AS482" s="0" t="n">
        <v>68</v>
      </c>
      <c r="AT482" s="0" t="n">
        <v>70</v>
      </c>
    </row>
    <row r="483" customFormat="false" ht="12" hidden="false" customHeight="false" outlineLevel="0" collapsed="false">
      <c r="A483" s="0" t="n">
        <v>466</v>
      </c>
      <c r="B483" s="0" t="n">
        <v>0</v>
      </c>
      <c r="C483" s="0" t="n">
        <v>0.940918259157767</v>
      </c>
      <c r="D483" s="0" t="n">
        <v>505.350343879505</v>
      </c>
      <c r="E483" s="0" t="n">
        <v>6</v>
      </c>
      <c r="F483" s="0" t="n">
        <v>4</v>
      </c>
      <c r="G483" s="0" t="n">
        <v>0.5</v>
      </c>
      <c r="H483" s="0" t="n">
        <v>0</v>
      </c>
      <c r="I483" s="0" t="n">
        <v>2.09926335123598</v>
      </c>
      <c r="J483" s="0" t="n">
        <v>509.9937837064</v>
      </c>
      <c r="K483" s="0" t="n">
        <v>4.64343982689508</v>
      </c>
      <c r="L483" s="0" t="n">
        <v>0</v>
      </c>
      <c r="M483" s="0" t="n">
        <v>506.426803326239</v>
      </c>
      <c r="N483" s="0" t="n">
        <v>0</v>
      </c>
      <c r="O483" s="0" t="n">
        <v>466</v>
      </c>
      <c r="P483" s="0" t="n">
        <v>233</v>
      </c>
      <c r="Q483" s="0" t="n">
        <v>233</v>
      </c>
      <c r="R483" s="0" t="n">
        <v>642.844631077878</v>
      </c>
      <c r="S483" s="0" t="n">
        <v>540.825635418358</v>
      </c>
      <c r="T483" s="0" t="n">
        <v>24</v>
      </c>
      <c r="U483" s="0" t="n">
        <v>24</v>
      </c>
      <c r="V483" s="0" t="n">
        <v>26.7851818010858</v>
      </c>
      <c r="W483" s="0" t="n">
        <v>22.5343075828167</v>
      </c>
      <c r="X483" s="0" t="n">
        <v>0</v>
      </c>
      <c r="Y483" s="0" t="n">
        <v>4.64343982689508</v>
      </c>
      <c r="Z483" s="0" t="n">
        <v>0</v>
      </c>
      <c r="AA483" s="0" t="n">
        <v>0</v>
      </c>
      <c r="AB483" s="0" t="n">
        <v>0</v>
      </c>
      <c r="AC483" s="0" t="n">
        <v>1</v>
      </c>
      <c r="AD483" s="0" t="n">
        <v>0</v>
      </c>
      <c r="AE483" s="0" t="n">
        <v>0</v>
      </c>
      <c r="AF483" s="0" t="n">
        <v>0</v>
      </c>
      <c r="AG483" s="0" t="n">
        <v>13.0697955123859</v>
      </c>
      <c r="AH483" s="0" t="n">
        <v>0</v>
      </c>
      <c r="AI483" s="0" t="n">
        <v>0</v>
      </c>
      <c r="AK483" s="0" t="n">
        <f aca="false">A483</f>
        <v>466</v>
      </c>
      <c r="AL483" s="0" t="n">
        <v>1</v>
      </c>
      <c r="AM483" s="0" t="n">
        <v>1</v>
      </c>
      <c r="AO483" s="0" t="n">
        <v>466</v>
      </c>
      <c r="AP483" s="0" t="n">
        <v>1</v>
      </c>
      <c r="AQ483" s="0" t="n">
        <v>1.49928062428756</v>
      </c>
      <c r="AR483" s="0" t="n">
        <v>402.153620119873</v>
      </c>
      <c r="AS483" s="0" t="n">
        <v>70</v>
      </c>
      <c r="AT483" s="0" t="n">
        <v>68</v>
      </c>
    </row>
    <row r="484" customFormat="false" ht="12" hidden="false" customHeight="false" outlineLevel="0" collapsed="false">
      <c r="A484" s="0" t="n">
        <v>467</v>
      </c>
      <c r="B484" s="0" t="n">
        <v>0</v>
      </c>
      <c r="C484" s="0" t="n">
        <v>1.03227688218695</v>
      </c>
      <c r="D484" s="0" t="n">
        <v>506.382620761692</v>
      </c>
      <c r="E484" s="0" t="n">
        <v>6</v>
      </c>
      <c r="F484" s="0" t="n">
        <v>4</v>
      </c>
      <c r="G484" s="0" t="n">
        <v>0.5</v>
      </c>
      <c r="H484" s="0" t="n">
        <v>1</v>
      </c>
      <c r="I484" s="0" t="n">
        <v>0</v>
      </c>
      <c r="J484" s="0" t="n">
        <v>509.9937837064</v>
      </c>
      <c r="K484" s="0" t="n">
        <v>0</v>
      </c>
      <c r="L484" s="0" t="n">
        <v>2.12430199669691</v>
      </c>
      <c r="M484" s="0" t="n">
        <v>508.551105322936</v>
      </c>
      <c r="N484" s="0" t="n">
        <v>2.16848456124427</v>
      </c>
      <c r="O484" s="0" t="n">
        <v>467</v>
      </c>
      <c r="P484" s="0" t="n">
        <v>233</v>
      </c>
      <c r="Q484" s="0" t="n">
        <v>234</v>
      </c>
      <c r="R484" s="0" t="n">
        <v>575.402427215061</v>
      </c>
      <c r="S484" s="0" t="n">
        <v>610.920204195058</v>
      </c>
      <c r="T484" s="0" t="n">
        <v>20</v>
      </c>
      <c r="U484" s="0" t="n">
        <v>28</v>
      </c>
      <c r="V484" s="0" t="n">
        <v>28.7701069756995</v>
      </c>
      <c r="W484" s="0" t="n">
        <v>21.8185007980349</v>
      </c>
      <c r="X484" s="0" t="n">
        <v>0</v>
      </c>
      <c r="Y484" s="0" t="n">
        <v>0</v>
      </c>
      <c r="Z484" s="0" t="n">
        <v>0</v>
      </c>
      <c r="AA484" s="0" t="n">
        <v>2.16848456124427</v>
      </c>
      <c r="AB484" s="0" t="n">
        <v>0</v>
      </c>
      <c r="AC484" s="0" t="n">
        <v>0</v>
      </c>
      <c r="AD484" s="0" t="n">
        <v>0</v>
      </c>
      <c r="AE484" s="0" t="n">
        <v>1</v>
      </c>
      <c r="AF484" s="0" t="n">
        <v>0</v>
      </c>
      <c r="AG484" s="0" t="n">
        <v>0</v>
      </c>
      <c r="AH484" s="0" t="n">
        <v>0</v>
      </c>
      <c r="AI484" s="0" t="n">
        <v>30.9460366571984</v>
      </c>
      <c r="AK484" s="0" t="n">
        <f aca="false">A484</f>
        <v>467</v>
      </c>
      <c r="AL484" s="0" t="n">
        <v>1</v>
      </c>
      <c r="AM484" s="0" t="n">
        <v>1</v>
      </c>
      <c r="AO484" s="0" t="n">
        <v>467</v>
      </c>
      <c r="AP484" s="0" t="n">
        <v>0</v>
      </c>
      <c r="AQ484" s="0" t="n">
        <v>0.904550391267595</v>
      </c>
      <c r="AR484" s="0" t="n">
        <v>403.058170511141</v>
      </c>
      <c r="AS484" s="0" t="n">
        <v>68</v>
      </c>
      <c r="AT484" s="0" t="n">
        <v>70</v>
      </c>
    </row>
    <row r="485" customFormat="false" ht="12" hidden="false" customHeight="false" outlineLevel="0" collapsed="false">
      <c r="A485" s="0" t="n">
        <v>468</v>
      </c>
      <c r="B485" s="0" t="n">
        <v>0</v>
      </c>
      <c r="C485" s="0" t="n">
        <v>2.22294692432576</v>
      </c>
      <c r="D485" s="0" t="n">
        <v>508.605567686018</v>
      </c>
      <c r="E485" s="0" t="n">
        <v>4</v>
      </c>
      <c r="F485" s="0" t="n">
        <v>2</v>
      </c>
      <c r="G485" s="0" t="n">
        <v>0.5</v>
      </c>
      <c r="H485" s="0" t="n">
        <v>1</v>
      </c>
      <c r="I485" s="0" t="n">
        <v>0</v>
      </c>
      <c r="J485" s="0" t="n">
        <v>509.9937837064</v>
      </c>
      <c r="K485" s="0" t="n">
        <v>0</v>
      </c>
      <c r="L485" s="0" t="n">
        <v>2.19044837041055</v>
      </c>
      <c r="M485" s="0" t="n">
        <v>510.796016056428</v>
      </c>
      <c r="N485" s="0" t="n">
        <v>2.19044837041054</v>
      </c>
      <c r="O485" s="0" t="n">
        <v>468</v>
      </c>
      <c r="P485" s="0" t="n">
        <v>233</v>
      </c>
      <c r="Q485" s="0" t="n">
        <v>235</v>
      </c>
      <c r="R485" s="0" t="n">
        <v>453.623112611461</v>
      </c>
      <c r="S485" s="0" t="n">
        <v>740.082171103164</v>
      </c>
      <c r="T485" s="0" t="n">
        <v>20</v>
      </c>
      <c r="U485" s="0" t="n">
        <v>28</v>
      </c>
      <c r="V485" s="0" t="n">
        <v>22.6811442900009</v>
      </c>
      <c r="W485" s="0" t="n">
        <v>26.4314117129283</v>
      </c>
      <c r="X485" s="0" t="n">
        <v>0</v>
      </c>
      <c r="Y485" s="0" t="n">
        <v>0</v>
      </c>
      <c r="Z485" s="0" t="n">
        <v>0</v>
      </c>
      <c r="AA485" s="0" t="n">
        <v>2.19044837041054</v>
      </c>
      <c r="AB485" s="0" t="n">
        <v>0</v>
      </c>
      <c r="AC485" s="0" t="n">
        <v>0</v>
      </c>
      <c r="AD485" s="0" t="n">
        <v>0</v>
      </c>
      <c r="AE485" s="0" t="n">
        <v>1</v>
      </c>
      <c r="AF485" s="0" t="n">
        <v>0</v>
      </c>
      <c r="AG485" s="0" t="n">
        <v>0</v>
      </c>
      <c r="AH485" s="0" t="n">
        <v>0</v>
      </c>
      <c r="AI485" s="0" t="n">
        <v>30.7021534064266</v>
      </c>
      <c r="AK485" s="0" t="n">
        <f aca="false">A485</f>
        <v>468</v>
      </c>
      <c r="AL485" s="0" t="n">
        <v>1</v>
      </c>
      <c r="AM485" s="0" t="n">
        <v>0</v>
      </c>
      <c r="AO485" s="0" t="n">
        <v>468</v>
      </c>
      <c r="AP485" s="0" t="n">
        <v>1</v>
      </c>
      <c r="AQ485" s="0" t="n">
        <v>1.41648829734137</v>
      </c>
      <c r="AR485" s="0" t="n">
        <v>404.474658808482</v>
      </c>
      <c r="AS485" s="0" t="n">
        <v>68</v>
      </c>
      <c r="AT485" s="0" t="n">
        <v>68</v>
      </c>
    </row>
    <row r="486" customFormat="false" ht="12" hidden="false" customHeight="false" outlineLevel="0" collapsed="false">
      <c r="A486" s="0" t="n">
        <v>469</v>
      </c>
      <c r="B486" s="0" t="n">
        <v>0</v>
      </c>
      <c r="C486" s="0" t="n">
        <v>0.564107861508432</v>
      </c>
      <c r="D486" s="0" t="n">
        <v>509.169675547526</v>
      </c>
      <c r="E486" s="0" t="n">
        <v>4</v>
      </c>
      <c r="F486" s="0" t="n">
        <v>4</v>
      </c>
      <c r="G486" s="0" t="n">
        <v>0.5</v>
      </c>
      <c r="H486" s="0" t="n">
        <v>1</v>
      </c>
      <c r="I486" s="0" t="n">
        <v>0</v>
      </c>
      <c r="J486" s="0" t="n">
        <v>509.9937837064</v>
      </c>
      <c r="K486" s="0" t="n">
        <v>0</v>
      </c>
      <c r="L486" s="0" t="n">
        <v>2.17061818472445</v>
      </c>
      <c r="M486" s="0" t="n">
        <v>512.966634241153</v>
      </c>
      <c r="N486" s="0" t="n">
        <v>3.79695869362661</v>
      </c>
      <c r="O486" s="0" t="n">
        <v>469</v>
      </c>
      <c r="P486" s="0" t="n">
        <v>233</v>
      </c>
      <c r="Q486" s="0" t="n">
        <v>236</v>
      </c>
      <c r="R486" s="0" t="n">
        <v>663.113399722752</v>
      </c>
      <c r="S486" s="0" t="n">
        <v>531.471894193424</v>
      </c>
      <c r="T486" s="0" t="n">
        <v>30</v>
      </c>
      <c r="U486" s="0" t="n">
        <v>18</v>
      </c>
      <c r="V486" s="0" t="n">
        <v>22.1037726228342</v>
      </c>
      <c r="W486" s="0" t="n">
        <v>29.5260523104552</v>
      </c>
      <c r="X486" s="0" t="n">
        <v>0</v>
      </c>
      <c r="Y486" s="0" t="n">
        <v>0</v>
      </c>
      <c r="Z486" s="0" t="n">
        <v>0</v>
      </c>
      <c r="AA486" s="0" t="n">
        <v>3.79695869362661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0</v>
      </c>
      <c r="AG486" s="0" t="n">
        <v>0</v>
      </c>
      <c r="AH486" s="0" t="n">
        <v>0</v>
      </c>
      <c r="AI486" s="0" t="n">
        <v>15.4798343897879</v>
      </c>
      <c r="AK486" s="0" t="n">
        <f aca="false">A486</f>
        <v>469</v>
      </c>
      <c r="AL486" s="0" t="n">
        <v>0</v>
      </c>
      <c r="AM486" s="0" t="n">
        <v>1</v>
      </c>
      <c r="AO486" s="0" t="n">
        <v>469</v>
      </c>
      <c r="AP486" s="0" t="n">
        <v>0</v>
      </c>
      <c r="AQ486" s="0" t="n">
        <v>1.17326688636154</v>
      </c>
      <c r="AR486" s="0" t="n">
        <v>405.647925694844</v>
      </c>
      <c r="AS486" s="0" t="n">
        <v>68</v>
      </c>
      <c r="AT486" s="0" t="n">
        <v>70</v>
      </c>
    </row>
    <row r="487" customFormat="false" ht="12" hidden="false" customHeight="false" outlineLevel="0" collapsed="false">
      <c r="A487" s="0" t="n">
        <v>470</v>
      </c>
      <c r="B487" s="0" t="n">
        <v>1</v>
      </c>
      <c r="C487" s="0" t="n">
        <v>0.130895653648169</v>
      </c>
      <c r="D487" s="0" t="n">
        <v>509.300571201174</v>
      </c>
      <c r="E487" s="0" t="n">
        <v>4</v>
      </c>
      <c r="F487" s="0" t="n">
        <v>6</v>
      </c>
      <c r="G487" s="0" t="n">
        <v>0.5</v>
      </c>
      <c r="H487" s="0" t="n">
        <v>0</v>
      </c>
      <c r="I487" s="0" t="n">
        <v>1.87986679130352</v>
      </c>
      <c r="J487" s="0" t="n">
        <v>511.873650497703</v>
      </c>
      <c r="K487" s="0" t="n">
        <v>2.57307929652927</v>
      </c>
      <c r="L487" s="0" t="n">
        <v>0</v>
      </c>
      <c r="M487" s="0" t="n">
        <v>512.966634241153</v>
      </c>
      <c r="N487" s="0" t="n">
        <v>0</v>
      </c>
      <c r="O487" s="0" t="n">
        <v>470</v>
      </c>
      <c r="P487" s="0" t="n">
        <v>234</v>
      </c>
      <c r="Q487" s="0" t="n">
        <v>236</v>
      </c>
      <c r="R487" s="0" t="n">
        <v>672.870143141592</v>
      </c>
      <c r="S487" s="0" t="n">
        <v>522.307660232566</v>
      </c>
      <c r="T487" s="0" t="n">
        <v>26</v>
      </c>
      <c r="U487" s="0" t="n">
        <v>22</v>
      </c>
      <c r="V487" s="0" t="n">
        <v>25.8796109363647</v>
      </c>
      <c r="W487" s="0" t="n">
        <v>23.7411493689831</v>
      </c>
      <c r="X487" s="0" t="n">
        <v>2.57307929652927</v>
      </c>
      <c r="Y487" s="0" t="n">
        <v>0</v>
      </c>
      <c r="Z487" s="0" t="n">
        <v>0</v>
      </c>
      <c r="AA487" s="0" t="n">
        <v>0</v>
      </c>
      <c r="AB487" s="0" t="n">
        <v>1</v>
      </c>
      <c r="AC487" s="0" t="n">
        <v>0</v>
      </c>
      <c r="AD487" s="0" t="n">
        <v>0</v>
      </c>
      <c r="AE487" s="0" t="n">
        <v>0</v>
      </c>
      <c r="AF487" s="0" t="n">
        <v>23.5659842612378</v>
      </c>
      <c r="AG487" s="0" t="n">
        <v>0</v>
      </c>
      <c r="AH487" s="0" t="n">
        <v>0</v>
      </c>
      <c r="AI487" s="0" t="n">
        <v>0</v>
      </c>
      <c r="AK487" s="0" t="n">
        <f aca="false">A487</f>
        <v>470</v>
      </c>
      <c r="AL487" s="0" t="n">
        <v>1</v>
      </c>
      <c r="AM487" s="0" t="n">
        <v>2</v>
      </c>
      <c r="AO487" s="0" t="n">
        <v>470</v>
      </c>
      <c r="AP487" s="0" t="n">
        <v>1</v>
      </c>
      <c r="AQ487" s="0" t="n">
        <v>1.22304436951838</v>
      </c>
      <c r="AR487" s="0" t="n">
        <v>406.870970064362</v>
      </c>
      <c r="AS487" s="0" t="n">
        <v>66</v>
      </c>
      <c r="AT487" s="0" t="n">
        <v>70</v>
      </c>
    </row>
    <row r="488" customFormat="false" ht="12" hidden="false" customHeight="false" outlineLevel="0" collapsed="false">
      <c r="A488" s="0" t="n">
        <v>471</v>
      </c>
      <c r="B488" s="0" t="n">
        <v>0</v>
      </c>
      <c r="C488" s="0" t="n">
        <v>0.839201823615659</v>
      </c>
      <c r="D488" s="0" t="n">
        <v>510.13977302479</v>
      </c>
      <c r="E488" s="0" t="n">
        <v>4</v>
      </c>
      <c r="F488" s="0" t="n">
        <v>6</v>
      </c>
      <c r="G488" s="0" t="n">
        <v>0.5</v>
      </c>
      <c r="H488" s="0" t="n">
        <v>1</v>
      </c>
      <c r="I488" s="0" t="n">
        <v>0</v>
      </c>
      <c r="J488" s="0" t="n">
        <v>511.873650497703</v>
      </c>
      <c r="K488" s="0" t="n">
        <v>0</v>
      </c>
      <c r="L488" s="0" t="n">
        <v>1.92758973622272</v>
      </c>
      <c r="M488" s="0" t="n">
        <v>514.894223977375</v>
      </c>
      <c r="N488" s="0" t="n">
        <v>4.75445095258544</v>
      </c>
      <c r="O488" s="0" t="n">
        <v>471</v>
      </c>
      <c r="P488" s="0" t="n">
        <v>234</v>
      </c>
      <c r="Q488" s="0" t="n">
        <v>237</v>
      </c>
      <c r="R488" s="0" t="n">
        <v>605.664861321564</v>
      </c>
      <c r="S488" s="0" t="n">
        <v>604.42027029421</v>
      </c>
      <c r="T488" s="0" t="n">
        <v>23</v>
      </c>
      <c r="U488" s="0" t="n">
        <v>25</v>
      </c>
      <c r="V488" s="0" t="n">
        <v>26.3332433908317</v>
      </c>
      <c r="W488" s="0" t="n">
        <v>24.176714104912</v>
      </c>
      <c r="X488" s="0" t="n">
        <v>0</v>
      </c>
      <c r="Y488" s="0" t="n">
        <v>0</v>
      </c>
      <c r="Z488" s="0" t="n">
        <v>0</v>
      </c>
      <c r="AA488" s="0" t="n">
        <v>4.75445095258544</v>
      </c>
      <c r="AB488" s="0" t="n">
        <v>0</v>
      </c>
      <c r="AC488" s="0" t="n">
        <v>0</v>
      </c>
      <c r="AD488" s="0" t="n">
        <v>0</v>
      </c>
      <c r="AE488" s="0" t="n">
        <v>1</v>
      </c>
      <c r="AF488" s="0" t="n">
        <v>0</v>
      </c>
      <c r="AG488" s="0" t="n">
        <v>0</v>
      </c>
      <c r="AH488" s="0" t="n">
        <v>0</v>
      </c>
      <c r="AI488" s="0" t="n">
        <v>8.86223016807726</v>
      </c>
      <c r="AK488" s="0" t="n">
        <f aca="false">A488</f>
        <v>471</v>
      </c>
      <c r="AL488" s="0" t="n">
        <v>1</v>
      </c>
      <c r="AM488" s="0" t="n">
        <v>1</v>
      </c>
      <c r="AO488" s="0" t="n">
        <v>471</v>
      </c>
      <c r="AP488" s="0" t="n">
        <v>0</v>
      </c>
      <c r="AQ488" s="0" t="n">
        <v>0.834082941885986</v>
      </c>
      <c r="AR488" s="0" t="n">
        <v>407.705053006248</v>
      </c>
      <c r="AS488" s="0" t="n">
        <v>68</v>
      </c>
      <c r="AT488" s="0" t="n">
        <v>70</v>
      </c>
    </row>
    <row r="489" customFormat="false" ht="12" hidden="false" customHeight="false" outlineLevel="0" collapsed="false">
      <c r="A489" s="0" t="n">
        <v>472</v>
      </c>
      <c r="B489" s="0" t="n">
        <v>0</v>
      </c>
      <c r="C489" s="0" t="n">
        <v>0.483818879196622</v>
      </c>
      <c r="D489" s="0" t="n">
        <v>510.623591903986</v>
      </c>
      <c r="E489" s="0" t="n">
        <v>4</v>
      </c>
      <c r="F489" s="0" t="n">
        <v>8</v>
      </c>
      <c r="G489" s="0" t="n">
        <v>0.5</v>
      </c>
      <c r="H489" s="0" t="n">
        <v>1</v>
      </c>
      <c r="I489" s="0" t="n">
        <v>0</v>
      </c>
      <c r="J489" s="0" t="n">
        <v>511.873650497703</v>
      </c>
      <c r="K489" s="0" t="n">
        <v>0</v>
      </c>
      <c r="L489" s="0" t="n">
        <v>2.11627640575227</v>
      </c>
      <c r="M489" s="0" t="n">
        <v>517.010500383128</v>
      </c>
      <c r="N489" s="0" t="n">
        <v>6.38690847914108</v>
      </c>
      <c r="O489" s="0" t="n">
        <v>472</v>
      </c>
      <c r="P489" s="0" t="n">
        <v>234</v>
      </c>
      <c r="Q489" s="0" t="n">
        <v>238</v>
      </c>
      <c r="R489" s="0" t="n">
        <v>577.107219144067</v>
      </c>
      <c r="S489" s="0" t="n">
        <v>629.136904904958</v>
      </c>
      <c r="T489" s="0" t="n">
        <v>22</v>
      </c>
      <c r="U489" s="0" t="n">
        <v>26</v>
      </c>
      <c r="V489" s="0" t="n">
        <v>26.2321344010329</v>
      </c>
      <c r="W489" s="0" t="n">
        <v>24.1974801983438</v>
      </c>
      <c r="X489" s="0" t="n">
        <v>0</v>
      </c>
      <c r="Y489" s="0" t="n">
        <v>0</v>
      </c>
      <c r="Z489" s="0" t="n">
        <v>0</v>
      </c>
      <c r="AA489" s="0" t="n">
        <v>6.38690847914108</v>
      </c>
      <c r="AB489" s="0" t="n">
        <v>0</v>
      </c>
      <c r="AC489" s="0" t="n">
        <v>0</v>
      </c>
      <c r="AD489" s="0" t="n">
        <v>0</v>
      </c>
      <c r="AE489" s="0" t="n">
        <v>1</v>
      </c>
      <c r="AF489" s="0" t="n">
        <v>0</v>
      </c>
      <c r="AG489" s="0" t="n">
        <v>0</v>
      </c>
      <c r="AH489" s="0" t="n">
        <v>0</v>
      </c>
      <c r="AI489" s="0" t="n">
        <v>1.80765949880443</v>
      </c>
      <c r="AK489" s="0" t="n">
        <f aca="false">A489</f>
        <v>472</v>
      </c>
      <c r="AL489" s="0" t="n">
        <v>2</v>
      </c>
      <c r="AM489" s="0" t="n">
        <v>2</v>
      </c>
      <c r="AO489" s="0" t="n">
        <v>472</v>
      </c>
      <c r="AP489" s="0" t="n">
        <v>1</v>
      </c>
      <c r="AQ489" s="0" t="n">
        <v>0.389746912327308</v>
      </c>
      <c r="AR489" s="0" t="n">
        <v>408.094799918575</v>
      </c>
      <c r="AS489" s="0" t="n">
        <v>68</v>
      </c>
      <c r="AT489" s="0" t="n">
        <v>72</v>
      </c>
    </row>
    <row r="490" customFormat="false" ht="12" hidden="false" customHeight="false" outlineLevel="0" collapsed="false">
      <c r="A490" s="0" t="n">
        <v>473</v>
      </c>
      <c r="B490" s="0" t="n">
        <v>0</v>
      </c>
      <c r="C490" s="0" t="n">
        <v>0.159950424813291</v>
      </c>
      <c r="D490" s="0" t="n">
        <v>510.7835423288</v>
      </c>
      <c r="E490" s="0" t="n">
        <v>4</v>
      </c>
      <c r="F490" s="0" t="n">
        <v>10</v>
      </c>
      <c r="G490" s="0" t="n">
        <v>0.5</v>
      </c>
      <c r="H490" s="0" t="n">
        <v>0</v>
      </c>
      <c r="I490" s="0" t="n">
        <v>1.92030247024072</v>
      </c>
      <c r="J490" s="0" t="n">
        <v>513.793952967944</v>
      </c>
      <c r="K490" s="0" t="n">
        <v>3.01041063914437</v>
      </c>
      <c r="L490" s="0" t="n">
        <v>0</v>
      </c>
      <c r="M490" s="0" t="n">
        <v>517.010500383128</v>
      </c>
      <c r="N490" s="0" t="n">
        <v>0</v>
      </c>
      <c r="O490" s="0" t="n">
        <v>473</v>
      </c>
      <c r="P490" s="0" t="n">
        <v>235</v>
      </c>
      <c r="Q490" s="0" t="n">
        <v>238</v>
      </c>
      <c r="R490" s="0" t="n">
        <v>705.670050524731</v>
      </c>
      <c r="S490" s="0" t="n">
        <v>517.907129132843</v>
      </c>
      <c r="T490" s="0" t="n">
        <v>29</v>
      </c>
      <c r="U490" s="0" t="n">
        <v>19</v>
      </c>
      <c r="V490" s="0" t="n">
        <v>24.3334416272522</v>
      </c>
      <c r="W490" s="0" t="n">
        <v>27.2581264905365</v>
      </c>
      <c r="X490" s="0" t="n">
        <v>0</v>
      </c>
      <c r="Y490" s="0" t="n">
        <v>3.01041063914437</v>
      </c>
      <c r="Z490" s="0" t="n">
        <v>0</v>
      </c>
      <c r="AA490" s="0" t="n">
        <v>0</v>
      </c>
      <c r="AB490" s="0" t="n">
        <v>0</v>
      </c>
      <c r="AC490" s="0" t="n">
        <v>1</v>
      </c>
      <c r="AD490" s="0" t="n">
        <v>0</v>
      </c>
      <c r="AE490" s="0" t="n">
        <v>0</v>
      </c>
      <c r="AF490" s="0" t="n">
        <v>0</v>
      </c>
      <c r="AG490" s="0" t="n">
        <v>27.5440903050797</v>
      </c>
      <c r="AH490" s="0" t="n">
        <v>0</v>
      </c>
      <c r="AI490" s="0" t="n">
        <v>0</v>
      </c>
      <c r="AK490" s="0" t="n">
        <f aca="false">A490</f>
        <v>473</v>
      </c>
      <c r="AL490" s="0" t="n">
        <v>3</v>
      </c>
      <c r="AM490" s="0" t="n">
        <v>1</v>
      </c>
      <c r="AO490" s="0" t="n">
        <v>473</v>
      </c>
      <c r="AP490" s="0" t="n">
        <v>1</v>
      </c>
      <c r="AQ490" s="0" t="n">
        <v>0.787769978353155</v>
      </c>
      <c r="AR490" s="0" t="n">
        <v>408.882569896928</v>
      </c>
      <c r="AS490" s="0" t="n">
        <v>68</v>
      </c>
      <c r="AT490" s="0" t="n">
        <v>70</v>
      </c>
    </row>
    <row r="491" customFormat="false" ht="12" hidden="false" customHeight="false" outlineLevel="0" collapsed="false">
      <c r="A491" s="0" t="n">
        <v>474</v>
      </c>
      <c r="B491" s="0" t="n">
        <v>1</v>
      </c>
      <c r="C491" s="0" t="n">
        <v>1.90207064428766</v>
      </c>
      <c r="D491" s="0" t="n">
        <v>512.685612973087</v>
      </c>
      <c r="E491" s="0" t="n">
        <v>4</v>
      </c>
      <c r="F491" s="0" t="n">
        <v>8</v>
      </c>
      <c r="G491" s="0" t="n">
        <v>0.5</v>
      </c>
      <c r="H491" s="0" t="n">
        <v>0</v>
      </c>
      <c r="I491" s="0" t="n">
        <v>2.17475014703449</v>
      </c>
      <c r="J491" s="0" t="n">
        <v>515.968703114979</v>
      </c>
      <c r="K491" s="0" t="n">
        <v>3.28309014189119</v>
      </c>
      <c r="L491" s="0" t="n">
        <v>0</v>
      </c>
      <c r="M491" s="0" t="n">
        <v>517.010500383128</v>
      </c>
      <c r="N491" s="0" t="n">
        <v>0</v>
      </c>
      <c r="O491" s="0" t="n">
        <v>474</v>
      </c>
      <c r="P491" s="0" t="n">
        <v>236</v>
      </c>
      <c r="Q491" s="0" t="n">
        <v>238</v>
      </c>
      <c r="R491" s="0" t="n">
        <v>547.663811881049</v>
      </c>
      <c r="S491" s="0" t="n">
        <v>658.916397979258</v>
      </c>
      <c r="T491" s="0" t="n">
        <v>22</v>
      </c>
      <c r="U491" s="0" t="n">
        <v>26</v>
      </c>
      <c r="V491" s="0" t="n">
        <v>24.8937983155939</v>
      </c>
      <c r="W491" s="0" t="n">
        <v>25.3428409113526</v>
      </c>
      <c r="X491" s="0" t="n">
        <v>3.28309014189119</v>
      </c>
      <c r="Y491" s="0" t="n">
        <v>0</v>
      </c>
      <c r="Z491" s="0" t="n">
        <v>0</v>
      </c>
      <c r="AA491" s="0" t="n">
        <v>0</v>
      </c>
      <c r="AB491" s="0" t="n">
        <v>1</v>
      </c>
      <c r="AC491" s="0" t="n">
        <v>0</v>
      </c>
      <c r="AD491" s="0" t="n">
        <v>0</v>
      </c>
      <c r="AE491" s="0" t="n">
        <v>0</v>
      </c>
      <c r="AF491" s="0" t="n">
        <v>17.1766315666015</v>
      </c>
      <c r="AG491" s="0" t="n">
        <v>0</v>
      </c>
      <c r="AH491" s="0" t="n">
        <v>0</v>
      </c>
      <c r="AI491" s="0" t="n">
        <v>0</v>
      </c>
      <c r="AK491" s="0" t="n">
        <f aca="false">A491</f>
        <v>474</v>
      </c>
      <c r="AL491" s="0" t="n">
        <v>2</v>
      </c>
      <c r="AM491" s="0" t="n">
        <v>0</v>
      </c>
      <c r="AO491" s="0" t="n">
        <v>474</v>
      </c>
      <c r="AP491" s="0" t="n">
        <v>0</v>
      </c>
      <c r="AQ491" s="0" t="n">
        <v>1.01560254066424</v>
      </c>
      <c r="AR491" s="0" t="n">
        <v>409.898172437593</v>
      </c>
      <c r="AS491" s="0" t="n">
        <v>70</v>
      </c>
      <c r="AT491" s="0" t="n">
        <v>70</v>
      </c>
    </row>
    <row r="492" customFormat="false" ht="12" hidden="false" customHeight="false" outlineLevel="0" collapsed="false">
      <c r="A492" s="0" t="n">
        <v>475</v>
      </c>
      <c r="B492" s="0" t="n">
        <v>1</v>
      </c>
      <c r="C492" s="0" t="n">
        <v>1.14207204227843</v>
      </c>
      <c r="D492" s="0" t="n">
        <v>513.827685015366</v>
      </c>
      <c r="E492" s="0" t="n">
        <v>4</v>
      </c>
      <c r="F492" s="0" t="n">
        <v>6</v>
      </c>
      <c r="G492" s="0" t="n">
        <v>0.5</v>
      </c>
      <c r="H492" s="0" t="n">
        <v>0</v>
      </c>
      <c r="I492" s="0" t="n">
        <v>1.79466453218672</v>
      </c>
      <c r="J492" s="0" t="n">
        <v>517.763367647165</v>
      </c>
      <c r="K492" s="0" t="n">
        <v>3.93568263179952</v>
      </c>
      <c r="L492" s="0" t="n">
        <v>0</v>
      </c>
      <c r="M492" s="0" t="n">
        <v>517.010500383128</v>
      </c>
      <c r="N492" s="0" t="n">
        <v>0</v>
      </c>
      <c r="O492" s="0" t="n">
        <v>475</v>
      </c>
      <c r="P492" s="0" t="n">
        <v>237</v>
      </c>
      <c r="Q492" s="0" t="n">
        <v>238</v>
      </c>
      <c r="R492" s="0" t="n">
        <v>572.714989221087</v>
      </c>
      <c r="S492" s="0" t="n">
        <v>636.548144287378</v>
      </c>
      <c r="T492" s="0" t="n">
        <v>22</v>
      </c>
      <c r="U492" s="0" t="n">
        <v>26</v>
      </c>
      <c r="V492" s="0" t="n">
        <v>26.0324876771005</v>
      </c>
      <c r="W492" s="0" t="n">
        <v>24.4825267705654</v>
      </c>
      <c r="X492" s="0" t="n">
        <v>3.93568263179952</v>
      </c>
      <c r="Y492" s="0" t="n">
        <v>0</v>
      </c>
      <c r="Z492" s="0" t="n">
        <v>0</v>
      </c>
      <c r="AA492" s="0" t="n">
        <v>0</v>
      </c>
      <c r="AB492" s="0" t="n">
        <v>1</v>
      </c>
      <c r="AC492" s="0" t="n">
        <v>0</v>
      </c>
      <c r="AD492" s="0" t="n">
        <v>0</v>
      </c>
      <c r="AE492" s="0" t="n">
        <v>0</v>
      </c>
      <c r="AF492" s="0" t="n">
        <v>12.193208533437</v>
      </c>
      <c r="AG492" s="0" t="n">
        <v>0</v>
      </c>
      <c r="AH492" s="0" t="n">
        <v>0</v>
      </c>
      <c r="AI492" s="0" t="n">
        <v>0</v>
      </c>
      <c r="AK492" s="0" t="n">
        <f aca="false">A492</f>
        <v>475</v>
      </c>
      <c r="AL492" s="0" t="n">
        <v>1</v>
      </c>
      <c r="AM492" s="0" t="n">
        <v>1</v>
      </c>
      <c r="AO492" s="0" t="n">
        <v>475</v>
      </c>
      <c r="AP492" s="0" t="n">
        <v>0</v>
      </c>
      <c r="AQ492" s="0" t="n">
        <v>2.4981425428123</v>
      </c>
      <c r="AR492" s="0" t="n">
        <v>412.396314980405</v>
      </c>
      <c r="AS492" s="0" t="n">
        <v>66</v>
      </c>
      <c r="AT492" s="0" t="n">
        <v>68</v>
      </c>
    </row>
    <row r="493" customFormat="false" ht="12" hidden="false" customHeight="false" outlineLevel="0" collapsed="false">
      <c r="A493" s="0" t="n">
        <v>476</v>
      </c>
      <c r="B493" s="0" t="n">
        <v>1</v>
      </c>
      <c r="C493" s="0" t="n">
        <v>0.17498526936759</v>
      </c>
      <c r="D493" s="0" t="n">
        <v>514.002670284733</v>
      </c>
      <c r="E493" s="0" t="n">
        <v>6</v>
      </c>
      <c r="F493" s="0" t="n">
        <v>6</v>
      </c>
      <c r="G493" s="0" t="n">
        <v>0.5</v>
      </c>
      <c r="H493" s="0" t="n">
        <v>0</v>
      </c>
      <c r="I493" s="0" t="n">
        <v>1.8376971661249</v>
      </c>
      <c r="J493" s="0" t="n">
        <v>519.60106481329</v>
      </c>
      <c r="K493" s="0" t="n">
        <v>5.59839452855692</v>
      </c>
      <c r="L493" s="0" t="n">
        <v>0</v>
      </c>
      <c r="M493" s="0" t="n">
        <v>517.010500383128</v>
      </c>
      <c r="N493" s="0" t="n">
        <v>0</v>
      </c>
      <c r="O493" s="0" t="n">
        <v>476</v>
      </c>
      <c r="P493" s="0" t="n">
        <v>238</v>
      </c>
      <c r="Q493" s="0" t="n">
        <v>238</v>
      </c>
      <c r="R493" s="0" t="n">
        <v>621.078358047059</v>
      </c>
      <c r="S493" s="0" t="n">
        <v>584.411982377018</v>
      </c>
      <c r="T493" s="0" t="n">
        <v>24</v>
      </c>
      <c r="U493" s="0" t="n">
        <v>24</v>
      </c>
      <c r="V493" s="0" t="n">
        <v>25.8782541360216</v>
      </c>
      <c r="W493" s="0" t="n">
        <v>24.3503978057182</v>
      </c>
      <c r="X493" s="0" t="n">
        <v>5.59839452855692</v>
      </c>
      <c r="Y493" s="0" t="n">
        <v>0</v>
      </c>
      <c r="Z493" s="0" t="n">
        <v>0</v>
      </c>
      <c r="AA493" s="0" t="n">
        <v>0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3.34584683469389</v>
      </c>
      <c r="AG493" s="0" t="n">
        <v>0</v>
      </c>
      <c r="AH493" s="0" t="n">
        <v>0</v>
      </c>
      <c r="AI493" s="0" t="n">
        <v>0</v>
      </c>
      <c r="AK493" s="0" t="n">
        <f aca="false">A493</f>
        <v>476</v>
      </c>
      <c r="AL493" s="0" t="n">
        <v>0</v>
      </c>
      <c r="AM493" s="0" t="n">
        <v>2</v>
      </c>
      <c r="AO493" s="0" t="n">
        <v>476</v>
      </c>
      <c r="AP493" s="0" t="n">
        <v>0</v>
      </c>
      <c r="AQ493" s="0" t="n">
        <v>0.343537542400443</v>
      </c>
      <c r="AR493" s="0" t="n">
        <v>412.739852522805</v>
      </c>
      <c r="AS493" s="0" t="n">
        <v>66</v>
      </c>
      <c r="AT493" s="0" t="n">
        <v>70</v>
      </c>
    </row>
    <row r="494" customFormat="false" ht="12" hidden="false" customHeight="false" outlineLevel="0" collapsed="false">
      <c r="A494" s="0" t="n">
        <v>477</v>
      </c>
      <c r="B494" s="0" t="n">
        <v>1</v>
      </c>
      <c r="C494" s="0" t="n">
        <v>0.257754686718674</v>
      </c>
      <c r="D494" s="0" t="n">
        <v>514.260424971452</v>
      </c>
      <c r="E494" s="0" t="n">
        <v>8</v>
      </c>
      <c r="F494" s="0" t="n">
        <v>6</v>
      </c>
      <c r="G494" s="0" t="n">
        <v>0.5</v>
      </c>
      <c r="H494" s="0" t="n">
        <v>1</v>
      </c>
      <c r="I494" s="0" t="n">
        <v>0</v>
      </c>
      <c r="J494" s="0" t="n">
        <v>519.60106481329</v>
      </c>
      <c r="K494" s="0" t="n">
        <v>0</v>
      </c>
      <c r="L494" s="0" t="n">
        <v>1.81733029488962</v>
      </c>
      <c r="M494" s="0" t="n">
        <v>518.827830678017</v>
      </c>
      <c r="N494" s="0" t="n">
        <v>4.56740570656507</v>
      </c>
      <c r="O494" s="0" t="n">
        <v>477</v>
      </c>
      <c r="P494" s="0" t="n">
        <v>238</v>
      </c>
      <c r="Q494" s="0" t="n">
        <v>239</v>
      </c>
      <c r="R494" s="0" t="n">
        <v>488.370000335137</v>
      </c>
      <c r="S494" s="0" t="n">
        <v>727.941648613746</v>
      </c>
      <c r="T494" s="0" t="n">
        <v>20</v>
      </c>
      <c r="U494" s="0" t="n">
        <v>28</v>
      </c>
      <c r="V494" s="0" t="n">
        <v>24.418487807513</v>
      </c>
      <c r="W494" s="0" t="n">
        <v>25.997823172551</v>
      </c>
      <c r="X494" s="0" t="n">
        <v>0</v>
      </c>
      <c r="Y494" s="0" t="n">
        <v>0</v>
      </c>
      <c r="Z494" s="0" t="n">
        <v>4.56740570656507</v>
      </c>
      <c r="AA494" s="0" t="n">
        <v>0</v>
      </c>
      <c r="AB494" s="0" t="n">
        <v>0</v>
      </c>
      <c r="AC494" s="0" t="n">
        <v>0</v>
      </c>
      <c r="AD494" s="0" t="n">
        <v>1</v>
      </c>
      <c r="AE494" s="0" t="n">
        <v>0</v>
      </c>
      <c r="AF494" s="0" t="n">
        <v>0</v>
      </c>
      <c r="AG494" s="0" t="n">
        <v>0</v>
      </c>
      <c r="AH494" s="0" t="n">
        <v>10.2303867178629</v>
      </c>
      <c r="AI494" s="0" t="n">
        <v>0</v>
      </c>
      <c r="AK494" s="0" t="n">
        <f aca="false">A494</f>
        <v>477</v>
      </c>
      <c r="AL494" s="0" t="n">
        <v>1</v>
      </c>
      <c r="AM494" s="0" t="n">
        <v>3</v>
      </c>
      <c r="AO494" s="0" t="n">
        <v>477</v>
      </c>
      <c r="AP494" s="0" t="n">
        <v>0</v>
      </c>
      <c r="AQ494" s="0" t="n">
        <v>0.665743506217148</v>
      </c>
      <c r="AR494" s="0" t="n">
        <v>413.405596029023</v>
      </c>
      <c r="AS494" s="0" t="n">
        <v>66</v>
      </c>
      <c r="AT494" s="0" t="n">
        <v>72</v>
      </c>
    </row>
    <row r="495" customFormat="false" ht="12" hidden="false" customHeight="false" outlineLevel="0" collapsed="false">
      <c r="A495" s="0" t="n">
        <v>478</v>
      </c>
      <c r="B495" s="0" t="n">
        <v>0</v>
      </c>
      <c r="C495" s="0" t="n">
        <v>0.022213205485234</v>
      </c>
      <c r="D495" s="0" t="n">
        <v>514.282638176937</v>
      </c>
      <c r="E495" s="0" t="n">
        <v>8</v>
      </c>
      <c r="F495" s="0" t="n">
        <v>8</v>
      </c>
      <c r="G495" s="0" t="n">
        <v>0.5</v>
      </c>
      <c r="H495" s="0" t="n">
        <v>0</v>
      </c>
      <c r="I495" s="0" t="n">
        <v>2.14378164578671</v>
      </c>
      <c r="J495" s="0" t="n">
        <v>521.744846459077</v>
      </c>
      <c r="K495" s="0" t="n">
        <v>7.46220828213961</v>
      </c>
      <c r="L495" s="0" t="n">
        <v>0</v>
      </c>
      <c r="M495" s="0" t="n">
        <v>518.827830678017</v>
      </c>
      <c r="N495" s="0" t="n">
        <v>0</v>
      </c>
      <c r="O495" s="0" t="n">
        <v>478</v>
      </c>
      <c r="P495" s="0" t="n">
        <v>239</v>
      </c>
      <c r="Q495" s="0" t="n">
        <v>239</v>
      </c>
      <c r="R495" s="0" t="n">
        <v>811.024953309737</v>
      </c>
      <c r="S495" s="0" t="n">
        <v>386.387975809094</v>
      </c>
      <c r="T495" s="0" t="n">
        <v>32</v>
      </c>
      <c r="U495" s="0" t="n">
        <v>16</v>
      </c>
      <c r="V495" s="0" t="n">
        <v>25.3445218707662</v>
      </c>
      <c r="W495" s="0" t="n">
        <v>24.1490975562087</v>
      </c>
      <c r="X495" s="0" t="n">
        <v>0</v>
      </c>
      <c r="Y495" s="0" t="n">
        <v>7.46220828213961</v>
      </c>
      <c r="Z495" s="0" t="n">
        <v>0</v>
      </c>
      <c r="AA495" s="0" t="n">
        <v>0</v>
      </c>
      <c r="AB495" s="0" t="n">
        <v>0</v>
      </c>
      <c r="AC495" s="0" t="n">
        <v>1</v>
      </c>
      <c r="AD495" s="0" t="n">
        <v>0</v>
      </c>
      <c r="AE495" s="0" t="n">
        <v>0</v>
      </c>
      <c r="AF495" s="0" t="n">
        <v>0</v>
      </c>
      <c r="AG495" s="0" t="n">
        <v>0.634330627082024</v>
      </c>
      <c r="AH495" s="0" t="n">
        <v>0</v>
      </c>
      <c r="AI495" s="0" t="n">
        <v>0</v>
      </c>
      <c r="AK495" s="0" t="n">
        <f aca="false">A495</f>
        <v>478</v>
      </c>
      <c r="AL495" s="0" t="n">
        <v>0</v>
      </c>
      <c r="AM495" s="0" t="n">
        <v>4</v>
      </c>
      <c r="AO495" s="0" t="n">
        <v>478</v>
      </c>
      <c r="AP495" s="0" t="n">
        <v>1</v>
      </c>
      <c r="AQ495" s="0" t="n">
        <v>1.02106832304764</v>
      </c>
      <c r="AR495" s="0" t="n">
        <v>414.42666435207</v>
      </c>
      <c r="AS495" s="0" t="n">
        <v>64</v>
      </c>
      <c r="AT495" s="0" t="n">
        <v>72</v>
      </c>
    </row>
    <row r="496" customFormat="false" ht="12" hidden="false" customHeight="false" outlineLevel="0" collapsed="false">
      <c r="A496" s="0" t="n">
        <v>479</v>
      </c>
      <c r="B496" s="0" t="n">
        <v>1</v>
      </c>
      <c r="C496" s="0" t="n">
        <v>0.230772691471664</v>
      </c>
      <c r="D496" s="0" t="n">
        <v>514.513410868409</v>
      </c>
      <c r="E496" s="0" t="n">
        <v>10</v>
      </c>
      <c r="F496" s="0" t="n">
        <v>8</v>
      </c>
      <c r="G496" s="0" t="n">
        <v>0.5</v>
      </c>
      <c r="H496" s="0" t="n">
        <v>1</v>
      </c>
      <c r="I496" s="0" t="n">
        <v>0</v>
      </c>
      <c r="J496" s="0" t="n">
        <v>521.744846459077</v>
      </c>
      <c r="K496" s="0" t="n">
        <v>0</v>
      </c>
      <c r="L496" s="0" t="n">
        <v>1.92170631638477</v>
      </c>
      <c r="M496" s="0" t="n">
        <v>520.749536994402</v>
      </c>
      <c r="N496" s="0" t="n">
        <v>6.23612612599288</v>
      </c>
      <c r="O496" s="0" t="n">
        <v>479</v>
      </c>
      <c r="P496" s="0" t="n">
        <v>239</v>
      </c>
      <c r="Q496" s="0" t="n">
        <v>240</v>
      </c>
      <c r="R496" s="0" t="n">
        <v>560.10966449949</v>
      </c>
      <c r="S496" s="0" t="n">
        <v>654.494901427901</v>
      </c>
      <c r="T496" s="0" t="n">
        <v>23</v>
      </c>
      <c r="U496" s="0" t="n">
        <v>25</v>
      </c>
      <c r="V496" s="0" t="n">
        <v>24.3525835205937</v>
      </c>
      <c r="W496" s="0" t="n">
        <v>26.1796913383507</v>
      </c>
      <c r="X496" s="0" t="n">
        <v>0</v>
      </c>
      <c r="Y496" s="0" t="n">
        <v>0</v>
      </c>
      <c r="Z496" s="0" t="n">
        <v>6.23612612599288</v>
      </c>
      <c r="AA496" s="0" t="n">
        <v>0</v>
      </c>
      <c r="AB496" s="0" t="n">
        <v>0</v>
      </c>
      <c r="AC496" s="0" t="n">
        <v>0</v>
      </c>
      <c r="AD496" s="0" t="n">
        <v>1</v>
      </c>
      <c r="AE496" s="0" t="n">
        <v>0</v>
      </c>
      <c r="AF496" s="0" t="n">
        <v>0</v>
      </c>
      <c r="AG496" s="0" t="n">
        <v>0</v>
      </c>
      <c r="AH496" s="0" t="n">
        <v>2.34021813642331</v>
      </c>
      <c r="AI496" s="0" t="n">
        <v>0</v>
      </c>
      <c r="AK496" s="0" t="n">
        <f aca="false">A496</f>
        <v>479</v>
      </c>
      <c r="AL496" s="0" t="n">
        <v>1</v>
      </c>
      <c r="AM496" s="0" t="n">
        <v>3</v>
      </c>
      <c r="AO496" s="0" t="n">
        <v>479</v>
      </c>
      <c r="AP496" s="0" t="n">
        <v>1</v>
      </c>
      <c r="AQ496" s="0" t="n">
        <v>0.348141734560008</v>
      </c>
      <c r="AR496" s="0" t="n">
        <v>414.77480608663</v>
      </c>
      <c r="AS496" s="0" t="n">
        <v>66</v>
      </c>
      <c r="AT496" s="0" t="n">
        <v>72</v>
      </c>
    </row>
    <row r="497" customFormat="false" ht="12" hidden="false" customHeight="false" outlineLevel="0" collapsed="false">
      <c r="A497" s="0" t="n">
        <v>480</v>
      </c>
      <c r="B497" s="0" t="n">
        <v>0</v>
      </c>
      <c r="C497" s="0" t="n">
        <v>0.643312558695086</v>
      </c>
      <c r="D497" s="0" t="n">
        <v>515.156723427104</v>
      </c>
      <c r="E497" s="0" t="n">
        <v>10</v>
      </c>
      <c r="F497" s="0" t="n">
        <v>8</v>
      </c>
      <c r="G497" s="0" t="n">
        <v>0.5</v>
      </c>
      <c r="H497" s="0" t="n">
        <v>0</v>
      </c>
      <c r="I497" s="0" t="n">
        <v>1.92442076961398</v>
      </c>
      <c r="J497" s="0" t="n">
        <v>523.669267228691</v>
      </c>
      <c r="K497" s="0" t="n">
        <v>8.51254380158684</v>
      </c>
      <c r="L497" s="0" t="n">
        <v>0</v>
      </c>
      <c r="M497" s="0" t="n">
        <v>520.749536994402</v>
      </c>
      <c r="N497" s="0" t="n">
        <v>0</v>
      </c>
      <c r="O497" s="0" t="n">
        <v>480</v>
      </c>
      <c r="P497" s="0" t="n">
        <v>240</v>
      </c>
      <c r="Q497" s="0" t="n">
        <v>240</v>
      </c>
      <c r="R497" s="0" t="n">
        <v>472.592324296684</v>
      </c>
      <c r="S497" s="0" t="n">
        <v>749.246036649354</v>
      </c>
      <c r="T497" s="0" t="n">
        <v>19</v>
      </c>
      <c r="U497" s="0" t="n">
        <v>29</v>
      </c>
      <c r="V497" s="0" t="n">
        <v>24.873267134948</v>
      </c>
      <c r="W497" s="0" t="n">
        <v>25.8359811396979</v>
      </c>
      <c r="X497" s="0" t="n">
        <v>0</v>
      </c>
      <c r="Y497" s="0" t="n">
        <v>8.51254380158684</v>
      </c>
      <c r="Z497" s="0" t="n">
        <v>0</v>
      </c>
      <c r="AA497" s="0" t="n">
        <v>0</v>
      </c>
      <c r="AB497" s="0" t="n">
        <v>0</v>
      </c>
      <c r="AC497" s="0" t="n">
        <v>1</v>
      </c>
      <c r="AD497" s="0" t="n">
        <v>0</v>
      </c>
      <c r="AE497" s="0" t="n">
        <v>0</v>
      </c>
      <c r="AF497" s="0" t="n">
        <v>0</v>
      </c>
      <c r="AG497" s="0" t="n">
        <v>0.0644584866938663</v>
      </c>
      <c r="AH497" s="0" t="n">
        <v>0</v>
      </c>
      <c r="AI497" s="0" t="n">
        <v>0</v>
      </c>
      <c r="AK497" s="0" t="n">
        <f aca="false">A497</f>
        <v>480</v>
      </c>
      <c r="AL497" s="0" t="n">
        <v>1</v>
      </c>
      <c r="AM497" s="0" t="n">
        <v>2</v>
      </c>
      <c r="AO497" s="0" t="n">
        <v>480</v>
      </c>
      <c r="AP497" s="0" t="n">
        <v>1</v>
      </c>
      <c r="AQ497" s="0" t="n">
        <v>0.557263892140274</v>
      </c>
      <c r="AR497" s="0" t="n">
        <v>415.33206997877</v>
      </c>
      <c r="AS497" s="0" t="n">
        <v>68</v>
      </c>
      <c r="AT497" s="0" t="n">
        <v>72</v>
      </c>
    </row>
    <row r="498" customFormat="false" ht="12" hidden="false" customHeight="false" outlineLevel="0" collapsed="false">
      <c r="A498" s="0" t="n">
        <v>481</v>
      </c>
      <c r="B498" s="0" t="n">
        <v>0</v>
      </c>
      <c r="C498" s="0" t="n">
        <v>2.82924654391447</v>
      </c>
      <c r="D498" s="0" t="n">
        <v>517.985969971019</v>
      </c>
      <c r="E498" s="0" t="n">
        <v>8</v>
      </c>
      <c r="F498" s="0" t="n">
        <v>6</v>
      </c>
      <c r="G498" s="0" t="n">
        <v>0.5</v>
      </c>
      <c r="H498" s="0" t="n">
        <v>1</v>
      </c>
      <c r="I498" s="0" t="n">
        <v>0</v>
      </c>
      <c r="J498" s="0" t="n">
        <v>523.669267228691</v>
      </c>
      <c r="K498" s="0" t="n">
        <v>0</v>
      </c>
      <c r="L498" s="0" t="n">
        <v>1.98875253958194</v>
      </c>
      <c r="M498" s="0" t="n">
        <v>522.738289533984</v>
      </c>
      <c r="N498" s="0" t="n">
        <v>4.75231956296523</v>
      </c>
      <c r="O498" s="0" t="n">
        <v>481</v>
      </c>
      <c r="P498" s="0" t="n">
        <v>240</v>
      </c>
      <c r="Q498" s="0" t="n">
        <v>241</v>
      </c>
      <c r="R498" s="0" t="n">
        <v>724.351366251448</v>
      </c>
      <c r="S498" s="0" t="n">
        <v>495.543165919864</v>
      </c>
      <c r="T498" s="0" t="n">
        <v>27</v>
      </c>
      <c r="U498" s="0" t="n">
        <v>21</v>
      </c>
      <c r="V498" s="0" t="n">
        <v>26.8278184434542</v>
      </c>
      <c r="W498" s="0" t="n">
        <v>23.5971812477019</v>
      </c>
      <c r="X498" s="0" t="n">
        <v>0</v>
      </c>
      <c r="Y498" s="0" t="n">
        <v>0</v>
      </c>
      <c r="Z498" s="0" t="n">
        <v>0</v>
      </c>
      <c r="AA498" s="0" t="n">
        <v>4.75231956296523</v>
      </c>
      <c r="AB498" s="0" t="n">
        <v>0</v>
      </c>
      <c r="AC498" s="0" t="n">
        <v>0</v>
      </c>
      <c r="AD498" s="0" t="n">
        <v>0</v>
      </c>
      <c r="AE498" s="0" t="n">
        <v>1</v>
      </c>
      <c r="AF498" s="0" t="n">
        <v>0</v>
      </c>
      <c r="AG498" s="0" t="n">
        <v>0</v>
      </c>
      <c r="AH498" s="0" t="n">
        <v>0</v>
      </c>
      <c r="AI498" s="0" t="n">
        <v>8.87492479074657</v>
      </c>
      <c r="AK498" s="0" t="n">
        <f aca="false">A498</f>
        <v>481</v>
      </c>
      <c r="AL498" s="0" t="n">
        <v>1</v>
      </c>
      <c r="AM498" s="0" t="n">
        <v>1</v>
      </c>
      <c r="AO498" s="0" t="n">
        <v>481</v>
      </c>
      <c r="AP498" s="0" t="n">
        <v>0</v>
      </c>
      <c r="AQ498" s="0" t="n">
        <v>0.189952876368609</v>
      </c>
      <c r="AR498" s="0" t="n">
        <v>415.522022855139</v>
      </c>
      <c r="AS498" s="0" t="n">
        <v>70</v>
      </c>
      <c r="AT498" s="0" t="n">
        <v>72</v>
      </c>
    </row>
    <row r="499" customFormat="false" ht="12" hidden="false" customHeight="false" outlineLevel="0" collapsed="false">
      <c r="A499" s="0" t="n">
        <v>482</v>
      </c>
      <c r="B499" s="0" t="n">
        <v>1</v>
      </c>
      <c r="C499" s="0" t="n">
        <v>0.222704353791903</v>
      </c>
      <c r="D499" s="0" t="n">
        <v>518.20867432481</v>
      </c>
      <c r="E499" s="0" t="n">
        <v>8</v>
      </c>
      <c r="F499" s="0" t="n">
        <v>8</v>
      </c>
      <c r="G499" s="0" t="n">
        <v>0.5</v>
      </c>
      <c r="H499" s="0" t="n">
        <v>0</v>
      </c>
      <c r="I499" s="0" t="n">
        <v>1.78386234709036</v>
      </c>
      <c r="J499" s="0" t="n">
        <v>525.453129575781</v>
      </c>
      <c r="K499" s="0" t="n">
        <v>7.24445525097087</v>
      </c>
      <c r="L499" s="0" t="n">
        <v>0</v>
      </c>
      <c r="M499" s="0" t="n">
        <v>522.738289533984</v>
      </c>
      <c r="N499" s="0" t="n">
        <v>0</v>
      </c>
      <c r="O499" s="0" t="n">
        <v>482</v>
      </c>
      <c r="P499" s="0" t="n">
        <v>241</v>
      </c>
      <c r="Q499" s="0" t="n">
        <v>241</v>
      </c>
      <c r="R499" s="0" t="n">
        <v>584.918940738854</v>
      </c>
      <c r="S499" s="0" t="n">
        <v>630.043333273622</v>
      </c>
      <c r="T499" s="0" t="n">
        <v>22</v>
      </c>
      <c r="U499" s="0" t="n">
        <v>26</v>
      </c>
      <c r="V499" s="0" t="n">
        <v>26.5872124939423</v>
      </c>
      <c r="W499" s="0" t="n">
        <v>24.2323426938213</v>
      </c>
      <c r="X499" s="0" t="n">
        <v>7.24445525097087</v>
      </c>
      <c r="Y499" s="0" t="n">
        <v>0</v>
      </c>
      <c r="Z499" s="0" t="n">
        <v>0</v>
      </c>
      <c r="AA499" s="0" t="n">
        <v>0</v>
      </c>
      <c r="AB499" s="0" t="n">
        <v>1</v>
      </c>
      <c r="AC499" s="0" t="n">
        <v>0</v>
      </c>
      <c r="AD499" s="0" t="n">
        <v>0</v>
      </c>
      <c r="AE499" s="0" t="n">
        <v>0</v>
      </c>
      <c r="AF499" s="0" t="n">
        <v>0.0335274004472282</v>
      </c>
      <c r="AG499" s="0" t="n">
        <v>0</v>
      </c>
      <c r="AH499" s="0" t="n">
        <v>0</v>
      </c>
      <c r="AI499" s="0" t="n">
        <v>0</v>
      </c>
      <c r="AK499" s="0" t="n">
        <f aca="false">A499</f>
        <v>482</v>
      </c>
      <c r="AL499" s="0" t="n">
        <v>0</v>
      </c>
      <c r="AM499" s="0" t="n">
        <v>2</v>
      </c>
      <c r="AO499" s="0" t="n">
        <v>482</v>
      </c>
      <c r="AP499" s="0" t="n">
        <v>1</v>
      </c>
      <c r="AQ499" s="0" t="n">
        <v>0.226396426644416</v>
      </c>
      <c r="AR499" s="0" t="n">
        <v>415.748419281783</v>
      </c>
      <c r="AS499" s="0" t="n">
        <v>70</v>
      </c>
      <c r="AT499" s="0" t="n">
        <v>74</v>
      </c>
    </row>
    <row r="500" customFormat="false" ht="12" hidden="false" customHeight="false" outlineLevel="0" collapsed="false">
      <c r="A500" s="0" t="n">
        <v>483</v>
      </c>
      <c r="B500" s="0" t="n">
        <v>1</v>
      </c>
      <c r="C500" s="0" t="n">
        <v>0.46336183010339</v>
      </c>
      <c r="D500" s="0" t="n">
        <v>518.672036154914</v>
      </c>
      <c r="E500" s="0" t="n">
        <v>10</v>
      </c>
      <c r="F500" s="0" t="n">
        <v>8</v>
      </c>
      <c r="G500" s="0" t="n">
        <v>0.5</v>
      </c>
      <c r="H500" s="0" t="n">
        <v>1</v>
      </c>
      <c r="I500" s="0" t="n">
        <v>0</v>
      </c>
      <c r="J500" s="0" t="n">
        <v>525.453129575781</v>
      </c>
      <c r="K500" s="0" t="n">
        <v>0</v>
      </c>
      <c r="L500" s="0" t="n">
        <v>1.76839376281757</v>
      </c>
      <c r="M500" s="0" t="n">
        <v>524.506683296801</v>
      </c>
      <c r="N500" s="0" t="n">
        <v>5.83464714188756</v>
      </c>
      <c r="O500" s="0" t="n">
        <v>483</v>
      </c>
      <c r="P500" s="0" t="n">
        <v>241</v>
      </c>
      <c r="Q500" s="0" t="n">
        <v>242</v>
      </c>
      <c r="R500" s="0" t="n">
        <v>564.483163121766</v>
      </c>
      <c r="S500" s="0" t="n">
        <v>664.398568028731</v>
      </c>
      <c r="T500" s="0" t="n">
        <v>20</v>
      </c>
      <c r="U500" s="0" t="n">
        <v>28</v>
      </c>
      <c r="V500" s="0" t="n">
        <v>28.2241440440163</v>
      </c>
      <c r="W500" s="0" t="n">
        <v>23.7284355423278</v>
      </c>
      <c r="X500" s="0" t="n">
        <v>0</v>
      </c>
      <c r="Y500" s="0" t="n">
        <v>0</v>
      </c>
      <c r="Z500" s="0" t="n">
        <v>5.83464714188756</v>
      </c>
      <c r="AA500" s="0" t="n">
        <v>0</v>
      </c>
      <c r="AB500" s="0" t="n">
        <v>0</v>
      </c>
      <c r="AC500" s="0" t="n">
        <v>0</v>
      </c>
      <c r="AD500" s="0" t="n">
        <v>1</v>
      </c>
      <c r="AE500" s="0" t="n">
        <v>0</v>
      </c>
      <c r="AF500" s="0" t="n">
        <v>0</v>
      </c>
      <c r="AG500" s="0" t="n">
        <v>0</v>
      </c>
      <c r="AH500" s="0" t="n">
        <v>3.72975026531749</v>
      </c>
      <c r="AI500" s="0" t="n">
        <v>0</v>
      </c>
      <c r="AK500" s="0" t="n">
        <f aca="false">A500</f>
        <v>483</v>
      </c>
      <c r="AL500" s="0" t="n">
        <v>1</v>
      </c>
      <c r="AM500" s="0" t="n">
        <v>1</v>
      </c>
      <c r="AO500" s="0" t="n">
        <v>483</v>
      </c>
      <c r="AP500" s="0" t="n">
        <v>0</v>
      </c>
      <c r="AQ500" s="0" t="n">
        <v>0.28998480403612</v>
      </c>
      <c r="AR500" s="0" t="n">
        <v>416.03840408582</v>
      </c>
      <c r="AS500" s="0" t="n">
        <v>72</v>
      </c>
      <c r="AT500" s="0" t="n">
        <v>74</v>
      </c>
    </row>
    <row r="501" customFormat="false" ht="12" hidden="false" customHeight="false" outlineLevel="0" collapsed="false">
      <c r="A501" s="0" t="n">
        <v>484</v>
      </c>
      <c r="B501" s="0" t="n">
        <v>1</v>
      </c>
      <c r="C501" s="0" t="n">
        <v>0.480314623645169</v>
      </c>
      <c r="D501" s="0" t="n">
        <v>519.152350778559</v>
      </c>
      <c r="E501" s="0" t="n">
        <v>10</v>
      </c>
      <c r="F501" s="0" t="n">
        <v>8</v>
      </c>
      <c r="G501" s="0" t="n">
        <v>0.5</v>
      </c>
      <c r="H501" s="0" t="n">
        <v>1</v>
      </c>
      <c r="I501" s="0" t="n">
        <v>0</v>
      </c>
      <c r="J501" s="0" t="n">
        <v>525.453129575781</v>
      </c>
      <c r="K501" s="0" t="n">
        <v>0</v>
      </c>
      <c r="L501" s="0" t="n">
        <v>2.24599808928857</v>
      </c>
      <c r="M501" s="0" t="n">
        <v>526.75268138609</v>
      </c>
      <c r="N501" s="0" t="n">
        <v>7.60033060753096</v>
      </c>
      <c r="O501" s="0" t="n">
        <v>484</v>
      </c>
      <c r="P501" s="0" t="n">
        <v>241</v>
      </c>
      <c r="Q501" s="0" t="n">
        <v>243</v>
      </c>
      <c r="R501" s="0" t="n">
        <v>715.787021307607</v>
      </c>
      <c r="S501" s="0" t="n">
        <v>491.692864577077</v>
      </c>
      <c r="T501" s="0" t="n">
        <v>30</v>
      </c>
      <c r="U501" s="0" t="n">
        <v>18</v>
      </c>
      <c r="V501" s="0" t="n">
        <v>23.8595594237338</v>
      </c>
      <c r="W501" s="0" t="n">
        <v>27.3161184980682</v>
      </c>
      <c r="X501" s="0" t="n">
        <v>0</v>
      </c>
      <c r="Y501" s="0" t="n">
        <v>0</v>
      </c>
      <c r="Z501" s="0" t="n">
        <v>7.60033060753096</v>
      </c>
      <c r="AA501" s="0" t="n">
        <v>0</v>
      </c>
      <c r="AB501" s="0" t="n">
        <v>0</v>
      </c>
      <c r="AC501" s="0" t="n">
        <v>0</v>
      </c>
      <c r="AD501" s="0" t="n">
        <v>1</v>
      </c>
      <c r="AE501" s="0" t="n">
        <v>0</v>
      </c>
      <c r="AF501" s="0" t="n">
        <v>0</v>
      </c>
      <c r="AG501" s="0" t="n">
        <v>0</v>
      </c>
      <c r="AH501" s="0" t="n">
        <v>0.0274143093816182</v>
      </c>
      <c r="AI501" s="0" t="n">
        <v>0</v>
      </c>
      <c r="AK501" s="0" t="n">
        <f aca="false">A501</f>
        <v>484</v>
      </c>
      <c r="AL501" s="0" t="n">
        <v>1</v>
      </c>
      <c r="AM501" s="0" t="n">
        <v>0</v>
      </c>
      <c r="AO501" s="0" t="n">
        <v>484</v>
      </c>
      <c r="AP501" s="0" t="n">
        <v>0</v>
      </c>
      <c r="AQ501" s="0" t="n">
        <v>0.0114733504186465</v>
      </c>
      <c r="AR501" s="0" t="n">
        <v>416.049877436238</v>
      </c>
      <c r="AS501" s="0" t="n">
        <v>74</v>
      </c>
      <c r="AT501" s="0" t="n">
        <v>74</v>
      </c>
    </row>
    <row r="502" customFormat="false" ht="12" hidden="false" customHeight="false" outlineLevel="0" collapsed="false">
      <c r="A502" s="0" t="n">
        <v>485</v>
      </c>
      <c r="B502" s="0" t="n">
        <v>0</v>
      </c>
      <c r="C502" s="0" t="n">
        <v>0.565003754570033</v>
      </c>
      <c r="D502" s="0" t="n">
        <v>519.717354533129</v>
      </c>
      <c r="E502" s="0" t="n">
        <v>8</v>
      </c>
      <c r="F502" s="0" t="n">
        <v>10</v>
      </c>
      <c r="G502" s="0" t="n">
        <v>0.5</v>
      </c>
      <c r="H502" s="0" t="n">
        <v>0</v>
      </c>
      <c r="I502" s="0" t="n">
        <v>1.76462383602887</v>
      </c>
      <c r="J502" s="0" t="n">
        <v>527.21775341181</v>
      </c>
      <c r="K502" s="0" t="n">
        <v>7.50039887868104</v>
      </c>
      <c r="L502" s="0" t="n">
        <v>0</v>
      </c>
      <c r="M502" s="0" t="n">
        <v>526.75268138609</v>
      </c>
      <c r="N502" s="0" t="n">
        <v>0</v>
      </c>
      <c r="O502" s="0" t="n">
        <v>485</v>
      </c>
      <c r="P502" s="0" t="n">
        <v>242</v>
      </c>
      <c r="Q502" s="0" t="n">
        <v>243</v>
      </c>
      <c r="R502" s="0" t="n">
        <v>506.878850864474</v>
      </c>
      <c r="S502" s="0" t="n">
        <v>698.278742524762</v>
      </c>
      <c r="T502" s="0" t="n">
        <v>22</v>
      </c>
      <c r="U502" s="0" t="n">
        <v>26</v>
      </c>
      <c r="V502" s="0" t="n">
        <v>23.0399372938682</v>
      </c>
      <c r="W502" s="0" t="n">
        <v>26.8567714172162</v>
      </c>
      <c r="X502" s="0" t="n">
        <v>0</v>
      </c>
      <c r="Y502" s="0" t="n">
        <v>7.50039887868104</v>
      </c>
      <c r="Z502" s="0" t="n">
        <v>0</v>
      </c>
      <c r="AA502" s="0" t="n">
        <v>0</v>
      </c>
      <c r="AB502" s="0" t="n">
        <v>0</v>
      </c>
      <c r="AC502" s="0" t="n">
        <v>1</v>
      </c>
      <c r="AD502" s="0" t="n">
        <v>0</v>
      </c>
      <c r="AE502" s="0" t="n">
        <v>0</v>
      </c>
      <c r="AF502" s="0" t="n">
        <v>0</v>
      </c>
      <c r="AG502" s="0" t="n">
        <v>0.574955442238773</v>
      </c>
      <c r="AH502" s="0" t="n">
        <v>0</v>
      </c>
      <c r="AI502" s="0" t="n">
        <v>0</v>
      </c>
      <c r="AK502" s="0" t="n">
        <f aca="false">A502</f>
        <v>485</v>
      </c>
      <c r="AL502" s="0" t="n">
        <v>1</v>
      </c>
      <c r="AM502" s="0" t="n">
        <v>1</v>
      </c>
      <c r="AO502" s="0" t="n">
        <v>485</v>
      </c>
      <c r="AP502" s="0" t="n">
        <v>0</v>
      </c>
      <c r="AQ502" s="0" t="n">
        <v>0.610768296457021</v>
      </c>
      <c r="AR502" s="0" t="n">
        <v>416.660645732695</v>
      </c>
      <c r="AS502" s="0" t="n">
        <v>72</v>
      </c>
      <c r="AT502" s="0" t="n">
        <v>74</v>
      </c>
    </row>
    <row r="503" customFormat="false" ht="12" hidden="false" customHeight="false" outlineLevel="0" collapsed="false">
      <c r="A503" s="0" t="n">
        <v>486</v>
      </c>
      <c r="B503" s="0" t="n">
        <v>0</v>
      </c>
      <c r="C503" s="0" t="n">
        <v>3.87750245014659</v>
      </c>
      <c r="D503" s="0" t="n">
        <v>523.594856983276</v>
      </c>
      <c r="E503" s="0" t="n">
        <v>8</v>
      </c>
      <c r="F503" s="0" t="n">
        <v>6</v>
      </c>
      <c r="G503" s="0" t="n">
        <v>0.5</v>
      </c>
      <c r="H503" s="0" t="n">
        <v>1</v>
      </c>
      <c r="I503" s="0" t="n">
        <v>0</v>
      </c>
      <c r="J503" s="0" t="n">
        <v>527.21775341181</v>
      </c>
      <c r="K503" s="0" t="n">
        <v>0</v>
      </c>
      <c r="L503" s="0" t="n">
        <v>1.75002770681218</v>
      </c>
      <c r="M503" s="0" t="n">
        <v>528.502709092902</v>
      </c>
      <c r="N503" s="0" t="n">
        <v>4.90785210962645</v>
      </c>
      <c r="O503" s="0" t="n">
        <v>486</v>
      </c>
      <c r="P503" s="0" t="n">
        <v>242</v>
      </c>
      <c r="Q503" s="0" t="n">
        <v>244</v>
      </c>
      <c r="R503" s="0" t="n">
        <v>669.577651288644</v>
      </c>
      <c r="S503" s="0" t="n">
        <v>554.963372813172</v>
      </c>
      <c r="T503" s="0" t="n">
        <v>30</v>
      </c>
      <c r="U503" s="0" t="n">
        <v>18</v>
      </c>
      <c r="V503" s="0" t="n">
        <v>22.3192476032056</v>
      </c>
      <c r="W503" s="0" t="n">
        <v>30.8311272055806</v>
      </c>
      <c r="X503" s="0" t="n">
        <v>0</v>
      </c>
      <c r="Y503" s="0" t="n">
        <v>0</v>
      </c>
      <c r="Z503" s="0" t="n">
        <v>0</v>
      </c>
      <c r="AA503" s="0" t="n">
        <v>4.90785210962645</v>
      </c>
      <c r="AB503" s="0" t="n">
        <v>0</v>
      </c>
      <c r="AC503" s="0" t="n">
        <v>0</v>
      </c>
      <c r="AD503" s="0" t="n">
        <v>0</v>
      </c>
      <c r="AE503" s="0" t="n">
        <v>1</v>
      </c>
      <c r="AF503" s="0" t="n">
        <v>0</v>
      </c>
      <c r="AG503" s="0" t="n">
        <v>0</v>
      </c>
      <c r="AH503" s="0" t="n">
        <v>0</v>
      </c>
      <c r="AI503" s="0" t="n">
        <v>7.97242699260874</v>
      </c>
      <c r="AK503" s="0" t="n">
        <f aca="false">A503</f>
        <v>486</v>
      </c>
      <c r="AL503" s="0" t="n">
        <v>1</v>
      </c>
      <c r="AM503" s="0" t="n">
        <v>2</v>
      </c>
      <c r="AO503" s="0" t="n">
        <v>486</v>
      </c>
      <c r="AP503" s="0" t="n">
        <v>1</v>
      </c>
      <c r="AQ503" s="0" t="n">
        <v>0.439297212695635</v>
      </c>
      <c r="AR503" s="0" t="n">
        <v>417.099942945391</v>
      </c>
      <c r="AS503" s="0" t="n">
        <v>72</v>
      </c>
      <c r="AT503" s="0" t="n">
        <v>76</v>
      </c>
    </row>
    <row r="504" customFormat="false" ht="12" hidden="false" customHeight="false" outlineLevel="0" collapsed="false">
      <c r="A504" s="0" t="n">
        <v>487</v>
      </c>
      <c r="B504" s="0" t="n">
        <v>1</v>
      </c>
      <c r="C504" s="0" t="n">
        <v>0.168687161851586</v>
      </c>
      <c r="D504" s="0" t="n">
        <v>523.763544145127</v>
      </c>
      <c r="E504" s="0" t="n">
        <v>6</v>
      </c>
      <c r="F504" s="0" t="n">
        <v>8</v>
      </c>
      <c r="G504" s="0" t="n">
        <v>0.5</v>
      </c>
      <c r="H504" s="0" t="n">
        <v>0</v>
      </c>
      <c r="I504" s="0" t="n">
        <v>1.88699481250468</v>
      </c>
      <c r="J504" s="0" t="n">
        <v>529.104748224315</v>
      </c>
      <c r="K504" s="0" t="n">
        <v>5.34120407918749</v>
      </c>
      <c r="L504" s="0" t="n">
        <v>0</v>
      </c>
      <c r="M504" s="0" t="n">
        <v>528.502709092902</v>
      </c>
      <c r="N504" s="0" t="n">
        <v>0</v>
      </c>
      <c r="O504" s="0" t="n">
        <v>487</v>
      </c>
      <c r="P504" s="0" t="n">
        <v>243</v>
      </c>
      <c r="Q504" s="0" t="n">
        <v>244</v>
      </c>
      <c r="R504" s="0" t="n">
        <v>688.452075459754</v>
      </c>
      <c r="S504" s="0" t="n">
        <v>512.499136792565</v>
      </c>
      <c r="T504" s="0" t="n">
        <v>25</v>
      </c>
      <c r="U504" s="0" t="n">
        <v>23</v>
      </c>
      <c r="V504" s="0" t="n">
        <v>27.5380720031614</v>
      </c>
      <c r="W504" s="0" t="n">
        <v>22.2824742845711</v>
      </c>
      <c r="X504" s="0" t="n">
        <v>5.34120407918749</v>
      </c>
      <c r="Y504" s="0" t="n">
        <v>0</v>
      </c>
      <c r="Z504" s="0" t="n">
        <v>0</v>
      </c>
      <c r="AA504" s="0" t="n">
        <v>0</v>
      </c>
      <c r="AB504" s="0" t="n">
        <v>1</v>
      </c>
      <c r="AC504" s="0" t="n">
        <v>0</v>
      </c>
      <c r="AD504" s="0" t="n">
        <v>0</v>
      </c>
      <c r="AE504" s="0" t="n">
        <v>0</v>
      </c>
      <c r="AF504" s="0" t="n">
        <v>4.35288161318254</v>
      </c>
      <c r="AG504" s="0" t="n">
        <v>0</v>
      </c>
      <c r="AH504" s="0" t="n">
        <v>0</v>
      </c>
      <c r="AI504" s="0" t="n">
        <v>0</v>
      </c>
      <c r="AK504" s="0" t="n">
        <f aca="false">A504</f>
        <v>487</v>
      </c>
      <c r="AL504" s="0" t="n">
        <v>1</v>
      </c>
      <c r="AM504" s="0" t="n">
        <v>1</v>
      </c>
      <c r="AO504" s="0" t="n">
        <v>487</v>
      </c>
      <c r="AP504" s="0" t="n">
        <v>1</v>
      </c>
      <c r="AQ504" s="0" t="n">
        <v>0.584943539881945</v>
      </c>
      <c r="AR504" s="0" t="n">
        <v>417.684886485273</v>
      </c>
      <c r="AS504" s="0" t="n">
        <v>74</v>
      </c>
      <c r="AT504" s="0" t="n">
        <v>76</v>
      </c>
    </row>
    <row r="505" customFormat="false" ht="12" hidden="false" customHeight="false" outlineLevel="0" collapsed="false">
      <c r="A505" s="0" t="n">
        <v>488</v>
      </c>
      <c r="B505" s="0" t="n">
        <v>0</v>
      </c>
      <c r="C505" s="0" t="n">
        <v>0.936056128296689</v>
      </c>
      <c r="D505" s="0" t="n">
        <v>524.699600273424</v>
      </c>
      <c r="E505" s="0" t="n">
        <v>8</v>
      </c>
      <c r="F505" s="0" t="n">
        <v>6</v>
      </c>
      <c r="G505" s="0" t="n">
        <v>0.5</v>
      </c>
      <c r="H505" s="0" t="n">
        <v>1</v>
      </c>
      <c r="I505" s="0" t="n">
        <v>0</v>
      </c>
      <c r="J505" s="0" t="n">
        <v>529.104748224315</v>
      </c>
      <c r="K505" s="0" t="n">
        <v>0</v>
      </c>
      <c r="L505" s="0" t="n">
        <v>2.14492458406815</v>
      </c>
      <c r="M505" s="0" t="n">
        <v>530.64763367697</v>
      </c>
      <c r="N505" s="0" t="n">
        <v>5.94803340354622</v>
      </c>
      <c r="O505" s="0" t="n">
        <v>488</v>
      </c>
      <c r="P505" s="0" t="n">
        <v>243</v>
      </c>
      <c r="Q505" s="0" t="n">
        <v>245</v>
      </c>
      <c r="R505" s="0" t="n">
        <v>409.477468955911</v>
      </c>
      <c r="S505" s="0" t="n">
        <v>788.274743627596</v>
      </c>
      <c r="T505" s="0" t="n">
        <v>19</v>
      </c>
      <c r="U505" s="0" t="n">
        <v>29</v>
      </c>
      <c r="V505" s="0" t="n">
        <v>21.5514343916614</v>
      </c>
      <c r="W505" s="0" t="n">
        <v>27.1817939809724</v>
      </c>
      <c r="X505" s="0" t="n">
        <v>0</v>
      </c>
      <c r="Y505" s="0" t="n">
        <v>0</v>
      </c>
      <c r="Z505" s="0" t="n">
        <v>0</v>
      </c>
      <c r="AA505" s="0" t="n">
        <v>5.94803340354622</v>
      </c>
      <c r="AB505" s="0" t="n">
        <v>0</v>
      </c>
      <c r="AC505" s="0" t="n">
        <v>0</v>
      </c>
      <c r="AD505" s="0" t="n">
        <v>0</v>
      </c>
      <c r="AE505" s="0" t="n">
        <v>1</v>
      </c>
      <c r="AF505" s="0" t="n">
        <v>0</v>
      </c>
      <c r="AG505" s="0" t="n">
        <v>0</v>
      </c>
      <c r="AH505" s="0" t="n">
        <v>0</v>
      </c>
      <c r="AI505" s="0" t="n">
        <v>3.18039913538046</v>
      </c>
      <c r="AK505" s="0" t="n">
        <f aca="false">A505</f>
        <v>488</v>
      </c>
      <c r="AL505" s="0" t="n">
        <v>1</v>
      </c>
      <c r="AM505" s="0" t="n">
        <v>0</v>
      </c>
      <c r="AO505" s="0" t="n">
        <v>488</v>
      </c>
      <c r="AP505" s="0" t="n">
        <v>1</v>
      </c>
      <c r="AQ505" s="0" t="n">
        <v>1.0723829328358</v>
      </c>
      <c r="AR505" s="0" t="n">
        <v>418.757269418109</v>
      </c>
      <c r="AS505" s="0" t="n">
        <v>74</v>
      </c>
      <c r="AT505" s="0" t="n">
        <v>74</v>
      </c>
    </row>
    <row r="506" customFormat="false" ht="12" hidden="false" customHeight="false" outlineLevel="0" collapsed="false">
      <c r="A506" s="0" t="n">
        <v>489</v>
      </c>
      <c r="B506" s="0" t="n">
        <v>1</v>
      </c>
      <c r="C506" s="0" t="n">
        <v>1.11299774343488</v>
      </c>
      <c r="D506" s="0" t="n">
        <v>525.812598016859</v>
      </c>
      <c r="E506" s="0" t="n">
        <v>6</v>
      </c>
      <c r="F506" s="0" t="n">
        <v>8</v>
      </c>
      <c r="G506" s="0" t="n">
        <v>0.5</v>
      </c>
      <c r="H506" s="0" t="n">
        <v>0</v>
      </c>
      <c r="I506" s="0" t="n">
        <v>2.08052844673124</v>
      </c>
      <c r="J506" s="0" t="n">
        <v>531.185276671046</v>
      </c>
      <c r="K506" s="0" t="n">
        <v>5.3726786541871</v>
      </c>
      <c r="L506" s="0" t="n">
        <v>0</v>
      </c>
      <c r="M506" s="0" t="n">
        <v>530.64763367697</v>
      </c>
      <c r="N506" s="0" t="n">
        <v>0</v>
      </c>
      <c r="O506" s="0" t="n">
        <v>489</v>
      </c>
      <c r="P506" s="0" t="n">
        <v>244</v>
      </c>
      <c r="Q506" s="0" t="n">
        <v>245</v>
      </c>
      <c r="R506" s="0" t="n">
        <v>700.00865530762</v>
      </c>
      <c r="S506" s="0" t="n">
        <v>504.401898654627</v>
      </c>
      <c r="T506" s="0" t="n">
        <v>26</v>
      </c>
      <c r="U506" s="0" t="n">
        <v>22</v>
      </c>
      <c r="V506" s="0" t="n">
        <v>26.9233994643702</v>
      </c>
      <c r="W506" s="0" t="n">
        <v>22.9272548149612</v>
      </c>
      <c r="X506" s="0" t="n">
        <v>5.3726786541871</v>
      </c>
      <c r="Y506" s="0" t="n">
        <v>0</v>
      </c>
      <c r="Z506" s="0" t="n">
        <v>0</v>
      </c>
      <c r="AA506" s="0" t="n">
        <v>0</v>
      </c>
      <c r="AB506" s="0" t="n">
        <v>1</v>
      </c>
      <c r="AC506" s="0" t="n">
        <v>0</v>
      </c>
      <c r="AD506" s="0" t="n">
        <v>0</v>
      </c>
      <c r="AE506" s="0" t="n">
        <v>0</v>
      </c>
      <c r="AF506" s="0" t="n">
        <v>4.22253792141963</v>
      </c>
      <c r="AG506" s="0" t="n">
        <v>0</v>
      </c>
      <c r="AH506" s="0" t="n">
        <v>0</v>
      </c>
      <c r="AI506" s="0" t="n">
        <v>0</v>
      </c>
      <c r="AK506" s="0" t="n">
        <f aca="false">A506</f>
        <v>489</v>
      </c>
      <c r="AL506" s="0" t="n">
        <v>1</v>
      </c>
      <c r="AM506" s="0" t="n">
        <v>1</v>
      </c>
      <c r="AO506" s="0" t="n">
        <v>489</v>
      </c>
      <c r="AP506" s="0" t="n">
        <v>0</v>
      </c>
      <c r="AQ506" s="0" t="n">
        <v>2.84078329764531</v>
      </c>
      <c r="AR506" s="0" t="n">
        <v>421.598052715754</v>
      </c>
      <c r="AS506" s="0" t="n">
        <v>74</v>
      </c>
      <c r="AT506" s="0" t="n">
        <v>72</v>
      </c>
    </row>
    <row r="507" customFormat="false" ht="12" hidden="false" customHeight="false" outlineLevel="0" collapsed="false">
      <c r="A507" s="0" t="n">
        <v>490</v>
      </c>
      <c r="B507" s="0" t="n">
        <v>1</v>
      </c>
      <c r="C507" s="0" t="n">
        <v>6.22845503460316</v>
      </c>
      <c r="D507" s="0" t="n">
        <v>532.041053051462</v>
      </c>
      <c r="E507" s="0" t="n">
        <v>2</v>
      </c>
      <c r="F507" s="0" t="n">
        <v>2</v>
      </c>
      <c r="G507" s="0" t="n">
        <v>0.5</v>
      </c>
      <c r="H507" s="0" t="n">
        <v>1</v>
      </c>
      <c r="I507" s="0" t="n">
        <v>0</v>
      </c>
      <c r="J507" s="0" t="n">
        <v>532.041053051462</v>
      </c>
      <c r="K507" s="0" t="n">
        <v>0</v>
      </c>
      <c r="L507" s="0" t="n">
        <v>1.80681308373569</v>
      </c>
      <c r="M507" s="0" t="n">
        <v>533.847866135198</v>
      </c>
      <c r="N507" s="0" t="n">
        <v>1.80681308373573</v>
      </c>
      <c r="O507" s="0" t="n">
        <v>490</v>
      </c>
      <c r="P507" s="0" t="n">
        <v>244</v>
      </c>
      <c r="Q507" s="0" t="n">
        <v>246</v>
      </c>
      <c r="R507" s="0" t="n">
        <v>519.38900449019</v>
      </c>
      <c r="S507" s="0" t="n">
        <v>694.224850762509</v>
      </c>
      <c r="T507" s="0" t="n">
        <v>19</v>
      </c>
      <c r="U507" s="0" t="n">
        <v>29</v>
      </c>
      <c r="V507" s="0" t="n">
        <v>27.3362490067211</v>
      </c>
      <c r="W507" s="0" t="n">
        <v>23.9387054100679</v>
      </c>
      <c r="X507" s="0" t="n">
        <v>0</v>
      </c>
      <c r="Y507" s="0" t="n">
        <v>0</v>
      </c>
      <c r="Z507" s="0" t="n">
        <v>1.80681308373573</v>
      </c>
      <c r="AA507" s="0" t="n">
        <v>0</v>
      </c>
      <c r="AB507" s="0" t="n">
        <v>0</v>
      </c>
      <c r="AC507" s="0" t="n">
        <v>0</v>
      </c>
      <c r="AD507" s="0" t="n">
        <v>1</v>
      </c>
      <c r="AE507" s="0" t="n">
        <v>0</v>
      </c>
      <c r="AF507" s="0" t="n">
        <v>0</v>
      </c>
      <c r="AG507" s="0" t="n">
        <v>0</v>
      </c>
      <c r="AH507" s="0" t="n">
        <v>35.5107559496882</v>
      </c>
      <c r="AI507" s="0" t="n">
        <v>0</v>
      </c>
      <c r="AK507" s="0" t="n">
        <f aca="false">A507</f>
        <v>490</v>
      </c>
      <c r="AL507" s="0" t="n">
        <v>0</v>
      </c>
      <c r="AM507" s="0" t="n">
        <v>0</v>
      </c>
      <c r="AO507" s="0" t="n">
        <v>490</v>
      </c>
      <c r="AP507" s="0" t="n">
        <v>1</v>
      </c>
      <c r="AQ507" s="0" t="n">
        <v>0.182953058831081</v>
      </c>
      <c r="AR507" s="0" t="n">
        <v>421.781005774585</v>
      </c>
      <c r="AS507" s="0" t="n">
        <v>74</v>
      </c>
      <c r="AT507" s="0" t="n">
        <v>74</v>
      </c>
    </row>
    <row r="508" customFormat="false" ht="12" hidden="false" customHeight="false" outlineLevel="0" collapsed="false">
      <c r="A508" s="0" t="n">
        <v>491</v>
      </c>
      <c r="B508" s="0" t="n">
        <v>1</v>
      </c>
      <c r="C508" s="0" t="n">
        <v>0.00559878385653772</v>
      </c>
      <c r="D508" s="0" t="n">
        <v>532.046651835319</v>
      </c>
      <c r="E508" s="0" t="n">
        <v>2</v>
      </c>
      <c r="F508" s="0" t="n">
        <v>4</v>
      </c>
      <c r="G508" s="0" t="n">
        <v>0.5</v>
      </c>
      <c r="H508" s="0" t="n">
        <v>0</v>
      </c>
      <c r="I508" s="0" t="n">
        <v>2.07762626371686</v>
      </c>
      <c r="J508" s="0" t="n">
        <v>534.124278099036</v>
      </c>
      <c r="K508" s="0" t="n">
        <v>2.07762626371687</v>
      </c>
      <c r="L508" s="0" t="n">
        <v>0</v>
      </c>
      <c r="M508" s="0" t="n">
        <v>533.847866135198</v>
      </c>
      <c r="N508" s="0" t="n">
        <v>0</v>
      </c>
      <c r="O508" s="0" t="n">
        <v>491</v>
      </c>
      <c r="P508" s="0" t="n">
        <v>245</v>
      </c>
      <c r="Q508" s="0" t="n">
        <v>246</v>
      </c>
      <c r="R508" s="0" t="n">
        <v>550.400744173666</v>
      </c>
      <c r="S508" s="0" t="n">
        <v>659.73983129459</v>
      </c>
      <c r="T508" s="0" t="n">
        <v>20</v>
      </c>
      <c r="U508" s="0" t="n">
        <v>28</v>
      </c>
      <c r="V508" s="0" t="n">
        <v>27.5200234486716</v>
      </c>
      <c r="W508" s="0" t="n">
        <v>23.5620526817615</v>
      </c>
      <c r="X508" s="0" t="n">
        <v>2.07762626371687</v>
      </c>
      <c r="Y508" s="0" t="n">
        <v>0</v>
      </c>
      <c r="Z508" s="0" t="n">
        <v>0</v>
      </c>
      <c r="AA508" s="0" t="n">
        <v>0</v>
      </c>
      <c r="AB508" s="0" t="n">
        <v>1</v>
      </c>
      <c r="AC508" s="0" t="n">
        <v>0</v>
      </c>
      <c r="AD508" s="0" t="n">
        <v>0</v>
      </c>
      <c r="AE508" s="0" t="n">
        <v>0</v>
      </c>
      <c r="AF508" s="0" t="n">
        <v>28.6217924823801</v>
      </c>
      <c r="AG508" s="0" t="n">
        <v>0</v>
      </c>
      <c r="AH508" s="0" t="n">
        <v>0</v>
      </c>
      <c r="AI508" s="0" t="n">
        <v>0</v>
      </c>
      <c r="AK508" s="0" t="n">
        <f aca="false">A508</f>
        <v>491</v>
      </c>
      <c r="AL508" s="0" t="n">
        <v>1</v>
      </c>
      <c r="AM508" s="0" t="n">
        <v>1</v>
      </c>
      <c r="AO508" s="0" t="n">
        <v>491</v>
      </c>
      <c r="AP508" s="0" t="n">
        <v>1</v>
      </c>
      <c r="AQ508" s="0" t="n">
        <v>1.15717095004227</v>
      </c>
      <c r="AR508" s="0" t="n">
        <v>422.938176724627</v>
      </c>
      <c r="AS508" s="0" t="n">
        <v>72</v>
      </c>
      <c r="AT508" s="0" t="n">
        <v>74</v>
      </c>
    </row>
    <row r="509" customFormat="false" ht="12" hidden="false" customHeight="false" outlineLevel="0" collapsed="false">
      <c r="A509" s="0" t="n">
        <v>492</v>
      </c>
      <c r="B509" s="0" t="n">
        <v>1</v>
      </c>
      <c r="C509" s="0" t="n">
        <v>0.919654330088223</v>
      </c>
      <c r="D509" s="0" t="n">
        <v>532.966306165407</v>
      </c>
      <c r="E509" s="0" t="n">
        <v>4</v>
      </c>
      <c r="F509" s="0" t="n">
        <v>4</v>
      </c>
      <c r="G509" s="0" t="n">
        <v>0.5</v>
      </c>
      <c r="H509" s="0" t="n">
        <v>1</v>
      </c>
      <c r="I509" s="0" t="n">
        <v>0</v>
      </c>
      <c r="J509" s="0" t="n">
        <v>534.124278099036</v>
      </c>
      <c r="K509" s="0" t="n">
        <v>0</v>
      </c>
      <c r="L509" s="0" t="n">
        <v>1.97793082110569</v>
      </c>
      <c r="M509" s="0" t="n">
        <v>535.825796956304</v>
      </c>
      <c r="N509" s="0" t="n">
        <v>2.85949079089676</v>
      </c>
      <c r="O509" s="0" t="n">
        <v>492</v>
      </c>
      <c r="P509" s="0" t="n">
        <v>245</v>
      </c>
      <c r="Q509" s="0" t="n">
        <v>247</v>
      </c>
      <c r="R509" s="0" t="n">
        <v>579.676382227248</v>
      </c>
      <c r="S509" s="0" t="n">
        <v>618.65099308031</v>
      </c>
      <c r="T509" s="0" t="n">
        <v>28</v>
      </c>
      <c r="U509" s="0" t="n">
        <v>20</v>
      </c>
      <c r="V509" s="0" t="n">
        <v>20.7027205428586</v>
      </c>
      <c r="W509" s="0" t="n">
        <v>30.9323949920406</v>
      </c>
      <c r="X509" s="0" t="n">
        <v>0</v>
      </c>
      <c r="Y509" s="0" t="n">
        <v>0</v>
      </c>
      <c r="Z509" s="0" t="n">
        <v>2.85949079089676</v>
      </c>
      <c r="AA509" s="0" t="n">
        <v>0</v>
      </c>
      <c r="AB509" s="0" t="n">
        <v>0</v>
      </c>
      <c r="AC509" s="0" t="n">
        <v>0</v>
      </c>
      <c r="AD509" s="0" t="n">
        <v>1</v>
      </c>
      <c r="AE509" s="0" t="n">
        <v>0</v>
      </c>
      <c r="AF509" s="0" t="n">
        <v>0</v>
      </c>
      <c r="AG509" s="0" t="n">
        <v>0</v>
      </c>
      <c r="AH509" s="0" t="n">
        <v>24.0728834987994</v>
      </c>
      <c r="AI509" s="0" t="n">
        <v>0</v>
      </c>
      <c r="AK509" s="0" t="n">
        <f aca="false">A509</f>
        <v>492</v>
      </c>
      <c r="AL509" s="0" t="n">
        <v>0</v>
      </c>
      <c r="AM509" s="0" t="n">
        <v>0</v>
      </c>
      <c r="AO509" s="0" t="n">
        <v>492</v>
      </c>
      <c r="AP509" s="0" t="n">
        <v>0</v>
      </c>
      <c r="AQ509" s="0" t="n">
        <v>0.0932846826991427</v>
      </c>
      <c r="AR509" s="0" t="n">
        <v>423.031461407326</v>
      </c>
      <c r="AS509" s="0" t="n">
        <v>74</v>
      </c>
      <c r="AT509" s="0" t="n">
        <v>74</v>
      </c>
    </row>
    <row r="510" customFormat="false" ht="12" hidden="false" customHeight="false" outlineLevel="0" collapsed="false">
      <c r="A510" s="0" t="n">
        <v>493</v>
      </c>
      <c r="B510" s="0" t="n">
        <v>1</v>
      </c>
      <c r="C510" s="0" t="n">
        <v>1.55996150851884</v>
      </c>
      <c r="D510" s="0" t="n">
        <v>534.526267673926</v>
      </c>
      <c r="E510" s="0" t="n">
        <v>2</v>
      </c>
      <c r="F510" s="0" t="n">
        <v>4</v>
      </c>
      <c r="G510" s="0" t="n">
        <v>0.5</v>
      </c>
      <c r="H510" s="0" t="n">
        <v>0</v>
      </c>
      <c r="I510" s="0" t="n">
        <v>1.76587434718997</v>
      </c>
      <c r="J510" s="0" t="n">
        <v>536.292142021116</v>
      </c>
      <c r="K510" s="0" t="n">
        <v>1.76587434718999</v>
      </c>
      <c r="L510" s="0" t="n">
        <v>0</v>
      </c>
      <c r="M510" s="0" t="n">
        <v>535.825796956304</v>
      </c>
      <c r="N510" s="0" t="n">
        <v>0</v>
      </c>
      <c r="O510" s="0" t="n">
        <v>493</v>
      </c>
      <c r="P510" s="0" t="n">
        <v>246</v>
      </c>
      <c r="Q510" s="0" t="n">
        <v>247</v>
      </c>
      <c r="R510" s="0" t="n">
        <v>751.794692537581</v>
      </c>
      <c r="S510" s="0" t="n">
        <v>442.397121636879</v>
      </c>
      <c r="T510" s="0" t="n">
        <v>28</v>
      </c>
      <c r="U510" s="0" t="n">
        <v>20</v>
      </c>
      <c r="V510" s="0" t="n">
        <v>26.8498008585562</v>
      </c>
      <c r="W510" s="0" t="n">
        <v>22.1197454831165</v>
      </c>
      <c r="X510" s="0" t="n">
        <v>1.76587434718999</v>
      </c>
      <c r="Y510" s="0" t="n">
        <v>0</v>
      </c>
      <c r="Z510" s="0" t="n">
        <v>0</v>
      </c>
      <c r="AA510" s="0" t="n">
        <v>0</v>
      </c>
      <c r="AB510" s="0" t="n">
        <v>1</v>
      </c>
      <c r="AC510" s="0" t="n">
        <v>0</v>
      </c>
      <c r="AD510" s="0" t="n">
        <v>0</v>
      </c>
      <c r="AE510" s="0" t="n">
        <v>0</v>
      </c>
      <c r="AF510" s="0" t="n">
        <v>32.0546860183885</v>
      </c>
      <c r="AG510" s="0" t="n">
        <v>0</v>
      </c>
      <c r="AH510" s="0" t="n">
        <v>0</v>
      </c>
      <c r="AI510" s="0" t="n">
        <v>0</v>
      </c>
      <c r="AK510" s="0" t="n">
        <f aca="false">A510</f>
        <v>493</v>
      </c>
      <c r="AL510" s="0" t="n">
        <v>1</v>
      </c>
      <c r="AM510" s="0" t="n">
        <v>1</v>
      </c>
      <c r="AO510" s="0" t="n">
        <v>493</v>
      </c>
      <c r="AP510" s="0" t="n">
        <v>1</v>
      </c>
      <c r="AQ510" s="0" t="n">
        <v>1.42518155924378</v>
      </c>
      <c r="AR510" s="0" t="n">
        <v>424.45664296657</v>
      </c>
      <c r="AS510" s="0" t="n">
        <v>72</v>
      </c>
      <c r="AT510" s="0" t="n">
        <v>74</v>
      </c>
    </row>
    <row r="511" customFormat="false" ht="12" hidden="false" customHeight="false" outlineLevel="0" collapsed="false">
      <c r="A511" s="0" t="n">
        <v>494</v>
      </c>
      <c r="B511" s="0" t="n">
        <v>1</v>
      </c>
      <c r="C511" s="0" t="n">
        <v>0.82039465464092</v>
      </c>
      <c r="D511" s="0" t="n">
        <v>535.346662328567</v>
      </c>
      <c r="E511" s="0" t="n">
        <v>4</v>
      </c>
      <c r="F511" s="0" t="n">
        <v>4</v>
      </c>
      <c r="G511" s="0" t="n">
        <v>0.5</v>
      </c>
      <c r="H511" s="0" t="n">
        <v>1</v>
      </c>
      <c r="I511" s="0" t="n">
        <v>0</v>
      </c>
      <c r="J511" s="0" t="n">
        <v>536.292142021116</v>
      </c>
      <c r="K511" s="0" t="n">
        <v>0</v>
      </c>
      <c r="L511" s="0" t="n">
        <v>2.22977180112362</v>
      </c>
      <c r="M511" s="0" t="n">
        <v>538.055568757427</v>
      </c>
      <c r="N511" s="0" t="n">
        <v>2.70890642886059</v>
      </c>
      <c r="O511" s="0" t="n">
        <v>494</v>
      </c>
      <c r="P511" s="0" t="n">
        <v>246</v>
      </c>
      <c r="Q511" s="0" t="n">
        <v>248</v>
      </c>
      <c r="R511" s="0" t="n">
        <v>707.044275532757</v>
      </c>
      <c r="S511" s="0" t="n">
        <v>492.839333169095</v>
      </c>
      <c r="T511" s="0" t="n">
        <v>28</v>
      </c>
      <c r="U511" s="0" t="n">
        <v>20</v>
      </c>
      <c r="V511" s="0" t="n">
        <v>25.2515722506084</v>
      </c>
      <c r="W511" s="0" t="n">
        <v>24.6418434492375</v>
      </c>
      <c r="X511" s="0" t="n">
        <v>0</v>
      </c>
      <c r="Y511" s="0" t="n">
        <v>0</v>
      </c>
      <c r="Z511" s="0" t="n">
        <v>2.70890642886059</v>
      </c>
      <c r="AA511" s="0" t="n">
        <v>0</v>
      </c>
      <c r="AB511" s="0" t="n">
        <v>0</v>
      </c>
      <c r="AC511" s="0" t="n">
        <v>0</v>
      </c>
      <c r="AD511" s="0" t="n">
        <v>1</v>
      </c>
      <c r="AE511" s="0" t="n">
        <v>0</v>
      </c>
      <c r="AF511" s="0" t="n">
        <v>0</v>
      </c>
      <c r="AG511" s="0" t="n">
        <v>0</v>
      </c>
      <c r="AH511" s="0" t="n">
        <v>25.5732171375622</v>
      </c>
      <c r="AI511" s="0" t="n">
        <v>0</v>
      </c>
      <c r="AK511" s="0" t="n">
        <f aca="false">A511</f>
        <v>494</v>
      </c>
      <c r="AL511" s="0" t="n">
        <v>0</v>
      </c>
      <c r="AM511" s="0" t="n">
        <v>0</v>
      </c>
      <c r="AO511" s="0" t="n">
        <v>494</v>
      </c>
      <c r="AP511" s="0" t="n">
        <v>0</v>
      </c>
      <c r="AQ511" s="0" t="n">
        <v>1.30196026144087</v>
      </c>
      <c r="AR511" s="0" t="n">
        <v>425.758603228011</v>
      </c>
      <c r="AS511" s="0" t="n">
        <v>74</v>
      </c>
      <c r="AT511" s="0" t="n">
        <v>74</v>
      </c>
    </row>
    <row r="512" customFormat="false" ht="12" hidden="false" customHeight="false" outlineLevel="0" collapsed="false">
      <c r="A512" s="0" t="n">
        <v>495</v>
      </c>
      <c r="B512" s="0" t="n">
        <v>1</v>
      </c>
      <c r="C512" s="0" t="n">
        <v>0.187222864560448</v>
      </c>
      <c r="D512" s="0" t="n">
        <v>535.533885193127</v>
      </c>
      <c r="E512" s="0" t="n">
        <v>4</v>
      </c>
      <c r="F512" s="0" t="n">
        <v>6</v>
      </c>
      <c r="G512" s="0" t="n">
        <v>0.5</v>
      </c>
      <c r="H512" s="0" t="n">
        <v>0</v>
      </c>
      <c r="I512" s="0" t="n">
        <v>2.05989494355946</v>
      </c>
      <c r="J512" s="0" t="n">
        <v>538.352036964675</v>
      </c>
      <c r="K512" s="0" t="n">
        <v>2.81815177154806</v>
      </c>
      <c r="L512" s="0" t="n">
        <v>0</v>
      </c>
      <c r="M512" s="0" t="n">
        <v>538.055568757427</v>
      </c>
      <c r="N512" s="0" t="n">
        <v>0</v>
      </c>
      <c r="O512" s="0" t="n">
        <v>495</v>
      </c>
      <c r="P512" s="0" t="n">
        <v>247</v>
      </c>
      <c r="Q512" s="0" t="n">
        <v>248</v>
      </c>
      <c r="R512" s="0" t="n">
        <v>646.954896936157</v>
      </c>
      <c r="S512" s="0" t="n">
        <v>570.72583947164</v>
      </c>
      <c r="T512" s="0" t="n">
        <v>25</v>
      </c>
      <c r="U512" s="0" t="n">
        <v>23</v>
      </c>
      <c r="V512" s="0" t="n">
        <v>25.8781855261721</v>
      </c>
      <c r="W512" s="0" t="n">
        <v>24.8140590463363</v>
      </c>
      <c r="X512" s="0" t="n">
        <v>2.81815177154806</v>
      </c>
      <c r="Y512" s="0" t="n">
        <v>0</v>
      </c>
      <c r="Z512" s="0" t="n">
        <v>0</v>
      </c>
      <c r="AA512" s="0" t="n">
        <v>0</v>
      </c>
      <c r="AB512" s="0" t="n">
        <v>1</v>
      </c>
      <c r="AC512" s="0" t="n">
        <v>0</v>
      </c>
      <c r="AD512" s="0" t="n">
        <v>0</v>
      </c>
      <c r="AE512" s="0" t="n">
        <v>0</v>
      </c>
      <c r="AF512" s="0" t="n">
        <v>21.2466455086868</v>
      </c>
      <c r="AG512" s="0" t="n">
        <v>0</v>
      </c>
      <c r="AH512" s="0" t="n">
        <v>0</v>
      </c>
      <c r="AI512" s="0" t="n">
        <v>0</v>
      </c>
      <c r="AK512" s="0" t="n">
        <f aca="false">A512</f>
        <v>495</v>
      </c>
      <c r="AL512" s="0" t="n">
        <v>1</v>
      </c>
      <c r="AM512" s="0" t="n">
        <v>1</v>
      </c>
      <c r="AO512" s="0" t="n">
        <v>495</v>
      </c>
      <c r="AP512" s="0" t="n">
        <v>1</v>
      </c>
      <c r="AQ512" s="0" t="n">
        <v>1.59465124951115</v>
      </c>
      <c r="AR512" s="0" t="n">
        <v>427.353254477522</v>
      </c>
      <c r="AS512" s="0" t="n">
        <v>74</v>
      </c>
      <c r="AT512" s="0" t="n">
        <v>72</v>
      </c>
    </row>
    <row r="513" customFormat="false" ht="12" hidden="false" customHeight="false" outlineLevel="0" collapsed="false">
      <c r="A513" s="0" t="n">
        <v>496</v>
      </c>
      <c r="B513" s="0" t="n">
        <v>0</v>
      </c>
      <c r="C513" s="0" t="n">
        <v>0.690305983291032</v>
      </c>
      <c r="D513" s="0" t="n">
        <v>536.224191176418</v>
      </c>
      <c r="E513" s="0" t="n">
        <v>6</v>
      </c>
      <c r="F513" s="0" t="n">
        <v>4</v>
      </c>
      <c r="G513" s="0" t="n">
        <v>0.5</v>
      </c>
      <c r="H513" s="0" t="n">
        <v>1</v>
      </c>
      <c r="I513" s="0" t="n">
        <v>0</v>
      </c>
      <c r="J513" s="0" t="n">
        <v>538.352036964675</v>
      </c>
      <c r="K513" s="0" t="n">
        <v>0</v>
      </c>
      <c r="L513" s="0" t="n">
        <v>1.85598903774959</v>
      </c>
      <c r="M513" s="0" t="n">
        <v>539.911557795177</v>
      </c>
      <c r="N513" s="0" t="n">
        <v>3.68736661875869</v>
      </c>
      <c r="O513" s="0" t="n">
        <v>496</v>
      </c>
      <c r="P513" s="0" t="n">
        <v>247</v>
      </c>
      <c r="Q513" s="0" t="n">
        <v>249</v>
      </c>
      <c r="R513" s="0" t="n">
        <v>487.425853575743</v>
      </c>
      <c r="S513" s="0" t="n">
        <v>718.212013636132</v>
      </c>
      <c r="T513" s="0" t="n">
        <v>18</v>
      </c>
      <c r="U513" s="0" t="n">
        <v>30</v>
      </c>
      <c r="V513" s="0" t="n">
        <v>27.0791990435418</v>
      </c>
      <c r="W513" s="0" t="n">
        <v>23.9403206534689</v>
      </c>
      <c r="X513" s="0" t="n">
        <v>0</v>
      </c>
      <c r="Y513" s="0" t="n">
        <v>0</v>
      </c>
      <c r="Z513" s="0" t="n">
        <v>0</v>
      </c>
      <c r="AA513" s="0" t="n">
        <v>3.68736661875869</v>
      </c>
      <c r="AB513" s="0" t="n">
        <v>0</v>
      </c>
      <c r="AC513" s="0" t="n">
        <v>0</v>
      </c>
      <c r="AD513" s="0" t="n">
        <v>0</v>
      </c>
      <c r="AE513" s="0" t="n">
        <v>1</v>
      </c>
      <c r="AF513" s="0" t="n">
        <v>0</v>
      </c>
      <c r="AG513" s="0" t="n">
        <v>0</v>
      </c>
      <c r="AH513" s="0" t="n">
        <v>0</v>
      </c>
      <c r="AI513" s="0" t="n">
        <v>16.3542121521143</v>
      </c>
      <c r="AK513" s="0" t="n">
        <f aca="false">A513</f>
        <v>496</v>
      </c>
      <c r="AL513" s="0" t="n">
        <v>1</v>
      </c>
      <c r="AM513" s="0" t="n">
        <v>1</v>
      </c>
      <c r="AO513" s="0" t="n">
        <v>496</v>
      </c>
      <c r="AP513" s="0" t="n">
        <v>0</v>
      </c>
      <c r="AQ513" s="0" t="n">
        <v>0.596163471328292</v>
      </c>
      <c r="AR513" s="0" t="n">
        <v>427.949417948851</v>
      </c>
      <c r="AS513" s="0" t="n">
        <v>72</v>
      </c>
      <c r="AT513" s="0" t="n">
        <v>74</v>
      </c>
    </row>
    <row r="514" customFormat="false" ht="12" hidden="false" customHeight="false" outlineLevel="0" collapsed="false">
      <c r="A514" s="0" t="n">
        <v>497</v>
      </c>
      <c r="B514" s="0" t="n">
        <v>1</v>
      </c>
      <c r="C514" s="0" t="n">
        <v>0.195546334353301</v>
      </c>
      <c r="D514" s="0" t="n">
        <v>536.419737510771</v>
      </c>
      <c r="E514" s="0" t="n">
        <v>4</v>
      </c>
      <c r="F514" s="0" t="n">
        <v>6</v>
      </c>
      <c r="G514" s="0" t="n">
        <v>0.5</v>
      </c>
      <c r="H514" s="0" t="n">
        <v>0</v>
      </c>
      <c r="I514" s="0" t="n">
        <v>1.94449037979059</v>
      </c>
      <c r="J514" s="0" t="n">
        <v>540.296527344466</v>
      </c>
      <c r="K514" s="0" t="n">
        <v>3.87678983369437</v>
      </c>
      <c r="L514" s="0" t="n">
        <v>0</v>
      </c>
      <c r="M514" s="0" t="n">
        <v>539.911557795177</v>
      </c>
      <c r="N514" s="0" t="n">
        <v>0</v>
      </c>
      <c r="O514" s="0" t="n">
        <v>497</v>
      </c>
      <c r="P514" s="0" t="n">
        <v>248</v>
      </c>
      <c r="Q514" s="0" t="n">
        <v>249</v>
      </c>
      <c r="R514" s="0" t="n">
        <v>553.371248830345</v>
      </c>
      <c r="S514" s="0" t="n">
        <v>660.423336334581</v>
      </c>
      <c r="T514" s="0" t="n">
        <v>27</v>
      </c>
      <c r="U514" s="0" t="n">
        <v>21</v>
      </c>
      <c r="V514" s="0" t="n">
        <v>20.4952238473373</v>
      </c>
      <c r="W514" s="0" t="n">
        <v>31.4485805465013</v>
      </c>
      <c r="X514" s="0" t="n">
        <v>3.87678983369437</v>
      </c>
      <c r="Y514" s="0" t="n">
        <v>0</v>
      </c>
      <c r="Z514" s="0" t="n">
        <v>0</v>
      </c>
      <c r="AA514" s="0" t="n">
        <v>0</v>
      </c>
      <c r="AB514" s="0" t="n">
        <v>1</v>
      </c>
      <c r="AC514" s="0" t="n">
        <v>0</v>
      </c>
      <c r="AD514" s="0" t="n">
        <v>0</v>
      </c>
      <c r="AE514" s="0" t="n">
        <v>0</v>
      </c>
      <c r="AF514" s="0" t="n">
        <v>12.6079697693219</v>
      </c>
      <c r="AG514" s="0" t="n">
        <v>0</v>
      </c>
      <c r="AH514" s="0" t="n">
        <v>0</v>
      </c>
      <c r="AI514" s="0" t="n">
        <v>0</v>
      </c>
      <c r="AK514" s="0" t="n">
        <f aca="false">A514</f>
        <v>497</v>
      </c>
      <c r="AL514" s="0" t="n">
        <v>1</v>
      </c>
      <c r="AM514" s="0" t="n">
        <v>1</v>
      </c>
      <c r="AO514" s="0" t="n">
        <v>497</v>
      </c>
      <c r="AP514" s="0" t="n">
        <v>0</v>
      </c>
      <c r="AQ514" s="0" t="n">
        <v>1.61835826078115</v>
      </c>
      <c r="AR514" s="0" t="n">
        <v>429.567776209632</v>
      </c>
      <c r="AS514" s="0" t="n">
        <v>72</v>
      </c>
      <c r="AT514" s="0" t="n">
        <v>74</v>
      </c>
    </row>
    <row r="515" customFormat="false" ht="12" hidden="false" customHeight="false" outlineLevel="0" collapsed="false">
      <c r="A515" s="0" t="n">
        <v>498</v>
      </c>
      <c r="B515" s="0" t="n">
        <v>1</v>
      </c>
      <c r="C515" s="0" t="n">
        <v>0.401415479574908</v>
      </c>
      <c r="D515" s="0" t="n">
        <v>536.821152990346</v>
      </c>
      <c r="E515" s="0" t="n">
        <v>6</v>
      </c>
      <c r="F515" s="0" t="n">
        <v>6</v>
      </c>
      <c r="G515" s="0" t="n">
        <v>0.5</v>
      </c>
      <c r="H515" s="0" t="n">
        <v>1</v>
      </c>
      <c r="I515" s="0" t="n">
        <v>0</v>
      </c>
      <c r="J515" s="0" t="n">
        <v>540.296527344466</v>
      </c>
      <c r="K515" s="0" t="n">
        <v>0</v>
      </c>
      <c r="L515" s="0" t="n">
        <v>1.89422964909042</v>
      </c>
      <c r="M515" s="0" t="n">
        <v>541.805787444267</v>
      </c>
      <c r="N515" s="0" t="n">
        <v>4.98463445392099</v>
      </c>
      <c r="O515" s="0" t="n">
        <v>498</v>
      </c>
      <c r="P515" s="0" t="n">
        <v>248</v>
      </c>
      <c r="Q515" s="0" t="n">
        <v>250</v>
      </c>
      <c r="R515" s="0" t="n">
        <v>607.814185546576</v>
      </c>
      <c r="S515" s="0" t="n">
        <v>610.290963420768</v>
      </c>
      <c r="T515" s="0" t="n">
        <v>21</v>
      </c>
      <c r="U515" s="0" t="n">
        <v>27</v>
      </c>
      <c r="V515" s="0" t="n">
        <v>28.943518862447</v>
      </c>
      <c r="W515" s="0" t="n">
        <v>22.6032852997125</v>
      </c>
      <c r="X515" s="0" t="n">
        <v>0</v>
      </c>
      <c r="Y515" s="0" t="n">
        <v>0</v>
      </c>
      <c r="Z515" s="0" t="n">
        <v>4.98463445392099</v>
      </c>
      <c r="AA515" s="0" t="n">
        <v>0</v>
      </c>
      <c r="AB515" s="0" t="n">
        <v>0</v>
      </c>
      <c r="AC515" s="0" t="n">
        <v>0</v>
      </c>
      <c r="AD515" s="0" t="n">
        <v>1</v>
      </c>
      <c r="AE515" s="0" t="n">
        <v>0</v>
      </c>
      <c r="AF515" s="0" t="n">
        <v>0</v>
      </c>
      <c r="AG515" s="0" t="n">
        <v>0</v>
      </c>
      <c r="AH515" s="0" t="n">
        <v>7.73545627473969</v>
      </c>
      <c r="AI515" s="0" t="n">
        <v>0</v>
      </c>
      <c r="AK515" s="0" t="n">
        <f aca="false">A515</f>
        <v>498</v>
      </c>
      <c r="AL515" s="0" t="n">
        <v>0</v>
      </c>
      <c r="AM515" s="0" t="n">
        <v>1</v>
      </c>
      <c r="AO515" s="0" t="n">
        <v>498</v>
      </c>
      <c r="AP515" s="0" t="n">
        <v>0</v>
      </c>
      <c r="AQ515" s="0" t="n">
        <v>0.430613604084468</v>
      </c>
      <c r="AR515" s="0" t="n">
        <v>429.998389813716</v>
      </c>
      <c r="AS515" s="0" t="n">
        <v>72</v>
      </c>
      <c r="AT515" s="0" t="n">
        <v>74</v>
      </c>
    </row>
    <row r="516" customFormat="false" ht="12" hidden="false" customHeight="false" outlineLevel="0" collapsed="false">
      <c r="A516" s="0" t="n">
        <v>499</v>
      </c>
      <c r="B516" s="0" t="n">
        <v>0</v>
      </c>
      <c r="C516" s="0" t="n">
        <v>0.234315066727385</v>
      </c>
      <c r="D516" s="0" t="n">
        <v>537.055468057074</v>
      </c>
      <c r="E516" s="0" t="n">
        <v>6</v>
      </c>
      <c r="F516" s="0" t="n">
        <v>8</v>
      </c>
      <c r="G516" s="0" t="n">
        <v>0.5</v>
      </c>
      <c r="H516" s="0" t="n">
        <v>1</v>
      </c>
      <c r="I516" s="0" t="n">
        <v>0</v>
      </c>
      <c r="J516" s="0" t="n">
        <v>540.296527344466</v>
      </c>
      <c r="K516" s="0" t="n">
        <v>0</v>
      </c>
      <c r="L516" s="0" t="n">
        <v>2.12496300753827</v>
      </c>
      <c r="M516" s="0" t="n">
        <v>543.930750451806</v>
      </c>
      <c r="N516" s="0" t="n">
        <v>6.87528239473181</v>
      </c>
      <c r="O516" s="0" t="n">
        <v>499</v>
      </c>
      <c r="P516" s="0" t="n">
        <v>248</v>
      </c>
      <c r="Q516" s="0" t="n">
        <v>251</v>
      </c>
      <c r="R516" s="0" t="n">
        <v>641.922112012462</v>
      </c>
      <c r="S516" s="0" t="n">
        <v>579.902674930195</v>
      </c>
      <c r="T516" s="0" t="n">
        <v>26</v>
      </c>
      <c r="U516" s="0" t="n">
        <v>22</v>
      </c>
      <c r="V516" s="0" t="n">
        <v>24.6893025045937</v>
      </c>
      <c r="W516" s="0" t="n">
        <v>26.3590926827694</v>
      </c>
      <c r="X516" s="0" t="n">
        <v>0</v>
      </c>
      <c r="Y516" s="0" t="n">
        <v>0</v>
      </c>
      <c r="Z516" s="0" t="n">
        <v>0</v>
      </c>
      <c r="AA516" s="0" t="n">
        <v>6.87528239473181</v>
      </c>
      <c r="AB516" s="0" t="n">
        <v>0</v>
      </c>
      <c r="AC516" s="0" t="n">
        <v>0</v>
      </c>
      <c r="AD516" s="0" t="n">
        <v>0</v>
      </c>
      <c r="AE516" s="0" t="n">
        <v>1</v>
      </c>
      <c r="AF516" s="0" t="n">
        <v>0</v>
      </c>
      <c r="AG516" s="0" t="n">
        <v>0</v>
      </c>
      <c r="AH516" s="0" t="n">
        <v>0</v>
      </c>
      <c r="AI516" s="0" t="n">
        <v>0.732938658861342</v>
      </c>
      <c r="AK516" s="0" t="n">
        <f aca="false">A516</f>
        <v>499</v>
      </c>
      <c r="AL516" s="0" t="n">
        <v>1</v>
      </c>
      <c r="AM516" s="0" t="n">
        <v>1</v>
      </c>
      <c r="AO516" s="0" t="n">
        <v>499</v>
      </c>
      <c r="AP516" s="0" t="n">
        <v>0</v>
      </c>
      <c r="AQ516" s="0" t="n">
        <v>2.3534449946192</v>
      </c>
      <c r="AR516" s="0" t="n">
        <v>432.351834808335</v>
      </c>
      <c r="AS516" s="0" t="n">
        <v>72</v>
      </c>
      <c r="AT516" s="0" t="n">
        <v>70</v>
      </c>
    </row>
    <row r="517" customFormat="false" ht="12" hidden="false" customHeight="false" outlineLevel="0" collapsed="false">
      <c r="A517" s="0" t="n">
        <v>500</v>
      </c>
      <c r="B517" s="0" t="n">
        <v>0</v>
      </c>
      <c r="C517" s="0" t="n">
        <v>0.0280733837187589</v>
      </c>
      <c r="D517" s="0" t="n">
        <v>537.083541440792</v>
      </c>
      <c r="E517" s="0" t="n">
        <v>6</v>
      </c>
      <c r="F517" s="0" t="n">
        <v>10</v>
      </c>
      <c r="G517" s="0" t="n">
        <v>0.5</v>
      </c>
      <c r="H517" s="0" t="n">
        <v>1</v>
      </c>
      <c r="I517" s="0" t="n">
        <v>0</v>
      </c>
      <c r="J517" s="0" t="n">
        <v>540.296527344466</v>
      </c>
      <c r="K517" s="0" t="n">
        <v>0</v>
      </c>
      <c r="L517" s="0" t="n">
        <v>1.75155821142231</v>
      </c>
      <c r="M517" s="0" t="n">
        <v>545.682308663228</v>
      </c>
      <c r="N517" s="0" t="n">
        <v>8.59876722243541</v>
      </c>
      <c r="O517" s="0" t="n">
        <v>500</v>
      </c>
      <c r="P517" s="0" t="n">
        <v>248</v>
      </c>
      <c r="Q517" s="0" t="n">
        <v>252</v>
      </c>
      <c r="R517" s="0" t="n">
        <v>521.881967851766</v>
      </c>
      <c r="S517" s="0" t="n">
        <v>708.82693307824</v>
      </c>
      <c r="T517" s="0" t="n">
        <v>20</v>
      </c>
      <c r="U517" s="0" t="n">
        <v>28</v>
      </c>
      <c r="V517" s="0" t="n">
        <v>26.0940853455456</v>
      </c>
      <c r="W517" s="0" t="n">
        <v>25.3151571986614</v>
      </c>
      <c r="X517" s="0" t="n">
        <v>0</v>
      </c>
      <c r="Y517" s="0" t="n">
        <v>0</v>
      </c>
      <c r="Z517" s="0" t="n">
        <v>0</v>
      </c>
      <c r="AA517" s="0" t="n">
        <v>8.59876722243541</v>
      </c>
      <c r="AB517" s="0" t="n">
        <v>0</v>
      </c>
      <c r="AC517" s="0" t="n">
        <v>0</v>
      </c>
      <c r="AD517" s="0" t="n">
        <v>0</v>
      </c>
      <c r="AE517" s="0" t="n">
        <v>1</v>
      </c>
      <c r="AF517" s="0" t="n">
        <v>0</v>
      </c>
      <c r="AG517" s="0" t="n">
        <v>0</v>
      </c>
      <c r="AH517" s="0" t="n">
        <v>0</v>
      </c>
      <c r="AI517" s="0" t="n">
        <v>0.752324576599714</v>
      </c>
      <c r="AK517" s="0" t="n">
        <f aca="false">A517</f>
        <v>500</v>
      </c>
      <c r="AL517" s="0" t="n">
        <v>2</v>
      </c>
      <c r="AM517" s="0" t="n">
        <v>0</v>
      </c>
      <c r="AO517" s="0" t="n">
        <v>500</v>
      </c>
      <c r="AP517" s="0" t="n">
        <v>1</v>
      </c>
      <c r="AQ517" s="0" t="n">
        <v>1.00862418950855</v>
      </c>
      <c r="AR517" s="0" t="n">
        <v>433.360458997844</v>
      </c>
      <c r="AS517" s="0" t="n">
        <v>72</v>
      </c>
      <c r="AT517" s="0" t="n">
        <v>72</v>
      </c>
    </row>
    <row r="518" customFormat="false" ht="12" hidden="false" customHeight="false" outlineLevel="0" collapsed="false">
      <c r="A518" s="0" t="n">
        <v>501</v>
      </c>
      <c r="B518" s="0" t="n">
        <v>1</v>
      </c>
      <c r="C518" s="0" t="n">
        <v>0.542869992421371</v>
      </c>
      <c r="D518" s="0" t="n">
        <v>537.626411433214</v>
      </c>
      <c r="E518" s="0" t="n">
        <v>6</v>
      </c>
      <c r="F518" s="0" t="n">
        <v>12</v>
      </c>
      <c r="G518" s="0" t="n">
        <v>0.5</v>
      </c>
      <c r="H518" s="0" t="n">
        <v>0</v>
      </c>
      <c r="I518" s="0" t="n">
        <v>1.93761868681923</v>
      </c>
      <c r="J518" s="0" t="n">
        <v>542.234146031285</v>
      </c>
      <c r="K518" s="0" t="n">
        <v>4.60773459807115</v>
      </c>
      <c r="L518" s="0" t="n">
        <v>0</v>
      </c>
      <c r="M518" s="0" t="n">
        <v>545.682308663228</v>
      </c>
      <c r="N518" s="0" t="n">
        <v>0</v>
      </c>
      <c r="O518" s="0" t="n">
        <v>501</v>
      </c>
      <c r="P518" s="0" t="n">
        <v>249</v>
      </c>
      <c r="Q518" s="0" t="n">
        <v>252</v>
      </c>
      <c r="R518" s="0" t="n">
        <v>531.026935370735</v>
      </c>
      <c r="S518" s="0" t="n">
        <v>685.079014647755</v>
      </c>
      <c r="T518" s="0" t="n">
        <v>26</v>
      </c>
      <c r="U518" s="0" t="n">
        <v>22</v>
      </c>
      <c r="V518" s="0" t="n">
        <v>20.4241050434494</v>
      </c>
      <c r="W518" s="0" t="n">
        <v>31.139813666654</v>
      </c>
      <c r="X518" s="0" t="n">
        <v>4.60773459807115</v>
      </c>
      <c r="Y518" s="0" t="n">
        <v>0</v>
      </c>
      <c r="Z518" s="0" t="n">
        <v>0</v>
      </c>
      <c r="AA518" s="0" t="n">
        <v>0</v>
      </c>
      <c r="AB518" s="0" t="n">
        <v>1</v>
      </c>
      <c r="AC518" s="0" t="n">
        <v>0</v>
      </c>
      <c r="AD518" s="0" t="n">
        <v>0</v>
      </c>
      <c r="AE518" s="0" t="n">
        <v>0</v>
      </c>
      <c r="AF518" s="0" t="n">
        <v>7.95141608785159</v>
      </c>
      <c r="AG518" s="0" t="n">
        <v>0</v>
      </c>
      <c r="AH518" s="0" t="n">
        <v>0</v>
      </c>
      <c r="AI518" s="0" t="n">
        <v>0</v>
      </c>
      <c r="AK518" s="0" t="n">
        <f aca="false">A518</f>
        <v>501</v>
      </c>
      <c r="AL518" s="0" t="n">
        <v>3</v>
      </c>
      <c r="AM518" s="0" t="n">
        <v>1</v>
      </c>
      <c r="AO518" s="0" t="n">
        <v>501</v>
      </c>
      <c r="AP518" s="0" t="n">
        <v>0</v>
      </c>
      <c r="AQ518" s="0" t="n">
        <v>0.0539852582510277</v>
      </c>
      <c r="AR518" s="0" t="n">
        <v>433.414444256095</v>
      </c>
      <c r="AS518" s="0" t="n">
        <v>74</v>
      </c>
      <c r="AT518" s="0" t="n">
        <v>72</v>
      </c>
    </row>
    <row r="519" customFormat="false" ht="12" hidden="false" customHeight="false" outlineLevel="0" collapsed="false">
      <c r="A519" s="0" t="n">
        <v>502</v>
      </c>
      <c r="B519" s="0" t="n">
        <v>0</v>
      </c>
      <c r="C519" s="0" t="n">
        <v>0.00234303516490686</v>
      </c>
      <c r="D519" s="0" t="n">
        <v>537.628754468379</v>
      </c>
      <c r="E519" s="0" t="n">
        <v>8</v>
      </c>
      <c r="F519" s="0" t="n">
        <v>12</v>
      </c>
      <c r="G519" s="0" t="n">
        <v>0.5</v>
      </c>
      <c r="H519" s="0" t="n">
        <v>1</v>
      </c>
      <c r="I519" s="0" t="n">
        <v>0</v>
      </c>
      <c r="J519" s="0" t="n">
        <v>542.234146031285</v>
      </c>
      <c r="K519" s="0" t="n">
        <v>0</v>
      </c>
      <c r="L519" s="0" t="n">
        <v>1.94489682271843</v>
      </c>
      <c r="M519" s="0" t="n">
        <v>547.627205485946</v>
      </c>
      <c r="N519" s="0" t="n">
        <v>9.9984510175675</v>
      </c>
      <c r="O519" s="0" t="n">
        <v>502</v>
      </c>
      <c r="P519" s="0" t="n">
        <v>249</v>
      </c>
      <c r="Q519" s="0" t="n">
        <v>253</v>
      </c>
      <c r="R519" s="0" t="n">
        <v>754.354424874336</v>
      </c>
      <c r="S519" s="0" t="n">
        <v>469.873816711653</v>
      </c>
      <c r="T519" s="0" t="n">
        <v>27</v>
      </c>
      <c r="U519" s="0" t="n">
        <v>21</v>
      </c>
      <c r="V519" s="0" t="n">
        <v>27.93904242533</v>
      </c>
      <c r="W519" s="0" t="n">
        <v>22.3748371060925</v>
      </c>
      <c r="X519" s="0" t="n">
        <v>0</v>
      </c>
      <c r="Y519" s="0" t="n">
        <v>0</v>
      </c>
      <c r="Z519" s="0" t="n">
        <v>0</v>
      </c>
      <c r="AA519" s="0" t="n">
        <v>9.9984510175675</v>
      </c>
      <c r="AB519" s="0" t="n">
        <v>0</v>
      </c>
      <c r="AC519" s="0" t="n">
        <v>0</v>
      </c>
      <c r="AD519" s="0" t="n">
        <v>0</v>
      </c>
      <c r="AE519" s="0" t="n">
        <v>1</v>
      </c>
      <c r="AF519" s="0" t="n">
        <v>0</v>
      </c>
      <c r="AG519" s="0" t="n">
        <v>0</v>
      </c>
      <c r="AH519" s="0" t="n">
        <v>0</v>
      </c>
      <c r="AI519" s="0" t="n">
        <v>5.13951686103726</v>
      </c>
      <c r="AK519" s="0" t="n">
        <f aca="false">A519</f>
        <v>502</v>
      </c>
      <c r="AL519" s="0" t="n">
        <v>2</v>
      </c>
      <c r="AM519" s="0" t="n">
        <v>2</v>
      </c>
      <c r="AO519" s="0" t="n">
        <v>502</v>
      </c>
      <c r="AP519" s="0" t="n">
        <v>1</v>
      </c>
      <c r="AQ519" s="0" t="n">
        <v>1.95423884739014</v>
      </c>
      <c r="AR519" s="0" t="n">
        <v>435.368683103485</v>
      </c>
      <c r="AS519" s="0" t="n">
        <v>74</v>
      </c>
      <c r="AT519" s="0" t="n">
        <v>70</v>
      </c>
    </row>
    <row r="520" customFormat="false" ht="12" hidden="false" customHeight="false" outlineLevel="0" collapsed="false">
      <c r="A520" s="0" t="n">
        <v>503</v>
      </c>
      <c r="B520" s="0" t="n">
        <v>1</v>
      </c>
      <c r="C520" s="0" t="n">
        <v>1.21510984404653</v>
      </c>
      <c r="D520" s="0" t="n">
        <v>538.843864312425</v>
      </c>
      <c r="E520" s="0" t="n">
        <v>6</v>
      </c>
      <c r="F520" s="0" t="n">
        <v>12</v>
      </c>
      <c r="G520" s="0" t="n">
        <v>0.5</v>
      </c>
      <c r="H520" s="0" t="n">
        <v>0</v>
      </c>
      <c r="I520" s="0" t="n">
        <v>1.81768442221398</v>
      </c>
      <c r="J520" s="0" t="n">
        <v>544.051830453499</v>
      </c>
      <c r="K520" s="0" t="n">
        <v>5.20796614107371</v>
      </c>
      <c r="L520" s="0" t="n">
        <v>0</v>
      </c>
      <c r="M520" s="0" t="n">
        <v>547.627205485946</v>
      </c>
      <c r="N520" s="0" t="n">
        <v>0</v>
      </c>
      <c r="O520" s="0" t="n">
        <v>503</v>
      </c>
      <c r="P520" s="0" t="n">
        <v>250</v>
      </c>
      <c r="Q520" s="0" t="n">
        <v>253</v>
      </c>
      <c r="R520" s="0" t="n">
        <v>567.152892661993</v>
      </c>
      <c r="S520" s="0" t="n">
        <v>675.266987517892</v>
      </c>
      <c r="T520" s="0" t="n">
        <v>20</v>
      </c>
      <c r="U520" s="0" t="n">
        <v>28</v>
      </c>
      <c r="V520" s="0" t="n">
        <v>28.3576304542844</v>
      </c>
      <c r="W520" s="0" t="n">
        <v>24.1165919949533</v>
      </c>
      <c r="X520" s="0" t="n">
        <v>5.20796614107371</v>
      </c>
      <c r="Y520" s="0" t="n">
        <v>0</v>
      </c>
      <c r="Z520" s="0" t="n">
        <v>0</v>
      </c>
      <c r="AA520" s="0" t="n">
        <v>0</v>
      </c>
      <c r="AB520" s="0" t="n">
        <v>1</v>
      </c>
      <c r="AC520" s="0" t="n">
        <v>0</v>
      </c>
      <c r="AD520" s="0" t="n">
        <v>0</v>
      </c>
      <c r="AE520" s="0" t="n">
        <v>0</v>
      </c>
      <c r="AF520" s="0" t="n">
        <v>4.92659752080733</v>
      </c>
      <c r="AG520" s="0" t="n">
        <v>0</v>
      </c>
      <c r="AH520" s="0" t="n">
        <v>0</v>
      </c>
      <c r="AI520" s="0" t="n">
        <v>0</v>
      </c>
      <c r="AK520" s="0" t="n">
        <f aca="false">A520</f>
        <v>503</v>
      </c>
      <c r="AL520" s="0" t="n">
        <v>3</v>
      </c>
      <c r="AM520" s="0" t="n">
        <v>0</v>
      </c>
      <c r="AO520" s="0" t="n">
        <v>503</v>
      </c>
      <c r="AP520" s="0" t="n">
        <v>1</v>
      </c>
      <c r="AQ520" s="0" t="n">
        <v>0.567667461685889</v>
      </c>
      <c r="AR520" s="0" t="n">
        <v>435.936350565171</v>
      </c>
      <c r="AS520" s="0" t="n">
        <v>72</v>
      </c>
      <c r="AT520" s="0" t="n">
        <v>72</v>
      </c>
    </row>
    <row r="521" customFormat="false" ht="12" hidden="false" customHeight="false" outlineLevel="0" collapsed="false">
      <c r="A521" s="0" t="n">
        <v>504</v>
      </c>
      <c r="B521" s="0" t="n">
        <v>1</v>
      </c>
      <c r="C521" s="0" t="n">
        <v>1.1830516497746</v>
      </c>
      <c r="D521" s="0" t="n">
        <v>540.0269159622</v>
      </c>
      <c r="E521" s="0" t="n">
        <v>8</v>
      </c>
      <c r="F521" s="0" t="n">
        <v>10</v>
      </c>
      <c r="G521" s="0" t="n">
        <v>0.5</v>
      </c>
      <c r="H521" s="0" t="n">
        <v>0</v>
      </c>
      <c r="I521" s="0" t="n">
        <v>1.95425367490441</v>
      </c>
      <c r="J521" s="0" t="n">
        <v>546.006084128403</v>
      </c>
      <c r="K521" s="0" t="n">
        <v>5.97916816620352</v>
      </c>
      <c r="L521" s="0" t="n">
        <v>0</v>
      </c>
      <c r="M521" s="0" t="n">
        <v>547.627205485946</v>
      </c>
      <c r="N521" s="0" t="n">
        <v>0</v>
      </c>
      <c r="O521" s="0" t="n">
        <v>504</v>
      </c>
      <c r="P521" s="0" t="n">
        <v>251</v>
      </c>
      <c r="Q521" s="0" t="n">
        <v>253</v>
      </c>
      <c r="R521" s="0" t="n">
        <v>644.008320398565</v>
      </c>
      <c r="S521" s="0" t="n">
        <v>584.233296169859</v>
      </c>
      <c r="T521" s="0" t="n">
        <v>24</v>
      </c>
      <c r="U521" s="0" t="n">
        <v>24</v>
      </c>
      <c r="V521" s="0" t="n">
        <v>26.8336688359115</v>
      </c>
      <c r="W521" s="0" t="n">
        <v>24.3429525781084</v>
      </c>
      <c r="X521" s="0" t="n">
        <v>5.97916816620352</v>
      </c>
      <c r="Y521" s="0" t="n">
        <v>0</v>
      </c>
      <c r="Z521" s="0" t="n">
        <v>0</v>
      </c>
      <c r="AA521" s="0" t="n">
        <v>0</v>
      </c>
      <c r="AB521" s="0" t="n">
        <v>1</v>
      </c>
      <c r="AC521" s="0" t="n">
        <v>0</v>
      </c>
      <c r="AD521" s="0" t="n">
        <v>0</v>
      </c>
      <c r="AE521" s="0" t="n">
        <v>0</v>
      </c>
      <c r="AF521" s="0" t="n">
        <v>2.09783931023947</v>
      </c>
      <c r="AG521" s="0" t="n">
        <v>0</v>
      </c>
      <c r="AH521" s="0" t="n">
        <v>0</v>
      </c>
      <c r="AI521" s="0" t="n">
        <v>0</v>
      </c>
      <c r="AK521" s="0" t="n">
        <f aca="false">A521</f>
        <v>504</v>
      </c>
      <c r="AL521" s="0" t="n">
        <v>1</v>
      </c>
      <c r="AM521" s="0" t="n">
        <v>2</v>
      </c>
      <c r="AO521" s="0" t="n">
        <v>504</v>
      </c>
      <c r="AP521" s="0" t="n">
        <v>1</v>
      </c>
      <c r="AQ521" s="0" t="n">
        <v>1.08794053116314</v>
      </c>
      <c r="AR521" s="0" t="n">
        <v>437.024291096334</v>
      </c>
      <c r="AS521" s="0" t="n">
        <v>74</v>
      </c>
      <c r="AT521" s="0" t="n">
        <v>70</v>
      </c>
    </row>
    <row r="522" customFormat="false" ht="12" hidden="false" customHeight="false" outlineLevel="0" collapsed="false">
      <c r="A522" s="0" t="n">
        <v>505</v>
      </c>
      <c r="B522" s="0" t="n">
        <v>0</v>
      </c>
      <c r="C522" s="0" t="n">
        <v>0.0141138690849346</v>
      </c>
      <c r="D522" s="0" t="n">
        <v>540.041029831285</v>
      </c>
      <c r="E522" s="0" t="n">
        <v>10</v>
      </c>
      <c r="F522" s="0" t="n">
        <v>10</v>
      </c>
      <c r="G522" s="0" t="n">
        <v>0.5</v>
      </c>
      <c r="H522" s="0" t="n">
        <v>1</v>
      </c>
      <c r="I522" s="0" t="n">
        <v>0</v>
      </c>
      <c r="J522" s="0" t="n">
        <v>546.006084128403</v>
      </c>
      <c r="K522" s="0" t="n">
        <v>0</v>
      </c>
      <c r="L522" s="0" t="n">
        <v>1.86453674131442</v>
      </c>
      <c r="M522" s="0" t="n">
        <v>549.491742227261</v>
      </c>
      <c r="N522" s="0" t="n">
        <v>9.45071239597587</v>
      </c>
      <c r="O522" s="0" t="n">
        <v>505</v>
      </c>
      <c r="P522" s="0" t="n">
        <v>251</v>
      </c>
      <c r="Q522" s="0" t="n">
        <v>254</v>
      </c>
      <c r="R522" s="0" t="n">
        <v>648.63198147665</v>
      </c>
      <c r="S522" s="0" t="n">
        <v>579.721532443665</v>
      </c>
      <c r="T522" s="0" t="n">
        <v>24</v>
      </c>
      <c r="U522" s="0" t="n">
        <v>24</v>
      </c>
      <c r="V522" s="0" t="n">
        <v>27.0263213005599</v>
      </c>
      <c r="W522" s="0" t="n">
        <v>24.1549632061394</v>
      </c>
      <c r="X522" s="0" t="n">
        <v>0</v>
      </c>
      <c r="Y522" s="0" t="n">
        <v>0</v>
      </c>
      <c r="Z522" s="0" t="n">
        <v>0</v>
      </c>
      <c r="AA522" s="0" t="n">
        <v>9.45071239597587</v>
      </c>
      <c r="AB522" s="0" t="n">
        <v>0</v>
      </c>
      <c r="AC522" s="0" t="n">
        <v>0</v>
      </c>
      <c r="AD522" s="0" t="n">
        <v>0</v>
      </c>
      <c r="AE522" s="0" t="n">
        <v>1</v>
      </c>
      <c r="AF522" s="0" t="n">
        <v>0</v>
      </c>
      <c r="AG522" s="0" t="n">
        <v>0</v>
      </c>
      <c r="AH522" s="0" t="n">
        <v>0</v>
      </c>
      <c r="AI522" s="0" t="n">
        <v>2.95603249454927</v>
      </c>
      <c r="AK522" s="0" t="n">
        <f aca="false">A522</f>
        <v>505</v>
      </c>
      <c r="AL522" s="0" t="n">
        <v>0</v>
      </c>
      <c r="AM522" s="0" t="n">
        <v>1</v>
      </c>
      <c r="AO522" s="0" t="n">
        <v>505</v>
      </c>
      <c r="AP522" s="0" t="n">
        <v>1</v>
      </c>
      <c r="AQ522" s="0" t="n">
        <v>2.17984120181553</v>
      </c>
      <c r="AR522" s="0" t="n">
        <v>439.20413229815</v>
      </c>
      <c r="AS522" s="0" t="n">
        <v>72</v>
      </c>
      <c r="AT522" s="0" t="n">
        <v>70</v>
      </c>
    </row>
    <row r="523" customFormat="false" ht="12" hidden="false" customHeight="false" outlineLevel="0" collapsed="false">
      <c r="A523" s="0" t="n">
        <v>506</v>
      </c>
      <c r="B523" s="0" t="n">
        <v>1</v>
      </c>
      <c r="C523" s="0" t="n">
        <v>0.0864081868909468</v>
      </c>
      <c r="D523" s="0" t="n">
        <v>540.127438018176</v>
      </c>
      <c r="E523" s="0" t="n">
        <v>10</v>
      </c>
      <c r="F523" s="0" t="n">
        <v>12</v>
      </c>
      <c r="G523" s="0" t="n">
        <v>0.5</v>
      </c>
      <c r="H523" s="0" t="n">
        <v>0</v>
      </c>
      <c r="I523" s="0" t="n">
        <v>1.96252602110052</v>
      </c>
      <c r="J523" s="0" t="n">
        <v>547.968610149504</v>
      </c>
      <c r="K523" s="0" t="n">
        <v>7.84117213132822</v>
      </c>
      <c r="L523" s="0" t="n">
        <v>0</v>
      </c>
      <c r="M523" s="0" t="n">
        <v>549.491742227261</v>
      </c>
      <c r="N523" s="0" t="n">
        <v>0</v>
      </c>
      <c r="O523" s="0" t="n">
        <v>506</v>
      </c>
      <c r="P523" s="0" t="n">
        <v>252</v>
      </c>
      <c r="Q523" s="0" t="n">
        <v>254</v>
      </c>
      <c r="R523" s="0" t="n">
        <v>628.15734364376</v>
      </c>
      <c r="S523" s="0" t="n">
        <v>608.539697317348</v>
      </c>
      <c r="T523" s="0" t="n">
        <v>24</v>
      </c>
      <c r="U523" s="0" t="n">
        <v>24</v>
      </c>
      <c r="V523" s="0" t="n">
        <v>26.1732117463184</v>
      </c>
      <c r="W523" s="0" t="n">
        <v>25.3557150727434</v>
      </c>
      <c r="X523" s="0" t="n">
        <v>7.84117213132822</v>
      </c>
      <c r="Y523" s="0" t="n">
        <v>0</v>
      </c>
      <c r="Z523" s="0" t="n">
        <v>0</v>
      </c>
      <c r="AA523" s="0" t="n">
        <v>0</v>
      </c>
      <c r="AB523" s="0" t="n">
        <v>1</v>
      </c>
      <c r="AC523" s="0" t="n">
        <v>0</v>
      </c>
      <c r="AD523" s="0" t="n">
        <v>0</v>
      </c>
      <c r="AE523" s="0" t="n">
        <v>0</v>
      </c>
      <c r="AF523" s="0" t="n">
        <v>0.171074879233023</v>
      </c>
      <c r="AG523" s="0" t="n">
        <v>0</v>
      </c>
      <c r="AH523" s="0" t="n">
        <v>0</v>
      </c>
      <c r="AI523" s="0" t="n">
        <v>0</v>
      </c>
      <c r="AK523" s="0" t="n">
        <f aca="false">A523</f>
        <v>506</v>
      </c>
      <c r="AL523" s="0" t="n">
        <v>1</v>
      </c>
      <c r="AM523" s="0" t="n">
        <v>1</v>
      </c>
      <c r="AO523" s="0" t="n">
        <v>506</v>
      </c>
      <c r="AP523" s="0" t="n">
        <v>1</v>
      </c>
      <c r="AQ523" s="0" t="n">
        <v>0.890753850366187</v>
      </c>
      <c r="AR523" s="0" t="n">
        <v>440.094886148516</v>
      </c>
      <c r="AS523" s="0" t="n">
        <v>72</v>
      </c>
      <c r="AT523" s="0" t="n">
        <v>70</v>
      </c>
    </row>
    <row r="524" customFormat="false" ht="12" hidden="false" customHeight="false" outlineLevel="0" collapsed="false">
      <c r="A524" s="0" t="n">
        <v>507</v>
      </c>
      <c r="B524" s="0" t="n">
        <v>0</v>
      </c>
      <c r="C524" s="0" t="n">
        <v>0.551264783649713</v>
      </c>
      <c r="D524" s="0" t="n">
        <v>540.678702801825</v>
      </c>
      <c r="E524" s="0" t="n">
        <v>10</v>
      </c>
      <c r="F524" s="0" t="n">
        <v>12</v>
      </c>
      <c r="G524" s="0" t="n">
        <v>0.5</v>
      </c>
      <c r="H524" s="0" t="n">
        <v>0</v>
      </c>
      <c r="I524" s="0" t="n">
        <v>1.85941736858749</v>
      </c>
      <c r="J524" s="0" t="n">
        <v>549.828027518091</v>
      </c>
      <c r="K524" s="0" t="n">
        <v>9.14932471626605</v>
      </c>
      <c r="L524" s="0" t="n">
        <v>0</v>
      </c>
      <c r="M524" s="0" t="n">
        <v>549.491742227261</v>
      </c>
      <c r="N524" s="0" t="n">
        <v>0</v>
      </c>
      <c r="O524" s="0" t="n">
        <v>507</v>
      </c>
      <c r="P524" s="0" t="n">
        <v>253</v>
      </c>
      <c r="Q524" s="0" t="n">
        <v>254</v>
      </c>
      <c r="R524" s="0" t="n">
        <v>599.359967060114</v>
      </c>
      <c r="S524" s="0" t="n">
        <v>642.797803130013</v>
      </c>
      <c r="T524" s="0" t="n">
        <v>23</v>
      </c>
      <c r="U524" s="0" t="n">
        <v>25</v>
      </c>
      <c r="V524" s="0" t="n">
        <v>26.0591176725625</v>
      </c>
      <c r="W524" s="0" t="n">
        <v>25.7118092779634</v>
      </c>
      <c r="X524" s="0" t="n">
        <v>0</v>
      </c>
      <c r="Y524" s="0" t="n">
        <v>9.14932471626605</v>
      </c>
      <c r="Z524" s="0" t="n">
        <v>0</v>
      </c>
      <c r="AA524" s="0" t="n">
        <v>0</v>
      </c>
      <c r="AB524" s="0" t="n">
        <v>0</v>
      </c>
      <c r="AC524" s="0" t="n">
        <v>1</v>
      </c>
      <c r="AD524" s="0" t="n">
        <v>0</v>
      </c>
      <c r="AE524" s="0" t="n">
        <v>0</v>
      </c>
      <c r="AF524" s="0" t="n">
        <v>0</v>
      </c>
      <c r="AG524" s="0" t="n">
        <v>0.793288905983754</v>
      </c>
      <c r="AH524" s="0" t="n">
        <v>0</v>
      </c>
      <c r="AI524" s="0" t="n">
        <v>0</v>
      </c>
      <c r="AK524" s="0" t="n">
        <f aca="false">A524</f>
        <v>507</v>
      </c>
      <c r="AL524" s="0" t="n">
        <v>1</v>
      </c>
      <c r="AM524" s="0" t="n">
        <v>1</v>
      </c>
      <c r="AO524" s="0" t="n">
        <v>507</v>
      </c>
      <c r="AP524" s="0" t="n">
        <v>0</v>
      </c>
      <c r="AQ524" s="0" t="n">
        <v>2.24407168848397</v>
      </c>
      <c r="AR524" s="0" t="n">
        <v>442.338957837</v>
      </c>
      <c r="AS524" s="0" t="n">
        <v>68</v>
      </c>
      <c r="AT524" s="0" t="n">
        <v>70</v>
      </c>
    </row>
    <row r="525" customFormat="false" ht="12" hidden="false" customHeight="false" outlineLevel="0" collapsed="false">
      <c r="A525" s="0" t="n">
        <v>508</v>
      </c>
      <c r="B525" s="0" t="n">
        <v>0</v>
      </c>
      <c r="C525" s="0" t="n">
        <v>0.0765656835509339</v>
      </c>
      <c r="D525" s="0" t="n">
        <v>540.755268485376</v>
      </c>
      <c r="E525" s="0" t="n">
        <v>12</v>
      </c>
      <c r="F525" s="0" t="n">
        <v>12</v>
      </c>
      <c r="G525" s="0" t="n">
        <v>0.5</v>
      </c>
      <c r="H525" s="0" t="n">
        <v>1</v>
      </c>
      <c r="I525" s="0" t="n">
        <v>0</v>
      </c>
      <c r="J525" s="0" t="n">
        <v>549.828027518091</v>
      </c>
      <c r="K525" s="0" t="n">
        <v>0</v>
      </c>
      <c r="L525" s="0" t="n">
        <v>2.0641103881308</v>
      </c>
      <c r="M525" s="0" t="n">
        <v>551.555852615391</v>
      </c>
      <c r="N525" s="0" t="n">
        <v>10.8005841300151</v>
      </c>
      <c r="O525" s="0" t="n">
        <v>508</v>
      </c>
      <c r="P525" s="0" t="n">
        <v>253</v>
      </c>
      <c r="Q525" s="0" t="n">
        <v>255</v>
      </c>
      <c r="R525" s="0" t="n">
        <v>466.036942837228</v>
      </c>
      <c r="S525" s="0" t="n">
        <v>774.09001175458</v>
      </c>
      <c r="T525" s="0" t="n">
        <v>22</v>
      </c>
      <c r="U525" s="0" t="n">
        <v>26</v>
      </c>
      <c r="V525" s="0" t="n">
        <v>21.1834877728341</v>
      </c>
      <c r="W525" s="0" t="n">
        <v>29.7725782498752</v>
      </c>
      <c r="X525" s="0" t="n">
        <v>0</v>
      </c>
      <c r="Y525" s="0" t="n">
        <v>0</v>
      </c>
      <c r="Z525" s="0" t="n">
        <v>0</v>
      </c>
      <c r="AA525" s="0" t="n">
        <v>10.8005841300151</v>
      </c>
      <c r="AB525" s="0" t="n">
        <v>0</v>
      </c>
      <c r="AC525" s="0" t="n">
        <v>0</v>
      </c>
      <c r="AD525" s="0" t="n">
        <v>0</v>
      </c>
      <c r="AE525" s="0" t="n">
        <v>1</v>
      </c>
      <c r="AF525" s="0" t="n">
        <v>0</v>
      </c>
      <c r="AG525" s="0" t="n">
        <v>0</v>
      </c>
      <c r="AH525" s="0" t="n">
        <v>0</v>
      </c>
      <c r="AI525" s="0" t="n">
        <v>9.41988654618701</v>
      </c>
      <c r="AK525" s="0" t="n">
        <f aca="false">A525</f>
        <v>508</v>
      </c>
      <c r="AL525" s="0" t="n">
        <v>0</v>
      </c>
      <c r="AM525" s="0" t="n">
        <v>2</v>
      </c>
      <c r="AO525" s="0" t="n">
        <v>508</v>
      </c>
      <c r="AP525" s="0" t="n">
        <v>0</v>
      </c>
      <c r="AQ525" s="0" t="n">
        <v>0.552539012664721</v>
      </c>
      <c r="AR525" s="0" t="n">
        <v>442.891496849665</v>
      </c>
      <c r="AS525" s="0" t="n">
        <v>68</v>
      </c>
      <c r="AT525" s="0" t="n">
        <v>72</v>
      </c>
    </row>
    <row r="526" customFormat="false" ht="12" hidden="false" customHeight="false" outlineLevel="0" collapsed="false">
      <c r="A526" s="0" t="n">
        <v>509</v>
      </c>
      <c r="B526" s="0" t="n">
        <v>0</v>
      </c>
      <c r="C526" s="0" t="n">
        <v>0.21397991434619</v>
      </c>
      <c r="D526" s="0" t="n">
        <v>540.969248399723</v>
      </c>
      <c r="E526" s="0" t="n">
        <v>12</v>
      </c>
      <c r="F526" s="0" t="n">
        <v>14</v>
      </c>
      <c r="G526" s="0" t="n">
        <v>0.5</v>
      </c>
      <c r="H526" s="0" t="n">
        <v>0</v>
      </c>
      <c r="I526" s="0" t="n">
        <v>2.17987457139625</v>
      </c>
      <c r="J526" s="0" t="n">
        <v>552.007902089488</v>
      </c>
      <c r="K526" s="0" t="n">
        <v>11.0386536897652</v>
      </c>
      <c r="L526" s="0" t="n">
        <v>0</v>
      </c>
      <c r="M526" s="0" t="n">
        <v>551.555852615391</v>
      </c>
      <c r="N526" s="0" t="n">
        <v>0</v>
      </c>
      <c r="O526" s="0" t="n">
        <v>509</v>
      </c>
      <c r="P526" s="0" t="n">
        <v>254</v>
      </c>
      <c r="Q526" s="0" t="n">
        <v>255</v>
      </c>
      <c r="R526" s="0" t="n">
        <v>585.153031097292</v>
      </c>
      <c r="S526" s="0" t="n">
        <v>637.708823619844</v>
      </c>
      <c r="T526" s="0" t="n">
        <v>24</v>
      </c>
      <c r="U526" s="0" t="n">
        <v>24</v>
      </c>
      <c r="V526" s="0" t="n">
        <v>24.3813661368179</v>
      </c>
      <c r="W526" s="0" t="n">
        <v>26.571090271284</v>
      </c>
      <c r="X526" s="0" t="n">
        <v>0</v>
      </c>
      <c r="Y526" s="0" t="n">
        <v>11.0386536897652</v>
      </c>
      <c r="Z526" s="0" t="n">
        <v>0</v>
      </c>
      <c r="AA526" s="0" t="n">
        <v>0</v>
      </c>
      <c r="AB526" s="0" t="n">
        <v>0</v>
      </c>
      <c r="AC526" s="0" t="n">
        <v>1</v>
      </c>
      <c r="AD526" s="0" t="n">
        <v>0</v>
      </c>
      <c r="AE526" s="0" t="n">
        <v>0</v>
      </c>
      <c r="AF526" s="0" t="n">
        <v>0</v>
      </c>
      <c r="AG526" s="0" t="n">
        <v>7.7283813615895</v>
      </c>
      <c r="AH526" s="0" t="n">
        <v>0</v>
      </c>
      <c r="AI526" s="0" t="n">
        <v>0</v>
      </c>
      <c r="AK526" s="0" t="n">
        <f aca="false">A526</f>
        <v>509</v>
      </c>
      <c r="AL526" s="0" t="n">
        <v>1</v>
      </c>
      <c r="AM526" s="0" t="n">
        <v>3</v>
      </c>
      <c r="AO526" s="0" t="n">
        <v>509</v>
      </c>
      <c r="AP526" s="0" t="n">
        <v>0</v>
      </c>
      <c r="AQ526" s="0" t="n">
        <v>0.672455976658846</v>
      </c>
      <c r="AR526" s="0" t="n">
        <v>443.563952826323</v>
      </c>
      <c r="AS526" s="0" t="n">
        <v>68</v>
      </c>
      <c r="AT526" s="0" t="n">
        <v>74</v>
      </c>
    </row>
    <row r="527" customFormat="false" ht="12" hidden="false" customHeight="false" outlineLevel="0" collapsed="false">
      <c r="A527" s="0" t="n">
        <v>510</v>
      </c>
      <c r="B527" s="0" t="n">
        <v>0</v>
      </c>
      <c r="C527" s="0" t="n">
        <v>2.23981025307196</v>
      </c>
      <c r="D527" s="0" t="n">
        <v>543.209058652794</v>
      </c>
      <c r="E527" s="0" t="n">
        <v>12</v>
      </c>
      <c r="F527" s="0" t="n">
        <v>12</v>
      </c>
      <c r="G527" s="0" t="n">
        <v>0.5</v>
      </c>
      <c r="H527" s="0" t="n">
        <v>0</v>
      </c>
      <c r="I527" s="0" t="n">
        <v>1.98624583233892</v>
      </c>
      <c r="J527" s="0" t="n">
        <v>553.994147921827</v>
      </c>
      <c r="K527" s="0" t="n">
        <v>10.7850892690321</v>
      </c>
      <c r="L527" s="0" t="n">
        <v>0</v>
      </c>
      <c r="M527" s="0" t="n">
        <v>551.555852615391</v>
      </c>
      <c r="N527" s="0" t="n">
        <v>0</v>
      </c>
      <c r="O527" s="0" t="n">
        <v>510</v>
      </c>
      <c r="P527" s="0" t="n">
        <v>255</v>
      </c>
      <c r="Q527" s="0" t="n">
        <v>255</v>
      </c>
      <c r="R527" s="0" t="n">
        <v>753.063893106346</v>
      </c>
      <c r="S527" s="0" t="n">
        <v>465.456808737707</v>
      </c>
      <c r="T527" s="0" t="n">
        <v>30</v>
      </c>
      <c r="U527" s="0" t="n">
        <v>18</v>
      </c>
      <c r="V527" s="0" t="n">
        <v>25.1021214028377</v>
      </c>
      <c r="W527" s="0" t="n">
        <v>25.8585679378285</v>
      </c>
      <c r="X527" s="0" t="n">
        <v>0</v>
      </c>
      <c r="Y527" s="0" t="n">
        <v>10.7850892690321</v>
      </c>
      <c r="Z527" s="0" t="n">
        <v>0</v>
      </c>
      <c r="AA527" s="0" t="n">
        <v>0</v>
      </c>
      <c r="AB527" s="0" t="n">
        <v>0</v>
      </c>
      <c r="AC527" s="0" t="n">
        <v>1</v>
      </c>
      <c r="AD527" s="0" t="n">
        <v>0</v>
      </c>
      <c r="AE527" s="0" t="n">
        <v>0</v>
      </c>
      <c r="AF527" s="0" t="n">
        <v>0</v>
      </c>
      <c r="AG527" s="0" t="n">
        <v>6.38285979779015</v>
      </c>
      <c r="AH527" s="0" t="n">
        <v>0</v>
      </c>
      <c r="AI527" s="0" t="n">
        <v>0</v>
      </c>
      <c r="AK527" s="0" t="n">
        <f aca="false">A527</f>
        <v>510</v>
      </c>
      <c r="AL527" s="0" t="n">
        <v>0</v>
      </c>
      <c r="AM527" s="0" t="n">
        <v>2</v>
      </c>
      <c r="AO527" s="0" t="n">
        <v>510</v>
      </c>
      <c r="AP527" s="0" t="n">
        <v>1</v>
      </c>
      <c r="AQ527" s="0" t="n">
        <v>0.263944139871226</v>
      </c>
      <c r="AR527" s="0" t="n">
        <v>443.827896966195</v>
      </c>
      <c r="AS527" s="0" t="n">
        <v>70</v>
      </c>
      <c r="AT527" s="0" t="n">
        <v>74</v>
      </c>
    </row>
    <row r="528" customFormat="false" ht="12" hidden="false" customHeight="false" outlineLevel="0" collapsed="false">
      <c r="A528" s="0" t="n">
        <v>511</v>
      </c>
      <c r="B528" s="0" t="n">
        <v>1</v>
      </c>
      <c r="C528" s="0" t="n">
        <v>0.958675006117531</v>
      </c>
      <c r="D528" s="0" t="n">
        <v>544.167733658912</v>
      </c>
      <c r="E528" s="0" t="n">
        <v>12</v>
      </c>
      <c r="F528" s="0" t="n">
        <v>10</v>
      </c>
      <c r="G528" s="0" t="n">
        <v>0.5</v>
      </c>
      <c r="H528" s="0" t="n">
        <v>1</v>
      </c>
      <c r="I528" s="0" t="n">
        <v>0</v>
      </c>
      <c r="J528" s="0" t="n">
        <v>553.994147921827</v>
      </c>
      <c r="K528" s="0" t="n">
        <v>0</v>
      </c>
      <c r="L528" s="0" t="n">
        <v>2.11237748453201</v>
      </c>
      <c r="M528" s="0" t="n">
        <v>553.668230099923</v>
      </c>
      <c r="N528" s="0" t="n">
        <v>9.50049644101136</v>
      </c>
      <c r="O528" s="0" t="n">
        <v>511</v>
      </c>
      <c r="P528" s="0" t="n">
        <v>255</v>
      </c>
      <c r="Q528" s="0" t="n">
        <v>256</v>
      </c>
      <c r="R528" s="0" t="n">
        <v>604.763408196222</v>
      </c>
      <c r="S528" s="0" t="n">
        <v>622.07989607868</v>
      </c>
      <c r="T528" s="0" t="n">
        <v>25</v>
      </c>
      <c r="U528" s="0" t="n">
        <v>23</v>
      </c>
      <c r="V528" s="0" t="n">
        <v>24.1905266516382</v>
      </c>
      <c r="W528" s="0" t="n">
        <v>27.0468344084887</v>
      </c>
      <c r="X528" s="0" t="n">
        <v>0</v>
      </c>
      <c r="Y528" s="0" t="n">
        <v>0</v>
      </c>
      <c r="Z528" s="0" t="n">
        <v>9.50049644101136</v>
      </c>
      <c r="AA528" s="0" t="n">
        <v>0</v>
      </c>
      <c r="AB528" s="0" t="n">
        <v>0</v>
      </c>
      <c r="AC528" s="0" t="n">
        <v>0</v>
      </c>
      <c r="AD528" s="0" t="n">
        <v>1</v>
      </c>
      <c r="AE528" s="0" t="n">
        <v>0</v>
      </c>
      <c r="AF528" s="0" t="n">
        <v>0</v>
      </c>
      <c r="AG528" s="0" t="n">
        <v>0</v>
      </c>
      <c r="AH528" s="0" t="n">
        <v>3.00881343932854</v>
      </c>
      <c r="AI528" s="0" t="n">
        <v>0</v>
      </c>
      <c r="AK528" s="0" t="n">
        <f aca="false">A528</f>
        <v>511</v>
      </c>
      <c r="AL528" s="0" t="n">
        <v>1</v>
      </c>
      <c r="AM528" s="0" t="n">
        <v>1</v>
      </c>
      <c r="AO528" s="0" t="n">
        <v>511</v>
      </c>
      <c r="AP528" s="0" t="n">
        <v>1</v>
      </c>
      <c r="AQ528" s="0" t="n">
        <v>1.85353711057772</v>
      </c>
      <c r="AR528" s="0" t="n">
        <v>445.681434076772</v>
      </c>
      <c r="AS528" s="0" t="n">
        <v>70</v>
      </c>
      <c r="AT528" s="0" t="n">
        <v>72</v>
      </c>
    </row>
    <row r="529" customFormat="false" ht="12" hidden="false" customHeight="false" outlineLevel="0" collapsed="false">
      <c r="A529" s="0" t="n">
        <v>512</v>
      </c>
      <c r="B529" s="0" t="n">
        <v>0</v>
      </c>
      <c r="C529" s="0" t="n">
        <v>2.83814463460027</v>
      </c>
      <c r="D529" s="0" t="n">
        <v>547.005878293512</v>
      </c>
      <c r="E529" s="0" t="n">
        <v>10</v>
      </c>
      <c r="F529" s="0" t="n">
        <v>10</v>
      </c>
      <c r="G529" s="0" t="n">
        <v>0.5</v>
      </c>
      <c r="H529" s="0" t="n">
        <v>1</v>
      </c>
      <c r="I529" s="0" t="n">
        <v>0</v>
      </c>
      <c r="J529" s="0" t="n">
        <v>553.994147921827</v>
      </c>
      <c r="K529" s="0" t="n">
        <v>0</v>
      </c>
      <c r="L529" s="0" t="n">
        <v>2.20303741253623</v>
      </c>
      <c r="M529" s="0" t="n">
        <v>555.87126751246</v>
      </c>
      <c r="N529" s="0" t="n">
        <v>8.86538921894737</v>
      </c>
      <c r="O529" s="0" t="n">
        <v>512</v>
      </c>
      <c r="P529" s="0" t="n">
        <v>255</v>
      </c>
      <c r="Q529" s="0" t="n">
        <v>257</v>
      </c>
      <c r="R529" s="0" t="n">
        <v>667.722357402816</v>
      </c>
      <c r="S529" s="0" t="n">
        <v>575.925142198497</v>
      </c>
      <c r="T529" s="0" t="n">
        <v>26</v>
      </c>
      <c r="U529" s="0" t="n">
        <v>22</v>
      </c>
      <c r="V529" s="0" t="n">
        <v>25.6816192533317</v>
      </c>
      <c r="W529" s="0" t="n">
        <v>26.17829656222</v>
      </c>
      <c r="X529" s="0" t="n">
        <v>0</v>
      </c>
      <c r="Y529" s="0" t="n">
        <v>0</v>
      </c>
      <c r="Z529" s="0" t="n">
        <v>0</v>
      </c>
      <c r="AA529" s="0" t="n">
        <v>8.86538921894737</v>
      </c>
      <c r="AB529" s="0" t="n">
        <v>0</v>
      </c>
      <c r="AC529" s="0" t="n">
        <v>0</v>
      </c>
      <c r="AD529" s="0" t="n">
        <v>0</v>
      </c>
      <c r="AE529" s="0" t="n">
        <v>1</v>
      </c>
      <c r="AF529" s="0" t="n">
        <v>0</v>
      </c>
      <c r="AG529" s="0" t="n">
        <v>0</v>
      </c>
      <c r="AH529" s="0" t="n">
        <v>0</v>
      </c>
      <c r="AI529" s="0" t="n">
        <v>1.28592982037412</v>
      </c>
      <c r="AK529" s="0" t="n">
        <f aca="false">A529</f>
        <v>512</v>
      </c>
      <c r="AL529" s="0" t="n">
        <v>0</v>
      </c>
      <c r="AM529" s="0" t="n">
        <v>1</v>
      </c>
      <c r="AO529" s="0" t="n">
        <v>512</v>
      </c>
      <c r="AP529" s="0" t="n">
        <v>1</v>
      </c>
      <c r="AQ529" s="0" t="n">
        <v>2.89726588333054</v>
      </c>
      <c r="AR529" s="0" t="n">
        <v>448.578699960103</v>
      </c>
      <c r="AS529" s="0" t="n">
        <v>68</v>
      </c>
      <c r="AT529" s="0" t="n">
        <v>70</v>
      </c>
    </row>
    <row r="530" customFormat="false" ht="12" hidden="false" customHeight="false" outlineLevel="0" collapsed="false">
      <c r="A530" s="0" t="n">
        <v>513</v>
      </c>
      <c r="B530" s="0" t="n">
        <v>0</v>
      </c>
      <c r="C530" s="0" t="n">
        <v>0.142972826007095</v>
      </c>
      <c r="D530" s="0" t="n">
        <v>547.148851119519</v>
      </c>
      <c r="E530" s="0" t="n">
        <v>10</v>
      </c>
      <c r="F530" s="0" t="n">
        <v>12</v>
      </c>
      <c r="G530" s="0" t="n">
        <v>0.5</v>
      </c>
      <c r="H530" s="0" t="n">
        <v>0</v>
      </c>
      <c r="I530" s="0" t="n">
        <v>1.82809297344668</v>
      </c>
      <c r="J530" s="0" t="n">
        <v>555.822240895273</v>
      </c>
      <c r="K530" s="0" t="n">
        <v>8.673389775754</v>
      </c>
      <c r="L530" s="0" t="n">
        <v>0</v>
      </c>
      <c r="M530" s="0" t="n">
        <v>555.87126751246</v>
      </c>
      <c r="N530" s="0" t="n">
        <v>0</v>
      </c>
      <c r="O530" s="0" t="n">
        <v>513</v>
      </c>
      <c r="P530" s="0" t="n">
        <v>256</v>
      </c>
      <c r="Q530" s="0" t="n">
        <v>257</v>
      </c>
      <c r="R530" s="0" t="n">
        <v>652.875862446831</v>
      </c>
      <c r="S530" s="0" t="n">
        <v>588.613413574598</v>
      </c>
      <c r="T530" s="0" t="n">
        <v>24</v>
      </c>
      <c r="U530" s="0" t="n">
        <v>24</v>
      </c>
      <c r="V530" s="0" t="n">
        <v>27.2031496006389</v>
      </c>
      <c r="W530" s="0" t="n">
        <v>24.5254567095386</v>
      </c>
      <c r="X530" s="0" t="n">
        <v>0</v>
      </c>
      <c r="Y530" s="0" t="n">
        <v>8.673389775754</v>
      </c>
      <c r="Z530" s="0" t="n">
        <v>0</v>
      </c>
      <c r="AA530" s="0" t="n">
        <v>0</v>
      </c>
      <c r="AB530" s="0" t="n">
        <v>0</v>
      </c>
      <c r="AC530" s="0" t="n">
        <v>1</v>
      </c>
      <c r="AD530" s="0" t="n">
        <v>0</v>
      </c>
      <c r="AE530" s="0" t="n">
        <v>0</v>
      </c>
      <c r="AF530" s="0" t="n">
        <v>0</v>
      </c>
      <c r="AG530" s="0" t="n">
        <v>0.172003240447655</v>
      </c>
      <c r="AH530" s="0" t="n">
        <v>0</v>
      </c>
      <c r="AI530" s="0" t="n">
        <v>0</v>
      </c>
      <c r="AK530" s="0" t="n">
        <f aca="false">A530</f>
        <v>513</v>
      </c>
      <c r="AL530" s="0" t="n">
        <v>1</v>
      </c>
      <c r="AM530" s="0" t="n">
        <v>1</v>
      </c>
      <c r="AO530" s="0" t="n">
        <v>513</v>
      </c>
      <c r="AP530" s="0" t="n">
        <v>1</v>
      </c>
      <c r="AQ530" s="0" t="n">
        <v>0.281792697727781</v>
      </c>
      <c r="AR530" s="0" t="n">
        <v>448.860492657831</v>
      </c>
      <c r="AS530" s="0" t="n">
        <v>70</v>
      </c>
      <c r="AT530" s="0" t="n">
        <v>68</v>
      </c>
    </row>
    <row r="531" customFormat="false" ht="12" hidden="false" customHeight="false" outlineLevel="0" collapsed="false">
      <c r="A531" s="0" t="n">
        <v>514</v>
      </c>
      <c r="B531" s="0" t="n">
        <v>0</v>
      </c>
      <c r="C531" s="0" t="n">
        <v>4.00364033334234</v>
      </c>
      <c r="D531" s="0" t="n">
        <v>551.152491452862</v>
      </c>
      <c r="E531" s="0" t="n">
        <v>8</v>
      </c>
      <c r="F531" s="0" t="n">
        <v>8</v>
      </c>
      <c r="G531" s="0" t="n">
        <v>0.5</v>
      </c>
      <c r="H531" s="0" t="n">
        <v>1</v>
      </c>
      <c r="I531" s="0" t="n">
        <v>0</v>
      </c>
      <c r="J531" s="0" t="n">
        <v>555.822240895273</v>
      </c>
      <c r="K531" s="0" t="n">
        <v>0</v>
      </c>
      <c r="L531" s="0" t="n">
        <v>2.12947375243173</v>
      </c>
      <c r="M531" s="0" t="n">
        <v>558.000741264891</v>
      </c>
      <c r="N531" s="0" t="n">
        <v>6.84824981202974</v>
      </c>
      <c r="O531" s="0" t="n">
        <v>514</v>
      </c>
      <c r="P531" s="0" t="n">
        <v>256</v>
      </c>
      <c r="Q531" s="0" t="n">
        <v>258</v>
      </c>
      <c r="R531" s="0" t="n">
        <v>335.928883608352</v>
      </c>
      <c r="S531" s="0" t="n">
        <v>932.809154164827</v>
      </c>
      <c r="T531" s="0" t="n">
        <v>14</v>
      </c>
      <c r="U531" s="0" t="n">
        <v>34</v>
      </c>
      <c r="V531" s="0" t="n">
        <v>23.9949031185229</v>
      </c>
      <c r="W531" s="0" t="n">
        <v>27.4354826651929</v>
      </c>
      <c r="X531" s="0" t="n">
        <v>0</v>
      </c>
      <c r="Y531" s="0" t="n">
        <v>0</v>
      </c>
      <c r="Z531" s="0" t="n">
        <v>0</v>
      </c>
      <c r="AA531" s="0" t="n">
        <v>6.84824981202974</v>
      </c>
      <c r="AB531" s="0" t="n">
        <v>0</v>
      </c>
      <c r="AC531" s="0" t="n">
        <v>0</v>
      </c>
      <c r="AD531" s="0" t="n">
        <v>0</v>
      </c>
      <c r="AE531" s="0" t="n">
        <v>1</v>
      </c>
      <c r="AF531" s="0" t="n">
        <v>0</v>
      </c>
      <c r="AG531" s="0" t="n">
        <v>0</v>
      </c>
      <c r="AH531" s="0" t="n">
        <v>0</v>
      </c>
      <c r="AI531" s="0" t="n">
        <v>0.779955600523535</v>
      </c>
      <c r="AK531" s="0" t="n">
        <f aca="false">A531</f>
        <v>514</v>
      </c>
      <c r="AL531" s="0" t="n">
        <v>0</v>
      </c>
      <c r="AM531" s="0" t="n">
        <v>0</v>
      </c>
      <c r="AO531" s="0" t="n">
        <v>514</v>
      </c>
      <c r="AP531" s="0" t="n">
        <v>1</v>
      </c>
      <c r="AQ531" s="0" t="n">
        <v>2.5197684954497</v>
      </c>
      <c r="AR531" s="0" t="n">
        <v>451.38026115328</v>
      </c>
      <c r="AS531" s="0" t="n">
        <v>68</v>
      </c>
      <c r="AT531" s="0" t="n">
        <v>68</v>
      </c>
    </row>
    <row r="532" customFormat="false" ht="12" hidden="false" customHeight="false" outlineLevel="0" collapsed="false">
      <c r="A532" s="0" t="n">
        <v>515</v>
      </c>
      <c r="B532" s="0" t="n">
        <v>1</v>
      </c>
      <c r="C532" s="0" t="n">
        <v>0.384852655634105</v>
      </c>
      <c r="D532" s="0" t="n">
        <v>551.537344108496</v>
      </c>
      <c r="E532" s="0" t="n">
        <v>8</v>
      </c>
      <c r="F532" s="0" t="n">
        <v>10</v>
      </c>
      <c r="G532" s="0" t="n">
        <v>0.5</v>
      </c>
      <c r="H532" s="0" t="n">
        <v>0</v>
      </c>
      <c r="I532" s="0" t="n">
        <v>1.89260246602656</v>
      </c>
      <c r="J532" s="0" t="n">
        <v>557.7148433613</v>
      </c>
      <c r="K532" s="0" t="n">
        <v>6.17749925280418</v>
      </c>
      <c r="L532" s="0" t="n">
        <v>0</v>
      </c>
      <c r="M532" s="0" t="n">
        <v>558.000741264891</v>
      </c>
      <c r="N532" s="0" t="n">
        <v>0</v>
      </c>
      <c r="O532" s="0" t="n">
        <v>515</v>
      </c>
      <c r="P532" s="0" t="n">
        <v>257</v>
      </c>
      <c r="Q532" s="0" t="n">
        <v>258</v>
      </c>
      <c r="R532" s="0" t="n">
        <v>757.967760661657</v>
      </c>
      <c r="S532" s="0" t="n">
        <v>511.830352075938</v>
      </c>
      <c r="T532" s="0" t="n">
        <v>29</v>
      </c>
      <c r="U532" s="0" t="n">
        <v>19</v>
      </c>
      <c r="V532" s="0" t="n">
        <v>26.1368103204674</v>
      </c>
      <c r="W532" s="0" t="n">
        <v>26.9382978024293</v>
      </c>
      <c r="X532" s="0" t="n">
        <v>6.17749925280418</v>
      </c>
      <c r="Y532" s="0" t="n">
        <v>0</v>
      </c>
      <c r="Z532" s="0" t="n">
        <v>0</v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0</v>
      </c>
      <c r="AF532" s="0" t="n">
        <v>1.56265222211228</v>
      </c>
      <c r="AG532" s="0" t="n">
        <v>0</v>
      </c>
      <c r="AH532" s="0" t="n">
        <v>0</v>
      </c>
      <c r="AI532" s="0" t="n">
        <v>0</v>
      </c>
      <c r="AK532" s="0" t="n">
        <f aca="false">A532</f>
        <v>515</v>
      </c>
      <c r="AL532" s="0" t="n">
        <v>1</v>
      </c>
      <c r="AM532" s="0" t="n">
        <v>1</v>
      </c>
      <c r="AO532" s="0" t="n">
        <v>515</v>
      </c>
      <c r="AP532" s="0" t="n">
        <v>0</v>
      </c>
      <c r="AQ532" s="0" t="n">
        <v>0.504956350154528</v>
      </c>
      <c r="AR532" s="0" t="n">
        <v>451.885217503435</v>
      </c>
      <c r="AS532" s="0" t="n">
        <v>68</v>
      </c>
      <c r="AT532" s="0" t="n">
        <v>70</v>
      </c>
    </row>
    <row r="533" customFormat="false" ht="12" hidden="false" customHeight="false" outlineLevel="0" collapsed="false">
      <c r="A533" s="0" t="n">
        <v>516</v>
      </c>
      <c r="B533" s="0" t="n">
        <v>0</v>
      </c>
      <c r="C533" s="0" t="n">
        <v>0.70933789410315</v>
      </c>
      <c r="D533" s="0" t="n">
        <v>552.246682002599</v>
      </c>
      <c r="E533" s="0" t="n">
        <v>8</v>
      </c>
      <c r="F533" s="0" t="n">
        <v>8</v>
      </c>
      <c r="G533" s="0" t="n">
        <v>0.5</v>
      </c>
      <c r="H533" s="0" t="n">
        <v>1</v>
      </c>
      <c r="I533" s="0" t="n">
        <v>0</v>
      </c>
      <c r="J533" s="0" t="n">
        <v>557.7148433613</v>
      </c>
      <c r="K533" s="0" t="n">
        <v>0</v>
      </c>
      <c r="L533" s="0" t="n">
        <v>1.86514079497596</v>
      </c>
      <c r="M533" s="0" t="n">
        <v>559.865882059867</v>
      </c>
      <c r="N533" s="0" t="n">
        <v>7.61920005726847</v>
      </c>
      <c r="O533" s="0" t="n">
        <v>516</v>
      </c>
      <c r="P533" s="0" t="n">
        <v>257</v>
      </c>
      <c r="Q533" s="0" t="n">
        <v>259</v>
      </c>
      <c r="R533" s="0" t="n">
        <v>750.166533309039</v>
      </c>
      <c r="S533" s="0" t="n">
        <v>514.377259680098</v>
      </c>
      <c r="T533" s="0" t="n">
        <v>28</v>
      </c>
      <c r="U533" s="0" t="n">
        <v>20</v>
      </c>
      <c r="V533" s="0" t="n">
        <v>26.791652335447</v>
      </c>
      <c r="W533" s="0" t="n">
        <v>25.7187343903329</v>
      </c>
      <c r="X533" s="0" t="n">
        <v>0</v>
      </c>
      <c r="Y533" s="0" t="n">
        <v>0</v>
      </c>
      <c r="Z533" s="0" t="n">
        <v>0</v>
      </c>
      <c r="AA533" s="0" t="n">
        <v>7.61920005726847</v>
      </c>
      <c r="AB533" s="0" t="n">
        <v>0</v>
      </c>
      <c r="AC533" s="0" t="n">
        <v>0</v>
      </c>
      <c r="AD533" s="0" t="n">
        <v>0</v>
      </c>
      <c r="AE533" s="0" t="n">
        <v>1</v>
      </c>
      <c r="AF533" s="0" t="n">
        <v>0</v>
      </c>
      <c r="AG533" s="0" t="n">
        <v>0</v>
      </c>
      <c r="AH533" s="0" t="n">
        <v>0</v>
      </c>
      <c r="AI533" s="0" t="n">
        <v>0.0125889981537052</v>
      </c>
      <c r="AK533" s="0" t="n">
        <f aca="false">A533</f>
        <v>516</v>
      </c>
      <c r="AL533" s="0" t="n">
        <v>0</v>
      </c>
      <c r="AM533" s="0" t="n">
        <v>3</v>
      </c>
      <c r="AO533" s="0" t="n">
        <v>516</v>
      </c>
      <c r="AP533" s="0" t="n">
        <v>0</v>
      </c>
      <c r="AQ533" s="0" t="n">
        <v>0.828537657630045</v>
      </c>
      <c r="AR533" s="0" t="n">
        <v>452.713755161065</v>
      </c>
      <c r="AS533" s="0" t="n">
        <v>66</v>
      </c>
      <c r="AT533" s="0" t="n">
        <v>72</v>
      </c>
    </row>
    <row r="534" customFormat="false" ht="12" hidden="false" customHeight="false" outlineLevel="0" collapsed="false">
      <c r="A534" s="0" t="n">
        <v>517</v>
      </c>
      <c r="B534" s="0" t="n">
        <v>1</v>
      </c>
      <c r="C534" s="0" t="n">
        <v>0.156649462935927</v>
      </c>
      <c r="D534" s="0" t="n">
        <v>552.403331465535</v>
      </c>
      <c r="E534" s="0" t="n">
        <v>8</v>
      </c>
      <c r="F534" s="0" t="n">
        <v>10</v>
      </c>
      <c r="G534" s="0" t="n">
        <v>0.5</v>
      </c>
      <c r="H534" s="0" t="n">
        <v>0</v>
      </c>
      <c r="I534" s="0" t="n">
        <v>1.92105973941514</v>
      </c>
      <c r="J534" s="0" t="n">
        <v>559.635903100715</v>
      </c>
      <c r="K534" s="0" t="n">
        <v>7.23257163518031</v>
      </c>
      <c r="L534" s="0" t="n">
        <v>0</v>
      </c>
      <c r="M534" s="0" t="n">
        <v>559.865882059867</v>
      </c>
      <c r="N534" s="0" t="n">
        <v>0</v>
      </c>
      <c r="O534" s="0" t="n">
        <v>517</v>
      </c>
      <c r="P534" s="0" t="n">
        <v>258</v>
      </c>
      <c r="Q534" s="0" t="n">
        <v>259</v>
      </c>
      <c r="R534" s="0" t="n">
        <v>752.3976958148</v>
      </c>
      <c r="S534" s="0" t="n">
        <v>515.874606486438</v>
      </c>
      <c r="T534" s="0" t="n">
        <v>26</v>
      </c>
      <c r="U534" s="0" t="n">
        <v>22</v>
      </c>
      <c r="V534" s="0" t="n">
        <v>28.9383617858147</v>
      </c>
      <c r="W534" s="0" t="n">
        <v>23.4487391642055</v>
      </c>
      <c r="X534" s="0" t="n">
        <v>7.23257163518031</v>
      </c>
      <c r="Y534" s="0" t="n">
        <v>0</v>
      </c>
      <c r="Z534" s="0" t="n">
        <v>0</v>
      </c>
      <c r="AA534" s="0" t="n">
        <v>0</v>
      </c>
      <c r="AB534" s="0" t="n">
        <v>1</v>
      </c>
      <c r="AC534" s="0" t="n">
        <v>0</v>
      </c>
      <c r="AD534" s="0" t="n">
        <v>0</v>
      </c>
      <c r="AE534" s="0" t="n">
        <v>0</v>
      </c>
      <c r="AF534" s="0" t="n">
        <v>0.0380205170766286</v>
      </c>
      <c r="AG534" s="0" t="n">
        <v>0</v>
      </c>
      <c r="AH534" s="0" t="n">
        <v>0</v>
      </c>
      <c r="AI534" s="0" t="n">
        <v>0</v>
      </c>
      <c r="AK534" s="0" t="n">
        <f aca="false">A534</f>
        <v>517</v>
      </c>
      <c r="AL534" s="0" t="n">
        <v>1</v>
      </c>
      <c r="AM534" s="0" t="n">
        <v>2</v>
      </c>
      <c r="AO534" s="0" t="n">
        <v>517</v>
      </c>
      <c r="AP534" s="0" t="n">
        <v>0</v>
      </c>
      <c r="AQ534" s="0" t="n">
        <v>2.07888095144419</v>
      </c>
      <c r="AR534" s="0" t="n">
        <v>454.792636112509</v>
      </c>
      <c r="AS534" s="0" t="n">
        <v>66</v>
      </c>
      <c r="AT534" s="0" t="n">
        <v>70</v>
      </c>
    </row>
    <row r="535" customFormat="false" ht="12" hidden="false" customHeight="false" outlineLevel="0" collapsed="false">
      <c r="A535" s="0" t="n">
        <v>518</v>
      </c>
      <c r="B535" s="0" t="n">
        <v>0</v>
      </c>
      <c r="C535" s="0" t="n">
        <v>4.91480947824025</v>
      </c>
      <c r="D535" s="0" t="n">
        <v>557.318140943775</v>
      </c>
      <c r="E535" s="0" t="n">
        <v>6</v>
      </c>
      <c r="F535" s="0" t="n">
        <v>6</v>
      </c>
      <c r="G535" s="0" t="n">
        <v>0.5</v>
      </c>
      <c r="H535" s="0" t="n">
        <v>1</v>
      </c>
      <c r="I535" s="0" t="n">
        <v>0</v>
      </c>
      <c r="J535" s="0" t="n">
        <v>559.635903100715</v>
      </c>
      <c r="K535" s="0" t="n">
        <v>0</v>
      </c>
      <c r="L535" s="0" t="n">
        <v>2.16884134682569</v>
      </c>
      <c r="M535" s="0" t="n">
        <v>562.034723406693</v>
      </c>
      <c r="N535" s="0" t="n">
        <v>4.71658246291804</v>
      </c>
      <c r="O535" s="0" t="n">
        <v>518</v>
      </c>
      <c r="P535" s="0" t="n">
        <v>258</v>
      </c>
      <c r="Q535" s="0" t="n">
        <v>260</v>
      </c>
      <c r="R535" s="0" t="n">
        <v>461.366736726543</v>
      </c>
      <c r="S535" s="0" t="n">
        <v>820.277399999009</v>
      </c>
      <c r="T535" s="0" t="n">
        <v>15</v>
      </c>
      <c r="U535" s="0" t="n">
        <v>33</v>
      </c>
      <c r="V535" s="0" t="n">
        <v>30.7577619432616</v>
      </c>
      <c r="W535" s="0" t="n">
        <v>24.8568155853773</v>
      </c>
      <c r="X535" s="0" t="n">
        <v>0</v>
      </c>
      <c r="Y535" s="0" t="n">
        <v>0</v>
      </c>
      <c r="Z535" s="0" t="n">
        <v>0</v>
      </c>
      <c r="AA535" s="0" t="n">
        <v>4.71658246291804</v>
      </c>
      <c r="AB535" s="0" t="n">
        <v>0</v>
      </c>
      <c r="AC535" s="0" t="n">
        <v>0</v>
      </c>
      <c r="AD535" s="0" t="n">
        <v>0</v>
      </c>
      <c r="AE535" s="0" t="n">
        <v>1</v>
      </c>
      <c r="AF535" s="0" t="n">
        <v>0</v>
      </c>
      <c r="AG535" s="0" t="n">
        <v>0</v>
      </c>
      <c r="AH535" s="0" t="n">
        <v>0</v>
      </c>
      <c r="AI535" s="0" t="n">
        <v>9.0891293767872</v>
      </c>
      <c r="AK535" s="0" t="n">
        <f aca="false">A535</f>
        <v>518</v>
      </c>
      <c r="AL535" s="0" t="n">
        <v>0</v>
      </c>
      <c r="AM535" s="0" t="n">
        <v>2</v>
      </c>
      <c r="AO535" s="0" t="n">
        <v>518</v>
      </c>
      <c r="AP535" s="0" t="n">
        <v>0</v>
      </c>
      <c r="AQ535" s="0" t="n">
        <v>0.415202816906134</v>
      </c>
      <c r="AR535" s="0" t="n">
        <v>455.207838929415</v>
      </c>
      <c r="AS535" s="0" t="n">
        <v>66</v>
      </c>
      <c r="AT535" s="0" t="n">
        <v>70</v>
      </c>
    </row>
    <row r="536" customFormat="false" ht="12" hidden="false" customHeight="false" outlineLevel="0" collapsed="false">
      <c r="A536" s="0" t="n">
        <v>519</v>
      </c>
      <c r="B536" s="0" t="n">
        <v>0</v>
      </c>
      <c r="C536" s="0" t="n">
        <v>0.446884356875096</v>
      </c>
      <c r="D536" s="0" t="n">
        <v>557.76502530065</v>
      </c>
      <c r="E536" s="0" t="n">
        <v>4</v>
      </c>
      <c r="F536" s="0" t="n">
        <v>8</v>
      </c>
      <c r="G536" s="0" t="n">
        <v>0.5</v>
      </c>
      <c r="H536" s="0" t="n">
        <v>1</v>
      </c>
      <c r="I536" s="0" t="n">
        <v>0</v>
      </c>
      <c r="J536" s="0" t="n">
        <v>559.635903100715</v>
      </c>
      <c r="K536" s="0" t="n">
        <v>0</v>
      </c>
      <c r="L536" s="0" t="n">
        <v>1.83152438117117</v>
      </c>
      <c r="M536" s="0" t="n">
        <v>563.866247787864</v>
      </c>
      <c r="N536" s="0" t="n">
        <v>6.10122248721416</v>
      </c>
      <c r="O536" s="0" t="n">
        <v>519</v>
      </c>
      <c r="P536" s="0" t="n">
        <v>258</v>
      </c>
      <c r="Q536" s="0" t="n">
        <v>261</v>
      </c>
      <c r="R536" s="0" t="n">
        <v>661.354550907004</v>
      </c>
      <c r="S536" s="0" t="n">
        <v>608.8453623835</v>
      </c>
      <c r="T536" s="0" t="n">
        <v>26</v>
      </c>
      <c r="U536" s="0" t="n">
        <v>22</v>
      </c>
      <c r="V536" s="0" t="n">
        <v>25.4367037130756</v>
      </c>
      <c r="W536" s="0" t="n">
        <v>27.6746634053254</v>
      </c>
      <c r="X536" s="0" t="n">
        <v>0</v>
      </c>
      <c r="Y536" s="0" t="n">
        <v>0</v>
      </c>
      <c r="Z536" s="0" t="n">
        <v>0</v>
      </c>
      <c r="AA536" s="0" t="n">
        <v>6.10122248721416</v>
      </c>
      <c r="AB536" s="0" t="n">
        <v>0</v>
      </c>
      <c r="AC536" s="0" t="n">
        <v>0</v>
      </c>
      <c r="AD536" s="0" t="n">
        <v>0</v>
      </c>
      <c r="AE536" s="0" t="n">
        <v>1</v>
      </c>
      <c r="AF536" s="0" t="n">
        <v>0</v>
      </c>
      <c r="AG536" s="0" t="n">
        <v>0</v>
      </c>
      <c r="AH536" s="0" t="n">
        <v>0</v>
      </c>
      <c r="AI536" s="0" t="n">
        <v>2.65748120775015</v>
      </c>
      <c r="AK536" s="0" t="n">
        <f aca="false">A536</f>
        <v>519</v>
      </c>
      <c r="AL536" s="0" t="n">
        <v>2</v>
      </c>
      <c r="AM536" s="0" t="n">
        <v>3</v>
      </c>
      <c r="AO536" s="0" t="n">
        <v>519</v>
      </c>
      <c r="AP536" s="0" t="n">
        <v>0</v>
      </c>
      <c r="AQ536" s="0" t="n">
        <v>0.484286907448253</v>
      </c>
      <c r="AR536" s="0" t="n">
        <v>455.692125836864</v>
      </c>
      <c r="AS536" s="0" t="n">
        <v>66</v>
      </c>
      <c r="AT536" s="0" t="n">
        <v>72</v>
      </c>
    </row>
    <row r="537" customFormat="false" ht="12" hidden="false" customHeight="false" outlineLevel="0" collapsed="false">
      <c r="A537" s="0" t="n">
        <v>520</v>
      </c>
      <c r="B537" s="0" t="n">
        <v>1</v>
      </c>
      <c r="C537" s="0" t="n">
        <v>0.200468504039136</v>
      </c>
      <c r="D537" s="0" t="n">
        <v>557.965493804689</v>
      </c>
      <c r="E537" s="0" t="n">
        <v>4</v>
      </c>
      <c r="F537" s="0" t="n">
        <v>10</v>
      </c>
      <c r="G537" s="0" t="n">
        <v>0.5</v>
      </c>
      <c r="H537" s="0" t="n">
        <v>0</v>
      </c>
      <c r="I537" s="0" t="n">
        <v>2.03681549282628</v>
      </c>
      <c r="J537" s="0" t="n">
        <v>561.672718593541</v>
      </c>
      <c r="K537" s="0" t="n">
        <v>3.70722478885205</v>
      </c>
      <c r="L537" s="0" t="n">
        <v>0</v>
      </c>
      <c r="M537" s="0" t="n">
        <v>563.866247787864</v>
      </c>
      <c r="N537" s="0" t="n">
        <v>0</v>
      </c>
      <c r="O537" s="0" t="n">
        <v>520</v>
      </c>
      <c r="P537" s="0" t="n">
        <v>259</v>
      </c>
      <c r="Q537" s="0" t="n">
        <v>261</v>
      </c>
      <c r="R537" s="0" t="n">
        <v>655.778096394429</v>
      </c>
      <c r="S537" s="0" t="n">
        <v>609.597785404631</v>
      </c>
      <c r="T537" s="0" t="n">
        <v>25</v>
      </c>
      <c r="U537" s="0" t="n">
        <v>23</v>
      </c>
      <c r="V537" s="0" t="n">
        <v>26.2311133633318</v>
      </c>
      <c r="W537" s="0" t="n">
        <v>26.5041363039566</v>
      </c>
      <c r="X537" s="0" t="n">
        <v>3.70722478885205</v>
      </c>
      <c r="Y537" s="0" t="n">
        <v>0</v>
      </c>
      <c r="Z537" s="0" t="n">
        <v>0</v>
      </c>
      <c r="AA537" s="0" t="n">
        <v>0</v>
      </c>
      <c r="AB537" s="0" t="n">
        <v>1</v>
      </c>
      <c r="AC537" s="0" t="n">
        <v>0</v>
      </c>
      <c r="AD537" s="0" t="n">
        <v>0</v>
      </c>
      <c r="AE537" s="0" t="n">
        <v>0</v>
      </c>
      <c r="AF537" s="0" t="n">
        <v>13.8408951262377</v>
      </c>
      <c r="AG537" s="0" t="n">
        <v>0</v>
      </c>
      <c r="AH537" s="0" t="n">
        <v>0</v>
      </c>
      <c r="AI537" s="0" t="n">
        <v>0</v>
      </c>
      <c r="AK537" s="0" t="n">
        <f aca="false">A537</f>
        <v>520</v>
      </c>
      <c r="AL537" s="0" t="n">
        <v>3</v>
      </c>
      <c r="AM537" s="0" t="n">
        <v>2</v>
      </c>
      <c r="AO537" s="0" t="n">
        <v>520</v>
      </c>
      <c r="AP537" s="0" t="n">
        <v>0</v>
      </c>
      <c r="AQ537" s="0" t="n">
        <v>1.93219085149825</v>
      </c>
      <c r="AR537" s="0" t="n">
        <v>457.624316688362</v>
      </c>
      <c r="AS537" s="0" t="n">
        <v>66</v>
      </c>
      <c r="AT537" s="0" t="n">
        <v>70</v>
      </c>
    </row>
    <row r="538" customFormat="false" ht="12" hidden="false" customHeight="false" outlineLevel="0" collapsed="false">
      <c r="A538" s="0" t="n">
        <v>521</v>
      </c>
      <c r="B538" s="0" t="n">
        <v>0</v>
      </c>
      <c r="C538" s="0" t="n">
        <v>0.602402711999142</v>
      </c>
      <c r="D538" s="0" t="n">
        <v>558.567896516688</v>
      </c>
      <c r="E538" s="0" t="n">
        <v>6</v>
      </c>
      <c r="F538" s="0" t="n">
        <v>8</v>
      </c>
      <c r="G538" s="0" t="n">
        <v>0.5</v>
      </c>
      <c r="H538" s="0" t="n">
        <v>0</v>
      </c>
      <c r="I538" s="0" t="n">
        <v>2.08890638868005</v>
      </c>
      <c r="J538" s="0" t="n">
        <v>563.761624982221</v>
      </c>
      <c r="K538" s="0" t="n">
        <v>5.1937284655329</v>
      </c>
      <c r="L538" s="0" t="n">
        <v>0</v>
      </c>
      <c r="M538" s="0" t="n">
        <v>563.866247787864</v>
      </c>
      <c r="N538" s="0" t="n">
        <v>0</v>
      </c>
      <c r="O538" s="0" t="n">
        <v>521</v>
      </c>
      <c r="P538" s="0" t="n">
        <v>260</v>
      </c>
      <c r="Q538" s="0" t="n">
        <v>261</v>
      </c>
      <c r="R538" s="0" t="n">
        <v>566.591929999863</v>
      </c>
      <c r="S538" s="0" t="n">
        <v>724.699320990285</v>
      </c>
      <c r="T538" s="0" t="n">
        <v>22</v>
      </c>
      <c r="U538" s="0" t="n">
        <v>26</v>
      </c>
      <c r="V538" s="0" t="n">
        <v>25.7541669299179</v>
      </c>
      <c r="W538" s="0" t="n">
        <v>27.8729436036894</v>
      </c>
      <c r="X538" s="0" t="n">
        <v>0</v>
      </c>
      <c r="Y538" s="0" t="n">
        <v>5.1937284655329</v>
      </c>
      <c r="Z538" s="0" t="n">
        <v>0</v>
      </c>
      <c r="AA538" s="0" t="n">
        <v>0</v>
      </c>
      <c r="AB538" s="0" t="n">
        <v>0</v>
      </c>
      <c r="AC538" s="0" t="n">
        <v>1</v>
      </c>
      <c r="AD538" s="0" t="n">
        <v>0</v>
      </c>
      <c r="AE538" s="0" t="n">
        <v>0</v>
      </c>
      <c r="AF538" s="0" t="n">
        <v>0</v>
      </c>
      <c r="AG538" s="0" t="n">
        <v>9.39378717884032</v>
      </c>
      <c r="AH538" s="0" t="n">
        <v>0</v>
      </c>
      <c r="AI538" s="0" t="n">
        <v>0</v>
      </c>
      <c r="AK538" s="0" t="n">
        <f aca="false">A538</f>
        <v>521</v>
      </c>
      <c r="AL538" s="0" t="n">
        <v>1</v>
      </c>
      <c r="AM538" s="0" t="n">
        <v>1</v>
      </c>
      <c r="AO538" s="0" t="n">
        <v>521</v>
      </c>
      <c r="AP538" s="0" t="n">
        <v>1</v>
      </c>
      <c r="AQ538" s="0" t="n">
        <v>0.0288879716594103</v>
      </c>
      <c r="AR538" s="0" t="n">
        <v>457.653204660021</v>
      </c>
      <c r="AS538" s="0" t="n">
        <v>68</v>
      </c>
      <c r="AT538" s="0" t="n">
        <v>70</v>
      </c>
    </row>
    <row r="539" customFormat="false" ht="12" hidden="false" customHeight="false" outlineLevel="0" collapsed="false">
      <c r="A539" s="0" t="n">
        <v>522</v>
      </c>
      <c r="B539" s="0" t="n">
        <v>1</v>
      </c>
      <c r="C539" s="0" t="n">
        <v>1.21875799294801</v>
      </c>
      <c r="D539" s="0" t="n">
        <v>559.786654509636</v>
      </c>
      <c r="E539" s="0" t="n">
        <v>6</v>
      </c>
      <c r="F539" s="0" t="n">
        <v>8</v>
      </c>
      <c r="G539" s="0" t="n">
        <v>0.5</v>
      </c>
      <c r="H539" s="0" t="n">
        <v>0</v>
      </c>
      <c r="I539" s="0" t="n">
        <v>2.20327701440726</v>
      </c>
      <c r="J539" s="0" t="n">
        <v>565.964901996628</v>
      </c>
      <c r="K539" s="0" t="n">
        <v>6.17824748699218</v>
      </c>
      <c r="L539" s="0" t="n">
        <v>0</v>
      </c>
      <c r="M539" s="0" t="n">
        <v>563.866247787864</v>
      </c>
      <c r="N539" s="0" t="n">
        <v>0</v>
      </c>
      <c r="O539" s="0" t="n">
        <v>522</v>
      </c>
      <c r="P539" s="0" t="n">
        <v>261</v>
      </c>
      <c r="Q539" s="0" t="n">
        <v>261</v>
      </c>
      <c r="R539" s="0" t="n">
        <v>697.454032265848</v>
      </c>
      <c r="S539" s="0" t="n">
        <v>573.951593926341</v>
      </c>
      <c r="T539" s="0" t="n">
        <v>28</v>
      </c>
      <c r="U539" s="0" t="n">
        <v>20</v>
      </c>
      <c r="V539" s="0" t="n">
        <v>24.909063684829</v>
      </c>
      <c r="W539" s="0" t="n">
        <v>28.697436209136</v>
      </c>
      <c r="X539" s="0" t="n">
        <v>6.17824748699218</v>
      </c>
      <c r="Y539" s="0" t="n">
        <v>0</v>
      </c>
      <c r="Z539" s="0" t="n">
        <v>0</v>
      </c>
      <c r="AA539" s="0" t="n">
        <v>0</v>
      </c>
      <c r="AB539" s="0" t="n">
        <v>1</v>
      </c>
      <c r="AC539" s="0" t="n">
        <v>0</v>
      </c>
      <c r="AD539" s="0" t="n">
        <v>0</v>
      </c>
      <c r="AE539" s="0" t="n">
        <v>0</v>
      </c>
      <c r="AF539" s="0" t="n">
        <v>1.56078210538068</v>
      </c>
      <c r="AG539" s="0" t="n">
        <v>0</v>
      </c>
      <c r="AH539" s="0" t="n">
        <v>0</v>
      </c>
      <c r="AI539" s="0" t="n">
        <v>0</v>
      </c>
      <c r="AK539" s="0" t="n">
        <f aca="false">A539</f>
        <v>522</v>
      </c>
      <c r="AL539" s="0" t="n">
        <v>1</v>
      </c>
      <c r="AM539" s="0" t="n">
        <v>0</v>
      </c>
      <c r="AO539" s="0" t="n">
        <v>522</v>
      </c>
      <c r="AP539" s="0" t="n">
        <v>0</v>
      </c>
      <c r="AQ539" s="0" t="n">
        <v>2.49476032359978</v>
      </c>
      <c r="AR539" s="0" t="n">
        <v>460.147964983621</v>
      </c>
      <c r="AS539" s="0" t="n">
        <v>68</v>
      </c>
      <c r="AT539" s="0" t="n">
        <v>68</v>
      </c>
    </row>
    <row r="540" customFormat="false" ht="12" hidden="false" customHeight="false" outlineLevel="0" collapsed="false">
      <c r="A540" s="0" t="n">
        <v>523</v>
      </c>
      <c r="B540" s="0" t="n">
        <v>1</v>
      </c>
      <c r="C540" s="0" t="n">
        <v>0.849805800790559</v>
      </c>
      <c r="D540" s="0" t="n">
        <v>560.636460310427</v>
      </c>
      <c r="E540" s="0" t="n">
        <v>8</v>
      </c>
      <c r="F540" s="0" t="n">
        <v>6</v>
      </c>
      <c r="G540" s="0" t="n">
        <v>0.5</v>
      </c>
      <c r="H540" s="0" t="n">
        <v>1</v>
      </c>
      <c r="I540" s="0" t="n">
        <v>0</v>
      </c>
      <c r="J540" s="0" t="n">
        <v>565.964901996628</v>
      </c>
      <c r="K540" s="0" t="n">
        <v>0</v>
      </c>
      <c r="L540" s="0" t="n">
        <v>2.11927472967986</v>
      </c>
      <c r="M540" s="0" t="n">
        <v>565.985522517544</v>
      </c>
      <c r="N540" s="0" t="n">
        <v>5.34906220711719</v>
      </c>
      <c r="O540" s="0" t="n">
        <v>523</v>
      </c>
      <c r="P540" s="0" t="n">
        <v>261</v>
      </c>
      <c r="Q540" s="0" t="n">
        <v>262</v>
      </c>
      <c r="R540" s="0" t="n">
        <v>729.998577023679</v>
      </c>
      <c r="S540" s="0" t="n">
        <v>565.031600342228</v>
      </c>
      <c r="T540" s="0" t="n">
        <v>24</v>
      </c>
      <c r="U540" s="0" t="n">
        <v>24</v>
      </c>
      <c r="V540" s="0" t="n">
        <v>30.4165947024055</v>
      </c>
      <c r="W540" s="0" t="n">
        <v>23.5428852522376</v>
      </c>
      <c r="X540" s="0" t="n">
        <v>0</v>
      </c>
      <c r="Y540" s="0" t="n">
        <v>0</v>
      </c>
      <c r="Z540" s="0" t="n">
        <v>5.34906220711719</v>
      </c>
      <c r="AA540" s="0" t="n">
        <v>0</v>
      </c>
      <c r="AB540" s="0" t="n">
        <v>0</v>
      </c>
      <c r="AC540" s="0" t="n">
        <v>0</v>
      </c>
      <c r="AD540" s="0" t="n">
        <v>1</v>
      </c>
      <c r="AE540" s="0" t="n">
        <v>0</v>
      </c>
      <c r="AF540" s="0" t="n">
        <v>0</v>
      </c>
      <c r="AG540" s="0" t="n">
        <v>0</v>
      </c>
      <c r="AH540" s="0" t="n">
        <v>5.84112076446584</v>
      </c>
      <c r="AI540" s="0" t="n">
        <v>0</v>
      </c>
      <c r="AK540" s="0" t="n">
        <f aca="false">A540</f>
        <v>523</v>
      </c>
      <c r="AL540" s="0" t="n">
        <v>1</v>
      </c>
      <c r="AM540" s="0" t="n">
        <v>0</v>
      </c>
      <c r="AO540" s="0" t="n">
        <v>523</v>
      </c>
      <c r="AP540" s="0" t="n">
        <v>1</v>
      </c>
      <c r="AQ540" s="0" t="n">
        <v>0.443171473698015</v>
      </c>
      <c r="AR540" s="0" t="n">
        <v>460.591136457319</v>
      </c>
      <c r="AS540" s="0" t="n">
        <v>68</v>
      </c>
      <c r="AT540" s="0" t="n">
        <v>68</v>
      </c>
    </row>
    <row r="541" customFormat="false" ht="12" hidden="false" customHeight="false" outlineLevel="0" collapsed="false">
      <c r="A541" s="0" t="n">
        <v>524</v>
      </c>
      <c r="B541" s="0" t="n">
        <v>1</v>
      </c>
      <c r="C541" s="0" t="n">
        <v>4.87670207406337</v>
      </c>
      <c r="D541" s="0" t="n">
        <v>565.51316238449</v>
      </c>
      <c r="E541" s="0" t="n">
        <v>4</v>
      </c>
      <c r="F541" s="0" t="n">
        <v>4</v>
      </c>
      <c r="G541" s="0" t="n">
        <v>0.5</v>
      </c>
      <c r="H541" s="0" t="n">
        <v>0</v>
      </c>
      <c r="I541" s="0" t="n">
        <v>1.81742559906914</v>
      </c>
      <c r="J541" s="0" t="n">
        <v>567.782327595698</v>
      </c>
      <c r="K541" s="0" t="n">
        <v>2.26916521120734</v>
      </c>
      <c r="L541" s="0" t="n">
        <v>0</v>
      </c>
      <c r="M541" s="0" t="n">
        <v>565.985522517544</v>
      </c>
      <c r="N541" s="0" t="n">
        <v>0</v>
      </c>
      <c r="O541" s="0" t="n">
        <v>524</v>
      </c>
      <c r="P541" s="0" t="n">
        <v>262</v>
      </c>
      <c r="Q541" s="0" t="n">
        <v>262</v>
      </c>
      <c r="R541" s="0" t="n">
        <v>671.457363218056</v>
      </c>
      <c r="S541" s="0" t="n">
        <v>608.895435728522</v>
      </c>
      <c r="T541" s="0" t="n">
        <v>24</v>
      </c>
      <c r="U541" s="0" t="n">
        <v>24</v>
      </c>
      <c r="V541" s="0" t="n">
        <v>27.9773784768446</v>
      </c>
      <c r="W541" s="0" t="n">
        <v>25.3705374447824</v>
      </c>
      <c r="X541" s="0" t="n">
        <v>2.26916521120734</v>
      </c>
      <c r="Y541" s="0" t="n">
        <v>0</v>
      </c>
      <c r="Z541" s="0" t="n">
        <v>0</v>
      </c>
      <c r="AA541" s="0" t="n">
        <v>0</v>
      </c>
      <c r="AB541" s="0" t="n">
        <v>1</v>
      </c>
      <c r="AC541" s="0" t="n">
        <v>0</v>
      </c>
      <c r="AD541" s="0" t="n">
        <v>0</v>
      </c>
      <c r="AE541" s="0" t="n">
        <v>0</v>
      </c>
      <c r="AF541" s="0" t="n">
        <v>26.6090382431084</v>
      </c>
      <c r="AG541" s="0" t="n">
        <v>0</v>
      </c>
      <c r="AH541" s="0" t="n">
        <v>0</v>
      </c>
      <c r="AI541" s="0" t="n">
        <v>0</v>
      </c>
      <c r="AK541" s="0" t="n">
        <f aca="false">A541</f>
        <v>524</v>
      </c>
      <c r="AL541" s="0" t="n">
        <v>0</v>
      </c>
      <c r="AM541" s="0" t="n">
        <v>1</v>
      </c>
      <c r="AO541" s="0" t="n">
        <v>524</v>
      </c>
      <c r="AP541" s="0" t="n">
        <v>1</v>
      </c>
      <c r="AQ541" s="0" t="n">
        <v>0.268712024966405</v>
      </c>
      <c r="AR541" s="0" t="n">
        <v>460.859848482285</v>
      </c>
      <c r="AS541" s="0" t="n">
        <v>70</v>
      </c>
      <c r="AT541" s="0" t="n">
        <v>68</v>
      </c>
    </row>
    <row r="542" customFormat="false" ht="12" hidden="false" customHeight="false" outlineLevel="0" collapsed="false">
      <c r="A542" s="0" t="n">
        <v>525</v>
      </c>
      <c r="B542" s="0" t="n">
        <v>1</v>
      </c>
      <c r="C542" s="0" t="n">
        <v>0.665507148384875</v>
      </c>
      <c r="D542" s="0" t="n">
        <v>566.178669532875</v>
      </c>
      <c r="E542" s="0" t="n">
        <v>4</v>
      </c>
      <c r="F542" s="0" t="n">
        <v>2</v>
      </c>
      <c r="G542" s="0" t="n">
        <v>0.5</v>
      </c>
      <c r="H542" s="0" t="n">
        <v>1</v>
      </c>
      <c r="I542" s="0" t="n">
        <v>0</v>
      </c>
      <c r="J542" s="0" t="n">
        <v>567.782327595698</v>
      </c>
      <c r="K542" s="0" t="n">
        <v>0</v>
      </c>
      <c r="L542" s="0" t="n">
        <v>1.86496769852739</v>
      </c>
      <c r="M542" s="0" t="n">
        <v>568.043637231403</v>
      </c>
      <c r="N542" s="0" t="n">
        <v>1.86496769852738</v>
      </c>
      <c r="O542" s="0" t="n">
        <v>525</v>
      </c>
      <c r="P542" s="0" t="n">
        <v>262</v>
      </c>
      <c r="Q542" s="0" t="n">
        <v>263</v>
      </c>
      <c r="R542" s="0" t="n">
        <v>311.974548372711</v>
      </c>
      <c r="S542" s="0" t="n">
        <v>972.77037139329</v>
      </c>
      <c r="T542" s="0" t="n">
        <v>14</v>
      </c>
      <c r="U542" s="0" t="n">
        <v>34</v>
      </c>
      <c r="V542" s="0" t="n">
        <v>22.2838803952791</v>
      </c>
      <c r="W542" s="0" t="n">
        <v>28.6108091268346</v>
      </c>
      <c r="X542" s="0" t="n">
        <v>0</v>
      </c>
      <c r="Y542" s="0" t="n">
        <v>0</v>
      </c>
      <c r="Z542" s="0" t="n">
        <v>1.86496769852738</v>
      </c>
      <c r="AA542" s="0" t="n">
        <v>0</v>
      </c>
      <c r="AB542" s="0" t="n">
        <v>0</v>
      </c>
      <c r="AC542" s="0" t="n">
        <v>0</v>
      </c>
      <c r="AD542" s="0" t="n">
        <v>1</v>
      </c>
      <c r="AE542" s="0" t="n">
        <v>0</v>
      </c>
      <c r="AF542" s="0" t="n">
        <v>0</v>
      </c>
      <c r="AG542" s="0" t="n">
        <v>0</v>
      </c>
      <c r="AH542" s="0" t="n">
        <v>34.821040719336</v>
      </c>
      <c r="AI542" s="0" t="n">
        <v>0</v>
      </c>
      <c r="AK542" s="0" t="n">
        <f aca="false">A542</f>
        <v>525</v>
      </c>
      <c r="AL542" s="0" t="n">
        <v>1</v>
      </c>
      <c r="AM542" s="0" t="n">
        <v>1</v>
      </c>
      <c r="AO542" s="0" t="n">
        <v>525</v>
      </c>
      <c r="AP542" s="0" t="n">
        <v>0</v>
      </c>
      <c r="AQ542" s="0" t="n">
        <v>1.19488042064609</v>
      </c>
      <c r="AR542" s="0" t="n">
        <v>462.054728902931</v>
      </c>
      <c r="AS542" s="0" t="n">
        <v>70</v>
      </c>
      <c r="AT542" s="0" t="n">
        <v>68</v>
      </c>
    </row>
    <row r="543" customFormat="false" ht="12" hidden="false" customHeight="false" outlineLevel="0" collapsed="false">
      <c r="A543" s="0" t="n">
        <v>526</v>
      </c>
      <c r="B543" s="0" t="n">
        <v>0</v>
      </c>
      <c r="C543" s="0" t="n">
        <v>0.0589611122740556</v>
      </c>
      <c r="D543" s="0" t="n">
        <v>566.237630645149</v>
      </c>
      <c r="E543" s="0" t="n">
        <v>4</v>
      </c>
      <c r="F543" s="0" t="n">
        <v>4</v>
      </c>
      <c r="G543" s="0" t="n">
        <v>0.5</v>
      </c>
      <c r="H543" s="0" t="n">
        <v>1</v>
      </c>
      <c r="I543" s="0" t="n">
        <v>0</v>
      </c>
      <c r="J543" s="0" t="n">
        <v>567.782327595698</v>
      </c>
      <c r="K543" s="0" t="n">
        <v>0</v>
      </c>
      <c r="L543" s="0" t="n">
        <v>2.03258443101969</v>
      </c>
      <c r="M543" s="0" t="n">
        <v>570.076221662422</v>
      </c>
      <c r="N543" s="0" t="n">
        <v>3.83859101727307</v>
      </c>
      <c r="O543" s="0" t="n">
        <v>526</v>
      </c>
      <c r="P543" s="0" t="n">
        <v>262</v>
      </c>
      <c r="Q543" s="0" t="n">
        <v>264</v>
      </c>
      <c r="R543" s="0" t="n">
        <v>743.120370292419</v>
      </c>
      <c r="S543" s="0" t="n">
        <v>532.438841999386</v>
      </c>
      <c r="T543" s="0" t="n">
        <v>26</v>
      </c>
      <c r="U543" s="0" t="n">
        <v>22</v>
      </c>
      <c r="V543" s="0" t="n">
        <v>28.5815417106539</v>
      </c>
      <c r="W543" s="0" t="n">
        <v>24.2016555379014</v>
      </c>
      <c r="X543" s="0" t="n">
        <v>0</v>
      </c>
      <c r="Y543" s="0" t="n">
        <v>0</v>
      </c>
      <c r="Z543" s="0" t="n">
        <v>0</v>
      </c>
      <c r="AA543" s="0" t="n">
        <v>3.83859101727307</v>
      </c>
      <c r="AB543" s="0" t="n">
        <v>0</v>
      </c>
      <c r="AC543" s="0" t="n">
        <v>0</v>
      </c>
      <c r="AD543" s="0" t="n">
        <v>0</v>
      </c>
      <c r="AE543" s="0" t="n">
        <v>1</v>
      </c>
      <c r="AF543" s="0" t="n">
        <v>0</v>
      </c>
      <c r="AG543" s="0" t="n">
        <v>0</v>
      </c>
      <c r="AH543" s="0" t="n">
        <v>0</v>
      </c>
      <c r="AI543" s="0" t="n">
        <v>15.1539677090383</v>
      </c>
      <c r="AK543" s="0" t="n">
        <f aca="false">A543</f>
        <v>526</v>
      </c>
      <c r="AL543" s="0" t="n">
        <v>0</v>
      </c>
      <c r="AM543" s="0" t="n">
        <v>0</v>
      </c>
      <c r="AO543" s="0" t="n">
        <v>526</v>
      </c>
      <c r="AP543" s="0" t="n">
        <v>0</v>
      </c>
      <c r="AQ543" s="0" t="n">
        <v>2.06507778446515</v>
      </c>
      <c r="AR543" s="0" t="n">
        <v>464.119806687397</v>
      </c>
      <c r="AS543" s="0" t="n">
        <v>68</v>
      </c>
      <c r="AT543" s="0" t="n">
        <v>68</v>
      </c>
    </row>
    <row r="544" customFormat="false" ht="12" hidden="false" customHeight="false" outlineLevel="0" collapsed="false">
      <c r="A544" s="0" t="n">
        <v>527</v>
      </c>
      <c r="B544" s="0" t="n">
        <v>0</v>
      </c>
      <c r="C544" s="0" t="n">
        <v>1.18853039766831</v>
      </c>
      <c r="D544" s="0" t="n">
        <v>567.426161042817</v>
      </c>
      <c r="E544" s="0" t="n">
        <v>4</v>
      </c>
      <c r="F544" s="0" t="n">
        <v>6</v>
      </c>
      <c r="G544" s="0" t="n">
        <v>0.5</v>
      </c>
      <c r="H544" s="0" t="n">
        <v>0</v>
      </c>
      <c r="I544" s="0" t="n">
        <v>2.23548631638082</v>
      </c>
      <c r="J544" s="0" t="n">
        <v>570.017813912078</v>
      </c>
      <c r="K544" s="0" t="n">
        <v>2.591652869261</v>
      </c>
      <c r="L544" s="0" t="n">
        <v>0</v>
      </c>
      <c r="M544" s="0" t="n">
        <v>570.076221662422</v>
      </c>
      <c r="N544" s="0" t="n">
        <v>0</v>
      </c>
      <c r="O544" s="0" t="n">
        <v>527</v>
      </c>
      <c r="P544" s="0" t="n">
        <v>263</v>
      </c>
      <c r="Q544" s="0" t="n">
        <v>264</v>
      </c>
      <c r="R544" s="0" t="n">
        <v>552.283570451085</v>
      </c>
      <c r="S544" s="0" t="n">
        <v>719.780046595624</v>
      </c>
      <c r="T544" s="0" t="n">
        <v>20</v>
      </c>
      <c r="U544" s="0" t="n">
        <v>28</v>
      </c>
      <c r="V544" s="0" t="n">
        <v>27.6141647154719</v>
      </c>
      <c r="W544" s="0" t="n">
        <v>25.7063384272065</v>
      </c>
      <c r="X544" s="0" t="n">
        <v>0</v>
      </c>
      <c r="Y544" s="0" t="n">
        <v>2.591652869261</v>
      </c>
      <c r="Z544" s="0" t="n">
        <v>0</v>
      </c>
      <c r="AA544" s="0" t="n">
        <v>0</v>
      </c>
      <c r="AB544" s="0" t="n">
        <v>0</v>
      </c>
      <c r="AC544" s="0" t="n">
        <v>1</v>
      </c>
      <c r="AD544" s="0" t="n">
        <v>0</v>
      </c>
      <c r="AE544" s="0" t="n">
        <v>0</v>
      </c>
      <c r="AF544" s="0" t="n">
        <v>0</v>
      </c>
      <c r="AG544" s="0" t="n">
        <v>32.1149362938333</v>
      </c>
      <c r="AH544" s="0" t="n">
        <v>0</v>
      </c>
      <c r="AI544" s="0" t="n">
        <v>0</v>
      </c>
      <c r="AK544" s="0" t="n">
        <f aca="false">A544</f>
        <v>527</v>
      </c>
      <c r="AL544" s="0" t="n">
        <v>1</v>
      </c>
      <c r="AM544" s="0" t="n">
        <v>1</v>
      </c>
      <c r="AO544" s="0" t="n">
        <v>527</v>
      </c>
      <c r="AP544" s="0" t="n">
        <v>0</v>
      </c>
      <c r="AQ544" s="0" t="n">
        <v>0.694086869403498</v>
      </c>
      <c r="AR544" s="0" t="n">
        <v>464.8138935568</v>
      </c>
      <c r="AS544" s="0" t="n">
        <v>68</v>
      </c>
      <c r="AT544" s="0" t="n">
        <v>66</v>
      </c>
    </row>
    <row r="545" customFormat="false" ht="12" hidden="false" customHeight="false" outlineLevel="0" collapsed="false">
      <c r="A545" s="0" t="n">
        <v>528</v>
      </c>
      <c r="B545" s="0" t="n">
        <v>0</v>
      </c>
      <c r="C545" s="0" t="n">
        <v>1.51674346810809</v>
      </c>
      <c r="D545" s="0" t="n">
        <v>568.942904510926</v>
      </c>
      <c r="E545" s="0" t="n">
        <v>4</v>
      </c>
      <c r="F545" s="0" t="n">
        <v>4</v>
      </c>
      <c r="G545" s="0" t="n">
        <v>0.5</v>
      </c>
      <c r="H545" s="0" t="n">
        <v>1</v>
      </c>
      <c r="I545" s="0" t="n">
        <v>0</v>
      </c>
      <c r="J545" s="0" t="n">
        <v>570.017813912078</v>
      </c>
      <c r="K545" s="0" t="n">
        <v>0</v>
      </c>
      <c r="L545" s="0" t="n">
        <v>1.77537078481307</v>
      </c>
      <c r="M545" s="0" t="n">
        <v>571.851592447235</v>
      </c>
      <c r="N545" s="0" t="n">
        <v>2.90868793630978</v>
      </c>
      <c r="O545" s="0" t="n">
        <v>528</v>
      </c>
      <c r="P545" s="0" t="n">
        <v>263</v>
      </c>
      <c r="Q545" s="0" t="n">
        <v>265</v>
      </c>
      <c r="R545" s="0" t="n">
        <v>651.459506630904</v>
      </c>
      <c r="S545" s="0" t="n">
        <v>619.478720040339</v>
      </c>
      <c r="T545" s="0" t="n">
        <v>27</v>
      </c>
      <c r="U545" s="0" t="n">
        <v>21</v>
      </c>
      <c r="V545" s="0" t="n">
        <v>24.1281209388776</v>
      </c>
      <c r="W545" s="0" t="n">
        <v>29.4988461978914</v>
      </c>
      <c r="X545" s="0" t="n">
        <v>0</v>
      </c>
      <c r="Y545" s="0" t="n">
        <v>0</v>
      </c>
      <c r="Z545" s="0" t="n">
        <v>0</v>
      </c>
      <c r="AA545" s="0" t="n">
        <v>2.90868793630978</v>
      </c>
      <c r="AB545" s="0" t="n">
        <v>0</v>
      </c>
      <c r="AC545" s="0" t="n">
        <v>0</v>
      </c>
      <c r="AD545" s="0" t="n">
        <v>0</v>
      </c>
      <c r="AE545" s="0" t="n">
        <v>1</v>
      </c>
      <c r="AF545" s="0" t="n">
        <v>0</v>
      </c>
      <c r="AG545" s="0" t="n">
        <v>0</v>
      </c>
      <c r="AH545" s="0" t="n">
        <v>0</v>
      </c>
      <c r="AI545" s="0" t="n">
        <v>23.2585589995693</v>
      </c>
      <c r="AK545" s="0" t="n">
        <f aca="false">A545</f>
        <v>528</v>
      </c>
      <c r="AL545" s="0" t="n">
        <v>0</v>
      </c>
      <c r="AM545" s="0" t="n">
        <v>0</v>
      </c>
      <c r="AO545" s="0" t="n">
        <v>528</v>
      </c>
      <c r="AP545" s="0" t="n">
        <v>0</v>
      </c>
      <c r="AQ545" s="0" t="n">
        <v>0.054404244230192</v>
      </c>
      <c r="AR545" s="0" t="n">
        <v>464.86829780103</v>
      </c>
      <c r="AS545" s="0" t="n">
        <v>68</v>
      </c>
      <c r="AT545" s="0" t="n">
        <v>68</v>
      </c>
    </row>
    <row r="546" customFormat="false" ht="12" hidden="false" customHeight="false" outlineLevel="0" collapsed="false">
      <c r="A546" s="0" t="n">
        <v>529</v>
      </c>
      <c r="B546" s="0" t="n">
        <v>0</v>
      </c>
      <c r="C546" s="0" t="n">
        <v>3.36707088892377</v>
      </c>
      <c r="D546" s="0" t="n">
        <v>572.309975399849</v>
      </c>
      <c r="E546" s="0" t="n">
        <v>2</v>
      </c>
      <c r="F546" s="0" t="n">
        <v>2</v>
      </c>
      <c r="G546" s="0" t="n">
        <v>0.5</v>
      </c>
      <c r="H546" s="0" t="n">
        <v>0</v>
      </c>
      <c r="I546" s="0" t="n">
        <v>1.92059019725532</v>
      </c>
      <c r="J546" s="0" t="n">
        <v>574.230565597105</v>
      </c>
      <c r="K546" s="0" t="n">
        <v>1.92059019725536</v>
      </c>
      <c r="L546" s="0" t="n">
        <v>0</v>
      </c>
      <c r="M546" s="0" t="n">
        <v>572.309975399849</v>
      </c>
      <c r="N546" s="0" t="n">
        <v>0</v>
      </c>
      <c r="O546" s="0" t="n">
        <v>529</v>
      </c>
      <c r="P546" s="0" t="n">
        <v>264</v>
      </c>
      <c r="Q546" s="0" t="n">
        <v>265</v>
      </c>
      <c r="R546" s="0" t="n">
        <v>757.147643410163</v>
      </c>
      <c r="S546" s="0" t="n">
        <v>510.204924183893</v>
      </c>
      <c r="T546" s="0" t="n">
        <v>26</v>
      </c>
      <c r="U546" s="0" t="n">
        <v>22</v>
      </c>
      <c r="V546" s="0" t="n">
        <v>29.1210520076786</v>
      </c>
      <c r="W546" s="0" t="n">
        <v>23.1910275036883</v>
      </c>
      <c r="X546" s="0" t="n">
        <v>0</v>
      </c>
      <c r="Y546" s="0" t="n">
        <v>1.92059019725536</v>
      </c>
      <c r="Z546" s="0" t="n">
        <v>0</v>
      </c>
      <c r="AA546" s="0" t="n">
        <v>0</v>
      </c>
      <c r="AB546" s="0" t="n">
        <v>0</v>
      </c>
      <c r="AC546" s="0" t="n">
        <v>1</v>
      </c>
      <c r="AD546" s="0" t="n">
        <v>0</v>
      </c>
      <c r="AE546" s="0" t="n">
        <v>0</v>
      </c>
      <c r="AF546" s="0" t="n">
        <v>0</v>
      </c>
      <c r="AG546" s="0" t="n">
        <v>40.1710913284423</v>
      </c>
      <c r="AH546" s="0" t="n">
        <v>0</v>
      </c>
      <c r="AI546" s="0" t="n">
        <v>0</v>
      </c>
      <c r="AK546" s="0" t="n">
        <f aca="false">A546</f>
        <v>529</v>
      </c>
      <c r="AL546" s="0" t="n">
        <v>0</v>
      </c>
      <c r="AM546" s="0" t="n">
        <v>2</v>
      </c>
      <c r="AO546" s="0" t="n">
        <v>529</v>
      </c>
      <c r="AP546" s="0" t="n">
        <v>0</v>
      </c>
      <c r="AQ546" s="0" t="n">
        <v>1.6447713547758</v>
      </c>
      <c r="AR546" s="0" t="n">
        <v>466.513069155806</v>
      </c>
      <c r="AS546" s="0" t="n">
        <v>66</v>
      </c>
      <c r="AT546" s="0" t="n">
        <v>70</v>
      </c>
    </row>
    <row r="547" customFormat="false" ht="12" hidden="false" customHeight="false" outlineLevel="0" collapsed="false">
      <c r="A547" s="0" t="n">
        <v>530</v>
      </c>
      <c r="B547" s="0" t="n">
        <v>0</v>
      </c>
      <c r="C547" s="0" t="n">
        <v>1.6766440774972</v>
      </c>
      <c r="D547" s="0" t="n">
        <v>573.986619477346</v>
      </c>
      <c r="E547" s="0" t="n">
        <v>4</v>
      </c>
      <c r="F547" s="0" t="n">
        <v>2</v>
      </c>
      <c r="G547" s="0" t="n">
        <v>0.5</v>
      </c>
      <c r="H547" s="0" t="n">
        <v>0</v>
      </c>
      <c r="I547" s="0" t="n">
        <v>2.17960951113024</v>
      </c>
      <c r="J547" s="0" t="n">
        <v>576.410175108235</v>
      </c>
      <c r="K547" s="0" t="n">
        <v>2.42355563088847</v>
      </c>
      <c r="L547" s="0" t="n">
        <v>0</v>
      </c>
      <c r="M547" s="0" t="n">
        <v>573.986619477346</v>
      </c>
      <c r="N547" s="0" t="n">
        <v>0</v>
      </c>
      <c r="O547" s="0" t="n">
        <v>530</v>
      </c>
      <c r="P547" s="0" t="n">
        <v>265</v>
      </c>
      <c r="Q547" s="0" t="n">
        <v>265</v>
      </c>
      <c r="R547" s="0" t="n">
        <v>655.954235968117</v>
      </c>
      <c r="S547" s="0" t="n">
        <v>621.625541437441</v>
      </c>
      <c r="T547" s="0" t="n">
        <v>22</v>
      </c>
      <c r="U547" s="0" t="n">
        <v>26</v>
      </c>
      <c r="V547" s="0" t="n">
        <v>29.8160880821471</v>
      </c>
      <c r="W547" s="0" t="n">
        <v>23.9085827145834</v>
      </c>
      <c r="X547" s="0" t="n">
        <v>0</v>
      </c>
      <c r="Y547" s="0" t="n">
        <v>2.42355563088847</v>
      </c>
      <c r="Z547" s="0" t="n">
        <v>0</v>
      </c>
      <c r="AA547" s="0" t="n">
        <v>0</v>
      </c>
      <c r="AB547" s="0" t="n">
        <v>0</v>
      </c>
      <c r="AC547" s="0" t="n">
        <v>1</v>
      </c>
      <c r="AD547" s="0" t="n">
        <v>0</v>
      </c>
      <c r="AE547" s="0" t="n">
        <v>0</v>
      </c>
      <c r="AF547" s="0" t="n">
        <v>0</v>
      </c>
      <c r="AG547" s="0" t="n">
        <v>34.0484084779475</v>
      </c>
      <c r="AH547" s="0" t="n">
        <v>0</v>
      </c>
      <c r="AI547" s="0" t="n">
        <v>0</v>
      </c>
      <c r="AK547" s="0" t="n">
        <f aca="false">A547</f>
        <v>530</v>
      </c>
      <c r="AL547" s="0" t="n">
        <v>1</v>
      </c>
      <c r="AM547" s="0" t="n">
        <v>2</v>
      </c>
      <c r="AO547" s="0" t="n">
        <v>530</v>
      </c>
      <c r="AP547" s="0" t="n">
        <v>0</v>
      </c>
      <c r="AQ547" s="0" t="n">
        <v>1.94539658254716</v>
      </c>
      <c r="AR547" s="0" t="n">
        <v>468.458465738353</v>
      </c>
      <c r="AS547" s="0" t="n">
        <v>66</v>
      </c>
      <c r="AT547" s="0" t="n">
        <v>70</v>
      </c>
    </row>
    <row r="548" customFormat="false" ht="12" hidden="false" customHeight="false" outlineLevel="0" collapsed="false">
      <c r="A548" s="0" t="n">
        <v>531</v>
      </c>
      <c r="B548" s="0" t="n">
        <v>1</v>
      </c>
      <c r="C548" s="0" t="n">
        <v>0.0694843695872976</v>
      </c>
      <c r="D548" s="0" t="n">
        <v>574.056103846934</v>
      </c>
      <c r="E548" s="0" t="n">
        <v>6</v>
      </c>
      <c r="F548" s="0" t="n">
        <v>2</v>
      </c>
      <c r="G548" s="0" t="n">
        <v>0.5</v>
      </c>
      <c r="H548" s="0" t="n">
        <v>1</v>
      </c>
      <c r="I548" s="0" t="n">
        <v>0</v>
      </c>
      <c r="J548" s="0" t="n">
        <v>576.410175108235</v>
      </c>
      <c r="K548" s="0" t="n">
        <v>0</v>
      </c>
      <c r="L548" s="0" t="n">
        <v>2.05911852756315</v>
      </c>
      <c r="M548" s="0" t="n">
        <v>576.115222374497</v>
      </c>
      <c r="N548" s="0" t="n">
        <v>2.0591185275631</v>
      </c>
      <c r="O548" s="0" t="n">
        <v>531</v>
      </c>
      <c r="P548" s="0" t="n">
        <v>265</v>
      </c>
      <c r="Q548" s="0" t="n">
        <v>266</v>
      </c>
      <c r="R548" s="0" t="n">
        <v>622.286198995286</v>
      </c>
      <c r="S548" s="0" t="n">
        <v>645.690252194895</v>
      </c>
      <c r="T548" s="0" t="n">
        <v>24</v>
      </c>
      <c r="U548" s="0" t="n">
        <v>24</v>
      </c>
      <c r="V548" s="0" t="n">
        <v>25.9285808212282</v>
      </c>
      <c r="W548" s="0" t="n">
        <v>26.9036484095856</v>
      </c>
      <c r="X548" s="0" t="n">
        <v>0</v>
      </c>
      <c r="Y548" s="0" t="n">
        <v>0</v>
      </c>
      <c r="Z548" s="0" t="n">
        <v>2.0591185275631</v>
      </c>
      <c r="AA548" s="0" t="n">
        <v>0</v>
      </c>
      <c r="AB548" s="0" t="n">
        <v>0</v>
      </c>
      <c r="AC548" s="0" t="n">
        <v>0</v>
      </c>
      <c r="AD548" s="0" t="n">
        <v>1</v>
      </c>
      <c r="AE548" s="0" t="n">
        <v>0</v>
      </c>
      <c r="AF548" s="0" t="n">
        <v>0</v>
      </c>
      <c r="AG548" s="0" t="n">
        <v>0</v>
      </c>
      <c r="AH548" s="0" t="n">
        <v>32.5673921938636</v>
      </c>
      <c r="AI548" s="0" t="n">
        <v>0</v>
      </c>
      <c r="AK548" s="0" t="n">
        <f aca="false">A548</f>
        <v>531</v>
      </c>
      <c r="AL548" s="0" t="n">
        <v>2</v>
      </c>
      <c r="AM548" s="0" t="n">
        <v>1</v>
      </c>
      <c r="AO548" s="0" t="n">
        <v>531</v>
      </c>
      <c r="AP548" s="0" t="n">
        <v>0</v>
      </c>
      <c r="AQ548" s="0" t="n">
        <v>0.0360580938517206</v>
      </c>
      <c r="AR548" s="0" t="n">
        <v>468.494523832205</v>
      </c>
      <c r="AS548" s="0" t="n">
        <v>68</v>
      </c>
      <c r="AT548" s="0" t="n">
        <v>70</v>
      </c>
    </row>
    <row r="549" customFormat="false" ht="12" hidden="false" customHeight="false" outlineLevel="0" collapsed="false">
      <c r="A549" s="0" t="n">
        <v>532</v>
      </c>
      <c r="B549" s="0" t="n">
        <v>0</v>
      </c>
      <c r="C549" s="0" t="n">
        <v>4.29881017852473</v>
      </c>
      <c r="D549" s="0" t="n">
        <v>578.354914025458</v>
      </c>
      <c r="E549" s="0" t="n">
        <v>2</v>
      </c>
      <c r="F549" s="0" t="n">
        <v>2</v>
      </c>
      <c r="G549" s="0" t="n">
        <v>0.5</v>
      </c>
      <c r="H549" s="0" t="n">
        <v>0</v>
      </c>
      <c r="I549" s="0" t="n">
        <v>1.76729758846595</v>
      </c>
      <c r="J549" s="0" t="n">
        <v>580.122211613924</v>
      </c>
      <c r="K549" s="0" t="n">
        <v>1.76729758846591</v>
      </c>
      <c r="L549" s="0" t="n">
        <v>0</v>
      </c>
      <c r="M549" s="0" t="n">
        <v>578.354914025458</v>
      </c>
      <c r="N549" s="0" t="n">
        <v>0</v>
      </c>
      <c r="O549" s="0" t="n">
        <v>532</v>
      </c>
      <c r="P549" s="0" t="n">
        <v>266</v>
      </c>
      <c r="Q549" s="0" t="n">
        <v>266</v>
      </c>
      <c r="R549" s="0" t="n">
        <v>675.381465459488</v>
      </c>
      <c r="S549" s="0" t="n">
        <v>595.598177002626</v>
      </c>
      <c r="T549" s="0" t="n">
        <v>24</v>
      </c>
      <c r="U549" s="0" t="n">
        <v>24</v>
      </c>
      <c r="V549" s="0" t="n">
        <v>28.1408826687776</v>
      </c>
      <c r="W549" s="0" t="n">
        <v>24.8164873064123</v>
      </c>
      <c r="X549" s="0" t="n">
        <v>0</v>
      </c>
      <c r="Y549" s="0" t="n">
        <v>1.76729758846591</v>
      </c>
      <c r="Z549" s="0" t="n">
        <v>0</v>
      </c>
      <c r="AA549" s="0" t="n">
        <v>0</v>
      </c>
      <c r="AB549" s="0" t="n">
        <v>0</v>
      </c>
      <c r="AC549" s="0" t="n">
        <v>1</v>
      </c>
      <c r="AD549" s="0" t="n">
        <v>0</v>
      </c>
      <c r="AE549" s="0" t="n">
        <v>0</v>
      </c>
      <c r="AF549" s="0" t="n">
        <v>0</v>
      </c>
      <c r="AG549" s="0" t="n">
        <v>42.1377475549773</v>
      </c>
      <c r="AH549" s="0" t="n">
        <v>0</v>
      </c>
      <c r="AI549" s="0" t="n">
        <v>0</v>
      </c>
      <c r="AK549" s="0" t="n">
        <f aca="false">A549</f>
        <v>532</v>
      </c>
      <c r="AL549" s="0" t="n">
        <v>0</v>
      </c>
      <c r="AM549" s="0" t="n">
        <v>1</v>
      </c>
      <c r="AO549" s="0" t="n">
        <v>532</v>
      </c>
      <c r="AP549" s="0" t="n">
        <v>0</v>
      </c>
      <c r="AQ549" s="0" t="n">
        <v>0.300702656816466</v>
      </c>
      <c r="AR549" s="0" t="n">
        <v>468.795226489021</v>
      </c>
      <c r="AS549" s="0" t="n">
        <v>68</v>
      </c>
      <c r="AT549" s="0" t="n">
        <v>70</v>
      </c>
    </row>
    <row r="550" customFormat="false" ht="12" hidden="false" customHeight="false" outlineLevel="0" collapsed="false">
      <c r="A550" s="0" t="n">
        <v>533</v>
      </c>
      <c r="B550" s="0" t="n">
        <v>1</v>
      </c>
      <c r="C550" s="0" t="n">
        <v>0.625358731526357</v>
      </c>
      <c r="D550" s="0" t="n">
        <v>578.980272756985</v>
      </c>
      <c r="E550" s="0" t="n">
        <v>4</v>
      </c>
      <c r="F550" s="0" t="n">
        <v>2</v>
      </c>
      <c r="G550" s="0" t="n">
        <v>0.5</v>
      </c>
      <c r="H550" s="0" t="n">
        <v>1</v>
      </c>
      <c r="I550" s="0" t="n">
        <v>0</v>
      </c>
      <c r="J550" s="0" t="n">
        <v>580.122211613924</v>
      </c>
      <c r="K550" s="0" t="n">
        <v>0</v>
      </c>
      <c r="L550" s="0" t="n">
        <v>2.06684770163072</v>
      </c>
      <c r="M550" s="0" t="n">
        <v>581.047120458616</v>
      </c>
      <c r="N550" s="0" t="n">
        <v>2.06684770163076</v>
      </c>
      <c r="O550" s="0" t="n">
        <v>533</v>
      </c>
      <c r="P550" s="0" t="n">
        <v>266</v>
      </c>
      <c r="Q550" s="0" t="n">
        <v>267</v>
      </c>
      <c r="R550" s="0" t="n">
        <v>539.341827708161</v>
      </c>
      <c r="S550" s="0" t="n">
        <v>723.020926750538</v>
      </c>
      <c r="T550" s="0" t="n">
        <v>23</v>
      </c>
      <c r="U550" s="0" t="n">
        <v>25</v>
      </c>
      <c r="V550" s="0" t="n">
        <v>23.4496344874703</v>
      </c>
      <c r="W550" s="0" t="n">
        <v>28.920721387136</v>
      </c>
      <c r="X550" s="0" t="n">
        <v>0</v>
      </c>
      <c r="Y550" s="0" t="n">
        <v>0</v>
      </c>
      <c r="Z550" s="0" t="n">
        <v>2.06684770163076</v>
      </c>
      <c r="AA550" s="0" t="n">
        <v>0</v>
      </c>
      <c r="AB550" s="0" t="n">
        <v>0</v>
      </c>
      <c r="AC550" s="0" t="n">
        <v>0</v>
      </c>
      <c r="AD550" s="0" t="n">
        <v>1</v>
      </c>
      <c r="AE550" s="0" t="n">
        <v>0</v>
      </c>
      <c r="AF550" s="0" t="n">
        <v>0</v>
      </c>
      <c r="AG550" s="0" t="n">
        <v>0</v>
      </c>
      <c r="AH550" s="0" t="n">
        <v>32.4792344685816</v>
      </c>
      <c r="AI550" s="0" t="n">
        <v>0</v>
      </c>
      <c r="AK550" s="0" t="n">
        <f aca="false">A550</f>
        <v>533</v>
      </c>
      <c r="AL550" s="0" t="n">
        <v>1</v>
      </c>
      <c r="AM550" s="0" t="n">
        <v>1</v>
      </c>
      <c r="AO550" s="0" t="n">
        <v>533</v>
      </c>
      <c r="AP550" s="0" t="n">
        <v>1</v>
      </c>
      <c r="AQ550" s="0" t="n">
        <v>0.29615321989201</v>
      </c>
      <c r="AR550" s="0" t="n">
        <v>469.091379708913</v>
      </c>
      <c r="AS550" s="0" t="n">
        <v>68</v>
      </c>
      <c r="AT550" s="0" t="n">
        <v>70</v>
      </c>
    </row>
    <row r="551" customFormat="false" ht="12" hidden="false" customHeight="false" outlineLevel="0" collapsed="false">
      <c r="A551" s="0" t="n">
        <v>534</v>
      </c>
      <c r="B551" s="0" t="n">
        <v>0</v>
      </c>
      <c r="C551" s="0" t="n">
        <v>2.69029214504162</v>
      </c>
      <c r="D551" s="0" t="n">
        <v>581.670564902026</v>
      </c>
      <c r="E551" s="0" t="n">
        <v>2</v>
      </c>
      <c r="F551" s="0" t="n">
        <v>2</v>
      </c>
      <c r="G551" s="0" t="n">
        <v>0.5</v>
      </c>
      <c r="H551" s="0" t="n">
        <v>0</v>
      </c>
      <c r="I551" s="0" t="n">
        <v>1.93888006420044</v>
      </c>
      <c r="J551" s="0" t="n">
        <v>583.609444966227</v>
      </c>
      <c r="K551" s="0" t="n">
        <v>1.93888006420048</v>
      </c>
      <c r="L551" s="0" t="n">
        <v>0</v>
      </c>
      <c r="M551" s="0" t="n">
        <v>581.670564902026</v>
      </c>
      <c r="N551" s="0" t="n">
        <v>0</v>
      </c>
      <c r="O551" s="0" t="n">
        <v>534</v>
      </c>
      <c r="P551" s="0" t="n">
        <v>267</v>
      </c>
      <c r="Q551" s="0" t="n">
        <v>267</v>
      </c>
      <c r="R551" s="0" t="n">
        <v>785.175938150847</v>
      </c>
      <c r="S551" s="0" t="n">
        <v>490.242120698301</v>
      </c>
      <c r="T551" s="0" t="n">
        <v>29</v>
      </c>
      <c r="U551" s="0" t="n">
        <v>19</v>
      </c>
      <c r="V551" s="0" t="n">
        <v>27.0750230138144</v>
      </c>
      <c r="W551" s="0" t="n">
        <v>25.8020810784312</v>
      </c>
      <c r="X551" s="0" t="n">
        <v>0</v>
      </c>
      <c r="Y551" s="0" t="n">
        <v>1.93888006420048</v>
      </c>
      <c r="Z551" s="0" t="n">
        <v>0</v>
      </c>
      <c r="AA551" s="0" t="n">
        <v>0</v>
      </c>
      <c r="AB551" s="0" t="n">
        <v>0</v>
      </c>
      <c r="AC551" s="0" t="n">
        <v>1</v>
      </c>
      <c r="AD551" s="0" t="n">
        <v>0</v>
      </c>
      <c r="AE551" s="0" t="n">
        <v>0</v>
      </c>
      <c r="AF551" s="0" t="n">
        <v>0</v>
      </c>
      <c r="AG551" s="0" t="n">
        <v>39.939581049116</v>
      </c>
      <c r="AH551" s="0" t="n">
        <v>0</v>
      </c>
      <c r="AI551" s="0" t="n">
        <v>0</v>
      </c>
      <c r="AK551" s="0" t="n">
        <f aca="false">A551</f>
        <v>534</v>
      </c>
      <c r="AL551" s="0" t="n">
        <v>0</v>
      </c>
      <c r="AM551" s="0" t="n">
        <v>0</v>
      </c>
      <c r="AO551" s="0" t="n">
        <v>534</v>
      </c>
      <c r="AP551" s="0" t="n">
        <v>1</v>
      </c>
      <c r="AQ551" s="0" t="n">
        <v>3.22266353793595</v>
      </c>
      <c r="AR551" s="0" t="n">
        <v>472.314043246849</v>
      </c>
      <c r="AS551" s="0" t="n">
        <v>68</v>
      </c>
      <c r="AT551" s="0" t="n">
        <v>68</v>
      </c>
    </row>
    <row r="552" customFormat="false" ht="12" hidden="false" customHeight="false" outlineLevel="0" collapsed="false">
      <c r="A552" s="0" t="n">
        <v>535</v>
      </c>
      <c r="B552" s="0" t="n">
        <v>0</v>
      </c>
      <c r="C552" s="0" t="n">
        <v>0.0734397646111498</v>
      </c>
      <c r="D552" s="0" t="n">
        <v>581.744004666638</v>
      </c>
      <c r="E552" s="0" t="n">
        <v>4</v>
      </c>
      <c r="F552" s="0" t="n">
        <v>2</v>
      </c>
      <c r="G552" s="0" t="n">
        <v>0.5</v>
      </c>
      <c r="H552" s="0" t="n">
        <v>1</v>
      </c>
      <c r="I552" s="0" t="n">
        <v>0</v>
      </c>
      <c r="J552" s="0" t="n">
        <v>583.609444966227</v>
      </c>
      <c r="K552" s="0" t="n">
        <v>0</v>
      </c>
      <c r="L552" s="0" t="n">
        <v>2.10093948183084</v>
      </c>
      <c r="M552" s="0" t="n">
        <v>583.844944148469</v>
      </c>
      <c r="N552" s="0" t="n">
        <v>2.10093948183089</v>
      </c>
      <c r="O552" s="0" t="n">
        <v>535</v>
      </c>
      <c r="P552" s="0" t="n">
        <v>267</v>
      </c>
      <c r="Q552" s="0" t="n">
        <v>268</v>
      </c>
      <c r="R552" s="0" t="n">
        <v>438.566109990342</v>
      </c>
      <c r="S552" s="0" t="n">
        <v>836.165944798543</v>
      </c>
      <c r="T552" s="0" t="n">
        <v>20</v>
      </c>
      <c r="U552" s="0" t="n">
        <v>28</v>
      </c>
      <c r="V552" s="0" t="n">
        <v>21.9282945353699</v>
      </c>
      <c r="W552" s="0" t="n">
        <v>29.8629628036522</v>
      </c>
      <c r="X552" s="0" t="n">
        <v>0</v>
      </c>
      <c r="Y552" s="0" t="n">
        <v>0</v>
      </c>
      <c r="Z552" s="0" t="n">
        <v>0</v>
      </c>
      <c r="AA552" s="0" t="n">
        <v>2.10093948183089</v>
      </c>
      <c r="AB552" s="0" t="n">
        <v>0</v>
      </c>
      <c r="AC552" s="0" t="n">
        <v>0</v>
      </c>
      <c r="AD552" s="0" t="n">
        <v>0</v>
      </c>
      <c r="AE552" s="0" t="n">
        <v>1</v>
      </c>
      <c r="AF552" s="0" t="n">
        <v>0</v>
      </c>
      <c r="AG552" s="0" t="n">
        <v>0</v>
      </c>
      <c r="AH552" s="0" t="n">
        <v>0</v>
      </c>
      <c r="AI552" s="0" t="n">
        <v>31.7020942280583</v>
      </c>
      <c r="AK552" s="0" t="n">
        <f aca="false">A552</f>
        <v>535</v>
      </c>
      <c r="AL552" s="0" t="n">
        <v>1</v>
      </c>
      <c r="AM552" s="0" t="n">
        <v>2</v>
      </c>
      <c r="AO552" s="0" t="n">
        <v>535</v>
      </c>
      <c r="AP552" s="0" t="n">
        <v>0</v>
      </c>
      <c r="AQ552" s="0" t="n">
        <v>0.344582910913897</v>
      </c>
      <c r="AR552" s="0" t="n">
        <v>472.658626157763</v>
      </c>
      <c r="AS552" s="0" t="n">
        <v>70</v>
      </c>
      <c r="AT552" s="0" t="n">
        <v>66</v>
      </c>
    </row>
    <row r="553" customFormat="false" ht="12" hidden="false" customHeight="false" outlineLevel="0" collapsed="false">
      <c r="A553" s="0" t="n">
        <v>536</v>
      </c>
      <c r="B553" s="0" t="n">
        <v>1</v>
      </c>
      <c r="C553" s="0" t="n">
        <v>0.37885345237259</v>
      </c>
      <c r="D553" s="0" t="n">
        <v>582.12285811901</v>
      </c>
      <c r="E553" s="0" t="n">
        <v>4</v>
      </c>
      <c r="F553" s="0" t="n">
        <v>4</v>
      </c>
      <c r="G553" s="0" t="n">
        <v>0.5</v>
      </c>
      <c r="H553" s="0" t="n">
        <v>1</v>
      </c>
      <c r="I553" s="0" t="n">
        <v>0</v>
      </c>
      <c r="J553" s="0" t="n">
        <v>583.609444966227</v>
      </c>
      <c r="K553" s="0" t="n">
        <v>0</v>
      </c>
      <c r="L553" s="0" t="n">
        <v>1.98856868843309</v>
      </c>
      <c r="M553" s="0" t="n">
        <v>585.833512836902</v>
      </c>
      <c r="N553" s="0" t="n">
        <v>3.71065471789143</v>
      </c>
      <c r="O553" s="0" t="n">
        <v>536</v>
      </c>
      <c r="P553" s="0" t="n">
        <v>267</v>
      </c>
      <c r="Q553" s="0" t="n">
        <v>269</v>
      </c>
      <c r="R553" s="0" t="n">
        <v>812.857386552745</v>
      </c>
      <c r="S553" s="0" t="n">
        <v>479.35712011389</v>
      </c>
      <c r="T553" s="0" t="n">
        <v>27</v>
      </c>
      <c r="U553" s="0" t="n">
        <v>21</v>
      </c>
      <c r="V553" s="0" t="n">
        <v>30.1058179812802</v>
      </c>
      <c r="W553" s="0" t="n">
        <v>22.8264208319908</v>
      </c>
      <c r="X553" s="0" t="n">
        <v>0</v>
      </c>
      <c r="Y553" s="0" t="n">
        <v>0</v>
      </c>
      <c r="Z553" s="0" t="n">
        <v>3.71065471789143</v>
      </c>
      <c r="AA553" s="0" t="n">
        <v>0</v>
      </c>
      <c r="AB553" s="0" t="n">
        <v>0</v>
      </c>
      <c r="AC553" s="0" t="n">
        <v>0</v>
      </c>
      <c r="AD553" s="0" t="n">
        <v>1</v>
      </c>
      <c r="AE553" s="0" t="n">
        <v>0</v>
      </c>
      <c r="AF553" s="0" t="n">
        <v>0</v>
      </c>
      <c r="AG553" s="0" t="n">
        <v>0</v>
      </c>
      <c r="AH553" s="0" t="n">
        <v>16.4450408885578</v>
      </c>
      <c r="AI553" s="0" t="n">
        <v>0</v>
      </c>
      <c r="AK553" s="0" t="n">
        <f aca="false">A553</f>
        <v>536</v>
      </c>
      <c r="AL553" s="0" t="n">
        <v>0</v>
      </c>
      <c r="AM553" s="0" t="n">
        <v>0</v>
      </c>
      <c r="AO553" s="0" t="n">
        <v>536</v>
      </c>
      <c r="AP553" s="0" t="n">
        <v>1</v>
      </c>
      <c r="AQ553" s="0" t="n">
        <v>0.388278334936424</v>
      </c>
      <c r="AR553" s="0" t="n">
        <v>473.0469044927</v>
      </c>
      <c r="AS553" s="0" t="n">
        <v>68</v>
      </c>
      <c r="AT553" s="0" t="n">
        <v>68</v>
      </c>
    </row>
    <row r="554" customFormat="false" ht="12" hidden="false" customHeight="false" outlineLevel="0" collapsed="false">
      <c r="A554" s="0" t="n">
        <v>537</v>
      </c>
      <c r="B554" s="0" t="n">
        <v>1</v>
      </c>
      <c r="C554" s="0" t="n">
        <v>0.506963041773905</v>
      </c>
      <c r="D554" s="0" t="n">
        <v>582.629821160784</v>
      </c>
      <c r="E554" s="0" t="n">
        <v>4</v>
      </c>
      <c r="F554" s="0" t="n">
        <v>6</v>
      </c>
      <c r="G554" s="0" t="n">
        <v>0.5</v>
      </c>
      <c r="H554" s="0" t="n">
        <v>0</v>
      </c>
      <c r="I554" s="0" t="n">
        <v>2.12184693571208</v>
      </c>
      <c r="J554" s="0" t="n">
        <v>585.731291901939</v>
      </c>
      <c r="K554" s="0" t="n">
        <v>3.1014707411548</v>
      </c>
      <c r="L554" s="0" t="n">
        <v>0</v>
      </c>
      <c r="M554" s="0" t="n">
        <v>585.833512836902</v>
      </c>
      <c r="N554" s="0" t="n">
        <v>0</v>
      </c>
      <c r="O554" s="0" t="n">
        <v>537</v>
      </c>
      <c r="P554" s="0" t="n">
        <v>268</v>
      </c>
      <c r="Q554" s="0" t="n">
        <v>269</v>
      </c>
      <c r="R554" s="0" t="n">
        <v>539.528285456523</v>
      </c>
      <c r="S554" s="0" t="n">
        <v>737.346146973621</v>
      </c>
      <c r="T554" s="0" t="n">
        <v>23</v>
      </c>
      <c r="U554" s="0" t="n">
        <v>25</v>
      </c>
      <c r="V554" s="0" t="n">
        <v>23.45774134257</v>
      </c>
      <c r="W554" s="0" t="n">
        <v>29.4937279040332</v>
      </c>
      <c r="X554" s="0" t="n">
        <v>3.1014707411548</v>
      </c>
      <c r="Y554" s="0" t="n">
        <v>0</v>
      </c>
      <c r="Z554" s="0" t="n">
        <v>0</v>
      </c>
      <c r="AA554" s="0" t="n">
        <v>0</v>
      </c>
      <c r="AB554" s="0" t="n">
        <v>1</v>
      </c>
      <c r="AC554" s="0" t="n">
        <v>0</v>
      </c>
      <c r="AD554" s="0" t="n">
        <v>0</v>
      </c>
      <c r="AE554" s="0" t="n">
        <v>0</v>
      </c>
      <c r="AF554" s="0" t="n">
        <v>18.7150494882387</v>
      </c>
      <c r="AG554" s="0" t="n">
        <v>0</v>
      </c>
      <c r="AH554" s="0" t="n">
        <v>0</v>
      </c>
      <c r="AI554" s="0" t="n">
        <v>0</v>
      </c>
      <c r="AK554" s="0" t="n">
        <f aca="false">A554</f>
        <v>537</v>
      </c>
      <c r="AL554" s="0" t="n">
        <v>1</v>
      </c>
      <c r="AM554" s="0" t="n">
        <v>1</v>
      </c>
      <c r="AO554" s="0" t="n">
        <v>537</v>
      </c>
      <c r="AP554" s="0" t="n">
        <v>0</v>
      </c>
      <c r="AQ554" s="0" t="n">
        <v>0.366302812009954</v>
      </c>
      <c r="AR554" s="0" t="n">
        <v>473.41320730471</v>
      </c>
      <c r="AS554" s="0" t="n">
        <v>68</v>
      </c>
      <c r="AT554" s="0" t="n">
        <v>70</v>
      </c>
    </row>
    <row r="555" customFormat="false" ht="12" hidden="false" customHeight="false" outlineLevel="0" collapsed="false">
      <c r="A555" s="0" t="n">
        <v>538</v>
      </c>
      <c r="B555" s="0" t="n">
        <v>1</v>
      </c>
      <c r="C555" s="0" t="n">
        <v>0.751060355160482</v>
      </c>
      <c r="D555" s="0" t="n">
        <v>583.380881515945</v>
      </c>
      <c r="E555" s="0" t="n">
        <v>6</v>
      </c>
      <c r="F555" s="0" t="n">
        <v>6</v>
      </c>
      <c r="G555" s="0" t="n">
        <v>0.5</v>
      </c>
      <c r="H555" s="0" t="n">
        <v>1</v>
      </c>
      <c r="I555" s="0" t="n">
        <v>0</v>
      </c>
      <c r="J555" s="0" t="n">
        <v>585.731291901939</v>
      </c>
      <c r="K555" s="0" t="n">
        <v>0</v>
      </c>
      <c r="L555" s="0" t="n">
        <v>1.89431984122262</v>
      </c>
      <c r="M555" s="0" t="n">
        <v>587.727832678124</v>
      </c>
      <c r="N555" s="0" t="n">
        <v>4.34695116217961</v>
      </c>
      <c r="O555" s="0" t="n">
        <v>538</v>
      </c>
      <c r="P555" s="0" t="n">
        <v>268</v>
      </c>
      <c r="Q555" s="0" t="n">
        <v>270</v>
      </c>
      <c r="R555" s="0" t="n">
        <v>722.920398494127</v>
      </c>
      <c r="S555" s="0" t="n">
        <v>576.340884193037</v>
      </c>
      <c r="T555" s="0" t="n">
        <v>26</v>
      </c>
      <c r="U555" s="0" t="n">
        <v>22</v>
      </c>
      <c r="V555" s="0" t="n">
        <v>27.8046200172279</v>
      </c>
      <c r="W555" s="0" t="n">
        <v>26.1971938397115</v>
      </c>
      <c r="X555" s="0" t="n">
        <v>0</v>
      </c>
      <c r="Y555" s="0" t="n">
        <v>0</v>
      </c>
      <c r="Z555" s="0" t="n">
        <v>4.34695116217961</v>
      </c>
      <c r="AA555" s="0" t="n">
        <v>0</v>
      </c>
      <c r="AB555" s="0" t="n">
        <v>0</v>
      </c>
      <c r="AC555" s="0" t="n">
        <v>0</v>
      </c>
      <c r="AD555" s="0" t="n">
        <v>1</v>
      </c>
      <c r="AE555" s="0" t="n">
        <v>0</v>
      </c>
      <c r="AF555" s="0" t="n">
        <v>0</v>
      </c>
      <c r="AG555" s="0" t="n">
        <v>0</v>
      </c>
      <c r="AH555" s="0" t="n">
        <v>11.689233573894</v>
      </c>
      <c r="AI555" s="0" t="n">
        <v>0</v>
      </c>
      <c r="AK555" s="0" t="n">
        <f aca="false">A555</f>
        <v>538</v>
      </c>
      <c r="AL555" s="0" t="n">
        <v>0</v>
      </c>
      <c r="AM555" s="0" t="n">
        <v>2</v>
      </c>
      <c r="AO555" s="0" t="n">
        <v>538</v>
      </c>
      <c r="AP555" s="0" t="n">
        <v>0</v>
      </c>
      <c r="AQ555" s="0" t="n">
        <v>2.80001679720012</v>
      </c>
      <c r="AR555" s="0" t="n">
        <v>476.21322410191</v>
      </c>
      <c r="AS555" s="0" t="n">
        <v>66</v>
      </c>
      <c r="AT555" s="0" t="n">
        <v>70</v>
      </c>
    </row>
    <row r="556" customFormat="false" ht="12" hidden="false" customHeight="false" outlineLevel="0" collapsed="false">
      <c r="A556" s="0" t="n">
        <v>539</v>
      </c>
      <c r="B556" s="0" t="n">
        <v>1</v>
      </c>
      <c r="C556" s="0" t="n">
        <v>1.03068060437334</v>
      </c>
      <c r="D556" s="0" t="n">
        <v>584.411562120318</v>
      </c>
      <c r="E556" s="0" t="n">
        <v>4</v>
      </c>
      <c r="F556" s="0" t="n">
        <v>6</v>
      </c>
      <c r="G556" s="0" t="n">
        <v>0.5</v>
      </c>
      <c r="H556" s="0" t="n">
        <v>0</v>
      </c>
      <c r="I556" s="0" t="n">
        <v>2.04412582264135</v>
      </c>
      <c r="J556" s="0" t="n">
        <v>587.77541772458</v>
      </c>
      <c r="K556" s="0" t="n">
        <v>3.36385560426243</v>
      </c>
      <c r="L556" s="0" t="n">
        <v>0</v>
      </c>
      <c r="M556" s="0" t="n">
        <v>587.727832678124</v>
      </c>
      <c r="N556" s="0" t="n">
        <v>0</v>
      </c>
      <c r="O556" s="0" t="n">
        <v>539</v>
      </c>
      <c r="P556" s="0" t="n">
        <v>269</v>
      </c>
      <c r="Q556" s="0" t="n">
        <v>270</v>
      </c>
      <c r="R556" s="0" t="n">
        <v>481.515628764278</v>
      </c>
      <c r="S556" s="0" t="n">
        <v>819.870119248097</v>
      </c>
      <c r="T556" s="0" t="n">
        <v>17</v>
      </c>
      <c r="U556" s="0" t="n">
        <v>31</v>
      </c>
      <c r="V556" s="0" t="n">
        <v>28.3244320894093</v>
      </c>
      <c r="W556" s="0" t="n">
        <v>26.4473378875583</v>
      </c>
      <c r="X556" s="0" t="n">
        <v>3.36385560426243</v>
      </c>
      <c r="Y556" s="0" t="n">
        <v>0</v>
      </c>
      <c r="Z556" s="0" t="n">
        <v>0</v>
      </c>
      <c r="AA556" s="0" t="n">
        <v>0</v>
      </c>
      <c r="AB556" s="0" t="n">
        <v>1</v>
      </c>
      <c r="AC556" s="0" t="n">
        <v>0</v>
      </c>
      <c r="AD556" s="0" t="n">
        <v>0</v>
      </c>
      <c r="AE556" s="0" t="n">
        <v>0</v>
      </c>
      <c r="AF556" s="0" t="n">
        <v>16.5136945551248</v>
      </c>
      <c r="AG556" s="0" t="n">
        <v>0</v>
      </c>
      <c r="AH556" s="0" t="n">
        <v>0</v>
      </c>
      <c r="AI556" s="0" t="n">
        <v>0</v>
      </c>
      <c r="AK556" s="0" t="n">
        <f aca="false">A556</f>
        <v>539</v>
      </c>
      <c r="AL556" s="0" t="n">
        <v>1</v>
      </c>
      <c r="AM556" s="0" t="n">
        <v>3</v>
      </c>
      <c r="AO556" s="0" t="n">
        <v>539</v>
      </c>
      <c r="AP556" s="0" t="n">
        <v>1</v>
      </c>
      <c r="AQ556" s="0" t="n">
        <v>2.45844682676135</v>
      </c>
      <c r="AR556" s="0" t="n">
        <v>478.671670928671</v>
      </c>
      <c r="AS556" s="0" t="n">
        <v>62</v>
      </c>
      <c r="AT556" s="0" t="n">
        <v>68</v>
      </c>
    </row>
    <row r="557" customFormat="false" ht="12" hidden="false" customHeight="false" outlineLevel="0" collapsed="false">
      <c r="A557" s="0" t="n">
        <v>540</v>
      </c>
      <c r="B557" s="0" t="n">
        <v>0</v>
      </c>
      <c r="C557" s="0" t="n">
        <v>2.07539863070663</v>
      </c>
      <c r="D557" s="0" t="n">
        <v>586.486960751025</v>
      </c>
      <c r="E557" s="0" t="n">
        <v>4</v>
      </c>
      <c r="F557" s="0" t="n">
        <v>4</v>
      </c>
      <c r="G557" s="0" t="n">
        <v>0.5</v>
      </c>
      <c r="H557" s="0" t="n">
        <v>1</v>
      </c>
      <c r="I557" s="0" t="n">
        <v>0</v>
      </c>
      <c r="J557" s="0" t="n">
        <v>587.77541772458</v>
      </c>
      <c r="K557" s="0" t="n">
        <v>0</v>
      </c>
      <c r="L557" s="0" t="n">
        <v>1.93792296003148</v>
      </c>
      <c r="M557" s="0" t="n">
        <v>589.665755638156</v>
      </c>
      <c r="N557" s="0" t="n">
        <v>3.17879488713118</v>
      </c>
      <c r="O557" s="0" t="n">
        <v>540</v>
      </c>
      <c r="P557" s="0" t="n">
        <v>269</v>
      </c>
      <c r="Q557" s="0" t="n">
        <v>271</v>
      </c>
      <c r="R557" s="0" t="n">
        <v>605.216725079177</v>
      </c>
      <c r="S557" s="0" t="n">
        <v>678.857677132445</v>
      </c>
      <c r="T557" s="0" t="n">
        <v>26</v>
      </c>
      <c r="U557" s="0" t="n">
        <v>22</v>
      </c>
      <c r="V557" s="0" t="n">
        <v>23.2775573962924</v>
      </c>
      <c r="W557" s="0" t="n">
        <v>30.8570268831708</v>
      </c>
      <c r="X557" s="0" t="n">
        <v>0</v>
      </c>
      <c r="Y557" s="0" t="n">
        <v>0</v>
      </c>
      <c r="Z557" s="0" t="n">
        <v>0</v>
      </c>
      <c r="AA557" s="0" t="n">
        <v>3.17879488713118</v>
      </c>
      <c r="AB557" s="0" t="n">
        <v>0</v>
      </c>
      <c r="AC557" s="0" t="n">
        <v>0</v>
      </c>
      <c r="AD557" s="0" t="n">
        <v>0</v>
      </c>
      <c r="AE557" s="0" t="n">
        <v>1</v>
      </c>
      <c r="AF557" s="0" t="n">
        <v>0</v>
      </c>
      <c r="AG557" s="0" t="n">
        <v>0</v>
      </c>
      <c r="AH557" s="0" t="n">
        <v>0</v>
      </c>
      <c r="AI557" s="0" t="n">
        <v>20.7262202523549</v>
      </c>
      <c r="AK557" s="0" t="n">
        <f aca="false">A557</f>
        <v>540</v>
      </c>
      <c r="AL557" s="0" t="n">
        <v>0</v>
      </c>
      <c r="AM557" s="0" t="n">
        <v>2</v>
      </c>
      <c r="AO557" s="0" t="n">
        <v>540</v>
      </c>
      <c r="AP557" s="0" t="n">
        <v>1</v>
      </c>
      <c r="AQ557" s="0" t="n">
        <v>0.295815449032713</v>
      </c>
      <c r="AR557" s="0" t="n">
        <v>478.967486377704</v>
      </c>
      <c r="AS557" s="0" t="n">
        <v>64</v>
      </c>
      <c r="AT557" s="0" t="n">
        <v>68</v>
      </c>
    </row>
    <row r="558" customFormat="false" ht="12" hidden="false" customHeight="false" outlineLevel="0" collapsed="false">
      <c r="A558" s="0" t="n">
        <v>541</v>
      </c>
      <c r="B558" s="0" t="n">
        <v>1</v>
      </c>
      <c r="C558" s="0" t="n">
        <v>0.665055247627135</v>
      </c>
      <c r="D558" s="0" t="n">
        <v>587.152015998652</v>
      </c>
      <c r="E558" s="0" t="n">
        <v>4</v>
      </c>
      <c r="F558" s="0" t="n">
        <v>6</v>
      </c>
      <c r="G558" s="0" t="n">
        <v>0.5</v>
      </c>
      <c r="H558" s="0" t="n">
        <v>0</v>
      </c>
      <c r="I558" s="0" t="n">
        <v>2.09255638507238</v>
      </c>
      <c r="J558" s="0" t="n">
        <v>589.867974109653</v>
      </c>
      <c r="K558" s="0" t="n">
        <v>2.71595811100099</v>
      </c>
      <c r="L558" s="0" t="n">
        <v>0</v>
      </c>
      <c r="M558" s="0" t="n">
        <v>589.665755638156</v>
      </c>
      <c r="N558" s="0" t="n">
        <v>0</v>
      </c>
      <c r="O558" s="0" t="n">
        <v>541</v>
      </c>
      <c r="P558" s="0" t="n">
        <v>270</v>
      </c>
      <c r="Q558" s="0" t="n">
        <v>271</v>
      </c>
      <c r="R558" s="0" t="n">
        <v>787.826463334183</v>
      </c>
      <c r="S558" s="0" t="n">
        <v>499.558302353362</v>
      </c>
      <c r="T558" s="0" t="n">
        <v>29</v>
      </c>
      <c r="U558" s="0" t="n">
        <v>19</v>
      </c>
      <c r="V558" s="0" t="n">
        <v>27.1664204024131</v>
      </c>
      <c r="W558" s="0" t="n">
        <v>26.2924038480514</v>
      </c>
      <c r="X558" s="0" t="n">
        <v>2.71595811100099</v>
      </c>
      <c r="Y558" s="0" t="n">
        <v>0</v>
      </c>
      <c r="Z558" s="0" t="n">
        <v>0</v>
      </c>
      <c r="AA558" s="0" t="n">
        <v>0</v>
      </c>
      <c r="AB558" s="0" t="n">
        <v>1</v>
      </c>
      <c r="AC558" s="0" t="n">
        <v>0</v>
      </c>
      <c r="AD558" s="0" t="n">
        <v>0</v>
      </c>
      <c r="AE558" s="0" t="n">
        <v>0</v>
      </c>
      <c r="AF558" s="0" t="n">
        <v>22.1991936812336</v>
      </c>
      <c r="AG558" s="0" t="n">
        <v>0</v>
      </c>
      <c r="AH558" s="0" t="n">
        <v>0</v>
      </c>
      <c r="AI558" s="0" t="n">
        <v>0</v>
      </c>
      <c r="AK558" s="0" t="n">
        <f aca="false">A558</f>
        <v>541</v>
      </c>
      <c r="AL558" s="0" t="n">
        <v>1</v>
      </c>
      <c r="AM558" s="0" t="n">
        <v>1</v>
      </c>
      <c r="AO558" s="0" t="n">
        <v>541</v>
      </c>
      <c r="AP558" s="0" t="n">
        <v>0</v>
      </c>
      <c r="AQ558" s="0" t="n">
        <v>0.210679195739969</v>
      </c>
      <c r="AR558" s="0" t="n">
        <v>479.178165573444</v>
      </c>
      <c r="AS558" s="0" t="n">
        <v>66</v>
      </c>
      <c r="AT558" s="0" t="n">
        <v>68</v>
      </c>
    </row>
    <row r="559" customFormat="false" ht="12" hidden="false" customHeight="false" outlineLevel="0" collapsed="false">
      <c r="A559" s="0" t="n">
        <v>542</v>
      </c>
      <c r="B559" s="0" t="n">
        <v>1</v>
      </c>
      <c r="C559" s="0" t="n">
        <v>0.309313578384202</v>
      </c>
      <c r="D559" s="0" t="n">
        <v>587.461329577036</v>
      </c>
      <c r="E559" s="0" t="n">
        <v>6</v>
      </c>
      <c r="F559" s="0" t="n">
        <v>6</v>
      </c>
      <c r="G559" s="0" t="n">
        <v>0.5</v>
      </c>
      <c r="H559" s="0" t="n">
        <v>0</v>
      </c>
      <c r="I559" s="0" t="n">
        <v>2.0332000868192</v>
      </c>
      <c r="J559" s="0" t="n">
        <v>591.901174196472</v>
      </c>
      <c r="K559" s="0" t="n">
        <v>4.43984461943603</v>
      </c>
      <c r="L559" s="0" t="n">
        <v>0</v>
      </c>
      <c r="M559" s="0" t="n">
        <v>589.665755638156</v>
      </c>
      <c r="N559" s="0" t="n">
        <v>0</v>
      </c>
      <c r="O559" s="0" t="n">
        <v>542</v>
      </c>
      <c r="P559" s="0" t="n">
        <v>271</v>
      </c>
      <c r="Q559" s="0" t="n">
        <v>271</v>
      </c>
      <c r="R559" s="0" t="n">
        <v>602.339536533495</v>
      </c>
      <c r="S559" s="0" t="n">
        <v>699.219304429229</v>
      </c>
      <c r="T559" s="0" t="n">
        <v>21</v>
      </c>
      <c r="U559" s="0" t="n">
        <v>27</v>
      </c>
      <c r="V559" s="0" t="n">
        <v>28.6828214145372</v>
      </c>
      <c r="W559" s="0" t="n">
        <v>25.8969153606553</v>
      </c>
      <c r="X559" s="0" t="n">
        <v>4.43984461943603</v>
      </c>
      <c r="Y559" s="0" t="n">
        <v>0</v>
      </c>
      <c r="Z559" s="0" t="n">
        <v>0</v>
      </c>
      <c r="AA559" s="0" t="n">
        <v>0</v>
      </c>
      <c r="AB559" s="0" t="n">
        <v>1</v>
      </c>
      <c r="AC559" s="0" t="n">
        <v>0</v>
      </c>
      <c r="AD559" s="0" t="n">
        <v>0</v>
      </c>
      <c r="AE559" s="0" t="n">
        <v>0</v>
      </c>
      <c r="AF559" s="0" t="n">
        <v>8.92644403281187</v>
      </c>
      <c r="AG559" s="0" t="n">
        <v>0</v>
      </c>
      <c r="AH559" s="0" t="n">
        <v>0</v>
      </c>
      <c r="AI559" s="0" t="n">
        <v>0</v>
      </c>
      <c r="AK559" s="0" t="n">
        <f aca="false">A559</f>
        <v>542</v>
      </c>
      <c r="AL559" s="0" t="n">
        <v>0</v>
      </c>
      <c r="AM559" s="0" t="n">
        <v>0</v>
      </c>
      <c r="AO559" s="0" t="n">
        <v>542</v>
      </c>
      <c r="AP559" s="0" t="n">
        <v>0</v>
      </c>
      <c r="AQ559" s="0" t="n">
        <v>0.866292181882026</v>
      </c>
      <c r="AR559" s="0" t="n">
        <v>480.044457755326</v>
      </c>
      <c r="AS559" s="0" t="n">
        <v>68</v>
      </c>
      <c r="AT559" s="0" t="n">
        <v>68</v>
      </c>
    </row>
    <row r="560" customFormat="false" ht="12" hidden="false" customHeight="false" outlineLevel="0" collapsed="false">
      <c r="A560" s="0" t="n">
        <v>543</v>
      </c>
      <c r="B560" s="0" t="n">
        <v>0</v>
      </c>
      <c r="C560" s="0" t="n">
        <v>1.95206262660049</v>
      </c>
      <c r="D560" s="0" t="n">
        <v>589.413392203636</v>
      </c>
      <c r="E560" s="0" t="n">
        <v>6</v>
      </c>
      <c r="F560" s="0" t="n">
        <v>4</v>
      </c>
      <c r="G560" s="0" t="n">
        <v>0.5</v>
      </c>
      <c r="H560" s="0" t="n">
        <v>0</v>
      </c>
      <c r="I560" s="0" t="n">
        <v>1.96778725231762</v>
      </c>
      <c r="J560" s="0" t="n">
        <v>593.86896144879</v>
      </c>
      <c r="K560" s="0" t="n">
        <v>4.45556924515313</v>
      </c>
      <c r="L560" s="0" t="n">
        <v>0</v>
      </c>
      <c r="M560" s="0" t="n">
        <v>589.665755638156</v>
      </c>
      <c r="N560" s="0" t="n">
        <v>0</v>
      </c>
      <c r="O560" s="0" t="n">
        <v>543</v>
      </c>
      <c r="P560" s="0" t="n">
        <v>272</v>
      </c>
      <c r="Q560" s="0" t="n">
        <v>271</v>
      </c>
      <c r="R560" s="0" t="n">
        <v>874.066838054953</v>
      </c>
      <c r="S560" s="0" t="n">
        <v>420.351703339557</v>
      </c>
      <c r="T560" s="0" t="n">
        <v>30</v>
      </c>
      <c r="U560" s="0" t="n">
        <v>18</v>
      </c>
      <c r="V560" s="0" t="n">
        <v>29.1355515566479</v>
      </c>
      <c r="W560" s="0" t="n">
        <v>23.3527426702939</v>
      </c>
      <c r="X560" s="0" t="n">
        <v>0</v>
      </c>
      <c r="Y560" s="0" t="n">
        <v>4.45556924515313</v>
      </c>
      <c r="Z560" s="0" t="n">
        <v>0</v>
      </c>
      <c r="AA560" s="0" t="n">
        <v>0</v>
      </c>
      <c r="AB560" s="0" t="n">
        <v>0</v>
      </c>
      <c r="AC560" s="0" t="n">
        <v>1</v>
      </c>
      <c r="AD560" s="0" t="n">
        <v>0</v>
      </c>
      <c r="AE560" s="0" t="n">
        <v>0</v>
      </c>
      <c r="AF560" s="0" t="n">
        <v>0</v>
      </c>
      <c r="AG560" s="0" t="n">
        <v>14.4634767905202</v>
      </c>
      <c r="AH560" s="0" t="n">
        <v>0</v>
      </c>
      <c r="AI560" s="0" t="n">
        <v>0</v>
      </c>
      <c r="AK560" s="0" t="n">
        <f aca="false">A560</f>
        <v>543</v>
      </c>
      <c r="AL560" s="0" t="n">
        <v>1</v>
      </c>
      <c r="AM560" s="0" t="n">
        <v>1</v>
      </c>
      <c r="AO560" s="0" t="n">
        <v>543</v>
      </c>
      <c r="AP560" s="0" t="n">
        <v>1</v>
      </c>
      <c r="AQ560" s="0" t="n">
        <v>0.084695192163314</v>
      </c>
      <c r="AR560" s="0" t="n">
        <v>480.129152947489</v>
      </c>
      <c r="AS560" s="0" t="n">
        <v>70</v>
      </c>
      <c r="AT560" s="0" t="n">
        <v>68</v>
      </c>
    </row>
    <row r="561" customFormat="false" ht="12" hidden="false" customHeight="false" outlineLevel="0" collapsed="false">
      <c r="A561" s="0" t="n">
        <v>544</v>
      </c>
      <c r="B561" s="0" t="n">
        <v>1</v>
      </c>
      <c r="C561" s="0" t="n">
        <v>3.57105922903763</v>
      </c>
      <c r="D561" s="0" t="n">
        <v>592.984451432674</v>
      </c>
      <c r="E561" s="0" t="n">
        <v>4</v>
      </c>
      <c r="F561" s="0" t="n">
        <v>2</v>
      </c>
      <c r="G561" s="0" t="n">
        <v>0.5</v>
      </c>
      <c r="H561" s="0" t="n">
        <v>1</v>
      </c>
      <c r="I561" s="0" t="n">
        <v>0</v>
      </c>
      <c r="J561" s="0" t="n">
        <v>593.86896144879</v>
      </c>
      <c r="K561" s="0" t="n">
        <v>0</v>
      </c>
      <c r="L561" s="0" t="n">
        <v>1.79588637875437</v>
      </c>
      <c r="M561" s="0" t="n">
        <v>594.780337811428</v>
      </c>
      <c r="N561" s="0" t="n">
        <v>1.7958863787544</v>
      </c>
      <c r="O561" s="0" t="n">
        <v>544</v>
      </c>
      <c r="P561" s="0" t="n">
        <v>272</v>
      </c>
      <c r="Q561" s="0" t="n">
        <v>272</v>
      </c>
      <c r="R561" s="0" t="n">
        <v>551.123242722888</v>
      </c>
      <c r="S561" s="0" t="n">
        <v>770.015165744655</v>
      </c>
      <c r="T561" s="0" t="n">
        <v>21</v>
      </c>
      <c r="U561" s="0" t="n">
        <v>27</v>
      </c>
      <c r="V561" s="0" t="n">
        <v>26.2439514420654</v>
      </c>
      <c r="W561" s="0" t="n">
        <v>28.5189745869332</v>
      </c>
      <c r="X561" s="0" t="n">
        <v>0</v>
      </c>
      <c r="Y561" s="0" t="n">
        <v>0</v>
      </c>
      <c r="Z561" s="0" t="n">
        <v>1.7958863787544</v>
      </c>
      <c r="AA561" s="0" t="n">
        <v>0</v>
      </c>
      <c r="AB561" s="0" t="n">
        <v>0</v>
      </c>
      <c r="AC561" s="0" t="n">
        <v>0</v>
      </c>
      <c r="AD561" s="0" t="n">
        <v>1</v>
      </c>
      <c r="AE561" s="0" t="n">
        <v>0</v>
      </c>
      <c r="AF561" s="0" t="n">
        <v>0</v>
      </c>
      <c r="AG561" s="0" t="n">
        <v>0</v>
      </c>
      <c r="AH561" s="0" t="n">
        <v>35.6411017836013</v>
      </c>
      <c r="AI561" s="0" t="n">
        <v>0</v>
      </c>
      <c r="AK561" s="0" t="n">
        <f aca="false">A561</f>
        <v>544</v>
      </c>
      <c r="AL561" s="0" t="n">
        <v>1</v>
      </c>
      <c r="AM561" s="0" t="n">
        <v>0</v>
      </c>
      <c r="AO561" s="0" t="n">
        <v>544</v>
      </c>
      <c r="AP561" s="0" t="n">
        <v>0</v>
      </c>
      <c r="AQ561" s="0" t="n">
        <v>1.73876721209444</v>
      </c>
      <c r="AR561" s="0" t="n">
        <v>481.867920159584</v>
      </c>
      <c r="AS561" s="0" t="n">
        <v>68</v>
      </c>
      <c r="AT561" s="0" t="n">
        <v>68</v>
      </c>
    </row>
    <row r="562" customFormat="false" ht="12" hidden="false" customHeight="false" outlineLevel="0" collapsed="false">
      <c r="A562" s="0" t="n">
        <v>545</v>
      </c>
      <c r="B562" s="0" t="n">
        <v>0</v>
      </c>
      <c r="C562" s="0" t="n">
        <v>0.480643687028464</v>
      </c>
      <c r="D562" s="0" t="n">
        <v>593.465095119702</v>
      </c>
      <c r="E562" s="0" t="n">
        <v>4</v>
      </c>
      <c r="F562" s="0" t="n">
        <v>4</v>
      </c>
      <c r="G562" s="0" t="n">
        <v>0.5</v>
      </c>
      <c r="H562" s="0" t="n">
        <v>0</v>
      </c>
      <c r="I562" s="0" t="n">
        <v>1.77022415960538</v>
      </c>
      <c r="J562" s="0" t="n">
        <v>595.639185608395</v>
      </c>
      <c r="K562" s="0" t="n">
        <v>2.17409048869251</v>
      </c>
      <c r="L562" s="0" t="n">
        <v>0</v>
      </c>
      <c r="M562" s="0" t="n">
        <v>594.780337811428</v>
      </c>
      <c r="N562" s="0" t="n">
        <v>0</v>
      </c>
      <c r="O562" s="0" t="n">
        <v>545</v>
      </c>
      <c r="P562" s="0" t="n">
        <v>273</v>
      </c>
      <c r="Q562" s="0" t="n">
        <v>272</v>
      </c>
      <c r="R562" s="0" t="n">
        <v>629.403494195836</v>
      </c>
      <c r="S562" s="0" t="n">
        <v>674.654453697478</v>
      </c>
      <c r="T562" s="0" t="n">
        <v>20</v>
      </c>
      <c r="U562" s="0" t="n">
        <v>28</v>
      </c>
      <c r="V562" s="0" t="n">
        <v>31.4701589747123</v>
      </c>
      <c r="W562" s="0" t="n">
        <v>24.0947158652104</v>
      </c>
      <c r="X562" s="0" t="n">
        <v>0</v>
      </c>
      <c r="Y562" s="0" t="n">
        <v>2.17409048869251</v>
      </c>
      <c r="Z562" s="0" t="n">
        <v>0</v>
      </c>
      <c r="AA562" s="0" t="n">
        <v>0</v>
      </c>
      <c r="AB562" s="0" t="n">
        <v>0</v>
      </c>
      <c r="AC562" s="0" t="n">
        <v>1</v>
      </c>
      <c r="AD562" s="0" t="n">
        <v>0</v>
      </c>
      <c r="AE562" s="0" t="n">
        <v>0</v>
      </c>
      <c r="AF562" s="0" t="n">
        <v>0</v>
      </c>
      <c r="AG562" s="0" t="n">
        <v>37.0219501416196</v>
      </c>
      <c r="AH562" s="0" t="n">
        <v>0</v>
      </c>
      <c r="AI562" s="0" t="n">
        <v>0</v>
      </c>
      <c r="AK562" s="0" t="n">
        <f aca="false">A562</f>
        <v>545</v>
      </c>
      <c r="AL562" s="0" t="n">
        <v>0</v>
      </c>
      <c r="AM562" s="0" t="n">
        <v>1</v>
      </c>
      <c r="AO562" s="0" t="n">
        <v>545</v>
      </c>
      <c r="AP562" s="0" t="n">
        <v>1</v>
      </c>
      <c r="AQ562" s="0" t="n">
        <v>1.63119810903941</v>
      </c>
      <c r="AR562" s="0" t="n">
        <v>483.499118268623</v>
      </c>
      <c r="AS562" s="0" t="n">
        <v>68</v>
      </c>
      <c r="AT562" s="0" t="n">
        <v>66</v>
      </c>
    </row>
    <row r="563" customFormat="false" ht="12" hidden="false" customHeight="false" outlineLevel="0" collapsed="false">
      <c r="A563" s="0" t="n">
        <v>546</v>
      </c>
      <c r="B563" s="0" t="n">
        <v>1</v>
      </c>
      <c r="C563" s="0" t="n">
        <v>0.813405839254904</v>
      </c>
      <c r="D563" s="0" t="n">
        <v>594.278500958957</v>
      </c>
      <c r="E563" s="0" t="n">
        <v>4</v>
      </c>
      <c r="F563" s="0" t="n">
        <v>4</v>
      </c>
      <c r="G563" s="0" t="n">
        <v>0.5</v>
      </c>
      <c r="H563" s="0" t="n">
        <v>1</v>
      </c>
      <c r="I563" s="0" t="n">
        <v>0</v>
      </c>
      <c r="J563" s="0" t="n">
        <v>595.639185608395</v>
      </c>
      <c r="K563" s="0" t="n">
        <v>0</v>
      </c>
      <c r="L563" s="0" t="n">
        <v>2.0291978351169</v>
      </c>
      <c r="M563" s="0" t="n">
        <v>596.809535646545</v>
      </c>
      <c r="N563" s="0" t="n">
        <v>2.53103468758798</v>
      </c>
      <c r="O563" s="0" t="n">
        <v>546</v>
      </c>
      <c r="P563" s="0" t="n">
        <v>273</v>
      </c>
      <c r="Q563" s="0" t="n">
        <v>273</v>
      </c>
      <c r="R563" s="0" t="n">
        <v>522.556246999364</v>
      </c>
      <c r="S563" s="0" t="n">
        <v>794.680304891982</v>
      </c>
      <c r="T563" s="0" t="n">
        <v>20</v>
      </c>
      <c r="U563" s="0" t="n">
        <v>28</v>
      </c>
      <c r="V563" s="0" t="n">
        <v>26.1277992860686</v>
      </c>
      <c r="W563" s="0" t="n">
        <v>28.3813380985061</v>
      </c>
      <c r="X563" s="0" t="n">
        <v>0</v>
      </c>
      <c r="Y563" s="0" t="n">
        <v>0</v>
      </c>
      <c r="Z563" s="0" t="n">
        <v>2.53103468758798</v>
      </c>
      <c r="AA563" s="0" t="n">
        <v>0</v>
      </c>
      <c r="AB563" s="0" t="n">
        <v>0</v>
      </c>
      <c r="AC563" s="0" t="n">
        <v>0</v>
      </c>
      <c r="AD563" s="0" t="n">
        <v>1</v>
      </c>
      <c r="AE563" s="0" t="n">
        <v>0</v>
      </c>
      <c r="AF563" s="0" t="n">
        <v>0</v>
      </c>
      <c r="AG563" s="0" t="n">
        <v>0</v>
      </c>
      <c r="AH563" s="0" t="n">
        <v>27.403849164427</v>
      </c>
      <c r="AI563" s="0" t="n">
        <v>0</v>
      </c>
      <c r="AK563" s="0" t="n">
        <f aca="false">A563</f>
        <v>546</v>
      </c>
      <c r="AL563" s="0" t="n">
        <v>0</v>
      </c>
      <c r="AM563" s="0" t="n">
        <v>0</v>
      </c>
      <c r="AO563" s="0" t="n">
        <v>546</v>
      </c>
      <c r="AP563" s="0" t="n">
        <v>0</v>
      </c>
      <c r="AQ563" s="0" t="n">
        <v>0.927395995369898</v>
      </c>
      <c r="AR563" s="0" t="n">
        <v>484.426514263993</v>
      </c>
      <c r="AS563" s="0" t="n">
        <v>68</v>
      </c>
      <c r="AT563" s="0" t="n">
        <v>68</v>
      </c>
    </row>
    <row r="564" customFormat="false" ht="12" hidden="false" customHeight="false" outlineLevel="0" collapsed="false">
      <c r="A564" s="0" t="n">
        <v>547</v>
      </c>
      <c r="B564" s="0" t="n">
        <v>0</v>
      </c>
      <c r="C564" s="0" t="n">
        <v>1.22839513817988</v>
      </c>
      <c r="D564" s="0" t="n">
        <v>595.506896097137</v>
      </c>
      <c r="E564" s="0" t="n">
        <v>4</v>
      </c>
      <c r="F564" s="0" t="n">
        <v>4</v>
      </c>
      <c r="G564" s="0" t="n">
        <v>0.5</v>
      </c>
      <c r="H564" s="0" t="n">
        <v>1</v>
      </c>
      <c r="I564" s="0" t="n">
        <v>0</v>
      </c>
      <c r="J564" s="0" t="n">
        <v>595.639185608395</v>
      </c>
      <c r="K564" s="0" t="n">
        <v>0</v>
      </c>
      <c r="L564" s="0" t="n">
        <v>1.79285055959064</v>
      </c>
      <c r="M564" s="0" t="n">
        <v>598.602386206136</v>
      </c>
      <c r="N564" s="0" t="n">
        <v>3.09549010899877</v>
      </c>
      <c r="O564" s="0" t="n">
        <v>547</v>
      </c>
      <c r="P564" s="0" t="n">
        <v>273</v>
      </c>
      <c r="Q564" s="0" t="n">
        <v>274</v>
      </c>
      <c r="R564" s="0" t="n">
        <v>690.366975882463</v>
      </c>
      <c r="S564" s="0" t="n">
        <v>625.254355209018</v>
      </c>
      <c r="T564" s="0" t="n">
        <v>26</v>
      </c>
      <c r="U564" s="0" t="n">
        <v>22</v>
      </c>
      <c r="V564" s="0" t="n">
        <v>26.552565782954</v>
      </c>
      <c r="W564" s="0" t="n">
        <v>28.4205233253039</v>
      </c>
      <c r="X564" s="0" t="n">
        <v>0</v>
      </c>
      <c r="Y564" s="0" t="n">
        <v>0</v>
      </c>
      <c r="Z564" s="0" t="n">
        <v>0</v>
      </c>
      <c r="AA564" s="0" t="n">
        <v>3.09549010899877</v>
      </c>
      <c r="AB564" s="0" t="n">
        <v>0</v>
      </c>
      <c r="AC564" s="0" t="n">
        <v>0</v>
      </c>
      <c r="AD564" s="0" t="n">
        <v>0</v>
      </c>
      <c r="AE564" s="0" t="n">
        <v>1</v>
      </c>
      <c r="AF564" s="0" t="n">
        <v>0</v>
      </c>
      <c r="AG564" s="0" t="n">
        <v>0</v>
      </c>
      <c r="AH564" s="0" t="n">
        <v>0</v>
      </c>
      <c r="AI564" s="0" t="n">
        <v>21.4916675830835</v>
      </c>
      <c r="AK564" s="0" t="n">
        <f aca="false">A564</f>
        <v>547</v>
      </c>
      <c r="AL564" s="0" t="n">
        <v>0</v>
      </c>
      <c r="AM564" s="0" t="n">
        <v>1</v>
      </c>
      <c r="AO564" s="0" t="n">
        <v>547</v>
      </c>
      <c r="AP564" s="0" t="n">
        <v>0</v>
      </c>
      <c r="AQ564" s="0" t="n">
        <v>0.756677894392344</v>
      </c>
      <c r="AR564" s="0" t="n">
        <v>485.183192158385</v>
      </c>
      <c r="AS564" s="0" t="n">
        <v>66</v>
      </c>
      <c r="AT564" s="0" t="n">
        <v>68</v>
      </c>
    </row>
    <row r="565" customFormat="false" ht="12" hidden="false" customHeight="false" outlineLevel="0" collapsed="false">
      <c r="A565" s="0" t="n">
        <v>548</v>
      </c>
      <c r="B565" s="0" t="n">
        <v>0</v>
      </c>
      <c r="C565" s="0" t="n">
        <v>0.00355646248520686</v>
      </c>
      <c r="D565" s="0" t="n">
        <v>595.510452559622</v>
      </c>
      <c r="E565" s="0" t="n">
        <v>4</v>
      </c>
      <c r="F565" s="0" t="n">
        <v>6</v>
      </c>
      <c r="G565" s="0" t="n">
        <v>0.5</v>
      </c>
      <c r="H565" s="0" t="n">
        <v>0</v>
      </c>
      <c r="I565" s="0" t="n">
        <v>1.96531930602145</v>
      </c>
      <c r="J565" s="0" t="n">
        <v>597.604504914416</v>
      </c>
      <c r="K565" s="0" t="n">
        <v>2.09405235479403</v>
      </c>
      <c r="L565" s="0" t="n">
        <v>0</v>
      </c>
      <c r="M565" s="0" t="n">
        <v>598.602386206136</v>
      </c>
      <c r="N565" s="0" t="n">
        <v>0</v>
      </c>
      <c r="O565" s="0" t="n">
        <v>548</v>
      </c>
      <c r="P565" s="0" t="n">
        <v>274</v>
      </c>
      <c r="Q565" s="0" t="n">
        <v>274</v>
      </c>
      <c r="R565" s="0" t="n">
        <v>618.480977838256</v>
      </c>
      <c r="S565" s="0" t="n">
        <v>702.246349299724</v>
      </c>
      <c r="T565" s="0" t="n">
        <v>23</v>
      </c>
      <c r="U565" s="0" t="n">
        <v>25</v>
      </c>
      <c r="V565" s="0" t="n">
        <v>26.8904656058087</v>
      </c>
      <c r="W565" s="0" t="n">
        <v>28.0897416130225</v>
      </c>
      <c r="X565" s="0" t="n">
        <v>0</v>
      </c>
      <c r="Y565" s="0" t="n">
        <v>2.09405235479403</v>
      </c>
      <c r="Z565" s="0" t="n">
        <v>0</v>
      </c>
      <c r="AA565" s="0" t="n">
        <v>0</v>
      </c>
      <c r="AB565" s="0" t="n">
        <v>0</v>
      </c>
      <c r="AC565" s="0" t="n">
        <v>1</v>
      </c>
      <c r="AD565" s="0" t="n">
        <v>0</v>
      </c>
      <c r="AE565" s="0" t="n">
        <v>0</v>
      </c>
      <c r="AF565" s="0" t="n">
        <v>0</v>
      </c>
      <c r="AG565" s="0" t="n">
        <v>38.0023509495131</v>
      </c>
      <c r="AH565" s="0" t="n">
        <v>0</v>
      </c>
      <c r="AI565" s="0" t="n">
        <v>0</v>
      </c>
      <c r="AK565" s="0" t="n">
        <f aca="false">A565</f>
        <v>548</v>
      </c>
      <c r="AL565" s="0" t="n">
        <v>1</v>
      </c>
      <c r="AM565" s="0" t="n">
        <v>2</v>
      </c>
      <c r="AO565" s="0" t="n">
        <v>548</v>
      </c>
      <c r="AP565" s="0" t="n">
        <v>0</v>
      </c>
      <c r="AQ565" s="0" t="n">
        <v>0.233020871529334</v>
      </c>
      <c r="AR565" s="0" t="n">
        <v>485.416213029915</v>
      </c>
      <c r="AS565" s="0" t="n">
        <v>66</v>
      </c>
      <c r="AT565" s="0" t="n">
        <v>70</v>
      </c>
    </row>
    <row r="566" customFormat="false" ht="12" hidden="false" customHeight="false" outlineLevel="0" collapsed="false">
      <c r="A566" s="0" t="n">
        <v>549</v>
      </c>
      <c r="B566" s="0" t="n">
        <v>0</v>
      </c>
      <c r="C566" s="0" t="n">
        <v>1.7690880842325</v>
      </c>
      <c r="D566" s="0" t="n">
        <v>597.279540643855</v>
      </c>
      <c r="E566" s="0" t="n">
        <v>4</v>
      </c>
      <c r="F566" s="0" t="n">
        <v>4</v>
      </c>
      <c r="G566" s="0" t="n">
        <v>0.5</v>
      </c>
      <c r="H566" s="0" t="n">
        <v>0</v>
      </c>
      <c r="I566" s="0" t="n">
        <v>1.75820098953907</v>
      </c>
      <c r="J566" s="0" t="n">
        <v>599.362705903955</v>
      </c>
      <c r="K566" s="0" t="n">
        <v>2.0831652601006</v>
      </c>
      <c r="L566" s="0" t="n">
        <v>0</v>
      </c>
      <c r="M566" s="0" t="n">
        <v>598.602386206136</v>
      </c>
      <c r="N566" s="0" t="n">
        <v>0</v>
      </c>
      <c r="O566" s="0" t="n">
        <v>549</v>
      </c>
      <c r="P566" s="0" t="n">
        <v>275</v>
      </c>
      <c r="Q566" s="0" t="n">
        <v>274</v>
      </c>
      <c r="R566" s="0" t="n">
        <v>871.48738624359</v>
      </c>
      <c r="S566" s="0" t="n">
        <v>445.230237489472</v>
      </c>
      <c r="T566" s="0" t="n">
        <v>30</v>
      </c>
      <c r="U566" s="0" t="n">
        <v>18</v>
      </c>
      <c r="V566" s="0" t="n">
        <v>29.049569858263</v>
      </c>
      <c r="W566" s="0" t="n">
        <v>24.734875777883</v>
      </c>
      <c r="X566" s="0" t="n">
        <v>0</v>
      </c>
      <c r="Y566" s="0" t="n">
        <v>2.0831652601006</v>
      </c>
      <c r="Z566" s="0" t="n">
        <v>0</v>
      </c>
      <c r="AA566" s="0" t="n">
        <v>0</v>
      </c>
      <c r="AB566" s="0" t="n">
        <v>0</v>
      </c>
      <c r="AC566" s="0" t="n">
        <v>1</v>
      </c>
      <c r="AD566" s="0" t="n">
        <v>0</v>
      </c>
      <c r="AE566" s="0" t="n">
        <v>0</v>
      </c>
      <c r="AF566" s="0" t="n">
        <v>0</v>
      </c>
      <c r="AG566" s="0" t="n">
        <v>38.1366987482983</v>
      </c>
      <c r="AH566" s="0" t="n">
        <v>0</v>
      </c>
      <c r="AI566" s="0" t="n">
        <v>0</v>
      </c>
      <c r="AK566" s="0" t="n">
        <f aca="false">A566</f>
        <v>549</v>
      </c>
      <c r="AL566" s="0" t="n">
        <v>0</v>
      </c>
      <c r="AM566" s="0" t="n">
        <v>3</v>
      </c>
      <c r="AO566" s="0" t="n">
        <v>549</v>
      </c>
      <c r="AP566" s="0" t="n">
        <v>0</v>
      </c>
      <c r="AQ566" s="0" t="n">
        <v>0.043683030249792</v>
      </c>
      <c r="AR566" s="0" t="n">
        <v>485.459896060164</v>
      </c>
      <c r="AS566" s="0" t="n">
        <v>66</v>
      </c>
      <c r="AT566" s="0" t="n">
        <v>72</v>
      </c>
    </row>
    <row r="567" customFormat="false" ht="12" hidden="false" customHeight="false" outlineLevel="0" collapsed="false">
      <c r="A567" s="0" t="n">
        <v>550</v>
      </c>
      <c r="B567" s="0" t="n">
        <v>0</v>
      </c>
      <c r="C567" s="0" t="n">
        <v>0.0583053823289831</v>
      </c>
      <c r="D567" s="0" t="n">
        <v>597.337846026184</v>
      </c>
      <c r="E567" s="0" t="n">
        <v>6</v>
      </c>
      <c r="F567" s="0" t="n">
        <v>4</v>
      </c>
      <c r="G567" s="0" t="n">
        <v>0.5</v>
      </c>
      <c r="H567" s="0" t="n">
        <v>1</v>
      </c>
      <c r="I567" s="0" t="n">
        <v>0</v>
      </c>
      <c r="J567" s="0" t="n">
        <v>599.362705903955</v>
      </c>
      <c r="K567" s="0" t="n">
        <v>0</v>
      </c>
      <c r="L567" s="0" t="n">
        <v>1.93851238290851</v>
      </c>
      <c r="M567" s="0" t="n">
        <v>600.540898589044</v>
      </c>
      <c r="N567" s="0" t="n">
        <v>3.20305256286053</v>
      </c>
      <c r="O567" s="0" t="n">
        <v>550</v>
      </c>
      <c r="P567" s="0" t="n">
        <v>275</v>
      </c>
      <c r="Q567" s="0" t="n">
        <v>275</v>
      </c>
      <c r="R567" s="0" t="n">
        <v>589.399901216807</v>
      </c>
      <c r="S567" s="0" t="n">
        <v>737.518992195383</v>
      </c>
      <c r="T567" s="0" t="n">
        <v>25</v>
      </c>
      <c r="U567" s="0" t="n">
        <v>23</v>
      </c>
      <c r="V567" s="0" t="n">
        <v>23.5759866182776</v>
      </c>
      <c r="W567" s="0" t="n">
        <v>32.065903721957</v>
      </c>
      <c r="X567" s="0" t="n">
        <v>0</v>
      </c>
      <c r="Y567" s="0" t="n">
        <v>0</v>
      </c>
      <c r="Z567" s="0" t="n">
        <v>0</v>
      </c>
      <c r="AA567" s="0" t="n">
        <v>3.20305256286053</v>
      </c>
      <c r="AB567" s="0" t="n">
        <v>0</v>
      </c>
      <c r="AC567" s="0" t="n">
        <v>0</v>
      </c>
      <c r="AD567" s="0" t="n">
        <v>0</v>
      </c>
      <c r="AE567" s="0" t="n">
        <v>1</v>
      </c>
      <c r="AF567" s="0" t="n">
        <v>0</v>
      </c>
      <c r="AG567" s="0" t="n">
        <v>0</v>
      </c>
      <c r="AH567" s="0" t="n">
        <v>0</v>
      </c>
      <c r="AI567" s="0" t="n">
        <v>20.5059374131119</v>
      </c>
      <c r="AK567" s="0" t="n">
        <f aca="false">A567</f>
        <v>550</v>
      </c>
      <c r="AL567" s="0" t="n">
        <v>1</v>
      </c>
      <c r="AM567" s="0" t="n">
        <v>2</v>
      </c>
      <c r="AO567" s="0" t="n">
        <v>550</v>
      </c>
      <c r="AP567" s="0" t="n">
        <v>0</v>
      </c>
      <c r="AQ567" s="0" t="n">
        <v>0.128183866318392</v>
      </c>
      <c r="AR567" s="0" t="n">
        <v>485.588079926483</v>
      </c>
      <c r="AS567" s="0" t="n">
        <v>68</v>
      </c>
      <c r="AT567" s="0" t="n">
        <v>72</v>
      </c>
    </row>
    <row r="568" customFormat="false" ht="12" hidden="false" customHeight="false" outlineLevel="0" collapsed="false">
      <c r="A568" s="0" t="n">
        <v>551</v>
      </c>
      <c r="B568" s="0" t="n">
        <v>1</v>
      </c>
      <c r="C568" s="0" t="n">
        <v>1.70061429435457</v>
      </c>
      <c r="D568" s="0" t="n">
        <v>599.038460320538</v>
      </c>
      <c r="E568" s="0" t="n">
        <v>4</v>
      </c>
      <c r="F568" s="0" t="n">
        <v>4</v>
      </c>
      <c r="G568" s="0" t="n">
        <v>0.5</v>
      </c>
      <c r="H568" s="0" t="n">
        <v>0</v>
      </c>
      <c r="I568" s="0" t="n">
        <v>2.00048234224873</v>
      </c>
      <c r="J568" s="0" t="n">
        <v>601.363188246204</v>
      </c>
      <c r="K568" s="0" t="n">
        <v>2.3247279256658</v>
      </c>
      <c r="L568" s="0" t="n">
        <v>0</v>
      </c>
      <c r="M568" s="0" t="n">
        <v>600.540898589044</v>
      </c>
      <c r="N568" s="0" t="n">
        <v>0</v>
      </c>
      <c r="O568" s="0" t="n">
        <v>551</v>
      </c>
      <c r="P568" s="0" t="n">
        <v>276</v>
      </c>
      <c r="Q568" s="0" t="n">
        <v>275</v>
      </c>
      <c r="R568" s="0" t="n">
        <v>752.169916581359</v>
      </c>
      <c r="S568" s="0" t="n">
        <v>578.783924269688</v>
      </c>
      <c r="T568" s="0" t="n">
        <v>23</v>
      </c>
      <c r="U568" s="0" t="n">
        <v>25</v>
      </c>
      <c r="V568" s="0" t="n">
        <v>32.7030256326566</v>
      </c>
      <c r="W568" s="0" t="n">
        <v>23.1512643657301</v>
      </c>
      <c r="X568" s="0" t="n">
        <v>2.3247279256658</v>
      </c>
      <c r="Y568" s="0" t="n">
        <v>0</v>
      </c>
      <c r="Z568" s="0" t="n">
        <v>0</v>
      </c>
      <c r="AA568" s="0" t="n">
        <v>0</v>
      </c>
      <c r="AB568" s="0" t="n">
        <v>1</v>
      </c>
      <c r="AC568" s="0" t="n">
        <v>0</v>
      </c>
      <c r="AD568" s="0" t="n">
        <v>0</v>
      </c>
      <c r="AE568" s="0" t="n">
        <v>0</v>
      </c>
      <c r="AF568" s="0" t="n">
        <v>26.0388966093429</v>
      </c>
      <c r="AG568" s="0" t="n">
        <v>0</v>
      </c>
      <c r="AH568" s="0" t="n">
        <v>0</v>
      </c>
      <c r="AI568" s="0" t="n">
        <v>0</v>
      </c>
      <c r="AK568" s="0" t="n">
        <f aca="false">A568</f>
        <v>551</v>
      </c>
      <c r="AL568" s="0" t="n">
        <v>0</v>
      </c>
      <c r="AM568" s="0" t="n">
        <v>3</v>
      </c>
      <c r="AO568" s="0" t="n">
        <v>551</v>
      </c>
      <c r="AP568" s="0" t="n">
        <v>1</v>
      </c>
      <c r="AQ568" s="0" t="n">
        <v>0.865356631161046</v>
      </c>
      <c r="AR568" s="0" t="n">
        <v>486.453436557644</v>
      </c>
      <c r="AS568" s="0" t="n">
        <v>68</v>
      </c>
      <c r="AT568" s="0" t="n">
        <v>74</v>
      </c>
    </row>
    <row r="569" customFormat="false" ht="12" hidden="false" customHeight="false" outlineLevel="0" collapsed="false">
      <c r="A569" s="0" t="n">
        <v>552</v>
      </c>
      <c r="B569" s="0" t="n">
        <v>0</v>
      </c>
      <c r="C569" s="0" t="n">
        <v>0.580980656776638</v>
      </c>
      <c r="D569" s="0" t="n">
        <v>599.619440977315</v>
      </c>
      <c r="E569" s="0" t="n">
        <v>4</v>
      </c>
      <c r="F569" s="0" t="n">
        <v>4</v>
      </c>
      <c r="G569" s="0" t="n">
        <v>0.5</v>
      </c>
      <c r="H569" s="0" t="n">
        <v>1</v>
      </c>
      <c r="I569" s="0" t="n">
        <v>0</v>
      </c>
      <c r="J569" s="0" t="n">
        <v>601.363188246204</v>
      </c>
      <c r="K569" s="0" t="n">
        <v>0</v>
      </c>
      <c r="L569" s="0" t="n">
        <v>1.90129016656509</v>
      </c>
      <c r="M569" s="0" t="n">
        <v>602.442188755609</v>
      </c>
      <c r="N569" s="0" t="n">
        <v>2.82274777829446</v>
      </c>
      <c r="O569" s="0" t="n">
        <v>552</v>
      </c>
      <c r="P569" s="0" t="n">
        <v>276</v>
      </c>
      <c r="Q569" s="0" t="n">
        <v>276</v>
      </c>
      <c r="R569" s="0" t="n">
        <v>450.956853173496</v>
      </c>
      <c r="S569" s="0" t="n">
        <v>889.563285075606</v>
      </c>
      <c r="T569" s="0" t="n">
        <v>18</v>
      </c>
      <c r="U569" s="0" t="n">
        <v>30</v>
      </c>
      <c r="V569" s="0" t="n">
        <v>25.053144591225</v>
      </c>
      <c r="W569" s="0" t="n">
        <v>29.6520106624847</v>
      </c>
      <c r="X569" s="0" t="n">
        <v>0</v>
      </c>
      <c r="Y569" s="0" t="n">
        <v>0</v>
      </c>
      <c r="Z569" s="0" t="n">
        <v>0</v>
      </c>
      <c r="AA569" s="0" t="n">
        <v>2.82274777829446</v>
      </c>
      <c r="AB569" s="0" t="n">
        <v>0</v>
      </c>
      <c r="AC569" s="0" t="n">
        <v>0</v>
      </c>
      <c r="AD569" s="0" t="n">
        <v>0</v>
      </c>
      <c r="AE569" s="0" t="n">
        <v>1</v>
      </c>
      <c r="AF569" s="0" t="n">
        <v>0</v>
      </c>
      <c r="AG569" s="0" t="n">
        <v>0</v>
      </c>
      <c r="AH569" s="0" t="n">
        <v>0</v>
      </c>
      <c r="AI569" s="0" t="n">
        <v>24.0948741149424</v>
      </c>
      <c r="AK569" s="0" t="n">
        <f aca="false">A569</f>
        <v>552</v>
      </c>
      <c r="AL569" s="0" t="n">
        <v>0</v>
      </c>
      <c r="AM569" s="0" t="n">
        <v>2</v>
      </c>
      <c r="AO569" s="0" t="n">
        <v>552</v>
      </c>
      <c r="AP569" s="0" t="n">
        <v>0</v>
      </c>
      <c r="AQ569" s="0" t="n">
        <v>1.16768116042474</v>
      </c>
      <c r="AR569" s="0" t="n">
        <v>487.621117718069</v>
      </c>
      <c r="AS569" s="0" t="n">
        <v>68</v>
      </c>
      <c r="AT569" s="0" t="n">
        <v>72</v>
      </c>
    </row>
    <row r="570" customFormat="false" ht="12" hidden="false" customHeight="false" outlineLevel="0" collapsed="false">
      <c r="A570" s="0" t="n">
        <v>553</v>
      </c>
      <c r="B570" s="0" t="n">
        <v>0</v>
      </c>
      <c r="C570" s="0" t="n">
        <v>0.829247873355908</v>
      </c>
      <c r="D570" s="0" t="n">
        <v>600.448688850671</v>
      </c>
      <c r="E570" s="0" t="n">
        <v>4</v>
      </c>
      <c r="F570" s="0" t="n">
        <v>6</v>
      </c>
      <c r="G570" s="0" t="n">
        <v>0.5</v>
      </c>
      <c r="H570" s="0" t="n">
        <v>0</v>
      </c>
      <c r="I570" s="0" t="n">
        <v>2.23998550115423</v>
      </c>
      <c r="J570" s="0" t="n">
        <v>603.603173747358</v>
      </c>
      <c r="K570" s="0" t="n">
        <v>3.15448489668745</v>
      </c>
      <c r="L570" s="0" t="n">
        <v>0</v>
      </c>
      <c r="M570" s="0" t="n">
        <v>602.442188755609</v>
      </c>
      <c r="N570" s="0" t="n">
        <v>0</v>
      </c>
      <c r="O570" s="0" t="n">
        <v>553</v>
      </c>
      <c r="P570" s="0" t="n">
        <v>277</v>
      </c>
      <c r="Q570" s="0" t="n">
        <v>276</v>
      </c>
      <c r="R570" s="0" t="n">
        <v>963.510931373931</v>
      </c>
      <c r="S570" s="0" t="n">
        <v>346.625564839546</v>
      </c>
      <c r="T570" s="0" t="n">
        <v>33</v>
      </c>
      <c r="U570" s="0" t="n">
        <v>15</v>
      </c>
      <c r="V570" s="0" t="n">
        <v>29.1972921030609</v>
      </c>
      <c r="W570" s="0" t="n">
        <v>23.1082169345235</v>
      </c>
      <c r="X570" s="0" t="n">
        <v>0</v>
      </c>
      <c r="Y570" s="0" t="n">
        <v>3.15448489668745</v>
      </c>
      <c r="Z570" s="0" t="n">
        <v>0</v>
      </c>
      <c r="AA570" s="0" t="n">
        <v>0</v>
      </c>
      <c r="AB570" s="0" t="n">
        <v>0</v>
      </c>
      <c r="AC570" s="0" t="n">
        <v>1</v>
      </c>
      <c r="AD570" s="0" t="n">
        <v>0</v>
      </c>
      <c r="AE570" s="0" t="n">
        <v>0</v>
      </c>
      <c r="AF570" s="0" t="n">
        <v>0</v>
      </c>
      <c r="AG570" s="0" t="n">
        <v>26.0525732889773</v>
      </c>
      <c r="AH570" s="0" t="n">
        <v>0</v>
      </c>
      <c r="AI570" s="0" t="n">
        <v>0</v>
      </c>
      <c r="AK570" s="0" t="n">
        <f aca="false">A570</f>
        <v>553</v>
      </c>
      <c r="AL570" s="0" t="n">
        <v>1</v>
      </c>
      <c r="AM570" s="0" t="n">
        <v>3</v>
      </c>
      <c r="AO570" s="0" t="n">
        <v>553</v>
      </c>
      <c r="AP570" s="0" t="n">
        <v>1</v>
      </c>
      <c r="AQ570" s="0" t="n">
        <v>0.112128052829712</v>
      </c>
      <c r="AR570" s="0" t="n">
        <v>487.733245770898</v>
      </c>
      <c r="AS570" s="0" t="n">
        <v>68</v>
      </c>
      <c r="AT570" s="0" t="n">
        <v>74</v>
      </c>
    </row>
    <row r="571" customFormat="false" ht="12" hidden="false" customHeight="false" outlineLevel="0" collapsed="false">
      <c r="A571" s="0" t="n">
        <v>554</v>
      </c>
      <c r="B571" s="0" t="n">
        <v>1</v>
      </c>
      <c r="C571" s="0" t="n">
        <v>3.42391157202465</v>
      </c>
      <c r="D571" s="0" t="n">
        <v>603.872600422696</v>
      </c>
      <c r="E571" s="0" t="n">
        <v>2</v>
      </c>
      <c r="F571" s="0" t="n">
        <v>2</v>
      </c>
      <c r="G571" s="0" t="n">
        <v>0.5</v>
      </c>
      <c r="H571" s="0" t="n">
        <v>0</v>
      </c>
      <c r="I571" s="0" t="n">
        <v>2.03647002926899</v>
      </c>
      <c r="J571" s="0" t="n">
        <v>605.909070451965</v>
      </c>
      <c r="K571" s="0" t="n">
        <v>2.03647002926903</v>
      </c>
      <c r="L571" s="0" t="n">
        <v>0</v>
      </c>
      <c r="M571" s="0" t="n">
        <v>603.872600422696</v>
      </c>
      <c r="N571" s="0" t="n">
        <v>0</v>
      </c>
      <c r="O571" s="0" t="n">
        <v>554</v>
      </c>
      <c r="P571" s="0" t="n">
        <v>278</v>
      </c>
      <c r="Q571" s="0" t="n">
        <v>276</v>
      </c>
      <c r="R571" s="0" t="n">
        <v>576.771096616027</v>
      </c>
      <c r="S571" s="0" t="n">
        <v>762.357746606718</v>
      </c>
      <c r="T571" s="0" t="n">
        <v>23</v>
      </c>
      <c r="U571" s="0" t="n">
        <v>25</v>
      </c>
      <c r="V571" s="0" t="n">
        <v>25.0769932976563</v>
      </c>
      <c r="W571" s="0" t="n">
        <v>30.4941878875172</v>
      </c>
      <c r="X571" s="0" t="n">
        <v>2.03647002926903</v>
      </c>
      <c r="Y571" s="0" t="n">
        <v>0</v>
      </c>
      <c r="Z571" s="0" t="n">
        <v>0</v>
      </c>
      <c r="AA571" s="0" t="n">
        <v>0</v>
      </c>
      <c r="AB571" s="0" t="n">
        <v>1</v>
      </c>
      <c r="AC571" s="0" t="n">
        <v>0</v>
      </c>
      <c r="AD571" s="0" t="n">
        <v>0</v>
      </c>
      <c r="AE571" s="0" t="n">
        <v>0</v>
      </c>
      <c r="AF571" s="0" t="n">
        <v>29.0638525838132</v>
      </c>
      <c r="AG571" s="0" t="n">
        <v>0</v>
      </c>
      <c r="AH571" s="0" t="n">
        <v>0</v>
      </c>
      <c r="AI571" s="0" t="n">
        <v>0</v>
      </c>
      <c r="AK571" s="0" t="n">
        <f aca="false">A571</f>
        <v>554</v>
      </c>
      <c r="AL571" s="0" t="n">
        <v>0</v>
      </c>
      <c r="AM571" s="0" t="n">
        <v>2</v>
      </c>
      <c r="AO571" s="0" t="n">
        <v>554</v>
      </c>
      <c r="AP571" s="0" t="n">
        <v>1</v>
      </c>
      <c r="AQ571" s="0" t="n">
        <v>3.37896796518645</v>
      </c>
      <c r="AR571" s="0" t="n">
        <v>491.112213736085</v>
      </c>
      <c r="AS571" s="0" t="n">
        <v>66</v>
      </c>
      <c r="AT571" s="0" t="n">
        <v>70</v>
      </c>
    </row>
    <row r="572" customFormat="false" ht="12" hidden="false" customHeight="false" outlineLevel="0" collapsed="false">
      <c r="A572" s="0" t="n">
        <v>555</v>
      </c>
      <c r="B572" s="0" t="n">
        <v>0</v>
      </c>
      <c r="C572" s="0" t="n">
        <v>1.39881308723538</v>
      </c>
      <c r="D572" s="0" t="n">
        <v>605.271413509931</v>
      </c>
      <c r="E572" s="0" t="n">
        <v>4</v>
      </c>
      <c r="F572" s="0" t="n">
        <v>2</v>
      </c>
      <c r="G572" s="0" t="n">
        <v>0.5</v>
      </c>
      <c r="H572" s="0" t="n">
        <v>1</v>
      </c>
      <c r="I572" s="0" t="n">
        <v>0</v>
      </c>
      <c r="J572" s="0" t="n">
        <v>605.909070451965</v>
      </c>
      <c r="K572" s="0" t="n">
        <v>0</v>
      </c>
      <c r="L572" s="0" t="n">
        <v>2.21957653955629</v>
      </c>
      <c r="M572" s="0" t="n">
        <v>607.490990049487</v>
      </c>
      <c r="N572" s="0" t="n">
        <v>2.21957653955633</v>
      </c>
      <c r="O572" s="0" t="n">
        <v>555</v>
      </c>
      <c r="P572" s="0" t="n">
        <v>278</v>
      </c>
      <c r="Q572" s="0" t="n">
        <v>277</v>
      </c>
      <c r="R572" s="0" t="n">
        <v>518.998471386402</v>
      </c>
      <c r="S572" s="0" t="n">
        <v>811.127916061284</v>
      </c>
      <c r="T572" s="0" t="n">
        <v>21</v>
      </c>
      <c r="U572" s="0" t="n">
        <v>27</v>
      </c>
      <c r="V572" s="0" t="n">
        <v>24.7142011544948</v>
      </c>
      <c r="W572" s="0" t="n">
        <v>30.0416634035164</v>
      </c>
      <c r="X572" s="0" t="n">
        <v>0</v>
      </c>
      <c r="Y572" s="0" t="n">
        <v>0</v>
      </c>
      <c r="Z572" s="0" t="n">
        <v>0</v>
      </c>
      <c r="AA572" s="0" t="n">
        <v>2.21957653955633</v>
      </c>
      <c r="AB572" s="0" t="n">
        <v>0</v>
      </c>
      <c r="AC572" s="0" t="n">
        <v>0</v>
      </c>
      <c r="AD572" s="0" t="n">
        <v>0</v>
      </c>
      <c r="AE572" s="0" t="n">
        <v>1</v>
      </c>
      <c r="AF572" s="0" t="n">
        <v>0</v>
      </c>
      <c r="AG572" s="0" t="n">
        <v>0</v>
      </c>
      <c r="AH572" s="0" t="n">
        <v>0</v>
      </c>
      <c r="AI572" s="0" t="n">
        <v>30.3802062596794</v>
      </c>
      <c r="AK572" s="0" t="n">
        <f aca="false">A572</f>
        <v>555</v>
      </c>
      <c r="AL572" s="0" t="n">
        <v>1</v>
      </c>
      <c r="AM572" s="0" t="n">
        <v>1</v>
      </c>
      <c r="AO572" s="0" t="n">
        <v>555</v>
      </c>
      <c r="AP572" s="0" t="n">
        <v>0</v>
      </c>
      <c r="AQ572" s="0" t="n">
        <v>0.0586518096915574</v>
      </c>
      <c r="AR572" s="0" t="n">
        <v>491.170865545776</v>
      </c>
      <c r="AS572" s="0" t="n">
        <v>68</v>
      </c>
      <c r="AT572" s="0" t="n">
        <v>70</v>
      </c>
    </row>
    <row r="573" customFormat="false" ht="12" hidden="false" customHeight="false" outlineLevel="0" collapsed="false">
      <c r="A573" s="0" t="n">
        <v>556</v>
      </c>
      <c r="B573" s="0" t="n">
        <v>0</v>
      </c>
      <c r="C573" s="0" t="n">
        <v>0.495323407499119</v>
      </c>
      <c r="D573" s="0" t="n">
        <v>605.76673691743</v>
      </c>
      <c r="E573" s="0" t="n">
        <v>4</v>
      </c>
      <c r="F573" s="0" t="n">
        <v>4</v>
      </c>
      <c r="G573" s="0" t="n">
        <v>0.5</v>
      </c>
      <c r="H573" s="0" t="n">
        <v>0</v>
      </c>
      <c r="I573" s="0" t="n">
        <v>1.84038379461156</v>
      </c>
      <c r="J573" s="0" t="n">
        <v>607.749454246576</v>
      </c>
      <c r="K573" s="0" t="n">
        <v>1.98271732914611</v>
      </c>
      <c r="L573" s="0" t="n">
        <v>0</v>
      </c>
      <c r="M573" s="0" t="n">
        <v>607.490990049487</v>
      </c>
      <c r="N573" s="0" t="n">
        <v>0</v>
      </c>
      <c r="O573" s="0" t="n">
        <v>556</v>
      </c>
      <c r="P573" s="0" t="n">
        <v>279</v>
      </c>
      <c r="Q573" s="0" t="n">
        <v>277</v>
      </c>
      <c r="R573" s="0" t="n">
        <v>922.691646845464</v>
      </c>
      <c r="S573" s="0" t="n">
        <v>418.134656781263</v>
      </c>
      <c r="T573" s="0" t="n">
        <v>30</v>
      </c>
      <c r="U573" s="0" t="n">
        <v>18</v>
      </c>
      <c r="V573" s="0" t="n">
        <v>30.7563779760562</v>
      </c>
      <c r="W573" s="0" t="n">
        <v>23.2295741013252</v>
      </c>
      <c r="X573" s="0" t="n">
        <v>0</v>
      </c>
      <c r="Y573" s="0" t="n">
        <v>1.98271732914611</v>
      </c>
      <c r="Z573" s="0" t="n">
        <v>0</v>
      </c>
      <c r="AA573" s="0" t="n">
        <v>0</v>
      </c>
      <c r="AB573" s="0" t="n">
        <v>0</v>
      </c>
      <c r="AC573" s="0" t="n">
        <v>1</v>
      </c>
      <c r="AD573" s="0" t="n">
        <v>0</v>
      </c>
      <c r="AE573" s="0" t="n">
        <v>0</v>
      </c>
      <c r="AF573" s="0" t="n">
        <v>0</v>
      </c>
      <c r="AG573" s="0" t="n">
        <v>39.3874192793677</v>
      </c>
      <c r="AH573" s="0" t="n">
        <v>0</v>
      </c>
      <c r="AI573" s="0" t="n">
        <v>0</v>
      </c>
      <c r="AK573" s="0" t="n">
        <f aca="false">A573</f>
        <v>556</v>
      </c>
      <c r="AL573" s="0" t="n">
        <v>0</v>
      </c>
      <c r="AM573" s="0" t="n">
        <v>1</v>
      </c>
      <c r="AO573" s="0" t="n">
        <v>556</v>
      </c>
      <c r="AP573" s="0" t="n">
        <v>0</v>
      </c>
      <c r="AQ573" s="0" t="n">
        <v>1.43367535414328</v>
      </c>
      <c r="AR573" s="0" t="n">
        <v>492.60454089992</v>
      </c>
      <c r="AS573" s="0" t="n">
        <v>68</v>
      </c>
      <c r="AT573" s="0" t="n">
        <v>70</v>
      </c>
    </row>
    <row r="574" customFormat="false" ht="12" hidden="false" customHeight="false" outlineLevel="0" collapsed="false">
      <c r="A574" s="0" t="n">
        <v>557</v>
      </c>
      <c r="B574" s="0" t="n">
        <v>0</v>
      </c>
      <c r="C574" s="0" t="n">
        <v>1.23508800537706</v>
      </c>
      <c r="D574" s="0" t="n">
        <v>607.001824922807</v>
      </c>
      <c r="E574" s="0" t="n">
        <v>4</v>
      </c>
      <c r="F574" s="0" t="n">
        <v>4</v>
      </c>
      <c r="G574" s="0" t="n">
        <v>0.5</v>
      </c>
      <c r="H574" s="0" t="n">
        <v>0</v>
      </c>
      <c r="I574" s="0" t="n">
        <v>1.75041956086152</v>
      </c>
      <c r="J574" s="0" t="n">
        <v>609.499873807438</v>
      </c>
      <c r="K574" s="0" t="n">
        <v>2.49804888463052</v>
      </c>
      <c r="L574" s="0" t="n">
        <v>0</v>
      </c>
      <c r="M574" s="0" t="n">
        <v>607.490990049487</v>
      </c>
      <c r="N574" s="0" t="n">
        <v>0</v>
      </c>
      <c r="O574" s="0" t="n">
        <v>557</v>
      </c>
      <c r="P574" s="0" t="n">
        <v>280</v>
      </c>
      <c r="Q574" s="0" t="n">
        <v>277</v>
      </c>
      <c r="R574" s="0" t="n">
        <v>416.55069024507</v>
      </c>
      <c r="S574" s="0" t="n">
        <v>908.924000880161</v>
      </c>
      <c r="T574" s="0" t="n">
        <v>19</v>
      </c>
      <c r="U574" s="0" t="n">
        <v>29</v>
      </c>
      <c r="V574" s="0" t="n">
        <v>21.92370900042</v>
      </c>
      <c r="W574" s="0" t="n">
        <v>31.3420988506992</v>
      </c>
      <c r="X574" s="0" t="n">
        <v>0</v>
      </c>
      <c r="Y574" s="0" t="n">
        <v>2.49804888463052</v>
      </c>
      <c r="Z574" s="0" t="n">
        <v>0</v>
      </c>
      <c r="AA574" s="0" t="n">
        <v>0</v>
      </c>
      <c r="AB574" s="0" t="n">
        <v>0</v>
      </c>
      <c r="AC574" s="0" t="n">
        <v>1</v>
      </c>
      <c r="AD574" s="0" t="n">
        <v>0</v>
      </c>
      <c r="AE574" s="0" t="n">
        <v>0</v>
      </c>
      <c r="AF574" s="0" t="n">
        <v>0</v>
      </c>
      <c r="AG574" s="0" t="n">
        <v>33.1846063427437</v>
      </c>
      <c r="AH574" s="0" t="n">
        <v>0</v>
      </c>
      <c r="AI574" s="0" t="n">
        <v>0</v>
      </c>
      <c r="AK574" s="0" t="n">
        <f aca="false">A574</f>
        <v>557</v>
      </c>
      <c r="AL574" s="0" t="n">
        <v>0</v>
      </c>
      <c r="AM574" s="0" t="n">
        <v>0</v>
      </c>
      <c r="AO574" s="0" t="n">
        <v>557</v>
      </c>
      <c r="AP574" s="0" t="n">
        <v>0</v>
      </c>
      <c r="AQ574" s="0" t="n">
        <v>0.0216501140390253</v>
      </c>
      <c r="AR574" s="0" t="n">
        <v>492.626191013959</v>
      </c>
      <c r="AS574" s="0" t="n">
        <v>70</v>
      </c>
      <c r="AT574" s="0" t="n">
        <v>70</v>
      </c>
    </row>
    <row r="575" customFormat="false" ht="12" hidden="false" customHeight="false" outlineLevel="0" collapsed="false">
      <c r="A575" s="0" t="n">
        <v>558</v>
      </c>
      <c r="B575" s="0" t="n">
        <v>0</v>
      </c>
      <c r="C575" s="0" t="n">
        <v>1.12036347661973</v>
      </c>
      <c r="D575" s="0" t="n">
        <v>608.122188399427</v>
      </c>
      <c r="E575" s="0" t="n">
        <v>4</v>
      </c>
      <c r="F575" s="0" t="n">
        <v>2</v>
      </c>
      <c r="G575" s="0" t="n">
        <v>0.5</v>
      </c>
      <c r="H575" s="0" t="n">
        <v>1</v>
      </c>
      <c r="I575" s="0" t="n">
        <v>0</v>
      </c>
      <c r="J575" s="0" t="n">
        <v>609.499873807438</v>
      </c>
      <c r="K575" s="0" t="n">
        <v>0</v>
      </c>
      <c r="L575" s="0" t="n">
        <v>1.78311509445967</v>
      </c>
      <c r="M575" s="0" t="n">
        <v>609.905303493887</v>
      </c>
      <c r="N575" s="0" t="n">
        <v>1.78311509445973</v>
      </c>
      <c r="O575" s="0" t="n">
        <v>558</v>
      </c>
      <c r="P575" s="0" t="n">
        <v>280</v>
      </c>
      <c r="Q575" s="0" t="n">
        <v>278</v>
      </c>
      <c r="R575" s="0" t="n">
        <v>686.505786396056</v>
      </c>
      <c r="S575" s="0" t="n">
        <v>625.54297249744</v>
      </c>
      <c r="T575" s="0" t="n">
        <v>24</v>
      </c>
      <c r="U575" s="0" t="n">
        <v>24</v>
      </c>
      <c r="V575" s="0" t="n">
        <v>28.6043958480041</v>
      </c>
      <c r="W575" s="0" t="n">
        <v>26.0641819199687</v>
      </c>
      <c r="X575" s="0" t="n">
        <v>0</v>
      </c>
      <c r="Y575" s="0" t="n">
        <v>0</v>
      </c>
      <c r="Z575" s="0" t="n">
        <v>0</v>
      </c>
      <c r="AA575" s="0" t="n">
        <v>1.78311509445973</v>
      </c>
      <c r="AB575" s="0" t="n">
        <v>0</v>
      </c>
      <c r="AC575" s="0" t="n">
        <v>0</v>
      </c>
      <c r="AD575" s="0" t="n">
        <v>0</v>
      </c>
      <c r="AE575" s="0" t="n">
        <v>1</v>
      </c>
      <c r="AF575" s="0" t="n">
        <v>0</v>
      </c>
      <c r="AG575" s="0" t="n">
        <v>0</v>
      </c>
      <c r="AH575" s="0" t="n">
        <v>0</v>
      </c>
      <c r="AI575" s="0" t="n">
        <v>35.3821023832722</v>
      </c>
      <c r="AK575" s="0" t="n">
        <f aca="false">A575</f>
        <v>558</v>
      </c>
      <c r="AL575" s="0" t="n">
        <v>1</v>
      </c>
      <c r="AM575" s="0" t="n">
        <v>0</v>
      </c>
      <c r="AO575" s="0" t="n">
        <v>558</v>
      </c>
      <c r="AP575" s="0" t="n">
        <v>1</v>
      </c>
      <c r="AQ575" s="0" t="n">
        <v>0.334041325293609</v>
      </c>
      <c r="AR575" s="0" t="n">
        <v>492.960232339252</v>
      </c>
      <c r="AS575" s="0" t="n">
        <v>70</v>
      </c>
      <c r="AT575" s="0" t="n">
        <v>70</v>
      </c>
    </row>
    <row r="576" customFormat="false" ht="12" hidden="false" customHeight="false" outlineLevel="0" collapsed="false">
      <c r="A576" s="0" t="n">
        <v>559</v>
      </c>
      <c r="B576" s="0" t="n">
        <v>0</v>
      </c>
      <c r="C576" s="0" t="n">
        <v>0.0440099254183469</v>
      </c>
      <c r="D576" s="0" t="n">
        <v>608.166198324845</v>
      </c>
      <c r="E576" s="0" t="n">
        <v>4</v>
      </c>
      <c r="F576" s="0" t="n">
        <v>4</v>
      </c>
      <c r="G576" s="0" t="n">
        <v>0.5</v>
      </c>
      <c r="H576" s="0" t="n">
        <v>0</v>
      </c>
      <c r="I576" s="0" t="n">
        <v>1.97658763508527</v>
      </c>
      <c r="J576" s="0" t="n">
        <v>611.476461442523</v>
      </c>
      <c r="K576" s="0" t="n">
        <v>3.31026311767766</v>
      </c>
      <c r="L576" s="0" t="n">
        <v>0</v>
      </c>
      <c r="M576" s="0" t="n">
        <v>609.905303493887</v>
      </c>
      <c r="N576" s="0" t="n">
        <v>0</v>
      </c>
      <c r="O576" s="0" t="n">
        <v>559</v>
      </c>
      <c r="P576" s="0" t="n">
        <v>281</v>
      </c>
      <c r="Q576" s="0" t="n">
        <v>278</v>
      </c>
      <c r="R576" s="0" t="n">
        <v>767.271600796506</v>
      </c>
      <c r="S576" s="0" t="n">
        <v>539.101362177336</v>
      </c>
      <c r="T576" s="0" t="n">
        <v>23</v>
      </c>
      <c r="U576" s="0" t="n">
        <v>25</v>
      </c>
      <c r="V576" s="0" t="n">
        <v>33.3596203130567</v>
      </c>
      <c r="W576" s="0" t="n">
        <v>21.5639682312205</v>
      </c>
      <c r="X576" s="0" t="n">
        <v>0</v>
      </c>
      <c r="Y576" s="0" t="n">
        <v>3.31026311767766</v>
      </c>
      <c r="Z576" s="0" t="n">
        <v>0</v>
      </c>
      <c r="AA576" s="0" t="n">
        <v>0</v>
      </c>
      <c r="AB576" s="0" t="n">
        <v>0</v>
      </c>
      <c r="AC576" s="0" t="n">
        <v>1</v>
      </c>
      <c r="AD576" s="0" t="n">
        <v>0</v>
      </c>
      <c r="AE576" s="0" t="n">
        <v>0</v>
      </c>
      <c r="AF576" s="0" t="n">
        <v>0</v>
      </c>
      <c r="AG576" s="0" t="n">
        <v>24.4866024302632</v>
      </c>
      <c r="AH576" s="0" t="n">
        <v>0</v>
      </c>
      <c r="AI576" s="0" t="n">
        <v>0</v>
      </c>
      <c r="AK576" s="0" t="n">
        <f aca="false">A576</f>
        <v>559</v>
      </c>
      <c r="AL576" s="0" t="n">
        <v>0</v>
      </c>
      <c r="AM576" s="0" t="n">
        <v>1</v>
      </c>
      <c r="AO576" s="0" t="n">
        <v>559</v>
      </c>
      <c r="AP576" s="0" t="n">
        <v>0</v>
      </c>
      <c r="AQ576" s="0" t="n">
        <v>0.125056293347458</v>
      </c>
      <c r="AR576" s="0" t="n">
        <v>493.0852886326</v>
      </c>
      <c r="AS576" s="0" t="n">
        <v>72</v>
      </c>
      <c r="AT576" s="0" t="n">
        <v>70</v>
      </c>
    </row>
    <row r="577" customFormat="false" ht="12" hidden="false" customHeight="false" outlineLevel="0" collapsed="false">
      <c r="A577" s="0" t="n">
        <v>560</v>
      </c>
      <c r="B577" s="0" t="n">
        <v>0</v>
      </c>
      <c r="C577" s="0" t="n">
        <v>0.933144553872222</v>
      </c>
      <c r="D577" s="0" t="n">
        <v>609.099342878717</v>
      </c>
      <c r="E577" s="0" t="n">
        <v>6</v>
      </c>
      <c r="F577" s="0" t="n">
        <v>4</v>
      </c>
      <c r="G577" s="0" t="n">
        <v>0.5</v>
      </c>
      <c r="H577" s="0" t="n">
        <v>0</v>
      </c>
      <c r="I577" s="0" t="n">
        <v>1.88686263103843</v>
      </c>
      <c r="J577" s="0" t="n">
        <v>613.363324073561</v>
      </c>
      <c r="K577" s="0" t="n">
        <v>4.26398119484384</v>
      </c>
      <c r="L577" s="0" t="n">
        <v>0</v>
      </c>
      <c r="M577" s="0" t="n">
        <v>609.905303493887</v>
      </c>
      <c r="N577" s="0" t="n">
        <v>0</v>
      </c>
      <c r="O577" s="0" t="n">
        <v>560</v>
      </c>
      <c r="P577" s="0" t="n">
        <v>282</v>
      </c>
      <c r="Q577" s="0" t="n">
        <v>278</v>
      </c>
      <c r="R577" s="0" t="n">
        <v>612.893069424488</v>
      </c>
      <c r="S577" s="0" t="n">
        <v>676.817382382759</v>
      </c>
      <c r="T577" s="0" t="n">
        <v>26</v>
      </c>
      <c r="U577" s="0" t="n">
        <v>22</v>
      </c>
      <c r="V577" s="0" t="n">
        <v>23.5728012960183</v>
      </c>
      <c r="W577" s="0" t="n">
        <v>30.7642866342771</v>
      </c>
      <c r="X577" s="0" t="n">
        <v>0</v>
      </c>
      <c r="Y577" s="0" t="n">
        <v>4.26398119484384</v>
      </c>
      <c r="Z577" s="0" t="n">
        <v>0</v>
      </c>
      <c r="AA577" s="0" t="n">
        <v>0</v>
      </c>
      <c r="AB577" s="0" t="n">
        <v>0</v>
      </c>
      <c r="AC577" s="0" t="n">
        <v>1</v>
      </c>
      <c r="AD577" s="0" t="n">
        <v>0</v>
      </c>
      <c r="AE577" s="0" t="n">
        <v>0</v>
      </c>
      <c r="AF577" s="0" t="n">
        <v>0</v>
      </c>
      <c r="AG577" s="0" t="n">
        <v>15.9574351238472</v>
      </c>
      <c r="AH577" s="0" t="n">
        <v>0</v>
      </c>
      <c r="AI577" s="0" t="n">
        <v>0</v>
      </c>
      <c r="AK577" s="0" t="n">
        <f aca="false">A577</f>
        <v>560</v>
      </c>
      <c r="AL577" s="0" t="n">
        <v>1</v>
      </c>
      <c r="AM577" s="0" t="n">
        <v>2</v>
      </c>
      <c r="AO577" s="0" t="n">
        <v>560</v>
      </c>
      <c r="AP577" s="0" t="n">
        <v>0</v>
      </c>
      <c r="AQ577" s="0" t="n">
        <v>1.45843487520844</v>
      </c>
      <c r="AR577" s="0" t="n">
        <v>494.543723507808</v>
      </c>
      <c r="AS577" s="0" t="n">
        <v>74</v>
      </c>
      <c r="AT577" s="0" t="n">
        <v>70</v>
      </c>
    </row>
    <row r="578" customFormat="false" ht="12" hidden="false" customHeight="false" outlineLevel="0" collapsed="false">
      <c r="A578" s="0" t="n">
        <v>561</v>
      </c>
      <c r="B578" s="0" t="n">
        <v>1</v>
      </c>
      <c r="C578" s="0" t="n">
        <v>0.459506167112664</v>
      </c>
      <c r="D578" s="0" t="n">
        <v>609.55884904583</v>
      </c>
      <c r="E578" s="0" t="n">
        <v>6</v>
      </c>
      <c r="F578" s="0" t="n">
        <v>4</v>
      </c>
      <c r="G578" s="0" t="n">
        <v>0.5</v>
      </c>
      <c r="H578" s="0" t="n">
        <v>1</v>
      </c>
      <c r="I578" s="0" t="n">
        <v>0</v>
      </c>
      <c r="J578" s="0" t="n">
        <v>613.363324073561</v>
      </c>
      <c r="K578" s="0" t="n">
        <v>0</v>
      </c>
      <c r="L578" s="0" t="n">
        <v>2.22861202095825</v>
      </c>
      <c r="M578" s="0" t="n">
        <v>612.133915514845</v>
      </c>
      <c r="N578" s="0" t="n">
        <v>2.57506646901481</v>
      </c>
      <c r="O578" s="0" t="n">
        <v>561</v>
      </c>
      <c r="P578" s="0" t="n">
        <v>282</v>
      </c>
      <c r="Q578" s="0" t="n">
        <v>279</v>
      </c>
      <c r="R578" s="0" t="n">
        <v>608.402966377927</v>
      </c>
      <c r="S578" s="0" t="n">
        <v>719.64441886766</v>
      </c>
      <c r="T578" s="0" t="n">
        <v>23</v>
      </c>
      <c r="U578" s="0" t="n">
        <v>25</v>
      </c>
      <c r="V578" s="0" t="n">
        <v>26.4522913850006</v>
      </c>
      <c r="W578" s="0" t="n">
        <v>28.78566161206</v>
      </c>
      <c r="X578" s="0" t="n">
        <v>0</v>
      </c>
      <c r="Y578" s="0" t="n">
        <v>0</v>
      </c>
      <c r="Z578" s="0" t="n">
        <v>2.57506646901481</v>
      </c>
      <c r="AA578" s="0" t="n">
        <v>0</v>
      </c>
      <c r="AB578" s="0" t="n">
        <v>0</v>
      </c>
      <c r="AC578" s="0" t="n">
        <v>0</v>
      </c>
      <c r="AD578" s="0" t="n">
        <v>1</v>
      </c>
      <c r="AE578" s="0" t="n">
        <v>0</v>
      </c>
      <c r="AF578" s="0" t="n">
        <v>0</v>
      </c>
      <c r="AG578" s="0" t="n">
        <v>0</v>
      </c>
      <c r="AH578" s="0" t="n">
        <v>26.9447867830135</v>
      </c>
      <c r="AI578" s="0" t="n">
        <v>0</v>
      </c>
      <c r="AK578" s="0" t="n">
        <f aca="false">A578</f>
        <v>561</v>
      </c>
      <c r="AL578" s="0" t="n">
        <v>1</v>
      </c>
      <c r="AM578" s="0" t="n">
        <v>3</v>
      </c>
      <c r="AO578" s="0" t="n">
        <v>561</v>
      </c>
      <c r="AP578" s="0" t="n">
        <v>0</v>
      </c>
      <c r="AQ578" s="0" t="n">
        <v>0.612720487649785</v>
      </c>
      <c r="AR578" s="0" t="n">
        <v>495.156443995458</v>
      </c>
      <c r="AS578" s="0" t="n">
        <v>74</v>
      </c>
      <c r="AT578" s="0" t="n">
        <v>68</v>
      </c>
    </row>
    <row r="579" customFormat="false" ht="12" hidden="false" customHeight="false" outlineLevel="0" collapsed="false">
      <c r="A579" s="0" t="n">
        <v>562</v>
      </c>
      <c r="B579" s="0" t="n">
        <v>1</v>
      </c>
      <c r="C579" s="0" t="n">
        <v>0.16567740057289</v>
      </c>
      <c r="D579" s="0" t="n">
        <v>609.724526446403</v>
      </c>
      <c r="E579" s="0" t="n">
        <v>6</v>
      </c>
      <c r="F579" s="0" t="n">
        <v>6</v>
      </c>
      <c r="G579" s="0" t="n">
        <v>0.5</v>
      </c>
      <c r="H579" s="0" t="n">
        <v>1</v>
      </c>
      <c r="I579" s="0" t="n">
        <v>0</v>
      </c>
      <c r="J579" s="0" t="n">
        <v>613.363324073561</v>
      </c>
      <c r="K579" s="0" t="n">
        <v>0</v>
      </c>
      <c r="L579" s="0" t="n">
        <v>1.89829138200243</v>
      </c>
      <c r="M579" s="0" t="n">
        <v>614.032206896847</v>
      </c>
      <c r="N579" s="0" t="n">
        <v>4.30768045044431</v>
      </c>
      <c r="O579" s="0" t="n">
        <v>562</v>
      </c>
      <c r="P579" s="0" t="n">
        <v>282</v>
      </c>
      <c r="Q579" s="0" t="n">
        <v>280</v>
      </c>
      <c r="R579" s="0" t="n">
        <v>533.780159319723</v>
      </c>
      <c r="S579" s="0" t="n">
        <v>799.955474979982</v>
      </c>
      <c r="T579" s="0" t="n">
        <v>18</v>
      </c>
      <c r="U579" s="0" t="n">
        <v>30</v>
      </c>
      <c r="V579" s="0" t="n">
        <v>29.6544368208531</v>
      </c>
      <c r="W579" s="0" t="n">
        <v>26.6650936156874</v>
      </c>
      <c r="X579" s="0" t="n">
        <v>0</v>
      </c>
      <c r="Y579" s="0" t="n">
        <v>0</v>
      </c>
      <c r="Z579" s="0" t="n">
        <v>4.30768045044431</v>
      </c>
      <c r="AA579" s="0" t="n">
        <v>0</v>
      </c>
      <c r="AB579" s="0" t="n">
        <v>0</v>
      </c>
      <c r="AC579" s="0" t="n">
        <v>0</v>
      </c>
      <c r="AD579" s="0" t="n">
        <v>1</v>
      </c>
      <c r="AE579" s="0" t="n">
        <v>0</v>
      </c>
      <c r="AF579" s="0" t="n">
        <v>0</v>
      </c>
      <c r="AG579" s="0" t="n">
        <v>0</v>
      </c>
      <c r="AH579" s="0" t="n">
        <v>11.9593051286901</v>
      </c>
      <c r="AI579" s="0" t="n">
        <v>0</v>
      </c>
      <c r="AK579" s="0" t="n">
        <f aca="false">A579</f>
        <v>562</v>
      </c>
      <c r="AL579" s="0" t="n">
        <v>0</v>
      </c>
      <c r="AM579" s="0" t="n">
        <v>2</v>
      </c>
      <c r="AO579" s="0" t="n">
        <v>562</v>
      </c>
      <c r="AP579" s="0" t="n">
        <v>1</v>
      </c>
      <c r="AQ579" s="0" t="n">
        <v>0.585711982999576</v>
      </c>
      <c r="AR579" s="0" t="n">
        <v>495.742155978457</v>
      </c>
      <c r="AS579" s="0" t="n">
        <v>74</v>
      </c>
      <c r="AT579" s="0" t="n">
        <v>70</v>
      </c>
    </row>
    <row r="580" customFormat="false" ht="12" hidden="false" customHeight="false" outlineLevel="0" collapsed="false">
      <c r="A580" s="0" t="n">
        <v>563</v>
      </c>
      <c r="B580" s="0" t="n">
        <v>1</v>
      </c>
      <c r="C580" s="0" t="n">
        <v>2.09191829564934</v>
      </c>
      <c r="D580" s="0" t="n">
        <v>611.816444742052</v>
      </c>
      <c r="E580" s="0" t="n">
        <v>4</v>
      </c>
      <c r="F580" s="0" t="n">
        <v>6</v>
      </c>
      <c r="G580" s="0" t="n">
        <v>0.5</v>
      </c>
      <c r="H580" s="0" t="n">
        <v>0</v>
      </c>
      <c r="I580" s="0" t="n">
        <v>1.98621657287482</v>
      </c>
      <c r="J580" s="0" t="n">
        <v>615.349540646436</v>
      </c>
      <c r="K580" s="0" t="n">
        <v>3.5330959043838</v>
      </c>
      <c r="L580" s="0" t="n">
        <v>0</v>
      </c>
      <c r="M580" s="0" t="n">
        <v>614.032206896847</v>
      </c>
      <c r="N580" s="0" t="n">
        <v>0</v>
      </c>
      <c r="O580" s="0" t="n">
        <v>563</v>
      </c>
      <c r="P580" s="0" t="n">
        <v>283</v>
      </c>
      <c r="Q580" s="0" t="n">
        <v>280</v>
      </c>
      <c r="R580" s="0" t="n">
        <v>701.835495844308</v>
      </c>
      <c r="S580" s="0" t="n">
        <v>635.787061966671</v>
      </c>
      <c r="T580" s="0" t="n">
        <v>26</v>
      </c>
      <c r="U580" s="0" t="n">
        <v>22</v>
      </c>
      <c r="V580" s="0" t="n">
        <v>26.9936625349109</v>
      </c>
      <c r="W580" s="0" t="n">
        <v>28.8992805472098</v>
      </c>
      <c r="X580" s="0" t="n">
        <v>3.5330959043838</v>
      </c>
      <c r="Y580" s="0" t="n">
        <v>0</v>
      </c>
      <c r="Z580" s="0" t="n">
        <v>0</v>
      </c>
      <c r="AA580" s="0" t="n">
        <v>0</v>
      </c>
      <c r="AB580" s="0" t="n">
        <v>1</v>
      </c>
      <c r="AC580" s="0" t="n">
        <v>0</v>
      </c>
      <c r="AD580" s="0" t="n">
        <v>0</v>
      </c>
      <c r="AE580" s="0" t="n">
        <v>0</v>
      </c>
      <c r="AF580" s="0" t="n">
        <v>15.1668516837881</v>
      </c>
      <c r="AG580" s="0" t="n">
        <v>0</v>
      </c>
      <c r="AH580" s="0" t="n">
        <v>0</v>
      </c>
      <c r="AI580" s="0" t="n">
        <v>0</v>
      </c>
      <c r="AK580" s="0" t="n">
        <f aca="false">A580</f>
        <v>563</v>
      </c>
      <c r="AL580" s="0" t="n">
        <v>1</v>
      </c>
      <c r="AM580" s="0" t="n">
        <v>1</v>
      </c>
      <c r="AO580" s="0" t="n">
        <v>563</v>
      </c>
      <c r="AP580" s="0" t="n">
        <v>0</v>
      </c>
      <c r="AQ580" s="0" t="n">
        <v>0.466333691085037</v>
      </c>
      <c r="AR580" s="0" t="n">
        <v>496.208489669543</v>
      </c>
      <c r="AS580" s="0" t="n">
        <v>74</v>
      </c>
      <c r="AT580" s="0" t="n">
        <v>72</v>
      </c>
    </row>
    <row r="581" customFormat="false" ht="12" hidden="false" customHeight="false" outlineLevel="0" collapsed="false">
      <c r="A581" s="0" t="n">
        <v>564</v>
      </c>
      <c r="B581" s="0" t="n">
        <v>0</v>
      </c>
      <c r="C581" s="0" t="n">
        <v>0.596360621783974</v>
      </c>
      <c r="D581" s="0" t="n">
        <v>612.412805363836</v>
      </c>
      <c r="E581" s="0" t="n">
        <v>6</v>
      </c>
      <c r="F581" s="0" t="n">
        <v>4</v>
      </c>
      <c r="G581" s="0" t="n">
        <v>0.5</v>
      </c>
      <c r="H581" s="0" t="n">
        <v>0</v>
      </c>
      <c r="I581" s="0" t="n">
        <v>1.77335206728591</v>
      </c>
      <c r="J581" s="0" t="n">
        <v>617.122892713722</v>
      </c>
      <c r="K581" s="0" t="n">
        <v>4.71008734988573</v>
      </c>
      <c r="L581" s="0" t="n">
        <v>0</v>
      </c>
      <c r="M581" s="0" t="n">
        <v>614.032206896847</v>
      </c>
      <c r="N581" s="0" t="n">
        <v>0</v>
      </c>
      <c r="O581" s="0" t="n">
        <v>564</v>
      </c>
      <c r="P581" s="0" t="n">
        <v>284</v>
      </c>
      <c r="Q581" s="0" t="n">
        <v>280</v>
      </c>
      <c r="R581" s="0" t="n">
        <v>678.921202137854</v>
      </c>
      <c r="S581" s="0" t="n">
        <v>658.675585778202</v>
      </c>
      <c r="T581" s="0" t="n">
        <v>23</v>
      </c>
      <c r="U581" s="0" t="n">
        <v>25</v>
      </c>
      <c r="V581" s="0" t="n">
        <v>29.5183003023848</v>
      </c>
      <c r="W581" s="0" t="n">
        <v>26.3469180434559</v>
      </c>
      <c r="X581" s="0" t="n">
        <v>0</v>
      </c>
      <c r="Y581" s="0" t="n">
        <v>4.71008734988573</v>
      </c>
      <c r="Z581" s="0" t="n">
        <v>0</v>
      </c>
      <c r="AA581" s="0" t="n">
        <v>0</v>
      </c>
      <c r="AB581" s="0" t="n">
        <v>0</v>
      </c>
      <c r="AC581" s="0" t="n">
        <v>1</v>
      </c>
      <c r="AD581" s="0" t="n">
        <v>0</v>
      </c>
      <c r="AE581" s="0" t="n">
        <v>0</v>
      </c>
      <c r="AF581" s="0" t="n">
        <v>0</v>
      </c>
      <c r="AG581" s="0" t="n">
        <v>12.592346859787</v>
      </c>
      <c r="AH581" s="0" t="n">
        <v>0</v>
      </c>
      <c r="AI581" s="0" t="n">
        <v>0</v>
      </c>
      <c r="AK581" s="0" t="n">
        <f aca="false">A581</f>
        <v>564</v>
      </c>
      <c r="AL581" s="0" t="n">
        <v>1</v>
      </c>
      <c r="AM581" s="0" t="n">
        <v>0</v>
      </c>
      <c r="AO581" s="0" t="n">
        <v>564</v>
      </c>
      <c r="AP581" s="0" t="n">
        <v>1</v>
      </c>
      <c r="AQ581" s="0" t="n">
        <v>0.128804636505904</v>
      </c>
      <c r="AR581" s="0" t="n">
        <v>496.337294306048</v>
      </c>
      <c r="AS581" s="0" t="n">
        <v>74</v>
      </c>
      <c r="AT581" s="0" t="n">
        <v>74</v>
      </c>
    </row>
    <row r="582" customFormat="false" ht="12" hidden="false" customHeight="false" outlineLevel="0" collapsed="false">
      <c r="A582" s="0" t="n">
        <v>565</v>
      </c>
      <c r="B582" s="0" t="n">
        <v>0</v>
      </c>
      <c r="C582" s="0" t="n">
        <v>0.828365972364243</v>
      </c>
      <c r="D582" s="0" t="n">
        <v>613.241171336201</v>
      </c>
      <c r="E582" s="0" t="n">
        <v>8</v>
      </c>
      <c r="F582" s="0" t="n">
        <v>4</v>
      </c>
      <c r="G582" s="0" t="n">
        <v>0.5</v>
      </c>
      <c r="H582" s="0" t="n">
        <v>0</v>
      </c>
      <c r="I582" s="0" t="n">
        <v>2.19219335924586</v>
      </c>
      <c r="J582" s="0" t="n">
        <v>619.315086072968</v>
      </c>
      <c r="K582" s="0" t="n">
        <v>6.07391473676728</v>
      </c>
      <c r="L582" s="0" t="n">
        <v>0</v>
      </c>
      <c r="M582" s="0" t="n">
        <v>614.032206896847</v>
      </c>
      <c r="N582" s="0" t="n">
        <v>0</v>
      </c>
      <c r="O582" s="0" t="n">
        <v>565</v>
      </c>
      <c r="P582" s="0" t="n">
        <v>285</v>
      </c>
      <c r="Q582" s="0" t="n">
        <v>280</v>
      </c>
      <c r="R582" s="0" t="n">
        <v>709.837768668577</v>
      </c>
      <c r="S582" s="0" t="n">
        <v>634.71908737186</v>
      </c>
      <c r="T582" s="0" t="n">
        <v>30</v>
      </c>
      <c r="U582" s="0" t="n">
        <v>18</v>
      </c>
      <c r="V582" s="0" t="n">
        <v>23.6612510685355</v>
      </c>
      <c r="W582" s="0" t="n">
        <v>35.2619756207943</v>
      </c>
      <c r="X582" s="0" t="n">
        <v>0</v>
      </c>
      <c r="Y582" s="0" t="n">
        <v>6.07391473676728</v>
      </c>
      <c r="Z582" s="0" t="n">
        <v>0</v>
      </c>
      <c r="AA582" s="0" t="n">
        <v>0</v>
      </c>
      <c r="AB582" s="0" t="n">
        <v>0</v>
      </c>
      <c r="AC582" s="0" t="n">
        <v>1</v>
      </c>
      <c r="AD582" s="0" t="n">
        <v>0</v>
      </c>
      <c r="AE582" s="0" t="n">
        <v>0</v>
      </c>
      <c r="AF582" s="0" t="n">
        <v>0</v>
      </c>
      <c r="AG582" s="0" t="n">
        <v>4.7730989402705</v>
      </c>
      <c r="AH582" s="0" t="n">
        <v>0</v>
      </c>
      <c r="AI582" s="0" t="n">
        <v>0</v>
      </c>
      <c r="AK582" s="0" t="n">
        <f aca="false">A582</f>
        <v>565</v>
      </c>
      <c r="AL582" s="0" t="n">
        <v>2</v>
      </c>
      <c r="AM582" s="0" t="n">
        <v>1</v>
      </c>
      <c r="AO582" s="0" t="n">
        <v>565</v>
      </c>
      <c r="AP582" s="0" t="n">
        <v>0</v>
      </c>
      <c r="AQ582" s="0" t="n">
        <v>0.289579455749977</v>
      </c>
      <c r="AR582" s="0" t="n">
        <v>496.626873761798</v>
      </c>
      <c r="AS582" s="0" t="n">
        <v>74</v>
      </c>
      <c r="AT582" s="0" t="n">
        <v>72</v>
      </c>
    </row>
    <row r="583" customFormat="false" ht="12" hidden="false" customHeight="false" outlineLevel="0" collapsed="false">
      <c r="A583" s="0" t="n">
        <v>566</v>
      </c>
      <c r="B583" s="0" t="n">
        <v>0</v>
      </c>
      <c r="C583" s="0" t="n">
        <v>0.417467490364078</v>
      </c>
      <c r="D583" s="0" t="n">
        <v>613.658638826565</v>
      </c>
      <c r="E583" s="0" t="n">
        <v>8</v>
      </c>
      <c r="F583" s="0" t="n">
        <v>4</v>
      </c>
      <c r="G583" s="0" t="n">
        <v>0.5</v>
      </c>
      <c r="H583" s="0" t="n">
        <v>0</v>
      </c>
      <c r="I583" s="0" t="n">
        <v>2.21627577885812</v>
      </c>
      <c r="J583" s="0" t="n">
        <v>621.531361851826</v>
      </c>
      <c r="K583" s="0" t="n">
        <v>7.87272302526139</v>
      </c>
      <c r="L583" s="0" t="n">
        <v>0</v>
      </c>
      <c r="M583" s="0" t="n">
        <v>614.032206896847</v>
      </c>
      <c r="N583" s="0" t="n">
        <v>0</v>
      </c>
      <c r="O583" s="0" t="n">
        <v>566</v>
      </c>
      <c r="P583" s="0" t="n">
        <v>286</v>
      </c>
      <c r="Q583" s="0" t="n">
        <v>280</v>
      </c>
      <c r="R583" s="0" t="n">
        <v>871.66041436738</v>
      </c>
      <c r="S583" s="0" t="n">
        <v>451.020382418894</v>
      </c>
      <c r="T583" s="0" t="n">
        <v>30</v>
      </c>
      <c r="U583" s="0" t="n">
        <v>18</v>
      </c>
      <c r="V583" s="0" t="n">
        <v>29.0553374604668</v>
      </c>
      <c r="W583" s="0" t="n">
        <v>25.0565487091124</v>
      </c>
      <c r="X583" s="0" t="n">
        <v>0</v>
      </c>
      <c r="Y583" s="0" t="n">
        <v>7.87272302526139</v>
      </c>
      <c r="Z583" s="0" t="n">
        <v>0</v>
      </c>
      <c r="AA583" s="0" t="n">
        <v>0</v>
      </c>
      <c r="AB583" s="0" t="n">
        <v>0</v>
      </c>
      <c r="AC583" s="0" t="n">
        <v>1</v>
      </c>
      <c r="AD583" s="0" t="n">
        <v>0</v>
      </c>
      <c r="AE583" s="0" t="n">
        <v>0</v>
      </c>
      <c r="AF583" s="0" t="n">
        <v>0</v>
      </c>
      <c r="AG583" s="0" t="n">
        <v>0.14894506527545</v>
      </c>
      <c r="AH583" s="0" t="n">
        <v>0</v>
      </c>
      <c r="AI583" s="0" t="n">
        <v>0</v>
      </c>
      <c r="AK583" s="0" t="n">
        <f aca="false">A583</f>
        <v>566</v>
      </c>
      <c r="AL583" s="0" t="n">
        <v>2</v>
      </c>
      <c r="AM583" s="0" t="n">
        <v>0</v>
      </c>
      <c r="AO583" s="0" t="n">
        <v>566</v>
      </c>
      <c r="AP583" s="0" t="n">
        <v>0</v>
      </c>
      <c r="AQ583" s="0" t="n">
        <v>2.51298209910877</v>
      </c>
      <c r="AR583" s="0" t="n">
        <v>499.139855860907</v>
      </c>
      <c r="AS583" s="0" t="n">
        <v>72</v>
      </c>
      <c r="AT583" s="0" t="n">
        <v>72</v>
      </c>
    </row>
    <row r="584" customFormat="false" ht="12" hidden="false" customHeight="false" outlineLevel="0" collapsed="false">
      <c r="A584" s="0" t="n">
        <v>567</v>
      </c>
      <c r="B584" s="0" t="n">
        <v>0</v>
      </c>
      <c r="C584" s="0" t="n">
        <v>0.518221101408746</v>
      </c>
      <c r="D584" s="0" t="n">
        <v>614.176859927973</v>
      </c>
      <c r="E584" s="0" t="n">
        <v>10</v>
      </c>
      <c r="F584" s="0" t="n">
        <v>2</v>
      </c>
      <c r="G584" s="0" t="n">
        <v>0.5</v>
      </c>
      <c r="H584" s="0" t="n">
        <v>0</v>
      </c>
      <c r="I584" s="0" t="n">
        <v>2.00149399045541</v>
      </c>
      <c r="J584" s="0" t="n">
        <v>623.532855842281</v>
      </c>
      <c r="K584" s="0" t="n">
        <v>9.3559959143081</v>
      </c>
      <c r="L584" s="0" t="n">
        <v>0</v>
      </c>
      <c r="M584" s="0" t="n">
        <v>614.176859927973</v>
      </c>
      <c r="N584" s="0" t="n">
        <v>0</v>
      </c>
      <c r="O584" s="0" t="n">
        <v>567</v>
      </c>
      <c r="P584" s="0" t="n">
        <v>287</v>
      </c>
      <c r="Q584" s="0" t="n">
        <v>280</v>
      </c>
      <c r="R584" s="0" t="n">
        <v>544.991437912795</v>
      </c>
      <c r="S584" s="0" t="n">
        <v>792.897759879964</v>
      </c>
      <c r="T584" s="0" t="n">
        <v>21</v>
      </c>
      <c r="U584" s="0" t="n">
        <v>27</v>
      </c>
      <c r="V584" s="0" t="n">
        <v>25.951960875866</v>
      </c>
      <c r="W584" s="0" t="n">
        <v>29.3664749345359</v>
      </c>
      <c r="X584" s="0" t="n">
        <v>0</v>
      </c>
      <c r="Y584" s="0" t="n">
        <v>9.3559959143081</v>
      </c>
      <c r="Z584" s="0" t="n">
        <v>0</v>
      </c>
      <c r="AA584" s="0" t="n">
        <v>0</v>
      </c>
      <c r="AB584" s="0" t="n">
        <v>0</v>
      </c>
      <c r="AC584" s="0" t="n">
        <v>1</v>
      </c>
      <c r="AD584" s="0" t="n">
        <v>0</v>
      </c>
      <c r="AE584" s="0" t="n">
        <v>0</v>
      </c>
      <c r="AF584" s="0" t="n">
        <v>0</v>
      </c>
      <c r="AG584" s="0" t="n">
        <v>1.20415260067995</v>
      </c>
      <c r="AH584" s="0" t="n">
        <v>0</v>
      </c>
      <c r="AI584" s="0" t="n">
        <v>0</v>
      </c>
      <c r="AK584" s="0" t="n">
        <f aca="false">A584</f>
        <v>567</v>
      </c>
      <c r="AL584" s="0" t="n">
        <v>4</v>
      </c>
      <c r="AM584" s="0" t="n">
        <v>1</v>
      </c>
      <c r="AO584" s="0" t="n">
        <v>567</v>
      </c>
      <c r="AP584" s="0" t="n">
        <v>0</v>
      </c>
      <c r="AQ584" s="0" t="n">
        <v>0.284998863441809</v>
      </c>
      <c r="AR584" s="0" t="n">
        <v>499.424854724349</v>
      </c>
      <c r="AS584" s="0" t="n">
        <v>74</v>
      </c>
      <c r="AT584" s="0" t="n">
        <v>72</v>
      </c>
    </row>
    <row r="585" customFormat="false" ht="12" hidden="false" customHeight="false" outlineLevel="0" collapsed="false">
      <c r="A585" s="0" t="n">
        <v>568</v>
      </c>
      <c r="B585" s="0" t="n">
        <v>0</v>
      </c>
      <c r="C585" s="0" t="n">
        <v>0.707401444978758</v>
      </c>
      <c r="D585" s="0" t="n">
        <v>614.884261372952</v>
      </c>
      <c r="E585" s="0" t="n">
        <v>12</v>
      </c>
      <c r="F585" s="0" t="n">
        <v>2</v>
      </c>
      <c r="G585" s="0" t="n">
        <v>0.5</v>
      </c>
      <c r="H585" s="0" t="n">
        <v>1</v>
      </c>
      <c r="I585" s="0" t="n">
        <v>0</v>
      </c>
      <c r="J585" s="0" t="n">
        <v>623.532855842281</v>
      </c>
      <c r="K585" s="0" t="n">
        <v>0</v>
      </c>
      <c r="L585" s="0" t="n">
        <v>1.7800592008426</v>
      </c>
      <c r="M585" s="0" t="n">
        <v>616.664320573795</v>
      </c>
      <c r="N585" s="0" t="n">
        <v>1.78005920084263</v>
      </c>
      <c r="O585" s="0" t="n">
        <v>568</v>
      </c>
      <c r="P585" s="0" t="n">
        <v>287</v>
      </c>
      <c r="Q585" s="0" t="n">
        <v>281</v>
      </c>
      <c r="R585" s="0" t="n">
        <v>570.77261702496</v>
      </c>
      <c r="S585" s="0" t="n">
        <v>755.398416249303</v>
      </c>
      <c r="T585" s="0" t="n">
        <v>24</v>
      </c>
      <c r="U585" s="0" t="n">
        <v>24</v>
      </c>
      <c r="V585" s="0" t="n">
        <v>23.7821824667973</v>
      </c>
      <c r="W585" s="0" t="n">
        <v>31.4748028653757</v>
      </c>
      <c r="X585" s="0" t="n">
        <v>0</v>
      </c>
      <c r="Y585" s="0" t="n">
        <v>0</v>
      </c>
      <c r="Z585" s="0" t="n">
        <v>0</v>
      </c>
      <c r="AA585" s="0" t="n">
        <v>1.78005920084263</v>
      </c>
      <c r="AB585" s="0" t="n">
        <v>0</v>
      </c>
      <c r="AC585" s="0" t="n">
        <v>0</v>
      </c>
      <c r="AD585" s="0" t="n">
        <v>0</v>
      </c>
      <c r="AE585" s="0" t="n">
        <v>1</v>
      </c>
      <c r="AF585" s="0" t="n">
        <v>0</v>
      </c>
      <c r="AG585" s="0" t="n">
        <v>0</v>
      </c>
      <c r="AH585" s="0" t="n">
        <v>0</v>
      </c>
      <c r="AI585" s="0" t="n">
        <v>35.4184663781666</v>
      </c>
      <c r="AK585" s="0" t="n">
        <f aca="false">A585</f>
        <v>568</v>
      </c>
      <c r="AL585" s="0" t="n">
        <v>5</v>
      </c>
      <c r="AM585" s="0" t="n">
        <v>2</v>
      </c>
      <c r="AO585" s="0" t="n">
        <v>568</v>
      </c>
      <c r="AP585" s="0" t="n">
        <v>0</v>
      </c>
      <c r="AQ585" s="0" t="n">
        <v>0.329204187254436</v>
      </c>
      <c r="AR585" s="0" t="n">
        <v>499.754058911603</v>
      </c>
      <c r="AS585" s="0" t="n">
        <v>76</v>
      </c>
      <c r="AT585" s="0" t="n">
        <v>72</v>
      </c>
    </row>
    <row r="586" customFormat="false" ht="12" hidden="false" customHeight="false" outlineLevel="0" collapsed="false">
      <c r="A586" s="0" t="n">
        <v>569</v>
      </c>
      <c r="B586" s="0" t="n">
        <v>1</v>
      </c>
      <c r="C586" s="0" t="n">
        <v>1.11600410964383</v>
      </c>
      <c r="D586" s="0" t="n">
        <v>616.000265482596</v>
      </c>
      <c r="E586" s="0" t="n">
        <v>10</v>
      </c>
      <c r="F586" s="0" t="n">
        <v>4</v>
      </c>
      <c r="G586" s="0" t="n">
        <v>0.5</v>
      </c>
      <c r="H586" s="0" t="n">
        <v>1</v>
      </c>
      <c r="I586" s="0" t="n">
        <v>0</v>
      </c>
      <c r="J586" s="0" t="n">
        <v>623.532855842281</v>
      </c>
      <c r="K586" s="0" t="n">
        <v>0</v>
      </c>
      <c r="L586" s="0" t="n">
        <v>2.08003811689286</v>
      </c>
      <c r="M586" s="0" t="n">
        <v>618.744358690688</v>
      </c>
      <c r="N586" s="0" t="n">
        <v>2.74409320809161</v>
      </c>
      <c r="O586" s="0" t="n">
        <v>569</v>
      </c>
      <c r="P586" s="0" t="n">
        <v>287</v>
      </c>
      <c r="Q586" s="0" t="n">
        <v>282</v>
      </c>
      <c r="R586" s="0" t="n">
        <v>726.113350914857</v>
      </c>
      <c r="S586" s="0" t="n">
        <v>611.219563711499</v>
      </c>
      <c r="T586" s="0" t="n">
        <v>26</v>
      </c>
      <c r="U586" s="0" t="n">
        <v>22</v>
      </c>
      <c r="V586" s="0" t="n">
        <v>27.9274258323307</v>
      </c>
      <c r="W586" s="0" t="n">
        <v>27.7825811569719</v>
      </c>
      <c r="X586" s="0" t="n">
        <v>0</v>
      </c>
      <c r="Y586" s="0" t="n">
        <v>0</v>
      </c>
      <c r="Z586" s="0" t="n">
        <v>2.74409320809161</v>
      </c>
      <c r="AA586" s="0" t="n">
        <v>0</v>
      </c>
      <c r="AB586" s="0" t="n">
        <v>0</v>
      </c>
      <c r="AC586" s="0" t="n">
        <v>0</v>
      </c>
      <c r="AD586" s="0" t="n">
        <v>1</v>
      </c>
      <c r="AE586" s="0" t="n">
        <v>0</v>
      </c>
      <c r="AF586" s="0" t="n">
        <v>0</v>
      </c>
      <c r="AG586" s="0" t="n">
        <v>0</v>
      </c>
      <c r="AH586" s="0" t="n">
        <v>25.2185763835523</v>
      </c>
      <c r="AI586" s="0" t="n">
        <v>0</v>
      </c>
      <c r="AK586" s="0" t="n">
        <f aca="false">A586</f>
        <v>569</v>
      </c>
      <c r="AL586" s="0" t="n">
        <v>3</v>
      </c>
      <c r="AM586" s="0" t="n">
        <v>3</v>
      </c>
      <c r="AO586" s="0" t="n">
        <v>569</v>
      </c>
      <c r="AP586" s="0" t="n">
        <v>0</v>
      </c>
      <c r="AQ586" s="0" t="n">
        <v>1.43580513412686</v>
      </c>
      <c r="AR586" s="0" t="n">
        <v>501.18986404573</v>
      </c>
      <c r="AS586" s="0" t="n">
        <v>76</v>
      </c>
      <c r="AT586" s="0" t="n">
        <v>70</v>
      </c>
    </row>
    <row r="587" customFormat="false" ht="12" hidden="false" customHeight="false" outlineLevel="0" collapsed="false">
      <c r="A587" s="0" t="n">
        <v>570</v>
      </c>
      <c r="B587" s="0" t="n">
        <v>0</v>
      </c>
      <c r="C587" s="0" t="n">
        <v>1.70478361336124</v>
      </c>
      <c r="D587" s="0" t="n">
        <v>617.705049095957</v>
      </c>
      <c r="E587" s="0" t="n">
        <v>8</v>
      </c>
      <c r="F587" s="0" t="n">
        <v>4</v>
      </c>
      <c r="G587" s="0" t="n">
        <v>0.5</v>
      </c>
      <c r="H587" s="0" t="n">
        <v>0</v>
      </c>
      <c r="I587" s="0" t="n">
        <v>2.11017822552845</v>
      </c>
      <c r="J587" s="0" t="n">
        <v>625.64303406781</v>
      </c>
      <c r="K587" s="0" t="n">
        <v>7.93798497185264</v>
      </c>
      <c r="L587" s="0" t="n">
        <v>0</v>
      </c>
      <c r="M587" s="0" t="n">
        <v>618.744358690688</v>
      </c>
      <c r="N587" s="0" t="n">
        <v>0</v>
      </c>
      <c r="O587" s="0" t="n">
        <v>570</v>
      </c>
      <c r="P587" s="0" t="n">
        <v>288</v>
      </c>
      <c r="Q587" s="0" t="n">
        <v>282</v>
      </c>
      <c r="R587" s="0" t="n">
        <v>687.19827103292</v>
      </c>
      <c r="S587" s="0" t="n">
        <v>638.738174010442</v>
      </c>
      <c r="T587" s="0" t="n">
        <v>24</v>
      </c>
      <c r="U587" s="0" t="n">
        <v>24</v>
      </c>
      <c r="V587" s="0" t="n">
        <v>28.6332493625178</v>
      </c>
      <c r="W587" s="0" t="n">
        <v>26.6139796921864</v>
      </c>
      <c r="X587" s="0" t="n">
        <v>0</v>
      </c>
      <c r="Y587" s="0" t="n">
        <v>7.93798497185264</v>
      </c>
      <c r="Z587" s="0" t="n">
        <v>0</v>
      </c>
      <c r="AA587" s="0" t="n">
        <v>0</v>
      </c>
      <c r="AB587" s="0" t="n">
        <v>0</v>
      </c>
      <c r="AC587" s="0" t="n">
        <v>1</v>
      </c>
      <c r="AD587" s="0" t="n">
        <v>0</v>
      </c>
      <c r="AE587" s="0" t="n">
        <v>0</v>
      </c>
      <c r="AF587" s="0" t="n">
        <v>0</v>
      </c>
      <c r="AG587" s="0" t="n">
        <v>0.102830576572139</v>
      </c>
      <c r="AH587" s="0" t="n">
        <v>0</v>
      </c>
      <c r="AI587" s="0" t="n">
        <v>0</v>
      </c>
      <c r="AK587" s="0" t="n">
        <f aca="false">A587</f>
        <v>570</v>
      </c>
      <c r="AL587" s="0" t="n">
        <v>2</v>
      </c>
      <c r="AM587" s="0" t="n">
        <v>2</v>
      </c>
      <c r="AO587" s="0" t="n">
        <v>570</v>
      </c>
      <c r="AP587" s="0" t="n">
        <v>1</v>
      </c>
      <c r="AQ587" s="0" t="n">
        <v>2.82840677528557</v>
      </c>
      <c r="AR587" s="0" t="n">
        <v>504.018270821016</v>
      </c>
      <c r="AS587" s="0" t="n">
        <v>74</v>
      </c>
      <c r="AT587" s="0" t="n">
        <v>70</v>
      </c>
    </row>
    <row r="588" customFormat="false" ht="12" hidden="false" customHeight="false" outlineLevel="0" collapsed="false">
      <c r="A588" s="0" t="n">
        <v>571</v>
      </c>
      <c r="B588" s="0" t="n">
        <v>0</v>
      </c>
      <c r="C588" s="0" t="n">
        <v>0.259735725092247</v>
      </c>
      <c r="D588" s="0" t="n">
        <v>617.964784821049</v>
      </c>
      <c r="E588" s="0" t="n">
        <v>10</v>
      </c>
      <c r="F588" s="0" t="n">
        <v>4</v>
      </c>
      <c r="G588" s="0" t="n">
        <v>0.5</v>
      </c>
      <c r="H588" s="0" t="n">
        <v>0</v>
      </c>
      <c r="I588" s="0" t="n">
        <v>2.18523573030756</v>
      </c>
      <c r="J588" s="0" t="n">
        <v>627.828269798117</v>
      </c>
      <c r="K588" s="0" t="n">
        <v>9.86348497706797</v>
      </c>
      <c r="L588" s="0" t="n">
        <v>0</v>
      </c>
      <c r="M588" s="0" t="n">
        <v>618.744358690688</v>
      </c>
      <c r="N588" s="0" t="n">
        <v>0</v>
      </c>
      <c r="O588" s="0" t="n">
        <v>571</v>
      </c>
      <c r="P588" s="0" t="n">
        <v>289</v>
      </c>
      <c r="Q588" s="0" t="n">
        <v>282</v>
      </c>
      <c r="R588" s="0" t="n">
        <v>673.864240640593</v>
      </c>
      <c r="S588" s="0" t="n">
        <v>662.139529083579</v>
      </c>
      <c r="T588" s="0" t="n">
        <v>23</v>
      </c>
      <c r="U588" s="0" t="n">
        <v>25</v>
      </c>
      <c r="V588" s="0" t="n">
        <v>29.2984325067943</v>
      </c>
      <c r="W588" s="0" t="n">
        <v>26.4854752214423</v>
      </c>
      <c r="X588" s="0" t="n">
        <v>0</v>
      </c>
      <c r="Y588" s="0" t="n">
        <v>9.86348497706797</v>
      </c>
      <c r="Z588" s="0" t="n">
        <v>0</v>
      </c>
      <c r="AA588" s="0" t="n">
        <v>0</v>
      </c>
      <c r="AB588" s="0" t="n">
        <v>0</v>
      </c>
      <c r="AC588" s="0" t="n">
        <v>1</v>
      </c>
      <c r="AD588" s="0" t="n">
        <v>0</v>
      </c>
      <c r="AE588" s="0" t="n">
        <v>0</v>
      </c>
      <c r="AF588" s="0" t="n">
        <v>0</v>
      </c>
      <c r="AG588" s="0" t="n">
        <v>2.57547270117679</v>
      </c>
      <c r="AH588" s="0" t="n">
        <v>0</v>
      </c>
      <c r="AI588" s="0" t="n">
        <v>0</v>
      </c>
      <c r="AK588" s="0" t="n">
        <f aca="false">A588</f>
        <v>571</v>
      </c>
      <c r="AL588" s="0" t="n">
        <v>3</v>
      </c>
      <c r="AM588" s="0" t="n">
        <v>1</v>
      </c>
      <c r="AO588" s="0" t="n">
        <v>571</v>
      </c>
      <c r="AP588" s="0" t="n">
        <v>1</v>
      </c>
      <c r="AQ588" s="0" t="n">
        <v>0.870893794921074</v>
      </c>
      <c r="AR588" s="0" t="n">
        <v>504.889164615937</v>
      </c>
      <c r="AS588" s="0" t="n">
        <v>74</v>
      </c>
      <c r="AT588" s="0" t="n">
        <v>72</v>
      </c>
    </row>
    <row r="589" customFormat="false" ht="12" hidden="false" customHeight="false" outlineLevel="0" collapsed="false">
      <c r="A589" s="0" t="n">
        <v>572</v>
      </c>
      <c r="B589" s="0" t="n">
        <v>0</v>
      </c>
      <c r="C589" s="0" t="n">
        <v>1.37428766663897</v>
      </c>
      <c r="D589" s="0" t="n">
        <v>619.339072487688</v>
      </c>
      <c r="E589" s="0" t="n">
        <v>10</v>
      </c>
      <c r="F589" s="0" t="n">
        <v>2</v>
      </c>
      <c r="G589" s="0" t="n">
        <v>0.5</v>
      </c>
      <c r="H589" s="0" t="n">
        <v>1</v>
      </c>
      <c r="I589" s="0" t="n">
        <v>0</v>
      </c>
      <c r="J589" s="0" t="n">
        <v>627.828269798117</v>
      </c>
      <c r="K589" s="0" t="n">
        <v>0</v>
      </c>
      <c r="L589" s="0" t="n">
        <v>1.85398123097513</v>
      </c>
      <c r="M589" s="0" t="n">
        <v>621.193053718664</v>
      </c>
      <c r="N589" s="0" t="n">
        <v>1.85398123097514</v>
      </c>
      <c r="O589" s="0" t="n">
        <v>572</v>
      </c>
      <c r="P589" s="0" t="n">
        <v>289</v>
      </c>
      <c r="Q589" s="0" t="n">
        <v>283</v>
      </c>
      <c r="R589" s="0" t="n">
        <v>845.965053964877</v>
      </c>
      <c r="S589" s="0" t="n">
        <v>497.363756676487</v>
      </c>
      <c r="T589" s="0" t="n">
        <v>26</v>
      </c>
      <c r="U589" s="0" t="n">
        <v>22</v>
      </c>
      <c r="V589" s="0" t="n">
        <v>32.5371049459165</v>
      </c>
      <c r="W589" s="0" t="n">
        <v>22.6073407246552</v>
      </c>
      <c r="X589" s="0" t="n">
        <v>0</v>
      </c>
      <c r="Y589" s="0" t="n">
        <v>0</v>
      </c>
      <c r="Z589" s="0" t="n">
        <v>0</v>
      </c>
      <c r="AA589" s="0" t="n">
        <v>1.85398123097514</v>
      </c>
      <c r="AB589" s="0" t="n">
        <v>0</v>
      </c>
      <c r="AC589" s="0" t="n">
        <v>0</v>
      </c>
      <c r="AD589" s="0" t="n">
        <v>0</v>
      </c>
      <c r="AE589" s="0" t="n">
        <v>1</v>
      </c>
      <c r="AF589" s="0" t="n">
        <v>0</v>
      </c>
      <c r="AG589" s="0" t="n">
        <v>0</v>
      </c>
      <c r="AH589" s="0" t="n">
        <v>0</v>
      </c>
      <c r="AI589" s="0" t="n">
        <v>34.5440603442725</v>
      </c>
      <c r="AK589" s="0" t="n">
        <f aca="false">A589</f>
        <v>572</v>
      </c>
      <c r="AL589" s="0" t="n">
        <v>4</v>
      </c>
      <c r="AM589" s="0" t="n">
        <v>0</v>
      </c>
      <c r="AO589" s="0" t="n">
        <v>572</v>
      </c>
      <c r="AP589" s="0" t="n">
        <v>1</v>
      </c>
      <c r="AQ589" s="0" t="n">
        <v>1.12226735479871</v>
      </c>
      <c r="AR589" s="0" t="n">
        <v>506.011431970736</v>
      </c>
      <c r="AS589" s="0" t="n">
        <v>72</v>
      </c>
      <c r="AT589" s="0" t="n">
        <v>72</v>
      </c>
    </row>
    <row r="590" customFormat="false" ht="12" hidden="false" customHeight="false" outlineLevel="0" collapsed="false">
      <c r="A590" s="0" t="n">
        <v>573</v>
      </c>
      <c r="B590" s="0" t="n">
        <v>0</v>
      </c>
      <c r="C590" s="0" t="n">
        <v>0.998113519056478</v>
      </c>
      <c r="D590" s="0" t="n">
        <v>620.337186006745</v>
      </c>
      <c r="E590" s="0" t="n">
        <v>10</v>
      </c>
      <c r="F590" s="0" t="n">
        <v>4</v>
      </c>
      <c r="G590" s="0" t="n">
        <v>0.5</v>
      </c>
      <c r="H590" s="0" t="n">
        <v>0</v>
      </c>
      <c r="I590" s="0" t="n">
        <v>2.23318081172199</v>
      </c>
      <c r="J590" s="0" t="n">
        <v>630.061450609839</v>
      </c>
      <c r="K590" s="0" t="n">
        <v>9.72426460309453</v>
      </c>
      <c r="L590" s="0" t="n">
        <v>0</v>
      </c>
      <c r="M590" s="0" t="n">
        <v>621.193053718664</v>
      </c>
      <c r="N590" s="0" t="n">
        <v>0</v>
      </c>
      <c r="O590" s="0" t="n">
        <v>573</v>
      </c>
      <c r="P590" s="0" t="n">
        <v>290</v>
      </c>
      <c r="Q590" s="0" t="n">
        <v>283</v>
      </c>
      <c r="R590" s="0" t="n">
        <v>478.837619972528</v>
      </c>
      <c r="S590" s="0" t="n">
        <v>835.506662892646</v>
      </c>
      <c r="T590" s="0" t="n">
        <v>21</v>
      </c>
      <c r="U590" s="0" t="n">
        <v>27</v>
      </c>
      <c r="V590" s="0" t="n">
        <v>22.8017805692725</v>
      </c>
      <c r="W590" s="0" t="n">
        <v>30.9445766087032</v>
      </c>
      <c r="X590" s="0" t="n">
        <v>0</v>
      </c>
      <c r="Y590" s="0" t="n">
        <v>9.72426460309453</v>
      </c>
      <c r="Z590" s="0" t="n">
        <v>0</v>
      </c>
      <c r="AA590" s="0" t="n">
        <v>0</v>
      </c>
      <c r="AB590" s="0" t="n">
        <v>0</v>
      </c>
      <c r="AC590" s="0" t="n">
        <v>1</v>
      </c>
      <c r="AD590" s="0" t="n">
        <v>0</v>
      </c>
      <c r="AE590" s="0" t="n">
        <v>0</v>
      </c>
      <c r="AF590" s="0" t="n">
        <v>0</v>
      </c>
      <c r="AG590" s="0" t="n">
        <v>2.14800552313951</v>
      </c>
      <c r="AH590" s="0" t="n">
        <v>0</v>
      </c>
      <c r="AI590" s="0" t="n">
        <v>0</v>
      </c>
      <c r="AK590" s="0" t="n">
        <f aca="false">A590</f>
        <v>573</v>
      </c>
      <c r="AL590" s="0" t="n">
        <v>3</v>
      </c>
      <c r="AM590" s="0" t="n">
        <v>1</v>
      </c>
      <c r="AO590" s="0" t="n">
        <v>573</v>
      </c>
      <c r="AP590" s="0" t="n">
        <v>0</v>
      </c>
      <c r="AQ590" s="0" t="n">
        <v>0.0452895711926642</v>
      </c>
      <c r="AR590" s="0" t="n">
        <v>506.056721541928</v>
      </c>
      <c r="AS590" s="0" t="n">
        <v>74</v>
      </c>
      <c r="AT590" s="0" t="n">
        <v>72</v>
      </c>
    </row>
    <row r="591" customFormat="false" ht="12" hidden="false" customHeight="false" outlineLevel="0" collapsed="false">
      <c r="A591" s="0" t="n">
        <v>574</v>
      </c>
      <c r="B591" s="0" t="n">
        <v>0</v>
      </c>
      <c r="C591" s="0" t="n">
        <v>0.333858067581109</v>
      </c>
      <c r="D591" s="0" t="n">
        <v>620.671044074326</v>
      </c>
      <c r="E591" s="0" t="n">
        <v>12</v>
      </c>
      <c r="F591" s="0" t="n">
        <v>4</v>
      </c>
      <c r="G591" s="0" t="n">
        <v>0.5</v>
      </c>
      <c r="H591" s="0" t="n">
        <v>0</v>
      </c>
      <c r="I591" s="0" t="n">
        <v>2.05330776890851</v>
      </c>
      <c r="J591" s="0" t="n">
        <v>632.114758378748</v>
      </c>
      <c r="K591" s="0" t="n">
        <v>11.443714304422</v>
      </c>
      <c r="L591" s="0" t="n">
        <v>0</v>
      </c>
      <c r="M591" s="0" t="n">
        <v>621.193053718664</v>
      </c>
      <c r="N591" s="0" t="n">
        <v>0</v>
      </c>
      <c r="O591" s="0" t="n">
        <v>574</v>
      </c>
      <c r="P591" s="0" t="n">
        <v>291</v>
      </c>
      <c r="Q591" s="0" t="n">
        <v>283</v>
      </c>
      <c r="R591" s="0" t="n">
        <v>714.758639174604</v>
      </c>
      <c r="S591" s="0" t="n">
        <v>597.437143458641</v>
      </c>
      <c r="T591" s="0" t="n">
        <v>26</v>
      </c>
      <c r="U591" s="0" t="n">
        <v>22</v>
      </c>
      <c r="V591" s="0" t="n">
        <v>27.4907063179823</v>
      </c>
      <c r="W591" s="0" t="n">
        <v>27.1561103567093</v>
      </c>
      <c r="X591" s="0" t="n">
        <v>0</v>
      </c>
      <c r="Y591" s="0" t="n">
        <v>11.443714304422</v>
      </c>
      <c r="Z591" s="0" t="n">
        <v>0</v>
      </c>
      <c r="AA591" s="0" t="n">
        <v>0</v>
      </c>
      <c r="AB591" s="0" t="n">
        <v>0</v>
      </c>
      <c r="AC591" s="0" t="n">
        <v>1</v>
      </c>
      <c r="AD591" s="0" t="n">
        <v>0</v>
      </c>
      <c r="AE591" s="0" t="n">
        <v>0</v>
      </c>
      <c r="AF591" s="0" t="n">
        <v>0</v>
      </c>
      <c r="AG591" s="0" t="n">
        <v>10.1445897649115</v>
      </c>
      <c r="AH591" s="0" t="n">
        <v>0</v>
      </c>
      <c r="AI591" s="0" t="n">
        <v>0</v>
      </c>
      <c r="AK591" s="0" t="n">
        <f aca="false">A591</f>
        <v>574</v>
      </c>
      <c r="AL591" s="0" t="n">
        <v>4</v>
      </c>
      <c r="AM591" s="0" t="n">
        <v>2</v>
      </c>
      <c r="AO591" s="0" t="n">
        <v>574</v>
      </c>
      <c r="AP591" s="0" t="n">
        <v>0</v>
      </c>
      <c r="AQ591" s="0" t="n">
        <v>0.926778132819149</v>
      </c>
      <c r="AR591" s="0" t="n">
        <v>506.983499674747</v>
      </c>
      <c r="AS591" s="0" t="n">
        <v>76</v>
      </c>
      <c r="AT591" s="0" t="n">
        <v>72</v>
      </c>
    </row>
    <row r="592" customFormat="false" ht="12" hidden="false" customHeight="false" outlineLevel="0" collapsed="false">
      <c r="A592" s="0" t="n">
        <v>575</v>
      </c>
      <c r="B592" s="0" t="n">
        <v>0</v>
      </c>
      <c r="C592" s="0" t="n">
        <v>0.0380433058783823</v>
      </c>
      <c r="D592" s="0" t="n">
        <v>620.709087380204</v>
      </c>
      <c r="E592" s="0" t="n">
        <v>14</v>
      </c>
      <c r="F592" s="0" t="n">
        <v>4</v>
      </c>
      <c r="G592" s="0" t="n">
        <v>0.5</v>
      </c>
      <c r="H592" s="0" t="n">
        <v>0</v>
      </c>
      <c r="I592" s="0" t="n">
        <v>1.97970221019938</v>
      </c>
      <c r="J592" s="0" t="n">
        <v>634.094460588947</v>
      </c>
      <c r="K592" s="0" t="n">
        <v>13.3853732087429</v>
      </c>
      <c r="L592" s="0" t="n">
        <v>0</v>
      </c>
      <c r="M592" s="0" t="n">
        <v>621.193053718664</v>
      </c>
      <c r="N592" s="0" t="n">
        <v>0</v>
      </c>
      <c r="O592" s="0" t="n">
        <v>575</v>
      </c>
      <c r="P592" s="0" t="n">
        <v>292</v>
      </c>
      <c r="Q592" s="0" t="n">
        <v>283</v>
      </c>
      <c r="R592" s="0" t="n">
        <v>531.600481154953</v>
      </c>
      <c r="S592" s="0" t="n">
        <v>787.203560789616</v>
      </c>
      <c r="T592" s="0" t="n">
        <v>19</v>
      </c>
      <c r="U592" s="0" t="n">
        <v>29</v>
      </c>
      <c r="V592" s="0" t="n">
        <v>27.9789579665986</v>
      </c>
      <c r="W592" s="0" t="n">
        <v>27.1448567691014</v>
      </c>
      <c r="X592" s="0" t="n">
        <v>0</v>
      </c>
      <c r="Y592" s="0" t="n">
        <v>13.3853732087429</v>
      </c>
      <c r="Z592" s="0" t="n">
        <v>0</v>
      </c>
      <c r="AA592" s="0" t="n">
        <v>0</v>
      </c>
      <c r="AB592" s="0" t="n">
        <v>0</v>
      </c>
      <c r="AC592" s="0" t="n">
        <v>1</v>
      </c>
      <c r="AD592" s="0" t="n">
        <v>0</v>
      </c>
      <c r="AE592" s="0" t="n">
        <v>0</v>
      </c>
      <c r="AF592" s="0" t="n">
        <v>0</v>
      </c>
      <c r="AG592" s="0" t="n">
        <v>26.2832186543499</v>
      </c>
      <c r="AH592" s="0" t="n">
        <v>0</v>
      </c>
      <c r="AI592" s="0" t="n">
        <v>0</v>
      </c>
      <c r="AK592" s="0" t="n">
        <f aca="false">A592</f>
        <v>575</v>
      </c>
      <c r="AL592" s="0" t="n">
        <v>5</v>
      </c>
      <c r="AM592" s="0" t="n">
        <v>0</v>
      </c>
      <c r="AO592" s="0" t="n">
        <v>575</v>
      </c>
      <c r="AP592" s="0" t="n">
        <v>1</v>
      </c>
      <c r="AQ592" s="0" t="n">
        <v>0.275041226648559</v>
      </c>
      <c r="AR592" s="0" t="n">
        <v>507.258540901396</v>
      </c>
      <c r="AS592" s="0" t="n">
        <v>74</v>
      </c>
      <c r="AT592" s="0" t="n">
        <v>74</v>
      </c>
    </row>
    <row r="593" customFormat="false" ht="12" hidden="false" customHeight="false" outlineLevel="0" collapsed="false">
      <c r="A593" s="0" t="n">
        <v>576</v>
      </c>
      <c r="B593" s="0" t="n">
        <v>1</v>
      </c>
      <c r="C593" s="0" t="n">
        <v>3.5967963720719</v>
      </c>
      <c r="D593" s="0" t="n">
        <v>624.305883752276</v>
      </c>
      <c r="E593" s="0" t="n">
        <v>12</v>
      </c>
      <c r="F593" s="0" t="n">
        <v>2</v>
      </c>
      <c r="G593" s="0" t="n">
        <v>0.5</v>
      </c>
      <c r="H593" s="0" t="n">
        <v>1</v>
      </c>
      <c r="I593" s="0" t="n">
        <v>0</v>
      </c>
      <c r="J593" s="0" t="n">
        <v>634.094460588947</v>
      </c>
      <c r="K593" s="0" t="n">
        <v>0</v>
      </c>
      <c r="L593" s="0" t="n">
        <v>1.9455449526316</v>
      </c>
      <c r="M593" s="0" t="n">
        <v>626.251428704908</v>
      </c>
      <c r="N593" s="0" t="n">
        <v>1.94554495263162</v>
      </c>
      <c r="O593" s="0" t="n">
        <v>576</v>
      </c>
      <c r="P593" s="0" t="n">
        <v>292</v>
      </c>
      <c r="Q593" s="0" t="n">
        <v>284</v>
      </c>
      <c r="R593" s="0" t="n">
        <v>661.042210600921</v>
      </c>
      <c r="S593" s="0" t="n">
        <v>658.304183179471</v>
      </c>
      <c r="T593" s="0" t="n">
        <v>25</v>
      </c>
      <c r="U593" s="0" t="n">
        <v>23</v>
      </c>
      <c r="V593" s="0" t="n">
        <v>26.4416778473657</v>
      </c>
      <c r="W593" s="0" t="n">
        <v>28.6217965652093</v>
      </c>
      <c r="X593" s="0" t="n">
        <v>0</v>
      </c>
      <c r="Y593" s="0" t="n">
        <v>0</v>
      </c>
      <c r="Z593" s="0" t="n">
        <v>1.94554495263162</v>
      </c>
      <c r="AA593" s="0" t="n">
        <v>0</v>
      </c>
      <c r="AB593" s="0" t="n">
        <v>0</v>
      </c>
      <c r="AC593" s="0" t="n">
        <v>0</v>
      </c>
      <c r="AD593" s="0" t="n">
        <v>1</v>
      </c>
      <c r="AE593" s="0" t="n">
        <v>0</v>
      </c>
      <c r="AF593" s="0" t="n">
        <v>0</v>
      </c>
      <c r="AG593" s="0" t="n">
        <v>0</v>
      </c>
      <c r="AH593" s="0" t="n">
        <v>33.8765710418498</v>
      </c>
      <c r="AI593" s="0" t="n">
        <v>0</v>
      </c>
      <c r="AK593" s="0" t="n">
        <f aca="false">A593</f>
        <v>576</v>
      </c>
      <c r="AL593" s="0" t="n">
        <v>5</v>
      </c>
      <c r="AM593" s="0" t="n">
        <v>2</v>
      </c>
      <c r="AO593" s="0" t="n">
        <v>576</v>
      </c>
      <c r="AP593" s="0" t="n">
        <v>1</v>
      </c>
      <c r="AQ593" s="0" t="n">
        <v>0.169852641069301</v>
      </c>
      <c r="AR593" s="0" t="n">
        <v>507.428393542465</v>
      </c>
      <c r="AS593" s="0" t="n">
        <v>76</v>
      </c>
      <c r="AT593" s="0" t="n">
        <v>72</v>
      </c>
    </row>
    <row r="594" customFormat="false" ht="12" hidden="false" customHeight="false" outlineLevel="0" collapsed="false">
      <c r="A594" s="0" t="n">
        <v>577</v>
      </c>
      <c r="B594" s="0" t="n">
        <v>1</v>
      </c>
      <c r="C594" s="0" t="n">
        <v>0.460482227958451</v>
      </c>
      <c r="D594" s="0" t="n">
        <v>624.766365980235</v>
      </c>
      <c r="E594" s="0" t="n">
        <v>12</v>
      </c>
      <c r="F594" s="0" t="n">
        <v>4</v>
      </c>
      <c r="G594" s="0" t="n">
        <v>0.5</v>
      </c>
      <c r="H594" s="0" t="n">
        <v>1</v>
      </c>
      <c r="I594" s="0" t="n">
        <v>0</v>
      </c>
      <c r="J594" s="0" t="n">
        <v>634.094460588947</v>
      </c>
      <c r="K594" s="0" t="n">
        <v>0</v>
      </c>
      <c r="L594" s="0" t="n">
        <v>1.81937176935776</v>
      </c>
      <c r="M594" s="0" t="n">
        <v>628.070800474266</v>
      </c>
      <c r="N594" s="0" t="n">
        <v>3.30443449403094</v>
      </c>
      <c r="O594" s="0" t="n">
        <v>577</v>
      </c>
      <c r="P594" s="0" t="n">
        <v>292</v>
      </c>
      <c r="Q594" s="0" t="n">
        <v>285</v>
      </c>
      <c r="R594" s="0" t="n">
        <v>646.486456234157</v>
      </c>
      <c r="S594" s="0" t="n">
        <v>683.421025358654</v>
      </c>
      <c r="T594" s="0" t="n">
        <v>24</v>
      </c>
      <c r="U594" s="0" t="n">
        <v>24</v>
      </c>
      <c r="V594" s="0" t="n">
        <v>26.9369244527047</v>
      </c>
      <c r="W594" s="0" t="n">
        <v>28.4757574076214</v>
      </c>
      <c r="X594" s="0" t="n">
        <v>0</v>
      </c>
      <c r="Y594" s="0" t="n">
        <v>0</v>
      </c>
      <c r="Z594" s="0" t="n">
        <v>3.30443449403094</v>
      </c>
      <c r="AA594" s="0" t="n">
        <v>0</v>
      </c>
      <c r="AB594" s="0" t="n">
        <v>0</v>
      </c>
      <c r="AC594" s="0" t="n">
        <v>0</v>
      </c>
      <c r="AD594" s="0" t="n">
        <v>1</v>
      </c>
      <c r="AE594" s="0" t="n">
        <v>0</v>
      </c>
      <c r="AF594" s="0" t="n">
        <v>0</v>
      </c>
      <c r="AG594" s="0" t="n">
        <v>0</v>
      </c>
      <c r="AH594" s="0" t="n">
        <v>19.9047037150558</v>
      </c>
      <c r="AI594" s="0" t="n">
        <v>0</v>
      </c>
      <c r="AK594" s="0" t="n">
        <f aca="false">A594</f>
        <v>577</v>
      </c>
      <c r="AL594" s="0" t="n">
        <v>4</v>
      </c>
      <c r="AM594" s="0" t="n">
        <v>1</v>
      </c>
      <c r="AO594" s="0" t="n">
        <v>577</v>
      </c>
      <c r="AP594" s="0" t="n">
        <v>1</v>
      </c>
      <c r="AQ594" s="0" t="n">
        <v>0.744984205822897</v>
      </c>
      <c r="AR594" s="0" t="n">
        <v>508.173377748288</v>
      </c>
      <c r="AS594" s="0" t="n">
        <v>76</v>
      </c>
      <c r="AT594" s="0" t="n">
        <v>74</v>
      </c>
    </row>
    <row r="595" customFormat="false" ht="12" hidden="false" customHeight="false" outlineLevel="0" collapsed="false">
      <c r="A595" s="0" t="n">
        <v>578</v>
      </c>
      <c r="B595" s="0" t="n">
        <v>1</v>
      </c>
      <c r="C595" s="0" t="n">
        <v>1.54279638748637</v>
      </c>
      <c r="D595" s="0" t="n">
        <v>626.309162367721</v>
      </c>
      <c r="E595" s="0" t="n">
        <v>10</v>
      </c>
      <c r="F595" s="0" t="n">
        <v>4</v>
      </c>
      <c r="G595" s="0" t="n">
        <v>0.5</v>
      </c>
      <c r="H595" s="0" t="n">
        <v>1</v>
      </c>
      <c r="I595" s="0" t="n">
        <v>0</v>
      </c>
      <c r="J595" s="0" t="n">
        <v>634.094460588947</v>
      </c>
      <c r="K595" s="0" t="n">
        <v>0</v>
      </c>
      <c r="L595" s="0" t="n">
        <v>1.80265809928122</v>
      </c>
      <c r="M595" s="0" t="n">
        <v>629.873458573547</v>
      </c>
      <c r="N595" s="0" t="n">
        <v>3.56429620582571</v>
      </c>
      <c r="O595" s="0" t="n">
        <v>578</v>
      </c>
      <c r="P595" s="0" t="n">
        <v>292</v>
      </c>
      <c r="Q595" s="0" t="n">
        <v>286</v>
      </c>
      <c r="R595" s="0" t="n">
        <v>868.710831175761</v>
      </c>
      <c r="S595" s="0" t="n">
        <v>472.231584000639</v>
      </c>
      <c r="T595" s="0" t="n">
        <v>26</v>
      </c>
      <c r="U595" s="0" t="n">
        <v>22</v>
      </c>
      <c r="V595" s="0" t="n">
        <v>33.4119421944746</v>
      </c>
      <c r="W595" s="0" t="n">
        <v>21.4649744319634</v>
      </c>
      <c r="X595" s="0" t="n">
        <v>0</v>
      </c>
      <c r="Y595" s="0" t="n">
        <v>0</v>
      </c>
      <c r="Z595" s="0" t="n">
        <v>3.56429620582571</v>
      </c>
      <c r="AA595" s="0" t="n">
        <v>0</v>
      </c>
      <c r="AB595" s="0" t="n">
        <v>0</v>
      </c>
      <c r="AC595" s="0" t="n">
        <v>0</v>
      </c>
      <c r="AD595" s="0" t="n">
        <v>1</v>
      </c>
      <c r="AE595" s="0" t="n">
        <v>0</v>
      </c>
      <c r="AF595" s="0" t="n">
        <v>0</v>
      </c>
      <c r="AG595" s="0" t="n">
        <v>0</v>
      </c>
      <c r="AH595" s="0" t="n">
        <v>17.6535019933952</v>
      </c>
      <c r="AI595" s="0" t="n">
        <v>0</v>
      </c>
      <c r="AK595" s="0" t="n">
        <f aca="false">A595</f>
        <v>578</v>
      </c>
      <c r="AL595" s="0" t="n">
        <v>3</v>
      </c>
      <c r="AM595" s="0" t="n">
        <v>0</v>
      </c>
      <c r="AO595" s="0" t="n">
        <v>578</v>
      </c>
      <c r="AP595" s="0" t="n">
        <v>0</v>
      </c>
      <c r="AQ595" s="0" t="n">
        <v>0.673348790721773</v>
      </c>
      <c r="AR595" s="0" t="n">
        <v>508.84672653901</v>
      </c>
      <c r="AS595" s="0" t="n">
        <v>76</v>
      </c>
      <c r="AT595" s="0" t="n">
        <v>76</v>
      </c>
    </row>
    <row r="596" customFormat="false" ht="12" hidden="false" customHeight="false" outlineLevel="0" collapsed="false">
      <c r="A596" s="0" t="n">
        <v>579</v>
      </c>
      <c r="B596" s="0" t="n">
        <v>0</v>
      </c>
      <c r="C596" s="0" t="n">
        <v>2.08117495008902</v>
      </c>
      <c r="D596" s="0" t="n">
        <v>628.39033731781</v>
      </c>
      <c r="E596" s="0" t="n">
        <v>8</v>
      </c>
      <c r="F596" s="0" t="n">
        <v>4</v>
      </c>
      <c r="G596" s="0" t="n">
        <v>0.5</v>
      </c>
      <c r="H596" s="0" t="n">
        <v>0</v>
      </c>
      <c r="I596" s="0" t="n">
        <v>2.20556816969601</v>
      </c>
      <c r="J596" s="0" t="n">
        <v>636.300028758643</v>
      </c>
      <c r="K596" s="0" t="n">
        <v>7.90969144083306</v>
      </c>
      <c r="L596" s="0" t="n">
        <v>0</v>
      </c>
      <c r="M596" s="0" t="n">
        <v>629.873458573547</v>
      </c>
      <c r="N596" s="0" t="n">
        <v>0</v>
      </c>
      <c r="O596" s="0" t="n">
        <v>579</v>
      </c>
      <c r="P596" s="0" t="n">
        <v>293</v>
      </c>
      <c r="Q596" s="0" t="n">
        <v>286</v>
      </c>
      <c r="R596" s="0" t="n">
        <v>455.810693774243</v>
      </c>
      <c r="S596" s="0" t="n">
        <v>872.434556006335</v>
      </c>
      <c r="T596" s="0" t="n">
        <v>20</v>
      </c>
      <c r="U596" s="0" t="n">
        <v>28</v>
      </c>
      <c r="V596" s="0" t="n">
        <v>22.7905232934505</v>
      </c>
      <c r="W596" s="0" t="n">
        <v>31.1582657207058</v>
      </c>
      <c r="X596" s="0" t="n">
        <v>0</v>
      </c>
      <c r="Y596" s="0" t="n">
        <v>7.90969144083306</v>
      </c>
      <c r="Z596" s="0" t="n">
        <v>0</v>
      </c>
      <c r="AA596" s="0" t="n">
        <v>0</v>
      </c>
      <c r="AB596" s="0" t="n">
        <v>0</v>
      </c>
      <c r="AC596" s="0" t="n">
        <v>1</v>
      </c>
      <c r="AD596" s="0" t="n">
        <v>0</v>
      </c>
      <c r="AE596" s="0" t="n">
        <v>0</v>
      </c>
      <c r="AF596" s="0" t="n">
        <v>0</v>
      </c>
      <c r="AG596" s="0" t="n">
        <v>0.121776990797313</v>
      </c>
      <c r="AH596" s="0" t="n">
        <v>0</v>
      </c>
      <c r="AI596" s="0" t="n">
        <v>0</v>
      </c>
      <c r="AK596" s="0" t="n">
        <f aca="false">A596</f>
        <v>579</v>
      </c>
      <c r="AL596" s="0" t="n">
        <v>2</v>
      </c>
      <c r="AM596" s="0" t="n">
        <v>1</v>
      </c>
      <c r="AO596" s="0" t="n">
        <v>579</v>
      </c>
      <c r="AP596" s="0" t="n">
        <v>0</v>
      </c>
      <c r="AQ596" s="0" t="n">
        <v>1.13925010115973</v>
      </c>
      <c r="AR596" s="0" t="n">
        <v>509.98597664017</v>
      </c>
      <c r="AS596" s="0" t="n">
        <v>76</v>
      </c>
      <c r="AT596" s="0" t="n">
        <v>74</v>
      </c>
    </row>
    <row r="597" customFormat="false" ht="12" hidden="false" customHeight="false" outlineLevel="0" collapsed="false">
      <c r="A597" s="0" t="n">
        <v>580</v>
      </c>
      <c r="B597" s="0" t="n">
        <v>0</v>
      </c>
      <c r="C597" s="0" t="n">
        <v>1.63551889117711</v>
      </c>
      <c r="D597" s="0" t="n">
        <v>630.025856208987</v>
      </c>
      <c r="E597" s="0" t="n">
        <v>10</v>
      </c>
      <c r="F597" s="0" t="n">
        <v>2</v>
      </c>
      <c r="G597" s="0" t="n">
        <v>0.5</v>
      </c>
      <c r="H597" s="0" t="n">
        <v>1</v>
      </c>
      <c r="I597" s="0" t="n">
        <v>0</v>
      </c>
      <c r="J597" s="0" t="n">
        <v>636.300028758643</v>
      </c>
      <c r="K597" s="0" t="n">
        <v>0</v>
      </c>
      <c r="L597" s="0" t="n">
        <v>1.92329808692327</v>
      </c>
      <c r="M597" s="0" t="n">
        <v>631.949154295911</v>
      </c>
      <c r="N597" s="0" t="n">
        <v>1.9232980869233</v>
      </c>
      <c r="O597" s="0" t="n">
        <v>580</v>
      </c>
      <c r="P597" s="0" t="n">
        <v>293</v>
      </c>
      <c r="Q597" s="0" t="n">
        <v>287</v>
      </c>
      <c r="R597" s="0" t="n">
        <v>882.061008176</v>
      </c>
      <c r="S597" s="0" t="n">
        <v>458.830005149146</v>
      </c>
      <c r="T597" s="0" t="n">
        <v>28</v>
      </c>
      <c r="U597" s="0" t="n">
        <v>20</v>
      </c>
      <c r="V597" s="0" t="n">
        <v>31.5021676126544</v>
      </c>
      <c r="W597" s="0" t="n">
        <v>22.9413855505295</v>
      </c>
      <c r="X597" s="0" t="n">
        <v>0</v>
      </c>
      <c r="Y597" s="0" t="n">
        <v>0</v>
      </c>
      <c r="Z597" s="0" t="n">
        <v>0</v>
      </c>
      <c r="AA597" s="0" t="n">
        <v>1.9232980869233</v>
      </c>
      <c r="AB597" s="0" t="n">
        <v>0</v>
      </c>
      <c r="AC597" s="0" t="n">
        <v>0</v>
      </c>
      <c r="AD597" s="0" t="n">
        <v>0</v>
      </c>
      <c r="AE597" s="0" t="n">
        <v>1</v>
      </c>
      <c r="AF597" s="0" t="n">
        <v>0</v>
      </c>
      <c r="AG597" s="0" t="n">
        <v>0</v>
      </c>
      <c r="AH597" s="0" t="n">
        <v>0</v>
      </c>
      <c r="AI597" s="0" t="n">
        <v>33.7340566848261</v>
      </c>
      <c r="AK597" s="0" t="n">
        <f aca="false">A597</f>
        <v>580</v>
      </c>
      <c r="AL597" s="0" t="n">
        <v>4</v>
      </c>
      <c r="AM597" s="0" t="n">
        <v>2</v>
      </c>
      <c r="AO597" s="0" t="n">
        <v>580</v>
      </c>
      <c r="AP597" s="0" t="n">
        <v>1</v>
      </c>
      <c r="AQ597" s="0" t="n">
        <v>0.217041188392004</v>
      </c>
      <c r="AR597" s="0" t="n">
        <v>510.203017828562</v>
      </c>
      <c r="AS597" s="0" t="n">
        <v>78</v>
      </c>
      <c r="AT597" s="0" t="n">
        <v>74</v>
      </c>
    </row>
    <row r="598" customFormat="false" ht="12" hidden="false" customHeight="false" outlineLevel="0" collapsed="false">
      <c r="A598" s="0" t="n">
        <v>581</v>
      </c>
      <c r="B598" s="0" t="n">
        <v>1</v>
      </c>
      <c r="C598" s="0" t="n">
        <v>0.66991093280954</v>
      </c>
      <c r="D598" s="0" t="n">
        <v>630.695767141797</v>
      </c>
      <c r="E598" s="0" t="n">
        <v>8</v>
      </c>
      <c r="F598" s="0" t="n">
        <v>4</v>
      </c>
      <c r="G598" s="0" t="n">
        <v>0.5</v>
      </c>
      <c r="H598" s="0" t="n">
        <v>1</v>
      </c>
      <c r="I598" s="0" t="n">
        <v>0</v>
      </c>
      <c r="J598" s="0" t="n">
        <v>636.300028758643</v>
      </c>
      <c r="K598" s="0" t="n">
        <v>0</v>
      </c>
      <c r="L598" s="0" t="n">
        <v>2.11344687640196</v>
      </c>
      <c r="M598" s="0" t="n">
        <v>634.062601172313</v>
      </c>
      <c r="N598" s="0" t="n">
        <v>3.36683403051575</v>
      </c>
      <c r="O598" s="0" t="n">
        <v>581</v>
      </c>
      <c r="P598" s="0" t="n">
        <v>293</v>
      </c>
      <c r="Q598" s="0" t="n">
        <v>288</v>
      </c>
      <c r="R598" s="0" t="n">
        <v>673.226055539903</v>
      </c>
      <c r="S598" s="0" t="n">
        <v>684.195730791461</v>
      </c>
      <c r="T598" s="0" t="n">
        <v>24</v>
      </c>
      <c r="U598" s="0" t="n">
        <v>24</v>
      </c>
      <c r="V598" s="0" t="n">
        <v>28.0510739595485</v>
      </c>
      <c r="W598" s="0" t="n">
        <v>28.5080366661581</v>
      </c>
      <c r="X598" s="0" t="n">
        <v>0</v>
      </c>
      <c r="Y598" s="0" t="n">
        <v>0</v>
      </c>
      <c r="Z598" s="0" t="n">
        <v>3.36683403051575</v>
      </c>
      <c r="AA598" s="0" t="n">
        <v>0</v>
      </c>
      <c r="AB598" s="0" t="n">
        <v>0</v>
      </c>
      <c r="AC598" s="0" t="n">
        <v>0</v>
      </c>
      <c r="AD598" s="0" t="n">
        <v>1</v>
      </c>
      <c r="AE598" s="0" t="n">
        <v>0</v>
      </c>
      <c r="AF598" s="0" t="n">
        <v>0</v>
      </c>
      <c r="AG598" s="0" t="n">
        <v>0</v>
      </c>
      <c r="AH598" s="0" t="n">
        <v>19.3518102488211</v>
      </c>
      <c r="AI598" s="0" t="n">
        <v>0</v>
      </c>
      <c r="AK598" s="0" t="n">
        <f aca="false">A598</f>
        <v>581</v>
      </c>
      <c r="AL598" s="0" t="n">
        <v>2</v>
      </c>
      <c r="AM598" s="0" t="n">
        <v>1</v>
      </c>
      <c r="AO598" s="0" t="n">
        <v>581</v>
      </c>
      <c r="AP598" s="0" t="n">
        <v>1</v>
      </c>
      <c r="AQ598" s="0" t="n">
        <v>0.0223720938020341</v>
      </c>
      <c r="AR598" s="0" t="n">
        <v>510.225389922364</v>
      </c>
      <c r="AS598" s="0" t="n">
        <v>78</v>
      </c>
      <c r="AT598" s="0" t="n">
        <v>76</v>
      </c>
    </row>
    <row r="599" customFormat="false" ht="12" hidden="false" customHeight="false" outlineLevel="0" collapsed="false">
      <c r="A599" s="0" t="n">
        <v>582</v>
      </c>
      <c r="B599" s="0" t="n">
        <v>1</v>
      </c>
      <c r="C599" s="0" t="n">
        <v>3.92238337055473</v>
      </c>
      <c r="D599" s="0" t="n">
        <v>634.618150512352</v>
      </c>
      <c r="E599" s="0" t="n">
        <v>4</v>
      </c>
      <c r="F599" s="0" t="n">
        <v>2</v>
      </c>
      <c r="G599" s="0" t="n">
        <v>0.5</v>
      </c>
      <c r="H599" s="0" t="n">
        <v>1</v>
      </c>
      <c r="I599" s="0" t="n">
        <v>0</v>
      </c>
      <c r="J599" s="0" t="n">
        <v>636.300028758643</v>
      </c>
      <c r="K599" s="0" t="n">
        <v>0</v>
      </c>
      <c r="L599" s="0" t="n">
        <v>1.94414963198537</v>
      </c>
      <c r="M599" s="0" t="n">
        <v>636.562300144337</v>
      </c>
      <c r="N599" s="0" t="n">
        <v>1.9441496319854</v>
      </c>
      <c r="O599" s="0" t="n">
        <v>582</v>
      </c>
      <c r="P599" s="0" t="n">
        <v>293</v>
      </c>
      <c r="Q599" s="0" t="n">
        <v>289</v>
      </c>
      <c r="R599" s="0" t="n">
        <v>498.657604020459</v>
      </c>
      <c r="S599" s="0" t="n">
        <v>864.935745558271</v>
      </c>
      <c r="T599" s="0" t="n">
        <v>24</v>
      </c>
      <c r="U599" s="0" t="n">
        <v>24</v>
      </c>
      <c r="V599" s="0" t="n">
        <v>20.7773915102727</v>
      </c>
      <c r="W599" s="0" t="n">
        <v>36.0388392364312</v>
      </c>
      <c r="X599" s="0" t="n">
        <v>0</v>
      </c>
      <c r="Y599" s="0" t="n">
        <v>0</v>
      </c>
      <c r="Z599" s="0" t="n">
        <v>1.9441496319854</v>
      </c>
      <c r="AA599" s="0" t="n">
        <v>0</v>
      </c>
      <c r="AB599" s="0" t="n">
        <v>0</v>
      </c>
      <c r="AC599" s="0" t="n">
        <v>0</v>
      </c>
      <c r="AD599" s="0" t="n">
        <v>1</v>
      </c>
      <c r="AE599" s="0" t="n">
        <v>0</v>
      </c>
      <c r="AF599" s="0" t="n">
        <v>0</v>
      </c>
      <c r="AG599" s="0" t="n">
        <v>0</v>
      </c>
      <c r="AH599" s="0" t="n">
        <v>33.8928155210506</v>
      </c>
      <c r="AI599" s="0" t="n">
        <v>0</v>
      </c>
      <c r="AK599" s="0" t="n">
        <f aca="false">A599</f>
        <v>582</v>
      </c>
      <c r="AL599" s="0" t="n">
        <v>1</v>
      </c>
      <c r="AM599" s="0" t="n">
        <v>0</v>
      </c>
      <c r="AO599" s="0" t="n">
        <v>582</v>
      </c>
      <c r="AP599" s="0" t="n">
        <v>1</v>
      </c>
      <c r="AQ599" s="0" t="n">
        <v>1.45012116010266</v>
      </c>
      <c r="AR599" s="0" t="n">
        <v>511.675511082466</v>
      </c>
      <c r="AS599" s="0" t="n">
        <v>76</v>
      </c>
      <c r="AT599" s="0" t="n">
        <v>76</v>
      </c>
    </row>
    <row r="600" customFormat="false" ht="12" hidden="false" customHeight="false" outlineLevel="0" collapsed="false">
      <c r="A600" s="0" t="n">
        <v>583</v>
      </c>
      <c r="B600" s="0" t="n">
        <v>1</v>
      </c>
      <c r="C600" s="0" t="n">
        <v>0.372621970948642</v>
      </c>
      <c r="D600" s="0" t="n">
        <v>634.9907724833</v>
      </c>
      <c r="E600" s="0" t="n">
        <v>4</v>
      </c>
      <c r="F600" s="0" t="n">
        <v>4</v>
      </c>
      <c r="G600" s="0" t="n">
        <v>0.5</v>
      </c>
      <c r="H600" s="0" t="n">
        <v>0</v>
      </c>
      <c r="I600" s="0" t="n">
        <v>1.90571064881644</v>
      </c>
      <c r="J600" s="0" t="n">
        <v>638.20573940746</v>
      </c>
      <c r="K600" s="0" t="n">
        <v>3.21496692415951</v>
      </c>
      <c r="L600" s="0" t="n">
        <v>0</v>
      </c>
      <c r="M600" s="0" t="n">
        <v>636.562300144337</v>
      </c>
      <c r="N600" s="0" t="n">
        <v>0</v>
      </c>
      <c r="O600" s="0" t="n">
        <v>583</v>
      </c>
      <c r="P600" s="0" t="n">
        <v>294</v>
      </c>
      <c r="Q600" s="0" t="n">
        <v>289</v>
      </c>
      <c r="R600" s="0" t="n">
        <v>764.440395790807</v>
      </c>
      <c r="S600" s="0" t="n">
        <v>603.264143559738</v>
      </c>
      <c r="T600" s="0" t="n">
        <v>24</v>
      </c>
      <c r="U600" s="0" t="n">
        <v>24</v>
      </c>
      <c r="V600" s="0" t="n">
        <v>31.8516698864212</v>
      </c>
      <c r="W600" s="0" t="n">
        <v>25.1359012487339</v>
      </c>
      <c r="X600" s="0" t="n">
        <v>3.21496692415951</v>
      </c>
      <c r="Y600" s="0" t="n">
        <v>0</v>
      </c>
      <c r="Z600" s="0" t="n">
        <v>0</v>
      </c>
      <c r="AA600" s="0" t="n">
        <v>0</v>
      </c>
      <c r="AB600" s="0" t="n">
        <v>1</v>
      </c>
      <c r="AC600" s="0" t="n">
        <v>0</v>
      </c>
      <c r="AD600" s="0" t="n">
        <v>0</v>
      </c>
      <c r="AE600" s="0" t="n">
        <v>0</v>
      </c>
      <c r="AF600" s="0" t="n">
        <v>17.7459416035455</v>
      </c>
      <c r="AG600" s="0" t="n">
        <v>0</v>
      </c>
      <c r="AH600" s="0" t="n">
        <v>0</v>
      </c>
      <c r="AI600" s="0" t="n">
        <v>0</v>
      </c>
      <c r="AK600" s="0" t="n">
        <f aca="false">A600</f>
        <v>583</v>
      </c>
      <c r="AL600" s="0" t="n">
        <v>0</v>
      </c>
      <c r="AM600" s="0" t="n">
        <v>1</v>
      </c>
      <c r="AO600" s="0" t="n">
        <v>583</v>
      </c>
      <c r="AP600" s="0" t="n">
        <v>0</v>
      </c>
      <c r="AQ600" s="0" t="n">
        <v>1.72675662582435</v>
      </c>
      <c r="AR600" s="0" t="n">
        <v>513.402267708291</v>
      </c>
      <c r="AS600" s="0" t="n">
        <v>76</v>
      </c>
      <c r="AT600" s="0" t="n">
        <v>74</v>
      </c>
    </row>
    <row r="601" customFormat="false" ht="12" hidden="false" customHeight="false" outlineLevel="0" collapsed="false">
      <c r="A601" s="0" t="n">
        <v>584</v>
      </c>
      <c r="B601" s="0" t="n">
        <v>1</v>
      </c>
      <c r="C601" s="0" t="n">
        <v>1.563810831087</v>
      </c>
      <c r="D601" s="0" t="n">
        <v>636.554583314387</v>
      </c>
      <c r="E601" s="0" t="n">
        <v>4</v>
      </c>
      <c r="F601" s="0" t="n">
        <v>4</v>
      </c>
      <c r="G601" s="0" t="n">
        <v>0.5</v>
      </c>
      <c r="H601" s="0" t="n">
        <v>0</v>
      </c>
      <c r="I601" s="0" t="n">
        <v>2.23896170014361</v>
      </c>
      <c r="J601" s="0" t="n">
        <v>640.444701107603</v>
      </c>
      <c r="K601" s="0" t="n">
        <v>3.89011779321606</v>
      </c>
      <c r="L601" s="0" t="n">
        <v>0</v>
      </c>
      <c r="M601" s="0" t="n">
        <v>636.562300144337</v>
      </c>
      <c r="N601" s="0" t="n">
        <v>0</v>
      </c>
      <c r="O601" s="0" t="n">
        <v>584</v>
      </c>
      <c r="P601" s="0" t="n">
        <v>295</v>
      </c>
      <c r="Q601" s="0" t="n">
        <v>289</v>
      </c>
      <c r="R601" s="0" t="n">
        <v>553.067849995377</v>
      </c>
      <c r="S601" s="0" t="n">
        <v>818.596632677637</v>
      </c>
      <c r="T601" s="0" t="n">
        <v>20</v>
      </c>
      <c r="U601" s="0" t="n">
        <v>28</v>
      </c>
      <c r="V601" s="0" t="n">
        <v>27.6533786730795</v>
      </c>
      <c r="W601" s="0" t="n">
        <v>29.2354896117384</v>
      </c>
      <c r="X601" s="0" t="n">
        <v>3.89011779321606</v>
      </c>
      <c r="Y601" s="0" t="n">
        <v>0</v>
      </c>
      <c r="Z601" s="0" t="n">
        <v>0</v>
      </c>
      <c r="AA601" s="0" t="n">
        <v>0</v>
      </c>
      <c r="AB601" s="0" t="n">
        <v>1</v>
      </c>
      <c r="AC601" s="0" t="n">
        <v>0</v>
      </c>
      <c r="AD601" s="0" t="n">
        <v>0</v>
      </c>
      <c r="AE601" s="0" t="n">
        <v>0</v>
      </c>
      <c r="AF601" s="0" t="n">
        <v>12.513498357996</v>
      </c>
      <c r="AG601" s="0" t="n">
        <v>0</v>
      </c>
      <c r="AH601" s="0" t="n">
        <v>0</v>
      </c>
      <c r="AI601" s="0" t="n">
        <v>0</v>
      </c>
      <c r="AK601" s="0" t="n">
        <f aca="false">A601</f>
        <v>584</v>
      </c>
      <c r="AL601" s="0" t="n">
        <v>0</v>
      </c>
      <c r="AM601" s="0" t="n">
        <v>0</v>
      </c>
      <c r="AO601" s="0" t="n">
        <v>584</v>
      </c>
      <c r="AP601" s="0" t="n">
        <v>0</v>
      </c>
      <c r="AQ601" s="0" t="n">
        <v>0.036374692641871</v>
      </c>
      <c r="AR601" s="0" t="n">
        <v>513.438642400933</v>
      </c>
      <c r="AS601" s="0" t="n">
        <v>76</v>
      </c>
      <c r="AT601" s="0" t="n">
        <v>76</v>
      </c>
    </row>
    <row r="602" customFormat="false" ht="12" hidden="false" customHeight="false" outlineLevel="0" collapsed="false">
      <c r="A602" s="0" t="n">
        <v>585</v>
      </c>
      <c r="B602" s="0" t="n">
        <v>1</v>
      </c>
      <c r="C602" s="0" t="n">
        <v>1.15736690483337</v>
      </c>
      <c r="D602" s="0" t="n">
        <v>637.711950219221</v>
      </c>
      <c r="E602" s="0" t="n">
        <v>6</v>
      </c>
      <c r="F602" s="0" t="n">
        <v>2</v>
      </c>
      <c r="G602" s="0" t="n">
        <v>0.5</v>
      </c>
      <c r="H602" s="0" t="n">
        <v>1</v>
      </c>
      <c r="I602" s="0" t="n">
        <v>0</v>
      </c>
      <c r="J602" s="0" t="n">
        <v>640.444701107603</v>
      </c>
      <c r="K602" s="0" t="n">
        <v>0</v>
      </c>
      <c r="L602" s="0" t="n">
        <v>2.1304302730341</v>
      </c>
      <c r="M602" s="0" t="n">
        <v>639.842380492255</v>
      </c>
      <c r="N602" s="0" t="n">
        <v>2.13043027303411</v>
      </c>
      <c r="O602" s="0" t="n">
        <v>585</v>
      </c>
      <c r="P602" s="0" t="n">
        <v>295</v>
      </c>
      <c r="Q602" s="0" t="n">
        <v>290</v>
      </c>
      <c r="R602" s="0" t="n">
        <v>649.652386436831</v>
      </c>
      <c r="S602" s="0" t="n">
        <v>722.762233172819</v>
      </c>
      <c r="T602" s="0" t="n">
        <v>26</v>
      </c>
      <c r="U602" s="0" t="n">
        <v>22</v>
      </c>
      <c r="V602" s="0" t="n">
        <v>24.9866206373317</v>
      </c>
      <c r="W602" s="0" t="n">
        <v>32.8526794502215</v>
      </c>
      <c r="X602" s="0" t="n">
        <v>0</v>
      </c>
      <c r="Y602" s="0" t="n">
        <v>0</v>
      </c>
      <c r="Z602" s="0" t="n">
        <v>2.13043027303411</v>
      </c>
      <c r="AA602" s="0" t="n">
        <v>0</v>
      </c>
      <c r="AB602" s="0" t="n">
        <v>0</v>
      </c>
      <c r="AC602" s="0" t="n">
        <v>0</v>
      </c>
      <c r="AD602" s="0" t="n">
        <v>1</v>
      </c>
      <c r="AE602" s="0" t="n">
        <v>0</v>
      </c>
      <c r="AF602" s="0" t="n">
        <v>0</v>
      </c>
      <c r="AG602" s="0" t="n">
        <v>0</v>
      </c>
      <c r="AH602" s="0" t="n">
        <v>31.7585559956682</v>
      </c>
      <c r="AI602" s="0" t="n">
        <v>0</v>
      </c>
      <c r="AK602" s="0" t="n">
        <f aca="false">A602</f>
        <v>585</v>
      </c>
      <c r="AL602" s="0" t="n">
        <v>2</v>
      </c>
      <c r="AM602" s="0" t="n">
        <v>1</v>
      </c>
      <c r="AO602" s="0" t="n">
        <v>585</v>
      </c>
      <c r="AP602" s="0" t="n">
        <v>1</v>
      </c>
      <c r="AQ602" s="0" t="n">
        <v>0.506029215245216</v>
      </c>
      <c r="AR602" s="0" t="n">
        <v>513.944671616178</v>
      </c>
      <c r="AS602" s="0" t="n">
        <v>78</v>
      </c>
      <c r="AT602" s="0" t="n">
        <v>76</v>
      </c>
    </row>
    <row r="603" customFormat="false" ht="12" hidden="false" customHeight="false" outlineLevel="0" collapsed="false">
      <c r="A603" s="0" t="n">
        <v>586</v>
      </c>
      <c r="B603" s="0" t="n">
        <v>1</v>
      </c>
      <c r="C603" s="0" t="n">
        <v>0.623278314807075</v>
      </c>
      <c r="D603" s="0" t="n">
        <v>638.335228534028</v>
      </c>
      <c r="E603" s="0" t="n">
        <v>4</v>
      </c>
      <c r="F603" s="0" t="n">
        <v>4</v>
      </c>
      <c r="G603" s="0" t="n">
        <v>0.5</v>
      </c>
      <c r="H603" s="0" t="n">
        <v>0</v>
      </c>
      <c r="I603" s="0" t="n">
        <v>2.18587683956019</v>
      </c>
      <c r="J603" s="0" t="n">
        <v>642.630577947164</v>
      </c>
      <c r="K603" s="0" t="n">
        <v>4.2953494131358</v>
      </c>
      <c r="L603" s="0" t="n">
        <v>0</v>
      </c>
      <c r="M603" s="0" t="n">
        <v>639.842380492255</v>
      </c>
      <c r="N603" s="0" t="n">
        <v>0</v>
      </c>
      <c r="O603" s="0" t="n">
        <v>586</v>
      </c>
      <c r="P603" s="0" t="n">
        <v>296</v>
      </c>
      <c r="Q603" s="0" t="n">
        <v>290</v>
      </c>
      <c r="R603" s="0" t="n">
        <v>946.214230701165</v>
      </c>
      <c r="S603" s="0" t="n">
        <v>443.719071111631</v>
      </c>
      <c r="T603" s="0" t="n">
        <v>30</v>
      </c>
      <c r="U603" s="0" t="n">
        <v>18</v>
      </c>
      <c r="V603" s="0" t="n">
        <v>31.5404638432175</v>
      </c>
      <c r="W603" s="0" t="n">
        <v>24.6509225566319</v>
      </c>
      <c r="X603" s="0" t="n">
        <v>4.2953494131358</v>
      </c>
      <c r="Y603" s="0" t="n">
        <v>0</v>
      </c>
      <c r="Z603" s="0" t="n">
        <v>0</v>
      </c>
      <c r="AA603" s="0" t="n">
        <v>0</v>
      </c>
      <c r="AB603" s="0" t="n">
        <v>1</v>
      </c>
      <c r="AC603" s="0" t="n">
        <v>0</v>
      </c>
      <c r="AD603" s="0" t="n">
        <v>0</v>
      </c>
      <c r="AE603" s="0" t="n">
        <v>0</v>
      </c>
      <c r="AF603" s="0" t="n">
        <v>9.81074403852425</v>
      </c>
      <c r="AG603" s="0" t="n">
        <v>0</v>
      </c>
      <c r="AH603" s="0" t="n">
        <v>0</v>
      </c>
      <c r="AI603" s="0" t="n">
        <v>0</v>
      </c>
      <c r="AK603" s="0" t="n">
        <f aca="false">A603</f>
        <v>586</v>
      </c>
      <c r="AL603" s="0" t="n">
        <v>0</v>
      </c>
      <c r="AM603" s="0" t="n">
        <v>0</v>
      </c>
      <c r="AO603" s="0" t="n">
        <v>586</v>
      </c>
      <c r="AP603" s="0" t="n">
        <v>1</v>
      </c>
      <c r="AQ603" s="0" t="n">
        <v>1.01794858916236</v>
      </c>
      <c r="AR603" s="0" t="n">
        <v>514.96262020534</v>
      </c>
      <c r="AS603" s="0" t="n">
        <v>78</v>
      </c>
      <c r="AT603" s="0" t="n">
        <v>78</v>
      </c>
    </row>
    <row r="604" customFormat="false" ht="12" hidden="false" customHeight="false" outlineLevel="0" collapsed="false">
      <c r="A604" s="0" t="n">
        <v>587</v>
      </c>
      <c r="B604" s="0" t="n">
        <v>1</v>
      </c>
      <c r="C604" s="0" t="n">
        <v>0.0134120103743888</v>
      </c>
      <c r="D604" s="0" t="n">
        <v>638.348640544402</v>
      </c>
      <c r="E604" s="0" t="n">
        <v>6</v>
      </c>
      <c r="F604" s="0" t="n">
        <v>4</v>
      </c>
      <c r="G604" s="0" t="n">
        <v>0.5</v>
      </c>
      <c r="H604" s="0" t="n">
        <v>1</v>
      </c>
      <c r="I604" s="0" t="n">
        <v>0</v>
      </c>
      <c r="J604" s="0" t="n">
        <v>642.630577947164</v>
      </c>
      <c r="K604" s="0" t="n">
        <v>0</v>
      </c>
      <c r="L604" s="0" t="n">
        <v>2.17028732084488</v>
      </c>
      <c r="M604" s="0" t="n">
        <v>642.0126678131</v>
      </c>
      <c r="N604" s="0" t="n">
        <v>3.66402726869751</v>
      </c>
      <c r="O604" s="0" t="n">
        <v>587</v>
      </c>
      <c r="P604" s="0" t="n">
        <v>296</v>
      </c>
      <c r="Q604" s="0" t="n">
        <v>291</v>
      </c>
      <c r="R604" s="0" t="n">
        <v>574.300288095587</v>
      </c>
      <c r="S604" s="0" t="n">
        <v>818.497646793943</v>
      </c>
      <c r="T604" s="0" t="n">
        <v>21</v>
      </c>
      <c r="U604" s="0" t="n">
        <v>27</v>
      </c>
      <c r="V604" s="0" t="n">
        <v>27.3476197437805</v>
      </c>
      <c r="W604" s="0" t="n">
        <v>30.3146153826817</v>
      </c>
      <c r="X604" s="0" t="n">
        <v>0</v>
      </c>
      <c r="Y604" s="0" t="n">
        <v>0</v>
      </c>
      <c r="Z604" s="0" t="n">
        <v>3.66402726869751</v>
      </c>
      <c r="AA604" s="0" t="n">
        <v>0</v>
      </c>
      <c r="AB604" s="0" t="n">
        <v>0</v>
      </c>
      <c r="AC604" s="0" t="n">
        <v>0</v>
      </c>
      <c r="AD604" s="0" t="n">
        <v>1</v>
      </c>
      <c r="AE604" s="0" t="n">
        <v>0</v>
      </c>
      <c r="AF604" s="0" t="n">
        <v>0</v>
      </c>
      <c r="AG604" s="0" t="n">
        <v>0</v>
      </c>
      <c r="AH604" s="0" t="n">
        <v>16.8253868000359</v>
      </c>
      <c r="AI604" s="0" t="n">
        <v>0</v>
      </c>
      <c r="AK604" s="0" t="n">
        <f aca="false">A604</f>
        <v>587</v>
      </c>
      <c r="AL604" s="0" t="n">
        <v>1</v>
      </c>
      <c r="AM604" s="0" t="n">
        <v>1</v>
      </c>
      <c r="AO604" s="0" t="n">
        <v>587</v>
      </c>
      <c r="AP604" s="0" t="n">
        <v>1</v>
      </c>
      <c r="AQ604" s="0" t="n">
        <v>1.20406363287116</v>
      </c>
      <c r="AR604" s="0" t="n">
        <v>516.166683838211</v>
      </c>
      <c r="AS604" s="0" t="n">
        <v>76</v>
      </c>
      <c r="AT604" s="0" t="n">
        <v>78</v>
      </c>
    </row>
    <row r="605" customFormat="false" ht="12" hidden="false" customHeight="false" outlineLevel="0" collapsed="false">
      <c r="A605" s="0" t="n">
        <v>588</v>
      </c>
      <c r="B605" s="0" t="n">
        <v>0</v>
      </c>
      <c r="C605" s="0" t="n">
        <v>1.44166466212672</v>
      </c>
      <c r="D605" s="0" t="n">
        <v>639.790305206529</v>
      </c>
      <c r="E605" s="0" t="n">
        <v>6</v>
      </c>
      <c r="F605" s="0" t="n">
        <v>6</v>
      </c>
      <c r="G605" s="0" t="n">
        <v>0.5</v>
      </c>
      <c r="H605" s="0" t="n">
        <v>1</v>
      </c>
      <c r="I605" s="0" t="n">
        <v>0</v>
      </c>
      <c r="J605" s="0" t="n">
        <v>642.630577947164</v>
      </c>
      <c r="K605" s="0" t="n">
        <v>0</v>
      </c>
      <c r="L605" s="0" t="n">
        <v>1.8540183430759</v>
      </c>
      <c r="M605" s="0" t="n">
        <v>643.866686156176</v>
      </c>
      <c r="N605" s="0" t="n">
        <v>4.07638094964671</v>
      </c>
      <c r="O605" s="0" t="n">
        <v>588</v>
      </c>
      <c r="P605" s="0" t="n">
        <v>296</v>
      </c>
      <c r="Q605" s="0" t="n">
        <v>292</v>
      </c>
      <c r="R605" s="0" t="n">
        <v>702.812778576927</v>
      </c>
      <c r="S605" s="0" t="n">
        <v>712.175709798145</v>
      </c>
      <c r="T605" s="0" t="n">
        <v>22</v>
      </c>
      <c r="U605" s="0" t="n">
        <v>26</v>
      </c>
      <c r="V605" s="0" t="n">
        <v>31.9460208689417</v>
      </c>
      <c r="W605" s="0" t="n">
        <v>27.3912681027436</v>
      </c>
      <c r="X605" s="0" t="n">
        <v>0</v>
      </c>
      <c r="Y605" s="0" t="n">
        <v>0</v>
      </c>
      <c r="Z605" s="0" t="n">
        <v>0</v>
      </c>
      <c r="AA605" s="0" t="n">
        <v>4.07638094964671</v>
      </c>
      <c r="AB605" s="0" t="n">
        <v>0</v>
      </c>
      <c r="AC605" s="0" t="n">
        <v>0</v>
      </c>
      <c r="AD605" s="0" t="n">
        <v>0</v>
      </c>
      <c r="AE605" s="0" t="n">
        <v>1</v>
      </c>
      <c r="AF605" s="0" t="n">
        <v>0</v>
      </c>
      <c r="AG605" s="0" t="n">
        <v>0</v>
      </c>
      <c r="AH605" s="0" t="n">
        <v>0</v>
      </c>
      <c r="AI605" s="0" t="n">
        <v>13.3591698290682</v>
      </c>
      <c r="AK605" s="0" t="n">
        <f aca="false">A605</f>
        <v>588</v>
      </c>
      <c r="AL605" s="0" t="n">
        <v>0</v>
      </c>
      <c r="AM605" s="0" t="n">
        <v>0</v>
      </c>
      <c r="AO605" s="0" t="n">
        <v>588</v>
      </c>
      <c r="AP605" s="0" t="n">
        <v>1</v>
      </c>
      <c r="AQ605" s="0" t="n">
        <v>0.0108529823827533</v>
      </c>
      <c r="AR605" s="0" t="n">
        <v>516.177536820594</v>
      </c>
      <c r="AS605" s="0" t="n">
        <v>78</v>
      </c>
      <c r="AT605" s="0" t="n">
        <v>78</v>
      </c>
    </row>
    <row r="606" customFormat="false" ht="12" hidden="false" customHeight="false" outlineLevel="0" collapsed="false">
      <c r="A606" s="0" t="n">
        <v>589</v>
      </c>
      <c r="B606" s="0" t="n">
        <v>1</v>
      </c>
      <c r="C606" s="0" t="n">
        <v>0.854791207867493</v>
      </c>
      <c r="D606" s="0" t="n">
        <v>640.645096414396</v>
      </c>
      <c r="E606" s="0" t="n">
        <v>4</v>
      </c>
      <c r="F606" s="0" t="n">
        <v>6</v>
      </c>
      <c r="G606" s="0" t="n">
        <v>0.5</v>
      </c>
      <c r="H606" s="0" t="n">
        <v>0</v>
      </c>
      <c r="I606" s="0" t="n">
        <v>1.98622565365003</v>
      </c>
      <c r="J606" s="0" t="n">
        <v>644.616803600814</v>
      </c>
      <c r="K606" s="0" t="n">
        <v>3.97170718641723</v>
      </c>
      <c r="L606" s="0" t="n">
        <v>0</v>
      </c>
      <c r="M606" s="0" t="n">
        <v>643.866686156176</v>
      </c>
      <c r="N606" s="0" t="n">
        <v>0</v>
      </c>
      <c r="O606" s="0" t="n">
        <v>589</v>
      </c>
      <c r="P606" s="0" t="n">
        <v>297</v>
      </c>
      <c r="Q606" s="0" t="n">
        <v>292</v>
      </c>
      <c r="R606" s="0" t="n">
        <v>848.1405818011</v>
      </c>
      <c r="S606" s="0" t="n">
        <v>564.683803178119</v>
      </c>
      <c r="T606" s="0" t="n">
        <v>28</v>
      </c>
      <c r="U606" s="0" t="n">
        <v>20</v>
      </c>
      <c r="V606" s="0" t="n">
        <v>30.2907242462092</v>
      </c>
      <c r="W606" s="0" t="n">
        <v>28.234048988661</v>
      </c>
      <c r="X606" s="0" t="n">
        <v>3.97170718641723</v>
      </c>
      <c r="Y606" s="0" t="n">
        <v>0</v>
      </c>
      <c r="Z606" s="0" t="n">
        <v>0</v>
      </c>
      <c r="AA606" s="0" t="n">
        <v>0</v>
      </c>
      <c r="AB606" s="0" t="n">
        <v>1</v>
      </c>
      <c r="AC606" s="0" t="n">
        <v>0</v>
      </c>
      <c r="AD606" s="0" t="n">
        <v>0</v>
      </c>
      <c r="AE606" s="0" t="n">
        <v>0</v>
      </c>
      <c r="AF606" s="0" t="n">
        <v>11.9429196379354</v>
      </c>
      <c r="AG606" s="0" t="n">
        <v>0</v>
      </c>
      <c r="AH606" s="0" t="n">
        <v>0</v>
      </c>
      <c r="AI606" s="0" t="n">
        <v>0</v>
      </c>
      <c r="AK606" s="0" t="n">
        <f aca="false">A606</f>
        <v>589</v>
      </c>
      <c r="AL606" s="0" t="n">
        <v>1</v>
      </c>
      <c r="AM606" s="0" t="n">
        <v>1</v>
      </c>
      <c r="AO606" s="0" t="n">
        <v>589</v>
      </c>
      <c r="AP606" s="0" t="n">
        <v>0</v>
      </c>
      <c r="AQ606" s="0" t="n">
        <v>0.438804753184082</v>
      </c>
      <c r="AR606" s="0" t="n">
        <v>516.616341573778</v>
      </c>
      <c r="AS606" s="0" t="n">
        <v>80</v>
      </c>
      <c r="AT606" s="0" t="n">
        <v>78</v>
      </c>
    </row>
    <row r="607" customFormat="false" ht="12" hidden="false" customHeight="false" outlineLevel="0" collapsed="false">
      <c r="A607" s="0" t="n">
        <v>590</v>
      </c>
      <c r="B607" s="0" t="n">
        <v>1</v>
      </c>
      <c r="C607" s="0" t="n">
        <v>0.476357774256003</v>
      </c>
      <c r="D607" s="0" t="n">
        <v>641.121454188652</v>
      </c>
      <c r="E607" s="0" t="n">
        <v>6</v>
      </c>
      <c r="F607" s="0" t="n">
        <v>6</v>
      </c>
      <c r="G607" s="0" t="n">
        <v>0.5</v>
      </c>
      <c r="H607" s="0" t="n">
        <v>1</v>
      </c>
      <c r="I607" s="0" t="n">
        <v>0</v>
      </c>
      <c r="J607" s="0" t="n">
        <v>644.616803600814</v>
      </c>
      <c r="K607" s="0" t="n">
        <v>0</v>
      </c>
      <c r="L607" s="0" t="n">
        <v>2.13696481687151</v>
      </c>
      <c r="M607" s="0" t="n">
        <v>646.003650973047</v>
      </c>
      <c r="N607" s="0" t="n">
        <v>4.88219678439475</v>
      </c>
      <c r="O607" s="0" t="n">
        <v>590</v>
      </c>
      <c r="P607" s="0" t="n">
        <v>297</v>
      </c>
      <c r="Q607" s="0" t="n">
        <v>293</v>
      </c>
      <c r="R607" s="0" t="n">
        <v>664.336879950827</v>
      </c>
      <c r="S607" s="0" t="n">
        <v>748.25975620575</v>
      </c>
      <c r="T607" s="0" t="n">
        <v>25</v>
      </c>
      <c r="U607" s="0" t="n">
        <v>23</v>
      </c>
      <c r="V607" s="0" t="n">
        <v>26.5734645686473</v>
      </c>
      <c r="W607" s="0" t="n">
        <v>32.5328914311568</v>
      </c>
      <c r="X607" s="0" t="n">
        <v>0</v>
      </c>
      <c r="Y607" s="0" t="n">
        <v>0</v>
      </c>
      <c r="Z607" s="0" t="n">
        <v>4.88219678439475</v>
      </c>
      <c r="AA607" s="0" t="n">
        <v>0</v>
      </c>
      <c r="AB607" s="0" t="n">
        <v>0</v>
      </c>
      <c r="AC607" s="0" t="n">
        <v>0</v>
      </c>
      <c r="AD607" s="0" t="n">
        <v>1</v>
      </c>
      <c r="AE607" s="0" t="n">
        <v>0</v>
      </c>
      <c r="AF607" s="0" t="n">
        <v>0</v>
      </c>
      <c r="AG607" s="0" t="n">
        <v>0</v>
      </c>
      <c r="AH607" s="0" t="n">
        <v>8.31576314431543</v>
      </c>
      <c r="AI607" s="0" t="n">
        <v>0</v>
      </c>
      <c r="AK607" s="0" t="n">
        <f aca="false">A607</f>
        <v>590</v>
      </c>
      <c r="AL607" s="0" t="n">
        <v>0</v>
      </c>
      <c r="AM607" s="0" t="n">
        <v>0</v>
      </c>
      <c r="AO607" s="0" t="n">
        <v>590</v>
      </c>
      <c r="AP607" s="0" t="n">
        <v>1</v>
      </c>
      <c r="AQ607" s="0" t="n">
        <v>0.0833017465628165</v>
      </c>
      <c r="AR607" s="0" t="n">
        <v>516.699643320341</v>
      </c>
      <c r="AS607" s="0" t="n">
        <v>80</v>
      </c>
      <c r="AT607" s="0" t="n">
        <v>80</v>
      </c>
    </row>
    <row r="608" customFormat="false" ht="12" hidden="false" customHeight="false" outlineLevel="0" collapsed="false">
      <c r="A608" s="0" t="n">
        <v>591</v>
      </c>
      <c r="B608" s="0" t="n">
        <v>0</v>
      </c>
      <c r="C608" s="0" t="n">
        <v>0.139556910990091</v>
      </c>
      <c r="D608" s="0" t="n">
        <v>641.261011099643</v>
      </c>
      <c r="E608" s="0" t="n">
        <v>6</v>
      </c>
      <c r="F608" s="0" t="n">
        <v>8</v>
      </c>
      <c r="G608" s="0" t="n">
        <v>0.5</v>
      </c>
      <c r="H608" s="0" t="n">
        <v>0</v>
      </c>
      <c r="I608" s="0" t="n">
        <v>2.12271181267924</v>
      </c>
      <c r="J608" s="0" t="n">
        <v>646.739515413493</v>
      </c>
      <c r="K608" s="0" t="n">
        <v>5.47850431385029</v>
      </c>
      <c r="L608" s="0" t="n">
        <v>0</v>
      </c>
      <c r="M608" s="0" t="n">
        <v>646.003650973047</v>
      </c>
      <c r="N608" s="0" t="n">
        <v>0</v>
      </c>
      <c r="O608" s="0" t="n">
        <v>591</v>
      </c>
      <c r="P608" s="0" t="n">
        <v>298</v>
      </c>
      <c r="Q608" s="0" t="n">
        <v>293</v>
      </c>
      <c r="R608" s="0" t="n">
        <v>644.294997092061</v>
      </c>
      <c r="S608" s="0" t="n">
        <v>785.852045513191</v>
      </c>
      <c r="T608" s="0" t="n">
        <v>24</v>
      </c>
      <c r="U608" s="0" t="n">
        <v>24</v>
      </c>
      <c r="V608" s="0" t="n">
        <v>26.8456136931635</v>
      </c>
      <c r="W608" s="0" t="n">
        <v>32.743698797638</v>
      </c>
      <c r="X608" s="0" t="n">
        <v>0</v>
      </c>
      <c r="Y608" s="0" t="n">
        <v>5.47850431385029</v>
      </c>
      <c r="Z608" s="0" t="n">
        <v>0</v>
      </c>
      <c r="AA608" s="0" t="n">
        <v>0</v>
      </c>
      <c r="AB608" s="0" t="n">
        <v>0</v>
      </c>
      <c r="AC608" s="0" t="n">
        <v>1</v>
      </c>
      <c r="AD608" s="0" t="n">
        <v>0</v>
      </c>
      <c r="AE608" s="0" t="n">
        <v>0</v>
      </c>
      <c r="AF608" s="0" t="n">
        <v>0</v>
      </c>
      <c r="AG608" s="0" t="n">
        <v>7.72924919183433</v>
      </c>
      <c r="AH608" s="0" t="n">
        <v>0</v>
      </c>
      <c r="AI608" s="0" t="n">
        <v>0</v>
      </c>
      <c r="AK608" s="0" t="n">
        <f aca="false">A608</f>
        <v>591</v>
      </c>
      <c r="AL608" s="0" t="n">
        <v>1</v>
      </c>
      <c r="AM608" s="0" t="n">
        <v>1</v>
      </c>
      <c r="AO608" s="0" t="n">
        <v>591</v>
      </c>
      <c r="AP608" s="0" t="n">
        <v>0</v>
      </c>
      <c r="AQ608" s="0" t="n">
        <v>0.377194250397591</v>
      </c>
      <c r="AR608" s="0" t="n">
        <v>517.076837570739</v>
      </c>
      <c r="AS608" s="0" t="n">
        <v>82</v>
      </c>
      <c r="AT608" s="0" t="n">
        <v>80</v>
      </c>
    </row>
    <row r="609" customFormat="false" ht="12" hidden="false" customHeight="false" outlineLevel="0" collapsed="false">
      <c r="A609" s="0" t="n">
        <v>592</v>
      </c>
      <c r="B609" s="0" t="n">
        <v>1</v>
      </c>
      <c r="C609" s="0" t="n">
        <v>1.81717604587415</v>
      </c>
      <c r="D609" s="0" t="n">
        <v>643.078187145517</v>
      </c>
      <c r="E609" s="0" t="n">
        <v>6</v>
      </c>
      <c r="F609" s="0" t="n">
        <v>6</v>
      </c>
      <c r="G609" s="0" t="n">
        <v>0.5</v>
      </c>
      <c r="H609" s="0" t="n">
        <v>1</v>
      </c>
      <c r="I609" s="0" t="n">
        <v>0</v>
      </c>
      <c r="J609" s="0" t="n">
        <v>646.739515413493</v>
      </c>
      <c r="K609" s="0" t="n">
        <v>0</v>
      </c>
      <c r="L609" s="0" t="n">
        <v>1.75877780918976</v>
      </c>
      <c r="M609" s="0" t="n">
        <v>647.762428782237</v>
      </c>
      <c r="N609" s="0" t="n">
        <v>4.68424163672023</v>
      </c>
      <c r="O609" s="0" t="n">
        <v>592</v>
      </c>
      <c r="P609" s="0" t="n">
        <v>298</v>
      </c>
      <c r="Q609" s="0" t="n">
        <v>294</v>
      </c>
      <c r="R609" s="0" t="n">
        <v>638.46525523397</v>
      </c>
      <c r="S609" s="0" t="n">
        <v>770.65640874621</v>
      </c>
      <c r="T609" s="0" t="n">
        <v>22</v>
      </c>
      <c r="U609" s="0" t="n">
        <v>26</v>
      </c>
      <c r="V609" s="0" t="n">
        <v>29.0211347737555</v>
      </c>
      <c r="W609" s="0" t="n">
        <v>29.6405171036346</v>
      </c>
      <c r="X609" s="0" t="n">
        <v>0</v>
      </c>
      <c r="Y609" s="0" t="n">
        <v>0</v>
      </c>
      <c r="Z609" s="0" t="n">
        <v>4.68424163672023</v>
      </c>
      <c r="AA609" s="0" t="n">
        <v>0</v>
      </c>
      <c r="AB609" s="0" t="n">
        <v>0</v>
      </c>
      <c r="AC609" s="0" t="n">
        <v>0</v>
      </c>
      <c r="AD609" s="0" t="n">
        <v>1</v>
      </c>
      <c r="AE609" s="0" t="n">
        <v>0</v>
      </c>
      <c r="AF609" s="0" t="n">
        <v>0</v>
      </c>
      <c r="AG609" s="0" t="n">
        <v>0</v>
      </c>
      <c r="AH609" s="0" t="n">
        <v>9.49663847459914</v>
      </c>
      <c r="AI609" s="0" t="n">
        <v>0</v>
      </c>
      <c r="AK609" s="0" t="n">
        <f aca="false">A609</f>
        <v>592</v>
      </c>
      <c r="AL609" s="0" t="n">
        <v>0</v>
      </c>
      <c r="AM609" s="0" t="n">
        <v>0</v>
      </c>
      <c r="AO609" s="0" t="n">
        <v>592</v>
      </c>
      <c r="AP609" s="0" t="n">
        <v>1</v>
      </c>
      <c r="AQ609" s="0" t="n">
        <v>2.46142510425429</v>
      </c>
      <c r="AR609" s="0" t="n">
        <v>519.538262674993</v>
      </c>
      <c r="AS609" s="0" t="n">
        <v>78</v>
      </c>
      <c r="AT609" s="0" t="n">
        <v>78</v>
      </c>
    </row>
    <row r="610" customFormat="false" ht="12" hidden="false" customHeight="false" outlineLevel="0" collapsed="false">
      <c r="A610" s="0" t="n">
        <v>593</v>
      </c>
      <c r="B610" s="0" t="n">
        <v>0</v>
      </c>
      <c r="C610" s="0" t="n">
        <v>2.74065086605448</v>
      </c>
      <c r="D610" s="0" t="n">
        <v>645.818838011571</v>
      </c>
      <c r="E610" s="0" t="n">
        <v>4</v>
      </c>
      <c r="F610" s="0" t="n">
        <v>6</v>
      </c>
      <c r="G610" s="0" t="n">
        <v>0.5</v>
      </c>
      <c r="H610" s="0" t="n">
        <v>0</v>
      </c>
      <c r="I610" s="0" t="n">
        <v>1.96764856433724</v>
      </c>
      <c r="J610" s="0" t="n">
        <v>648.70716397783</v>
      </c>
      <c r="K610" s="0" t="n">
        <v>2.88832596625889</v>
      </c>
      <c r="L610" s="0" t="n">
        <v>0</v>
      </c>
      <c r="M610" s="0" t="n">
        <v>647.762428782237</v>
      </c>
      <c r="N610" s="0" t="n">
        <v>0</v>
      </c>
      <c r="O610" s="0" t="n">
        <v>593</v>
      </c>
      <c r="P610" s="0" t="n">
        <v>299</v>
      </c>
      <c r="Q610" s="0" t="n">
        <v>294</v>
      </c>
      <c r="R610" s="0" t="n">
        <v>771.725832753129</v>
      </c>
      <c r="S610" s="0" t="n">
        <v>642.501339856392</v>
      </c>
      <c r="T610" s="0" t="n">
        <v>25</v>
      </c>
      <c r="U610" s="0" t="n">
        <v>23</v>
      </c>
      <c r="V610" s="0" t="n">
        <v>30.8690209625168</v>
      </c>
      <c r="W610" s="0" t="n">
        <v>27.9347194080196</v>
      </c>
      <c r="X610" s="0" t="n">
        <v>0</v>
      </c>
      <c r="Y610" s="0" t="n">
        <v>2.88832596625889</v>
      </c>
      <c r="Z610" s="0" t="n">
        <v>0</v>
      </c>
      <c r="AA610" s="0" t="n">
        <v>0</v>
      </c>
      <c r="AB610" s="0" t="n">
        <v>0</v>
      </c>
      <c r="AC610" s="0" t="n">
        <v>1</v>
      </c>
      <c r="AD610" s="0" t="n">
        <v>0</v>
      </c>
      <c r="AE610" s="0" t="n">
        <v>0</v>
      </c>
      <c r="AF610" s="0" t="n">
        <v>0</v>
      </c>
      <c r="AG610" s="0" t="n">
        <v>28.8404558630631</v>
      </c>
      <c r="AH610" s="0" t="n">
        <v>0</v>
      </c>
      <c r="AI610" s="0" t="n">
        <v>0</v>
      </c>
      <c r="AK610" s="0" t="n">
        <f aca="false">A610</f>
        <v>593</v>
      </c>
      <c r="AL610" s="0" t="n">
        <v>1</v>
      </c>
      <c r="AM610" s="0" t="n">
        <v>1</v>
      </c>
      <c r="AO610" s="0" t="n">
        <v>593</v>
      </c>
      <c r="AP610" s="0" t="n">
        <v>1</v>
      </c>
      <c r="AQ610" s="0" t="n">
        <v>1.42632079592979</v>
      </c>
      <c r="AR610" s="0" t="n">
        <v>520.964583470923</v>
      </c>
      <c r="AS610" s="0" t="n">
        <v>80</v>
      </c>
      <c r="AT610" s="0" t="n">
        <v>78</v>
      </c>
    </row>
    <row r="611" customFormat="false" ht="12" hidden="false" customHeight="false" outlineLevel="0" collapsed="false">
      <c r="A611" s="0" t="n">
        <v>594</v>
      </c>
      <c r="B611" s="0" t="n">
        <v>0</v>
      </c>
      <c r="C611" s="0" t="n">
        <v>1.27022909805787</v>
      </c>
      <c r="D611" s="0" t="n">
        <v>647.089067109629</v>
      </c>
      <c r="E611" s="0" t="n">
        <v>4</v>
      </c>
      <c r="F611" s="0" t="n">
        <v>4</v>
      </c>
      <c r="G611" s="0" t="n">
        <v>0.5</v>
      </c>
      <c r="H611" s="0" t="n">
        <v>1</v>
      </c>
      <c r="I611" s="0" t="n">
        <v>0</v>
      </c>
      <c r="J611" s="0" t="n">
        <v>648.70716397783</v>
      </c>
      <c r="K611" s="0" t="n">
        <v>0</v>
      </c>
      <c r="L611" s="0" t="n">
        <v>1.91184611654666</v>
      </c>
      <c r="M611" s="0" t="n">
        <v>649.674274898784</v>
      </c>
      <c r="N611" s="0" t="n">
        <v>2.58520778915465</v>
      </c>
      <c r="O611" s="0" t="n">
        <v>594</v>
      </c>
      <c r="P611" s="0" t="n">
        <v>299</v>
      </c>
      <c r="Q611" s="0" t="n">
        <v>295</v>
      </c>
      <c r="R611" s="0" t="n">
        <v>756.270487901381</v>
      </c>
      <c r="S611" s="0" t="n">
        <v>687.501074548531</v>
      </c>
      <c r="T611" s="0" t="n">
        <v>23</v>
      </c>
      <c r="U611" s="0" t="n">
        <v>25</v>
      </c>
      <c r="V611" s="0" t="n">
        <v>32.8813112647073</v>
      </c>
      <c r="W611" s="0" t="n">
        <v>27.4999329822093</v>
      </c>
      <c r="X611" s="0" t="n">
        <v>0</v>
      </c>
      <c r="Y611" s="0" t="n">
        <v>0</v>
      </c>
      <c r="Z611" s="0" t="n">
        <v>0</v>
      </c>
      <c r="AA611" s="0" t="n">
        <v>2.58520778915465</v>
      </c>
      <c r="AB611" s="0" t="n">
        <v>0</v>
      </c>
      <c r="AC611" s="0" t="n">
        <v>0</v>
      </c>
      <c r="AD611" s="0" t="n">
        <v>0</v>
      </c>
      <c r="AE611" s="0" t="n">
        <v>1</v>
      </c>
      <c r="AF611" s="0" t="n">
        <v>0</v>
      </c>
      <c r="AG611" s="0" t="n">
        <v>0</v>
      </c>
      <c r="AH611" s="0" t="n">
        <v>0</v>
      </c>
      <c r="AI611" s="0" t="n">
        <v>26.4833021142882</v>
      </c>
      <c r="AK611" s="0" t="n">
        <f aca="false">A611</f>
        <v>594</v>
      </c>
      <c r="AL611" s="0" t="n">
        <v>0</v>
      </c>
      <c r="AM611" s="0" t="n">
        <v>0</v>
      </c>
      <c r="AO611" s="0" t="n">
        <v>594</v>
      </c>
      <c r="AP611" s="0" t="n">
        <v>0</v>
      </c>
      <c r="AQ611" s="0" t="n">
        <v>0.804971005993302</v>
      </c>
      <c r="AR611" s="0" t="n">
        <v>521.769554476916</v>
      </c>
      <c r="AS611" s="0" t="n">
        <v>78</v>
      </c>
      <c r="AT611" s="0" t="n">
        <v>78</v>
      </c>
    </row>
    <row r="612" customFormat="false" ht="12" hidden="false" customHeight="false" outlineLevel="0" collapsed="false">
      <c r="A612" s="0" t="n">
        <v>595</v>
      </c>
      <c r="B612" s="0" t="n">
        <v>1</v>
      </c>
      <c r="C612" s="0" t="n">
        <v>1.84427954727623</v>
      </c>
      <c r="D612" s="0" t="n">
        <v>648.933346656905</v>
      </c>
      <c r="E612" s="0" t="n">
        <v>2</v>
      </c>
      <c r="F612" s="0" t="n">
        <v>4</v>
      </c>
      <c r="G612" s="0" t="n">
        <v>0.5</v>
      </c>
      <c r="H612" s="0" t="n">
        <v>0</v>
      </c>
      <c r="I612" s="0" t="n">
        <v>2.18014509985411</v>
      </c>
      <c r="J612" s="0" t="n">
        <v>651.113491756759</v>
      </c>
      <c r="K612" s="0" t="n">
        <v>2.18014509985414</v>
      </c>
      <c r="L612" s="0" t="n">
        <v>0</v>
      </c>
      <c r="M612" s="0" t="n">
        <v>649.674274898784</v>
      </c>
      <c r="N612" s="0" t="n">
        <v>0</v>
      </c>
      <c r="O612" s="0" t="n">
        <v>595</v>
      </c>
      <c r="P612" s="0" t="n">
        <v>300</v>
      </c>
      <c r="Q612" s="0" t="n">
        <v>295</v>
      </c>
      <c r="R612" s="0" t="n">
        <v>741.76399045495</v>
      </c>
      <c r="S612" s="0" t="n">
        <v>685.362283312213</v>
      </c>
      <c r="T612" s="0" t="n">
        <v>24</v>
      </c>
      <c r="U612" s="0" t="n">
        <v>24</v>
      </c>
      <c r="V612" s="0" t="n">
        <v>30.9068200577812</v>
      </c>
      <c r="W612" s="0" t="n">
        <v>28.5566428186638</v>
      </c>
      <c r="X612" s="0" t="n">
        <v>2.18014509985414</v>
      </c>
      <c r="Y612" s="0" t="n">
        <v>0</v>
      </c>
      <c r="Z612" s="0" t="n">
        <v>0</v>
      </c>
      <c r="AA612" s="0" t="n">
        <v>0</v>
      </c>
      <c r="AB612" s="0" t="n">
        <v>1</v>
      </c>
      <c r="AC612" s="0" t="n">
        <v>0</v>
      </c>
      <c r="AD612" s="0" t="n">
        <v>0</v>
      </c>
      <c r="AE612" s="0" t="n">
        <v>0</v>
      </c>
      <c r="AF612" s="0" t="n">
        <v>27.535364605293</v>
      </c>
      <c r="AG612" s="0" t="n">
        <v>0</v>
      </c>
      <c r="AH612" s="0" t="n">
        <v>0</v>
      </c>
      <c r="AI612" s="0" t="n">
        <v>0</v>
      </c>
      <c r="AK612" s="0" t="n">
        <f aca="false">A612</f>
        <v>595</v>
      </c>
      <c r="AL612" s="0" t="n">
        <v>1</v>
      </c>
      <c r="AM612" s="0" t="n">
        <v>1</v>
      </c>
      <c r="AO612" s="0" t="n">
        <v>595</v>
      </c>
      <c r="AP612" s="0" t="n">
        <v>0</v>
      </c>
      <c r="AQ612" s="0" t="n">
        <v>0.519187074255446</v>
      </c>
      <c r="AR612" s="0" t="n">
        <v>522.288741551171</v>
      </c>
      <c r="AS612" s="0" t="n">
        <v>80</v>
      </c>
      <c r="AT612" s="0" t="n">
        <v>78</v>
      </c>
    </row>
    <row r="613" customFormat="false" ht="12" hidden="false" customHeight="false" outlineLevel="0" collapsed="false">
      <c r="A613" s="0" t="n">
        <v>596</v>
      </c>
      <c r="B613" s="0" t="n">
        <v>1</v>
      </c>
      <c r="C613" s="0" t="n">
        <v>1.73990109442938</v>
      </c>
      <c r="D613" s="0" t="n">
        <v>650.673247751334</v>
      </c>
      <c r="E613" s="0" t="n">
        <v>4</v>
      </c>
      <c r="F613" s="0" t="n">
        <v>2</v>
      </c>
      <c r="G613" s="0" t="n">
        <v>0.5</v>
      </c>
      <c r="H613" s="0" t="n">
        <v>1</v>
      </c>
      <c r="I613" s="0" t="n">
        <v>0</v>
      </c>
      <c r="J613" s="0" t="n">
        <v>651.113491756759</v>
      </c>
      <c r="K613" s="0" t="n">
        <v>0</v>
      </c>
      <c r="L613" s="0" t="n">
        <v>2.11718721413964</v>
      </c>
      <c r="M613" s="0" t="n">
        <v>652.790434965474</v>
      </c>
      <c r="N613" s="0" t="n">
        <v>2.11718721413968</v>
      </c>
      <c r="O613" s="0" t="n">
        <v>596</v>
      </c>
      <c r="P613" s="0" t="n">
        <v>300</v>
      </c>
      <c r="Q613" s="0" t="n">
        <v>296</v>
      </c>
      <c r="R613" s="0" t="n">
        <v>656.044590354433</v>
      </c>
      <c r="S613" s="0" t="n">
        <v>774.901163031216</v>
      </c>
      <c r="T613" s="0" t="n">
        <v>22</v>
      </c>
      <c r="U613" s="0" t="n">
        <v>26</v>
      </c>
      <c r="V613" s="0" t="n">
        <v>29.8201950978401</v>
      </c>
      <c r="W613" s="0" t="n">
        <v>29.8037762559073</v>
      </c>
      <c r="X613" s="0" t="n">
        <v>0</v>
      </c>
      <c r="Y613" s="0" t="n">
        <v>0</v>
      </c>
      <c r="Z613" s="0" t="n">
        <v>2.11718721413968</v>
      </c>
      <c r="AA613" s="0" t="n">
        <v>0</v>
      </c>
      <c r="AB613" s="0" t="n">
        <v>0</v>
      </c>
      <c r="AC613" s="0" t="n">
        <v>0</v>
      </c>
      <c r="AD613" s="0" t="n">
        <v>1</v>
      </c>
      <c r="AE613" s="0" t="n">
        <v>0</v>
      </c>
      <c r="AF613" s="0" t="n">
        <v>0</v>
      </c>
      <c r="AG613" s="0" t="n">
        <v>0</v>
      </c>
      <c r="AH613" s="0" t="n">
        <v>31.9079931760966</v>
      </c>
      <c r="AI613" s="0" t="n">
        <v>0</v>
      </c>
      <c r="AK613" s="0" t="n">
        <f aca="false">A613</f>
        <v>596</v>
      </c>
      <c r="AL613" s="0" t="n">
        <v>1</v>
      </c>
      <c r="AM613" s="0" t="n">
        <v>0</v>
      </c>
      <c r="AO613" s="0" t="n">
        <v>596</v>
      </c>
      <c r="AP613" s="0" t="n">
        <v>0</v>
      </c>
      <c r="AQ613" s="0" t="n">
        <v>1.47084343895167</v>
      </c>
      <c r="AR613" s="0" t="n">
        <v>523.759584990123</v>
      </c>
      <c r="AS613" s="0" t="n">
        <v>78</v>
      </c>
      <c r="AT613" s="0" t="n">
        <v>78</v>
      </c>
    </row>
    <row r="614" customFormat="false" ht="12" hidden="false" customHeight="false" outlineLevel="0" collapsed="false">
      <c r="A614" s="0" t="n">
        <v>597</v>
      </c>
      <c r="B614" s="0" t="n">
        <v>1</v>
      </c>
      <c r="C614" s="0" t="n">
        <v>1.38627385907032</v>
      </c>
      <c r="D614" s="0" t="n">
        <v>652.059521610405</v>
      </c>
      <c r="E614" s="0" t="n">
        <v>2</v>
      </c>
      <c r="F614" s="0" t="n">
        <v>4</v>
      </c>
      <c r="G614" s="0" t="n">
        <v>0.5</v>
      </c>
      <c r="H614" s="0" t="n">
        <v>0</v>
      </c>
      <c r="I614" s="0" t="n">
        <v>1.85111643623433</v>
      </c>
      <c r="J614" s="0" t="n">
        <v>653.910638046639</v>
      </c>
      <c r="K614" s="0" t="n">
        <v>1.85111643623429</v>
      </c>
      <c r="L614" s="0" t="n">
        <v>0</v>
      </c>
      <c r="M614" s="0" t="n">
        <v>652.790434965474</v>
      </c>
      <c r="N614" s="0" t="n">
        <v>0</v>
      </c>
      <c r="O614" s="0" t="n">
        <v>597</v>
      </c>
      <c r="P614" s="0" t="n">
        <v>301</v>
      </c>
      <c r="Q614" s="0" t="n">
        <v>296</v>
      </c>
      <c r="R614" s="0" t="n">
        <v>807.737903721415</v>
      </c>
      <c r="S614" s="0" t="n">
        <v>618.99308521695</v>
      </c>
      <c r="T614" s="0" t="n">
        <v>27</v>
      </c>
      <c r="U614" s="0" t="n">
        <v>21</v>
      </c>
      <c r="V614" s="0" t="n">
        <v>29.9162075762718</v>
      </c>
      <c r="W614" s="0" t="n">
        <v>29.4757208402317</v>
      </c>
      <c r="X614" s="0" t="n">
        <v>1.85111643623429</v>
      </c>
      <c r="Y614" s="0" t="n">
        <v>0</v>
      </c>
      <c r="Z614" s="0" t="n">
        <v>0</v>
      </c>
      <c r="AA614" s="0" t="n">
        <v>0</v>
      </c>
      <c r="AB614" s="0" t="n">
        <v>1</v>
      </c>
      <c r="AC614" s="0" t="n">
        <v>0</v>
      </c>
      <c r="AD614" s="0" t="n">
        <v>0</v>
      </c>
      <c r="AE614" s="0" t="n">
        <v>0</v>
      </c>
      <c r="AF614" s="0" t="n">
        <v>31.0967243831217</v>
      </c>
      <c r="AG614" s="0" t="n">
        <v>0</v>
      </c>
      <c r="AH614" s="0" t="n">
        <v>0</v>
      </c>
      <c r="AI614" s="0" t="n">
        <v>0</v>
      </c>
      <c r="AK614" s="0" t="n">
        <f aca="false">A614</f>
        <v>597</v>
      </c>
      <c r="AL614" s="0" t="n">
        <v>1</v>
      </c>
      <c r="AM614" s="0" t="n">
        <v>1</v>
      </c>
      <c r="AO614" s="0" t="n">
        <v>597</v>
      </c>
      <c r="AP614" s="0" t="n">
        <v>0</v>
      </c>
      <c r="AQ614" s="0" t="n">
        <v>1.62780784321403</v>
      </c>
      <c r="AR614" s="0" t="n">
        <v>525.387392833337</v>
      </c>
      <c r="AS614" s="0" t="n">
        <v>80</v>
      </c>
      <c r="AT614" s="0" t="n">
        <v>78</v>
      </c>
    </row>
    <row r="615" customFormat="false" ht="12" hidden="false" customHeight="false" outlineLevel="0" collapsed="false">
      <c r="A615" s="0" t="n">
        <v>598</v>
      </c>
      <c r="B615" s="0" t="n">
        <v>0</v>
      </c>
      <c r="C615" s="0" t="n">
        <v>2.2359094474477</v>
      </c>
      <c r="D615" s="0" t="n">
        <v>654.295431057853</v>
      </c>
      <c r="E615" s="0" t="n">
        <v>2</v>
      </c>
      <c r="F615" s="0" t="n">
        <v>2</v>
      </c>
      <c r="G615" s="0" t="n">
        <v>0.5</v>
      </c>
      <c r="H615" s="0" t="n">
        <v>1</v>
      </c>
      <c r="I615" s="0" t="n">
        <v>0</v>
      </c>
      <c r="J615" s="0" t="n">
        <v>654.295431057853</v>
      </c>
      <c r="K615" s="0" t="n">
        <v>0</v>
      </c>
      <c r="L615" s="0" t="n">
        <v>2.02727027958236</v>
      </c>
      <c r="M615" s="0" t="n">
        <v>656.322701337435</v>
      </c>
      <c r="N615" s="0" t="n">
        <v>2.02727027958235</v>
      </c>
      <c r="O615" s="0" t="n">
        <v>598</v>
      </c>
      <c r="P615" s="0" t="n">
        <v>301</v>
      </c>
      <c r="Q615" s="0" t="n">
        <v>297</v>
      </c>
      <c r="R615" s="0" t="n">
        <v>691.834422809245</v>
      </c>
      <c r="S615" s="0" t="n">
        <v>754.827069809751</v>
      </c>
      <c r="T615" s="0" t="n">
        <v>21</v>
      </c>
      <c r="U615" s="0" t="n">
        <v>27</v>
      </c>
      <c r="V615" s="0" t="n">
        <v>32.9444806364018</v>
      </c>
      <c r="W615" s="0" t="n">
        <v>27.9564545986774</v>
      </c>
      <c r="X615" s="0" t="n">
        <v>0</v>
      </c>
      <c r="Y615" s="0" t="n">
        <v>0</v>
      </c>
      <c r="Z615" s="0" t="n">
        <v>0</v>
      </c>
      <c r="AA615" s="0" t="n">
        <v>2.02727027958235</v>
      </c>
      <c r="AB615" s="0" t="n">
        <v>0</v>
      </c>
      <c r="AC615" s="0" t="n">
        <v>0</v>
      </c>
      <c r="AD615" s="0" t="n">
        <v>0</v>
      </c>
      <c r="AE615" s="0" t="n">
        <v>1</v>
      </c>
      <c r="AF615" s="0" t="n">
        <v>0</v>
      </c>
      <c r="AG615" s="0" t="n">
        <v>0</v>
      </c>
      <c r="AH615" s="0" t="n">
        <v>0</v>
      </c>
      <c r="AI615" s="0" t="n">
        <v>32.5371045610285</v>
      </c>
      <c r="AK615" s="0" t="n">
        <f aca="false">A615</f>
        <v>598</v>
      </c>
      <c r="AL615" s="0" t="n">
        <v>0</v>
      </c>
      <c r="AM615" s="0" t="n">
        <v>2</v>
      </c>
      <c r="AO615" s="0" t="n">
        <v>598</v>
      </c>
      <c r="AP615" s="0" t="n">
        <v>1</v>
      </c>
      <c r="AQ615" s="0" t="n">
        <v>0.167474392046546</v>
      </c>
      <c r="AR615" s="0" t="n">
        <v>525.554867225383</v>
      </c>
      <c r="AS615" s="0" t="n">
        <v>82</v>
      </c>
      <c r="AT615" s="0" t="n">
        <v>78</v>
      </c>
    </row>
    <row r="616" customFormat="false" ht="12" hidden="false" customHeight="false" outlineLevel="0" collapsed="false">
      <c r="A616" s="0" t="n">
        <v>599</v>
      </c>
      <c r="B616" s="0" t="n">
        <v>0</v>
      </c>
      <c r="C616" s="0" t="n">
        <v>2.06699025489742</v>
      </c>
      <c r="D616" s="0" t="n">
        <v>656.36242131275</v>
      </c>
      <c r="E616" s="0" t="n">
        <v>2</v>
      </c>
      <c r="F616" s="0" t="n">
        <v>2</v>
      </c>
      <c r="G616" s="0" t="n">
        <v>0.5</v>
      </c>
      <c r="H616" s="0" t="n">
        <v>1</v>
      </c>
      <c r="I616" s="0" t="n">
        <v>0</v>
      </c>
      <c r="J616" s="0" t="n">
        <v>656.36242131275</v>
      </c>
      <c r="K616" s="0" t="n">
        <v>0</v>
      </c>
      <c r="L616" s="0" t="n">
        <v>2.23662199103313</v>
      </c>
      <c r="M616" s="0" t="n">
        <v>658.599043303783</v>
      </c>
      <c r="N616" s="0" t="n">
        <v>2.23662199103319</v>
      </c>
      <c r="O616" s="0" t="n">
        <v>599</v>
      </c>
      <c r="P616" s="0" t="n">
        <v>301</v>
      </c>
      <c r="Q616" s="0" t="n">
        <v>298</v>
      </c>
      <c r="R616" s="0" t="n">
        <v>633.799384139825</v>
      </c>
      <c r="S616" s="0" t="n">
        <v>802.645528865039</v>
      </c>
      <c r="T616" s="0" t="n">
        <v>23</v>
      </c>
      <c r="U616" s="0" t="n">
        <v>25</v>
      </c>
      <c r="V616" s="0" t="n">
        <v>27.5564829815215</v>
      </c>
      <c r="W616" s="0" t="n">
        <v>32.1056927318307</v>
      </c>
      <c r="X616" s="0" t="n">
        <v>0</v>
      </c>
      <c r="Y616" s="0" t="n">
        <v>0</v>
      </c>
      <c r="Z616" s="0" t="n">
        <v>0</v>
      </c>
      <c r="AA616" s="0" t="n">
        <v>2.23662199103319</v>
      </c>
      <c r="AB616" s="0" t="n">
        <v>0</v>
      </c>
      <c r="AC616" s="0" t="n">
        <v>0</v>
      </c>
      <c r="AD616" s="0" t="n">
        <v>0</v>
      </c>
      <c r="AE616" s="0" t="n">
        <v>1</v>
      </c>
      <c r="AF616" s="0" t="n">
        <v>0</v>
      </c>
      <c r="AG616" s="0" t="n">
        <v>0</v>
      </c>
      <c r="AH616" s="0" t="n">
        <v>0</v>
      </c>
      <c r="AI616" s="0" t="n">
        <v>30.1925937424285</v>
      </c>
      <c r="AK616" s="0" t="n">
        <f aca="false">A616</f>
        <v>599</v>
      </c>
      <c r="AL616" s="0" t="n">
        <v>0</v>
      </c>
      <c r="AM616" s="0" t="n">
        <v>1</v>
      </c>
      <c r="AO616" s="0" t="n">
        <v>599</v>
      </c>
      <c r="AP616" s="0" t="n">
        <v>1</v>
      </c>
      <c r="AQ616" s="0" t="n">
        <v>2.72068628957471</v>
      </c>
      <c r="AR616" s="0" t="n">
        <v>528.275553514958</v>
      </c>
      <c r="AS616" s="0" t="n">
        <v>78</v>
      </c>
      <c r="AT616" s="0" t="n">
        <v>76</v>
      </c>
    </row>
    <row r="617" customFormat="false" ht="12" hidden="false" customHeight="false" outlineLevel="0" collapsed="false">
      <c r="A617" s="0" t="n">
        <v>600</v>
      </c>
      <c r="B617" s="0" t="n">
        <v>1</v>
      </c>
      <c r="C617" s="0" t="n">
        <v>1.34885069048497</v>
      </c>
      <c r="D617" s="0" t="n">
        <v>657.711272003235</v>
      </c>
      <c r="E617" s="0" t="n">
        <v>2</v>
      </c>
      <c r="F617" s="0" t="n">
        <v>4</v>
      </c>
      <c r="G617" s="0" t="n">
        <v>0.5</v>
      </c>
      <c r="H617" s="0" t="n">
        <v>0</v>
      </c>
      <c r="I617" s="0" t="n">
        <v>1.82365297440923</v>
      </c>
      <c r="J617" s="0" t="n">
        <v>659.534924977644</v>
      </c>
      <c r="K617" s="0" t="n">
        <v>1.82365297440924</v>
      </c>
      <c r="L617" s="0" t="n">
        <v>0</v>
      </c>
      <c r="M617" s="0" t="n">
        <v>658.599043303783</v>
      </c>
      <c r="N617" s="0" t="n">
        <v>0</v>
      </c>
      <c r="O617" s="0" t="n">
        <v>600</v>
      </c>
      <c r="P617" s="0" t="n">
        <v>302</v>
      </c>
      <c r="Q617" s="0" t="n">
        <v>298</v>
      </c>
      <c r="R617" s="0" t="n">
        <v>780.466102709799</v>
      </c>
      <c r="S617" s="0" t="n">
        <v>651.53483638997</v>
      </c>
      <c r="T617" s="0" t="n">
        <v>25</v>
      </c>
      <c r="U617" s="0" t="n">
        <v>23</v>
      </c>
      <c r="V617" s="0" t="n">
        <v>31.2186316209393</v>
      </c>
      <c r="W617" s="0" t="n">
        <v>28.327478419223</v>
      </c>
      <c r="X617" s="0" t="n">
        <v>1.82365297440924</v>
      </c>
      <c r="Y617" s="0" t="n">
        <v>0</v>
      </c>
      <c r="Z617" s="0" t="n">
        <v>0</v>
      </c>
      <c r="AA617" s="0" t="n">
        <v>0</v>
      </c>
      <c r="AB617" s="0" t="n">
        <v>1</v>
      </c>
      <c r="AC617" s="0" t="n">
        <v>0</v>
      </c>
      <c r="AD617" s="0" t="n">
        <v>0</v>
      </c>
      <c r="AE617" s="0" t="n">
        <v>0</v>
      </c>
      <c r="AF617" s="0" t="n">
        <v>31.403775522422</v>
      </c>
      <c r="AG617" s="0" t="n">
        <v>0</v>
      </c>
      <c r="AH617" s="0" t="n">
        <v>0</v>
      </c>
      <c r="AI617" s="0" t="n">
        <v>0</v>
      </c>
      <c r="AK617" s="0" t="n">
        <f aca="false">A617</f>
        <v>600</v>
      </c>
      <c r="AL617" s="0" t="n">
        <v>1</v>
      </c>
      <c r="AM617" s="0" t="n">
        <v>0</v>
      </c>
      <c r="AO617" s="0" t="n">
        <v>600</v>
      </c>
      <c r="AP617" s="0" t="n">
        <v>0</v>
      </c>
      <c r="AQ617" s="0" t="n">
        <v>0.821117435532399</v>
      </c>
      <c r="AR617" s="0" t="n">
        <v>529.096670950491</v>
      </c>
      <c r="AS617" s="0" t="n">
        <v>78</v>
      </c>
      <c r="AT617" s="0" t="n">
        <v>78</v>
      </c>
    </row>
    <row r="618" customFormat="false" ht="12" hidden="false" customHeight="false" outlineLevel="0" collapsed="false">
      <c r="A618" s="0" t="n">
        <v>601</v>
      </c>
      <c r="B618" s="0" t="n">
        <v>1</v>
      </c>
      <c r="C618" s="0" t="n">
        <v>2.2761704998462</v>
      </c>
      <c r="D618" s="0" t="n">
        <v>659.987442503081</v>
      </c>
      <c r="E618" s="0" t="n">
        <v>2</v>
      </c>
      <c r="F618" s="0" t="n">
        <v>2</v>
      </c>
      <c r="G618" s="0" t="n">
        <v>0.5</v>
      </c>
      <c r="H618" s="0" t="n">
        <v>0</v>
      </c>
      <c r="I618" s="0" t="n">
        <v>2.23373647225535</v>
      </c>
      <c r="J618" s="0" t="n">
        <v>662.221178975336</v>
      </c>
      <c r="K618" s="0" t="n">
        <v>2.23373647225537</v>
      </c>
      <c r="L618" s="0" t="n">
        <v>0</v>
      </c>
      <c r="M618" s="0" t="n">
        <v>659.987442503081</v>
      </c>
      <c r="N618" s="0" t="n">
        <v>0</v>
      </c>
      <c r="O618" s="0" t="n">
        <v>601</v>
      </c>
      <c r="P618" s="0" t="n">
        <v>303</v>
      </c>
      <c r="Q618" s="0" t="n">
        <v>298</v>
      </c>
      <c r="R618" s="0" t="n">
        <v>786.641351792519</v>
      </c>
      <c r="S618" s="0" t="n">
        <v>624.056808771771</v>
      </c>
      <c r="T618" s="0" t="n">
        <v>27</v>
      </c>
      <c r="U618" s="0" t="n">
        <v>21</v>
      </c>
      <c r="V618" s="0" t="n">
        <v>29.1348540905177</v>
      </c>
      <c r="W618" s="0" t="n">
        <v>29.7168493850873</v>
      </c>
      <c r="X618" s="0" t="n">
        <v>2.23373647225537</v>
      </c>
      <c r="Y618" s="0" t="n">
        <v>0</v>
      </c>
      <c r="Z618" s="0" t="n">
        <v>0</v>
      </c>
      <c r="AA618" s="0" t="n">
        <v>0</v>
      </c>
      <c r="AB618" s="0" t="n">
        <v>1</v>
      </c>
      <c r="AC618" s="0" t="n">
        <v>0</v>
      </c>
      <c r="AD618" s="0" t="n">
        <v>0</v>
      </c>
      <c r="AE618" s="0" t="n">
        <v>0</v>
      </c>
      <c r="AF618" s="0" t="n">
        <v>26.9758042933505</v>
      </c>
      <c r="AG618" s="0" t="n">
        <v>0</v>
      </c>
      <c r="AH618" s="0" t="n">
        <v>0</v>
      </c>
      <c r="AI618" s="0" t="n">
        <v>0</v>
      </c>
      <c r="AK618" s="0" t="n">
        <f aca="false">A618</f>
        <v>601</v>
      </c>
      <c r="AL618" s="0" t="n">
        <v>0</v>
      </c>
      <c r="AM618" s="0" t="n">
        <v>2</v>
      </c>
      <c r="AO618" s="0" t="n">
        <v>601</v>
      </c>
      <c r="AP618" s="0" t="n">
        <v>1</v>
      </c>
      <c r="AQ618" s="0" t="n">
        <v>0.63066629574634</v>
      </c>
      <c r="AR618" s="0" t="n">
        <v>529.727337246237</v>
      </c>
      <c r="AS618" s="0" t="n">
        <v>76</v>
      </c>
      <c r="AT618" s="0" t="n">
        <v>80</v>
      </c>
    </row>
    <row r="619" customFormat="false" ht="12" hidden="false" customHeight="false" outlineLevel="0" collapsed="false">
      <c r="A619" s="0" t="n">
        <v>602</v>
      </c>
      <c r="B619" s="0" t="n">
        <v>1</v>
      </c>
      <c r="C619" s="0" t="n">
        <v>0.42224565846178</v>
      </c>
      <c r="D619" s="0" t="n">
        <v>660.409688161543</v>
      </c>
      <c r="E619" s="0" t="n">
        <v>4</v>
      </c>
      <c r="F619" s="0" t="n">
        <v>2</v>
      </c>
      <c r="G619" s="0" t="n">
        <v>0.5</v>
      </c>
      <c r="H619" s="0" t="n">
        <v>1</v>
      </c>
      <c r="I619" s="0" t="n">
        <v>0</v>
      </c>
      <c r="J619" s="0" t="n">
        <v>662.221178975336</v>
      </c>
      <c r="K619" s="0" t="n">
        <v>0</v>
      </c>
      <c r="L619" s="0" t="n">
        <v>2.1230194702265</v>
      </c>
      <c r="M619" s="0" t="n">
        <v>662.532707631769</v>
      </c>
      <c r="N619" s="0" t="n">
        <v>2.1230194702265</v>
      </c>
      <c r="O619" s="0" t="n">
        <v>602</v>
      </c>
      <c r="P619" s="0" t="n">
        <v>303</v>
      </c>
      <c r="Q619" s="0" t="n">
        <v>299</v>
      </c>
      <c r="R619" s="0" t="n">
        <v>663.229988129794</v>
      </c>
      <c r="S619" s="0" t="n">
        <v>755.918456068331</v>
      </c>
      <c r="T619" s="0" t="n">
        <v>22</v>
      </c>
      <c r="U619" s="0" t="n">
        <v>26</v>
      </c>
      <c r="V619" s="0" t="n">
        <v>30.1468039391707</v>
      </c>
      <c r="W619" s="0" t="n">
        <v>29.0736749500322</v>
      </c>
      <c r="X619" s="0" t="n">
        <v>0</v>
      </c>
      <c r="Y619" s="0" t="n">
        <v>0</v>
      </c>
      <c r="Z619" s="0" t="n">
        <v>2.1230194702265</v>
      </c>
      <c r="AA619" s="0" t="n">
        <v>0</v>
      </c>
      <c r="AB619" s="0" t="n">
        <v>0</v>
      </c>
      <c r="AC619" s="0" t="n">
        <v>0</v>
      </c>
      <c r="AD619" s="0" t="n">
        <v>1</v>
      </c>
      <c r="AE619" s="0" t="n">
        <v>0</v>
      </c>
      <c r="AF619" s="0" t="n">
        <v>0</v>
      </c>
      <c r="AG619" s="0" t="n">
        <v>0</v>
      </c>
      <c r="AH619" s="0" t="n">
        <v>31.8421376740092</v>
      </c>
      <c r="AI619" s="0" t="n">
        <v>0</v>
      </c>
      <c r="AK619" s="0" t="n">
        <f aca="false">A619</f>
        <v>602</v>
      </c>
      <c r="AL619" s="0" t="n">
        <v>1</v>
      </c>
      <c r="AM619" s="0" t="n">
        <v>1</v>
      </c>
      <c r="AO619" s="0" t="n">
        <v>602</v>
      </c>
      <c r="AP619" s="0" t="n">
        <v>0</v>
      </c>
      <c r="AQ619" s="0" t="n">
        <v>0.091003060357416</v>
      </c>
      <c r="AR619" s="0" t="n">
        <v>529.818340306594</v>
      </c>
      <c r="AS619" s="0" t="n">
        <v>78</v>
      </c>
      <c r="AT619" s="0" t="n">
        <v>80</v>
      </c>
    </row>
    <row r="620" customFormat="false" ht="12" hidden="false" customHeight="false" outlineLevel="0" collapsed="false">
      <c r="A620" s="0" t="n">
        <v>603</v>
      </c>
      <c r="B620" s="0" t="n">
        <v>0</v>
      </c>
      <c r="C620" s="0" t="n">
        <v>0.283174193777542</v>
      </c>
      <c r="D620" s="0" t="n">
        <v>660.69286235532</v>
      </c>
      <c r="E620" s="0" t="n">
        <v>4</v>
      </c>
      <c r="F620" s="0" t="n">
        <v>4</v>
      </c>
      <c r="G620" s="0" t="n">
        <v>0.5</v>
      </c>
      <c r="H620" s="0" t="n">
        <v>1</v>
      </c>
      <c r="I620" s="0" t="n">
        <v>0</v>
      </c>
      <c r="J620" s="0" t="n">
        <v>662.221178975336</v>
      </c>
      <c r="K620" s="0" t="n">
        <v>0</v>
      </c>
      <c r="L620" s="0" t="n">
        <v>1.80138435212805</v>
      </c>
      <c r="M620" s="0" t="n">
        <v>664.334091983897</v>
      </c>
      <c r="N620" s="0" t="n">
        <v>3.64122962857698</v>
      </c>
      <c r="O620" s="0" t="n">
        <v>603</v>
      </c>
      <c r="P620" s="0" t="n">
        <v>303</v>
      </c>
      <c r="Q620" s="0" t="n">
        <v>300</v>
      </c>
      <c r="R620" s="0" t="n">
        <v>681.104228456596</v>
      </c>
      <c r="S620" s="0" t="n">
        <v>734.774057634417</v>
      </c>
      <c r="T620" s="0" t="n">
        <v>25</v>
      </c>
      <c r="U620" s="0" t="n">
        <v>23</v>
      </c>
      <c r="V620" s="0" t="n">
        <v>27.2441582406005</v>
      </c>
      <c r="W620" s="0" t="n">
        <v>31.9465592599344</v>
      </c>
      <c r="X620" s="0" t="n">
        <v>0</v>
      </c>
      <c r="Y620" s="0" t="n">
        <v>0</v>
      </c>
      <c r="Z620" s="0" t="n">
        <v>0</v>
      </c>
      <c r="AA620" s="0" t="n">
        <v>3.64122962857698</v>
      </c>
      <c r="AB620" s="0" t="n">
        <v>0</v>
      </c>
      <c r="AC620" s="0" t="n">
        <v>0</v>
      </c>
      <c r="AD620" s="0" t="n">
        <v>0</v>
      </c>
      <c r="AE620" s="0" t="n">
        <v>1</v>
      </c>
      <c r="AF620" s="0" t="n">
        <v>0</v>
      </c>
      <c r="AG620" s="0" t="n">
        <v>0</v>
      </c>
      <c r="AH620" s="0" t="n">
        <v>0</v>
      </c>
      <c r="AI620" s="0" t="n">
        <v>16.7294999011045</v>
      </c>
      <c r="AK620" s="0" t="n">
        <f aca="false">A620</f>
        <v>603</v>
      </c>
      <c r="AL620" s="0" t="n">
        <v>0</v>
      </c>
      <c r="AM620" s="0" t="n">
        <v>1</v>
      </c>
      <c r="AO620" s="0" t="n">
        <v>603</v>
      </c>
      <c r="AP620" s="0" t="n">
        <v>1</v>
      </c>
      <c r="AQ620" s="0" t="n">
        <v>0.305489736885748</v>
      </c>
      <c r="AR620" s="0" t="n">
        <v>530.12383004348</v>
      </c>
      <c r="AS620" s="0" t="n">
        <v>80</v>
      </c>
      <c r="AT620" s="0" t="n">
        <v>78</v>
      </c>
    </row>
    <row r="621" customFormat="false" ht="12" hidden="false" customHeight="false" outlineLevel="0" collapsed="false">
      <c r="A621" s="0" t="n">
        <v>604</v>
      </c>
      <c r="B621" s="0" t="n">
        <v>1</v>
      </c>
      <c r="C621" s="0" t="n">
        <v>1.2826013013106</v>
      </c>
      <c r="D621" s="0" t="n">
        <v>661.975463656631</v>
      </c>
      <c r="E621" s="0" t="n">
        <v>4</v>
      </c>
      <c r="F621" s="0" t="n">
        <v>6</v>
      </c>
      <c r="G621" s="0" t="n">
        <v>0.5</v>
      </c>
      <c r="H621" s="0" t="n">
        <v>0</v>
      </c>
      <c r="I621" s="0" t="n">
        <v>2.19867586259507</v>
      </c>
      <c r="J621" s="0" t="n">
        <v>664.419854837932</v>
      </c>
      <c r="K621" s="0" t="n">
        <v>2.4443911813006</v>
      </c>
      <c r="L621" s="0" t="n">
        <v>0</v>
      </c>
      <c r="M621" s="0" t="n">
        <v>664.334091983897</v>
      </c>
      <c r="N621" s="0" t="n">
        <v>0</v>
      </c>
      <c r="O621" s="0" t="n">
        <v>604</v>
      </c>
      <c r="P621" s="0" t="n">
        <v>304</v>
      </c>
      <c r="Q621" s="0" t="n">
        <v>300</v>
      </c>
      <c r="R621" s="0" t="n">
        <v>688.260037339667</v>
      </c>
      <c r="S621" s="0" t="n">
        <v>729.045267660815</v>
      </c>
      <c r="T621" s="0" t="n">
        <v>23</v>
      </c>
      <c r="U621" s="0" t="n">
        <v>25</v>
      </c>
      <c r="V621" s="0" t="n">
        <v>29.9243364389697</v>
      </c>
      <c r="W621" s="0" t="n">
        <v>29.1616940596563</v>
      </c>
      <c r="X621" s="0" t="n">
        <v>2.4443911813006</v>
      </c>
      <c r="Y621" s="0" t="n">
        <v>0</v>
      </c>
      <c r="Z621" s="0" t="n">
        <v>0</v>
      </c>
      <c r="AA621" s="0" t="n">
        <v>0</v>
      </c>
      <c r="AB621" s="0" t="n">
        <v>1</v>
      </c>
      <c r="AC621" s="0" t="n">
        <v>0</v>
      </c>
      <c r="AD621" s="0" t="n">
        <v>0</v>
      </c>
      <c r="AE621" s="0" t="n">
        <v>0</v>
      </c>
      <c r="AF621" s="0" t="n">
        <v>24.8319728726015</v>
      </c>
      <c r="AG621" s="0" t="n">
        <v>0</v>
      </c>
      <c r="AH621" s="0" t="n">
        <v>0</v>
      </c>
      <c r="AI621" s="0" t="n">
        <v>0</v>
      </c>
      <c r="AK621" s="0" t="n">
        <f aca="false">A621</f>
        <v>604</v>
      </c>
      <c r="AL621" s="0" t="n">
        <v>1</v>
      </c>
      <c r="AM621" s="0" t="n">
        <v>0</v>
      </c>
      <c r="AO621" s="0" t="n">
        <v>604</v>
      </c>
      <c r="AP621" s="0" t="n">
        <v>0</v>
      </c>
      <c r="AQ621" s="0" t="n">
        <v>0.0427032776647395</v>
      </c>
      <c r="AR621" s="0" t="n">
        <v>530.166533321145</v>
      </c>
      <c r="AS621" s="0" t="n">
        <v>80</v>
      </c>
      <c r="AT621" s="0" t="n">
        <v>80</v>
      </c>
    </row>
    <row r="622" customFormat="false" ht="12" hidden="false" customHeight="false" outlineLevel="0" collapsed="false">
      <c r="A622" s="0" t="n">
        <v>605</v>
      </c>
      <c r="B622" s="0" t="n">
        <v>0</v>
      </c>
      <c r="C622" s="0" t="n">
        <v>0.0761417522877194</v>
      </c>
      <c r="D622" s="0" t="n">
        <v>662.051605408919</v>
      </c>
      <c r="E622" s="0" t="n">
        <v>6</v>
      </c>
      <c r="F622" s="0" t="n">
        <v>6</v>
      </c>
      <c r="G622" s="0" t="n">
        <v>0.5</v>
      </c>
      <c r="H622" s="0" t="n">
        <v>1</v>
      </c>
      <c r="I622" s="0" t="n">
        <v>0</v>
      </c>
      <c r="J622" s="0" t="n">
        <v>664.419854837932</v>
      </c>
      <c r="K622" s="0" t="n">
        <v>0</v>
      </c>
      <c r="L622" s="0" t="n">
        <v>1.9728115181077</v>
      </c>
      <c r="M622" s="0" t="n">
        <v>666.306903502005</v>
      </c>
      <c r="N622" s="0" t="n">
        <v>4.25529809308637</v>
      </c>
      <c r="O622" s="0" t="n">
        <v>605</v>
      </c>
      <c r="P622" s="0" t="n">
        <v>304</v>
      </c>
      <c r="Q622" s="0" t="n">
        <v>301</v>
      </c>
      <c r="R622" s="0" t="n">
        <v>656.405343580584</v>
      </c>
      <c r="S622" s="0" t="n">
        <v>764.291661932886</v>
      </c>
      <c r="T622" s="0" t="n">
        <v>23</v>
      </c>
      <c r="U622" s="0" t="n">
        <v>25</v>
      </c>
      <c r="V622" s="0" t="n">
        <v>28.53935035596</v>
      </c>
      <c r="W622" s="0" t="n">
        <v>30.5715441911387</v>
      </c>
      <c r="X622" s="0" t="n">
        <v>0</v>
      </c>
      <c r="Y622" s="0" t="n">
        <v>0</v>
      </c>
      <c r="Z622" s="0" t="n">
        <v>0</v>
      </c>
      <c r="AA622" s="0" t="n">
        <v>4.25529809308637</v>
      </c>
      <c r="AB622" s="0" t="n">
        <v>0</v>
      </c>
      <c r="AC622" s="0" t="n">
        <v>0</v>
      </c>
      <c r="AD622" s="0" t="n">
        <v>0</v>
      </c>
      <c r="AE622" s="0" t="n">
        <v>1</v>
      </c>
      <c r="AF622" s="0" t="n">
        <v>0</v>
      </c>
      <c r="AG622" s="0" t="n">
        <v>0</v>
      </c>
      <c r="AH622" s="0" t="n">
        <v>0</v>
      </c>
      <c r="AI622" s="0" t="n">
        <v>12.0832897651833</v>
      </c>
      <c r="AK622" s="0" t="n">
        <f aca="false">A622</f>
        <v>605</v>
      </c>
      <c r="AL622" s="0" t="n">
        <v>0</v>
      </c>
      <c r="AM622" s="0" t="n">
        <v>1</v>
      </c>
      <c r="AO622" s="0" t="n">
        <v>605</v>
      </c>
      <c r="AP622" s="0" t="n">
        <v>0</v>
      </c>
      <c r="AQ622" s="0" t="n">
        <v>0.900092842449501</v>
      </c>
      <c r="AR622" s="0" t="n">
        <v>531.066626163594</v>
      </c>
      <c r="AS622" s="0" t="n">
        <v>80</v>
      </c>
      <c r="AT622" s="0" t="n">
        <v>82</v>
      </c>
    </row>
    <row r="623" customFormat="false" ht="12" hidden="false" customHeight="false" outlineLevel="0" collapsed="false">
      <c r="A623" s="0" t="n">
        <v>606</v>
      </c>
      <c r="B623" s="0" t="n">
        <v>1</v>
      </c>
      <c r="C623" s="0" t="n">
        <v>4.23206725467245</v>
      </c>
      <c r="D623" s="0" t="n">
        <v>666.283672663591</v>
      </c>
      <c r="E623" s="0" t="n">
        <v>2</v>
      </c>
      <c r="F623" s="0" t="n">
        <v>4</v>
      </c>
      <c r="G623" s="0" t="n">
        <v>0.5</v>
      </c>
      <c r="H623" s="0" t="n">
        <v>0</v>
      </c>
      <c r="I623" s="0" t="n">
        <v>2.09100654033946</v>
      </c>
      <c r="J623" s="0" t="n">
        <v>668.374679203931</v>
      </c>
      <c r="K623" s="0" t="n">
        <v>2.09100654033944</v>
      </c>
      <c r="L623" s="0" t="n">
        <v>0</v>
      </c>
      <c r="M623" s="0" t="n">
        <v>666.306903502005</v>
      </c>
      <c r="N623" s="0" t="n">
        <v>0</v>
      </c>
      <c r="O623" s="0" t="n">
        <v>606</v>
      </c>
      <c r="P623" s="0" t="n">
        <v>305</v>
      </c>
      <c r="Q623" s="0" t="n">
        <v>301</v>
      </c>
      <c r="R623" s="0" t="n">
        <v>836.99413492801</v>
      </c>
      <c r="S623" s="0" t="n">
        <v>586.050477972917</v>
      </c>
      <c r="T623" s="0" t="n">
        <v>28</v>
      </c>
      <c r="U623" s="0" t="n">
        <v>20</v>
      </c>
      <c r="V623" s="0" t="n">
        <v>29.8926370000586</v>
      </c>
      <c r="W623" s="0" t="n">
        <v>29.3023773867589</v>
      </c>
      <c r="X623" s="0" t="n">
        <v>2.09100654033944</v>
      </c>
      <c r="Y623" s="0" t="n">
        <v>0</v>
      </c>
      <c r="Z623" s="0" t="n">
        <v>0</v>
      </c>
      <c r="AA623" s="0" t="n">
        <v>0</v>
      </c>
      <c r="AB623" s="0" t="n">
        <v>1</v>
      </c>
      <c r="AC623" s="0" t="n">
        <v>0</v>
      </c>
      <c r="AD623" s="0" t="n">
        <v>0</v>
      </c>
      <c r="AE623" s="0" t="n">
        <v>0</v>
      </c>
      <c r="AF623" s="0" t="n">
        <v>28.4788043238239</v>
      </c>
      <c r="AG623" s="0" t="n">
        <v>0</v>
      </c>
      <c r="AH623" s="0" t="n">
        <v>0</v>
      </c>
      <c r="AI623" s="0" t="n">
        <v>0</v>
      </c>
      <c r="AK623" s="0" t="n">
        <f aca="false">A623</f>
        <v>606</v>
      </c>
      <c r="AL623" s="0" t="n">
        <v>1</v>
      </c>
      <c r="AM623" s="0" t="n">
        <v>2</v>
      </c>
      <c r="AO623" s="0" t="n">
        <v>606</v>
      </c>
      <c r="AP623" s="0" t="n">
        <v>1</v>
      </c>
      <c r="AQ623" s="0" t="n">
        <v>0.685273299329969</v>
      </c>
      <c r="AR623" s="0" t="n">
        <v>531.751899462924</v>
      </c>
      <c r="AS623" s="0" t="n">
        <v>80</v>
      </c>
      <c r="AT623" s="0" t="n">
        <v>84</v>
      </c>
    </row>
    <row r="624" customFormat="false" ht="12" hidden="false" customHeight="false" outlineLevel="0" collapsed="false">
      <c r="A624" s="0" t="n">
        <v>607</v>
      </c>
      <c r="B624" s="0" t="n">
        <v>0</v>
      </c>
      <c r="C624" s="0" t="n">
        <v>4.54052033887239</v>
      </c>
      <c r="D624" s="0" t="n">
        <v>670.824193002464</v>
      </c>
      <c r="E624" s="0" t="n">
        <v>2</v>
      </c>
      <c r="F624" s="0" t="n">
        <v>2</v>
      </c>
      <c r="G624" s="0" t="n">
        <v>0.5</v>
      </c>
      <c r="H624" s="0" t="n">
        <v>1</v>
      </c>
      <c r="I624" s="0" t="n">
        <v>0</v>
      </c>
      <c r="J624" s="0" t="n">
        <v>670.824193002464</v>
      </c>
      <c r="K624" s="0" t="n">
        <v>0</v>
      </c>
      <c r="L624" s="0" t="n">
        <v>1.79159899447021</v>
      </c>
      <c r="M624" s="0" t="n">
        <v>672.615791996934</v>
      </c>
      <c r="N624" s="0" t="n">
        <v>1.79159899447018</v>
      </c>
      <c r="O624" s="0" t="n">
        <v>607</v>
      </c>
      <c r="P624" s="0" t="n">
        <v>305</v>
      </c>
      <c r="Q624" s="0" t="n">
        <v>302</v>
      </c>
      <c r="R624" s="0" t="n">
        <v>809.539545021777</v>
      </c>
      <c r="S624" s="0" t="n">
        <v>620.845126802497</v>
      </c>
      <c r="T624" s="0" t="n">
        <v>28</v>
      </c>
      <c r="U624" s="0" t="n">
        <v>20</v>
      </c>
      <c r="V624" s="0" t="n">
        <v>28.9121162821648</v>
      </c>
      <c r="W624" s="0" t="n">
        <v>31.0421011296192</v>
      </c>
      <c r="X624" s="0" t="n">
        <v>0</v>
      </c>
      <c r="Y624" s="0" t="n">
        <v>0</v>
      </c>
      <c r="Z624" s="0" t="n">
        <v>0</v>
      </c>
      <c r="AA624" s="0" t="n">
        <v>1.79159899447018</v>
      </c>
      <c r="AB624" s="0" t="n">
        <v>0</v>
      </c>
      <c r="AC624" s="0" t="n">
        <v>0</v>
      </c>
      <c r="AD624" s="0" t="n">
        <v>0</v>
      </c>
      <c r="AE624" s="0" t="n">
        <v>1</v>
      </c>
      <c r="AF624" s="0" t="n">
        <v>0</v>
      </c>
      <c r="AG624" s="0" t="n">
        <v>0</v>
      </c>
      <c r="AH624" s="0" t="n">
        <v>0</v>
      </c>
      <c r="AI624" s="0" t="n">
        <v>35.2812450381568</v>
      </c>
      <c r="AK624" s="0" t="n">
        <f aca="false">A624</f>
        <v>607</v>
      </c>
      <c r="AL624" s="0" t="n">
        <v>0</v>
      </c>
      <c r="AM624" s="0" t="n">
        <v>1</v>
      </c>
      <c r="AO624" s="0" t="n">
        <v>607</v>
      </c>
      <c r="AP624" s="0" t="n">
        <v>0</v>
      </c>
      <c r="AQ624" s="0" t="n">
        <v>0.630370509744895</v>
      </c>
      <c r="AR624" s="0" t="n">
        <v>532.382269972669</v>
      </c>
      <c r="AS624" s="0" t="n">
        <v>80</v>
      </c>
      <c r="AT624" s="0" t="n">
        <v>82</v>
      </c>
    </row>
    <row r="625" customFormat="false" ht="12" hidden="false" customHeight="false" outlineLevel="0" collapsed="false">
      <c r="A625" s="0" t="n">
        <v>608</v>
      </c>
      <c r="B625" s="0" t="n">
        <v>1</v>
      </c>
      <c r="C625" s="0" t="n">
        <v>0.110671000473237</v>
      </c>
      <c r="D625" s="0" t="n">
        <v>670.934864002937</v>
      </c>
      <c r="E625" s="0" t="n">
        <v>2</v>
      </c>
      <c r="F625" s="0" t="n">
        <v>4</v>
      </c>
      <c r="G625" s="0" t="n">
        <v>0.5</v>
      </c>
      <c r="H625" s="0" t="n">
        <v>0</v>
      </c>
      <c r="I625" s="0" t="n">
        <v>2.08690592676814</v>
      </c>
      <c r="J625" s="0" t="n">
        <v>673.021769929705</v>
      </c>
      <c r="K625" s="0" t="n">
        <v>2.08690592676817</v>
      </c>
      <c r="L625" s="0" t="n">
        <v>0</v>
      </c>
      <c r="M625" s="0" t="n">
        <v>672.615791996934</v>
      </c>
      <c r="N625" s="0" t="n">
        <v>0</v>
      </c>
      <c r="O625" s="0" t="n">
        <v>608</v>
      </c>
      <c r="P625" s="0" t="n">
        <v>306</v>
      </c>
      <c r="Q625" s="0" t="n">
        <v>302</v>
      </c>
      <c r="R625" s="0" t="n">
        <v>623.696666586236</v>
      </c>
      <c r="S625" s="0" t="n">
        <v>813.480512063203</v>
      </c>
      <c r="T625" s="0" t="n">
        <v>20</v>
      </c>
      <c r="U625" s="0" t="n">
        <v>28</v>
      </c>
      <c r="V625" s="0" t="n">
        <v>31.184817736903</v>
      </c>
      <c r="W625" s="0" t="n">
        <v>29.0527716709298</v>
      </c>
      <c r="X625" s="0" t="n">
        <v>2.08690592676817</v>
      </c>
      <c r="Y625" s="0" t="n">
        <v>0</v>
      </c>
      <c r="Z625" s="0" t="n">
        <v>0</v>
      </c>
      <c r="AA625" s="0" t="n">
        <v>0</v>
      </c>
      <c r="AB625" s="0" t="n">
        <v>1</v>
      </c>
      <c r="AC625" s="0" t="n">
        <v>0</v>
      </c>
      <c r="AD625" s="0" t="n">
        <v>0</v>
      </c>
      <c r="AE625" s="0" t="n">
        <v>0</v>
      </c>
      <c r="AF625" s="0" t="n">
        <v>28.522587427086</v>
      </c>
      <c r="AG625" s="0" t="n">
        <v>0</v>
      </c>
      <c r="AH625" s="0" t="n">
        <v>0</v>
      </c>
      <c r="AI625" s="0" t="n">
        <v>0</v>
      </c>
      <c r="AK625" s="0" t="n">
        <f aca="false">A625</f>
        <v>608</v>
      </c>
      <c r="AL625" s="0" t="n">
        <v>1</v>
      </c>
      <c r="AM625" s="0" t="n">
        <v>0</v>
      </c>
      <c r="AO625" s="0" t="n">
        <v>608</v>
      </c>
      <c r="AP625" s="0" t="n">
        <v>0</v>
      </c>
      <c r="AQ625" s="0" t="n">
        <v>1.2899395292656</v>
      </c>
      <c r="AR625" s="0" t="n">
        <v>533.672209501935</v>
      </c>
      <c r="AS625" s="0" t="n">
        <v>82</v>
      </c>
      <c r="AT625" s="0" t="n">
        <v>82</v>
      </c>
    </row>
    <row r="626" customFormat="false" ht="12" hidden="false" customHeight="false" outlineLevel="0" collapsed="false">
      <c r="A626" s="0" t="n">
        <v>609</v>
      </c>
      <c r="B626" s="0" t="n">
        <v>1</v>
      </c>
      <c r="C626" s="0" t="n">
        <v>0.741926932146441</v>
      </c>
      <c r="D626" s="0" t="n">
        <v>671.676790935083</v>
      </c>
      <c r="E626" s="0" t="n">
        <v>4</v>
      </c>
      <c r="F626" s="0" t="n">
        <v>4</v>
      </c>
      <c r="G626" s="0" t="n">
        <v>0.5</v>
      </c>
      <c r="H626" s="0" t="n">
        <v>0</v>
      </c>
      <c r="I626" s="0" t="n">
        <v>2.06964612498168</v>
      </c>
      <c r="J626" s="0" t="n">
        <v>675.091416054687</v>
      </c>
      <c r="K626" s="0" t="n">
        <v>3.41462511960344</v>
      </c>
      <c r="L626" s="0" t="n">
        <v>0</v>
      </c>
      <c r="M626" s="0" t="n">
        <v>672.615791996934</v>
      </c>
      <c r="N626" s="0" t="n">
        <v>0</v>
      </c>
      <c r="O626" s="0" t="n">
        <v>609</v>
      </c>
      <c r="P626" s="0" t="n">
        <v>307</v>
      </c>
      <c r="Q626" s="0" t="n">
        <v>302</v>
      </c>
      <c r="R626" s="0" t="n">
        <v>470.898437072115</v>
      </c>
      <c r="S626" s="0" t="n">
        <v>955.402982783788</v>
      </c>
      <c r="T626" s="0" t="n">
        <v>19</v>
      </c>
      <c r="U626" s="0" t="n">
        <v>29</v>
      </c>
      <c r="V626" s="0" t="n">
        <v>24.7841152226823</v>
      </c>
      <c r="W626" s="0" t="n">
        <v>32.9448168380036</v>
      </c>
      <c r="X626" s="0" t="n">
        <v>3.41462511960344</v>
      </c>
      <c r="Y626" s="0" t="n">
        <v>0</v>
      </c>
      <c r="Z626" s="0" t="n">
        <v>0</v>
      </c>
      <c r="AA626" s="0" t="n">
        <v>0</v>
      </c>
      <c r="AB626" s="0" t="n">
        <v>1</v>
      </c>
      <c r="AC626" s="0" t="n">
        <v>0</v>
      </c>
      <c r="AD626" s="0" t="n">
        <v>0</v>
      </c>
      <c r="AE626" s="0" t="n">
        <v>0</v>
      </c>
      <c r="AF626" s="0" t="n">
        <v>16.1036474792589</v>
      </c>
      <c r="AG626" s="0" t="n">
        <v>0</v>
      </c>
      <c r="AH626" s="0" t="n">
        <v>0</v>
      </c>
      <c r="AI626" s="0" t="n">
        <v>0</v>
      </c>
      <c r="AK626" s="0" t="n">
        <f aca="false">A626</f>
        <v>609</v>
      </c>
      <c r="AL626" s="0" t="n">
        <v>0</v>
      </c>
      <c r="AM626" s="0" t="n">
        <v>2</v>
      </c>
      <c r="AO626" s="0" t="n">
        <v>609</v>
      </c>
      <c r="AP626" s="0" t="n">
        <v>0</v>
      </c>
      <c r="AQ626" s="0" t="n">
        <v>0.409369112277567</v>
      </c>
      <c r="AR626" s="0" t="n">
        <v>534.081578614212</v>
      </c>
      <c r="AS626" s="0" t="n">
        <v>80</v>
      </c>
      <c r="AT626" s="0" t="n">
        <v>84</v>
      </c>
    </row>
    <row r="627" customFormat="false" ht="12" hidden="false" customHeight="false" outlineLevel="0" collapsed="false">
      <c r="A627" s="0" t="n">
        <v>610</v>
      </c>
      <c r="B627" s="0" t="n">
        <v>1</v>
      </c>
      <c r="C627" s="0" t="n">
        <v>2.76020711267725</v>
      </c>
      <c r="D627" s="0" t="n">
        <v>674.43699804776</v>
      </c>
      <c r="E627" s="0" t="n">
        <v>4</v>
      </c>
      <c r="F627" s="0" t="n">
        <v>2</v>
      </c>
      <c r="G627" s="0" t="n">
        <v>0.5</v>
      </c>
      <c r="H627" s="0" t="n">
        <v>1</v>
      </c>
      <c r="I627" s="0" t="n">
        <v>0</v>
      </c>
      <c r="J627" s="0" t="n">
        <v>675.091416054687</v>
      </c>
      <c r="K627" s="0" t="n">
        <v>0</v>
      </c>
      <c r="L627" s="0" t="n">
        <v>1.80168592852655</v>
      </c>
      <c r="M627" s="0" t="n">
        <v>676.238683976287</v>
      </c>
      <c r="N627" s="0" t="n">
        <v>1.80168592852658</v>
      </c>
      <c r="O627" s="0" t="n">
        <v>610</v>
      </c>
      <c r="P627" s="0" t="n">
        <v>307</v>
      </c>
      <c r="Q627" s="0" t="n">
        <v>303</v>
      </c>
      <c r="R627" s="0" t="n">
        <v>954.131307473627</v>
      </c>
      <c r="S627" s="0" t="n">
        <v>473.216581459373</v>
      </c>
      <c r="T627" s="0" t="n">
        <v>29</v>
      </c>
      <c r="U627" s="0" t="n">
        <v>19</v>
      </c>
      <c r="V627" s="0" t="n">
        <v>32.9010682228602</v>
      </c>
      <c r="W627" s="0" t="n">
        <v>24.9060047820471</v>
      </c>
      <c r="X627" s="0" t="n">
        <v>0</v>
      </c>
      <c r="Y627" s="0" t="n">
        <v>0</v>
      </c>
      <c r="Z627" s="0" t="n">
        <v>1.80168592852658</v>
      </c>
      <c r="AA627" s="0" t="n">
        <v>0</v>
      </c>
      <c r="AB627" s="0" t="n">
        <v>0</v>
      </c>
      <c r="AC627" s="0" t="n">
        <v>0</v>
      </c>
      <c r="AD627" s="0" t="n">
        <v>1</v>
      </c>
      <c r="AE627" s="0" t="n">
        <v>0</v>
      </c>
      <c r="AF627" s="0" t="n">
        <v>0</v>
      </c>
      <c r="AG627" s="0" t="n">
        <v>0</v>
      </c>
      <c r="AH627" s="0" t="n">
        <v>35.5718885980769</v>
      </c>
      <c r="AI627" s="0" t="n">
        <v>0</v>
      </c>
      <c r="AK627" s="0" t="n">
        <f aca="false">A627</f>
        <v>610</v>
      </c>
      <c r="AL627" s="0" t="n">
        <v>1</v>
      </c>
      <c r="AM627" s="0" t="n">
        <v>0</v>
      </c>
      <c r="AO627" s="0" t="n">
        <v>610</v>
      </c>
      <c r="AP627" s="0" t="n">
        <v>0</v>
      </c>
      <c r="AQ627" s="0" t="n">
        <v>0.1567644324275</v>
      </c>
      <c r="AR627" s="0" t="n">
        <v>534.23834304664</v>
      </c>
      <c r="AS627" s="0" t="n">
        <v>82</v>
      </c>
      <c r="AT627" s="0" t="n">
        <v>82</v>
      </c>
    </row>
    <row r="628" customFormat="false" ht="12" hidden="false" customHeight="false" outlineLevel="0" collapsed="false">
      <c r="A628" s="0" t="n">
        <v>611</v>
      </c>
      <c r="B628" s="0" t="n">
        <v>0</v>
      </c>
      <c r="C628" s="0" t="n">
        <v>0.0449002142428959</v>
      </c>
      <c r="D628" s="0" t="n">
        <v>674.481898262003</v>
      </c>
      <c r="E628" s="0" t="n">
        <v>4</v>
      </c>
      <c r="F628" s="0" t="n">
        <v>4</v>
      </c>
      <c r="G628" s="0" t="n">
        <v>0.5</v>
      </c>
      <c r="H628" s="0" t="n">
        <v>1</v>
      </c>
      <c r="I628" s="0" t="n">
        <v>0</v>
      </c>
      <c r="J628" s="0" t="n">
        <v>675.091416054687</v>
      </c>
      <c r="K628" s="0" t="n">
        <v>0</v>
      </c>
      <c r="L628" s="0" t="n">
        <v>2.19942307161228</v>
      </c>
      <c r="M628" s="0" t="n">
        <v>678.438107047899</v>
      </c>
      <c r="N628" s="0" t="n">
        <v>3.95620878589591</v>
      </c>
      <c r="O628" s="0" t="n">
        <v>611</v>
      </c>
      <c r="P628" s="0" t="n">
        <v>307</v>
      </c>
      <c r="Q628" s="0" t="n">
        <v>304</v>
      </c>
      <c r="R628" s="0" t="n">
        <v>764.953353645691</v>
      </c>
      <c r="S628" s="0" t="n">
        <v>679.101685895961</v>
      </c>
      <c r="T628" s="0" t="n">
        <v>26</v>
      </c>
      <c r="U628" s="0" t="n">
        <v>22</v>
      </c>
      <c r="V628" s="0" t="n">
        <v>29.4212715166529</v>
      </c>
      <c r="W628" s="0" t="n">
        <v>30.8681181401885</v>
      </c>
      <c r="X628" s="0" t="n">
        <v>0</v>
      </c>
      <c r="Y628" s="0" t="n">
        <v>0</v>
      </c>
      <c r="Z628" s="0" t="n">
        <v>0</v>
      </c>
      <c r="AA628" s="0" t="n">
        <v>3.95620878589591</v>
      </c>
      <c r="AB628" s="0" t="n">
        <v>0</v>
      </c>
      <c r="AC628" s="0" t="n">
        <v>0</v>
      </c>
      <c r="AD628" s="0" t="n">
        <v>0</v>
      </c>
      <c r="AE628" s="0" t="n">
        <v>1</v>
      </c>
      <c r="AF628" s="0" t="n">
        <v>0</v>
      </c>
      <c r="AG628" s="0" t="n">
        <v>0</v>
      </c>
      <c r="AH628" s="0" t="n">
        <v>0</v>
      </c>
      <c r="AI628" s="0" t="n">
        <v>14.2520744568261</v>
      </c>
      <c r="AK628" s="0" t="n">
        <f aca="false">A628</f>
        <v>611</v>
      </c>
      <c r="AL628" s="0" t="n">
        <v>0</v>
      </c>
      <c r="AM628" s="0" t="n">
        <v>1</v>
      </c>
      <c r="AO628" s="0" t="n">
        <v>611</v>
      </c>
      <c r="AP628" s="0" t="n">
        <v>0</v>
      </c>
      <c r="AQ628" s="0" t="n">
        <v>0.20688728149239</v>
      </c>
      <c r="AR628" s="0" t="n">
        <v>534.445230328132</v>
      </c>
      <c r="AS628" s="0" t="n">
        <v>84</v>
      </c>
      <c r="AT628" s="0" t="n">
        <v>82</v>
      </c>
    </row>
    <row r="629" customFormat="false" ht="12" hidden="false" customHeight="false" outlineLevel="0" collapsed="false">
      <c r="A629" s="0" t="n">
        <v>612</v>
      </c>
      <c r="B629" s="0" t="n">
        <v>1</v>
      </c>
      <c r="C629" s="0" t="n">
        <v>0.0287176599669989</v>
      </c>
      <c r="D629" s="0" t="n">
        <v>674.51061592197</v>
      </c>
      <c r="E629" s="0" t="n">
        <v>4</v>
      </c>
      <c r="F629" s="0" t="n">
        <v>6</v>
      </c>
      <c r="G629" s="0" t="n">
        <v>0.5</v>
      </c>
      <c r="H629" s="0" t="n">
        <v>0</v>
      </c>
      <c r="I629" s="0" t="n">
        <v>1.97079517707509</v>
      </c>
      <c r="J629" s="0" t="n">
        <v>677.062211231762</v>
      </c>
      <c r="K629" s="0" t="n">
        <v>2.55159530979131</v>
      </c>
      <c r="L629" s="0" t="n">
        <v>0</v>
      </c>
      <c r="M629" s="0" t="n">
        <v>678.438107047899</v>
      </c>
      <c r="N629" s="0" t="n">
        <v>0</v>
      </c>
      <c r="O629" s="0" t="n">
        <v>612</v>
      </c>
      <c r="P629" s="0" t="n">
        <v>308</v>
      </c>
      <c r="Q629" s="0" t="n">
        <v>304</v>
      </c>
      <c r="R629" s="0" t="n">
        <v>592.08055672482</v>
      </c>
      <c r="S629" s="0" t="n">
        <v>855.322818487487</v>
      </c>
      <c r="T629" s="0" t="n">
        <v>22</v>
      </c>
      <c r="U629" s="0" t="n">
        <v>26</v>
      </c>
      <c r="V629" s="0" t="n">
        <v>26.9127403453371</v>
      </c>
      <c r="W629" s="0" t="n">
        <v>32.8969049537304</v>
      </c>
      <c r="X629" s="0" t="n">
        <v>2.55159530979131</v>
      </c>
      <c r="Y629" s="0" t="n">
        <v>0</v>
      </c>
      <c r="Z629" s="0" t="n">
        <v>0</v>
      </c>
      <c r="AA629" s="0" t="n">
        <v>0</v>
      </c>
      <c r="AB629" s="0" t="n">
        <v>1</v>
      </c>
      <c r="AC629" s="0" t="n">
        <v>0</v>
      </c>
      <c r="AD629" s="0" t="n">
        <v>0</v>
      </c>
      <c r="AE629" s="0" t="n">
        <v>0</v>
      </c>
      <c r="AF629" s="0" t="n">
        <v>23.7750330270527</v>
      </c>
      <c r="AG629" s="0" t="n">
        <v>0</v>
      </c>
      <c r="AH629" s="0" t="n">
        <v>0</v>
      </c>
      <c r="AI629" s="0" t="n">
        <v>0</v>
      </c>
      <c r="AK629" s="0" t="n">
        <f aca="false">A629</f>
        <v>612</v>
      </c>
      <c r="AL629" s="0" t="n">
        <v>1</v>
      </c>
      <c r="AM629" s="0" t="n">
        <v>2</v>
      </c>
      <c r="AO629" s="0" t="n">
        <v>612</v>
      </c>
      <c r="AP629" s="0" t="n">
        <v>1</v>
      </c>
      <c r="AQ629" s="0" t="n">
        <v>0.732391657886633</v>
      </c>
      <c r="AR629" s="0" t="n">
        <v>535.177621986019</v>
      </c>
      <c r="AS629" s="0" t="n">
        <v>86</v>
      </c>
      <c r="AT629" s="0" t="n">
        <v>82</v>
      </c>
    </row>
    <row r="630" customFormat="false" ht="12" hidden="false" customHeight="false" outlineLevel="0" collapsed="false">
      <c r="A630" s="0" t="n">
        <v>613</v>
      </c>
      <c r="B630" s="0" t="n">
        <v>0</v>
      </c>
      <c r="C630" s="0" t="n">
        <v>0.35639990199628</v>
      </c>
      <c r="D630" s="0" t="n">
        <v>674.867015823967</v>
      </c>
      <c r="E630" s="0" t="n">
        <v>6</v>
      </c>
      <c r="F630" s="0" t="n">
        <v>6</v>
      </c>
      <c r="G630" s="0" t="n">
        <v>0.5</v>
      </c>
      <c r="H630" s="0" t="n">
        <v>1</v>
      </c>
      <c r="I630" s="0" t="n">
        <v>0</v>
      </c>
      <c r="J630" s="0" t="n">
        <v>677.062211231762</v>
      </c>
      <c r="K630" s="0" t="n">
        <v>0</v>
      </c>
      <c r="L630" s="0" t="n">
        <v>2.12265065930422</v>
      </c>
      <c r="M630" s="0" t="n">
        <v>680.560757707203</v>
      </c>
      <c r="N630" s="0" t="n">
        <v>5.69374188323684</v>
      </c>
      <c r="O630" s="0" t="n">
        <v>613</v>
      </c>
      <c r="P630" s="0" t="n">
        <v>308</v>
      </c>
      <c r="Q630" s="0" t="n">
        <v>305</v>
      </c>
      <c r="R630" s="0" t="n">
        <v>777.540449383352</v>
      </c>
      <c r="S630" s="0" t="n">
        <v>664.68721930319</v>
      </c>
      <c r="T630" s="0" t="n">
        <v>25</v>
      </c>
      <c r="U630" s="0" t="n">
        <v>23</v>
      </c>
      <c r="V630" s="0" t="n">
        <v>31.1016055346919</v>
      </c>
      <c r="W630" s="0" t="n">
        <v>28.8993186683184</v>
      </c>
      <c r="X630" s="0" t="n">
        <v>0</v>
      </c>
      <c r="Y630" s="0" t="n">
        <v>0</v>
      </c>
      <c r="Z630" s="0" t="n">
        <v>0</v>
      </c>
      <c r="AA630" s="0" t="n">
        <v>5.69374188323684</v>
      </c>
      <c r="AB630" s="0" t="n">
        <v>0</v>
      </c>
      <c r="AC630" s="0" t="n">
        <v>0</v>
      </c>
      <c r="AD630" s="0" t="n">
        <v>0</v>
      </c>
      <c r="AE630" s="0" t="n">
        <v>1</v>
      </c>
      <c r="AF630" s="0" t="n">
        <v>0</v>
      </c>
      <c r="AG630" s="0" t="n">
        <v>0</v>
      </c>
      <c r="AH630" s="0" t="n">
        <v>0</v>
      </c>
      <c r="AI630" s="0" t="n">
        <v>4.15205370641035</v>
      </c>
      <c r="AK630" s="0" t="n">
        <f aca="false">A630</f>
        <v>613</v>
      </c>
      <c r="AL630" s="0" t="n">
        <v>0</v>
      </c>
      <c r="AM630" s="0" t="n">
        <v>1</v>
      </c>
      <c r="AO630" s="0" t="n">
        <v>613</v>
      </c>
      <c r="AP630" s="0" t="n">
        <v>1</v>
      </c>
      <c r="AQ630" s="0" t="n">
        <v>3.66383473632992</v>
      </c>
      <c r="AR630" s="0" t="n">
        <v>538.841456722349</v>
      </c>
      <c r="AS630" s="0" t="n">
        <v>82</v>
      </c>
      <c r="AT630" s="0" t="n">
        <v>80</v>
      </c>
    </row>
    <row r="631" customFormat="false" ht="12" hidden="false" customHeight="false" outlineLevel="0" collapsed="false">
      <c r="A631" s="0" t="n">
        <v>614</v>
      </c>
      <c r="B631" s="0" t="n">
        <v>0</v>
      </c>
      <c r="C631" s="0" t="n">
        <v>1.84216689709228</v>
      </c>
      <c r="D631" s="0" t="n">
        <v>676.709182721059</v>
      </c>
      <c r="E631" s="0" t="n">
        <v>4</v>
      </c>
      <c r="F631" s="0" t="n">
        <v>6</v>
      </c>
      <c r="G631" s="0" t="n">
        <v>0.5</v>
      </c>
      <c r="H631" s="0" t="n">
        <v>0</v>
      </c>
      <c r="I631" s="0" t="n">
        <v>2.24888382244262</v>
      </c>
      <c r="J631" s="0" t="n">
        <v>679.311095054204</v>
      </c>
      <c r="K631" s="0" t="n">
        <v>2.60191233314538</v>
      </c>
      <c r="L631" s="0" t="n">
        <v>0</v>
      </c>
      <c r="M631" s="0" t="n">
        <v>680.560757707203</v>
      </c>
      <c r="N631" s="0" t="n">
        <v>0</v>
      </c>
      <c r="O631" s="0" t="n">
        <v>614</v>
      </c>
      <c r="P631" s="0" t="n">
        <v>309</v>
      </c>
      <c r="Q631" s="0" t="n">
        <v>305</v>
      </c>
      <c r="R631" s="0" t="n">
        <v>775.57164620566</v>
      </c>
      <c r="S631" s="0" t="n">
        <v>690.641537790314</v>
      </c>
      <c r="T631" s="0" t="n">
        <v>26</v>
      </c>
      <c r="U631" s="0" t="n">
        <v>22</v>
      </c>
      <c r="V631" s="0" t="n">
        <v>29.8296672272688</v>
      </c>
      <c r="W631" s="0" t="n">
        <v>31.392654478403</v>
      </c>
      <c r="X631" s="0" t="n">
        <v>0</v>
      </c>
      <c r="Y631" s="0" t="n">
        <v>2.60191233314538</v>
      </c>
      <c r="Z631" s="0" t="n">
        <v>0</v>
      </c>
      <c r="AA631" s="0" t="n">
        <v>0</v>
      </c>
      <c r="AB631" s="0" t="n">
        <v>0</v>
      </c>
      <c r="AC631" s="0" t="n">
        <v>1</v>
      </c>
      <c r="AD631" s="0" t="n">
        <v>0</v>
      </c>
      <c r="AE631" s="0" t="n">
        <v>0</v>
      </c>
      <c r="AF631" s="0" t="n">
        <v>0</v>
      </c>
      <c r="AG631" s="0" t="n">
        <v>31.9987607011468</v>
      </c>
      <c r="AH631" s="0" t="n">
        <v>0</v>
      </c>
      <c r="AI631" s="0" t="n">
        <v>0</v>
      </c>
      <c r="AK631" s="0" t="n">
        <f aca="false">A631</f>
        <v>614</v>
      </c>
      <c r="AL631" s="0" t="n">
        <v>1</v>
      </c>
      <c r="AM631" s="0" t="n">
        <v>1</v>
      </c>
      <c r="AO631" s="0" t="n">
        <v>614</v>
      </c>
      <c r="AP631" s="0" t="n">
        <v>0</v>
      </c>
      <c r="AQ631" s="0" t="n">
        <v>1.02637848073224</v>
      </c>
      <c r="AR631" s="0" t="n">
        <v>539.867835203081</v>
      </c>
      <c r="AS631" s="0" t="n">
        <v>80</v>
      </c>
      <c r="AT631" s="0" t="n">
        <v>82</v>
      </c>
    </row>
    <row r="632" customFormat="false" ht="12" hidden="false" customHeight="false" outlineLevel="0" collapsed="false">
      <c r="A632" s="0" t="n">
        <v>615</v>
      </c>
      <c r="B632" s="0" t="n">
        <v>0</v>
      </c>
      <c r="C632" s="0" t="n">
        <v>3.09353704527</v>
      </c>
      <c r="D632" s="0" t="n">
        <v>679.802719766329</v>
      </c>
      <c r="E632" s="0" t="n">
        <v>2</v>
      </c>
      <c r="F632" s="0" t="n">
        <v>4</v>
      </c>
      <c r="G632" s="0" t="n">
        <v>0.5</v>
      </c>
      <c r="H632" s="0" t="n">
        <v>1</v>
      </c>
      <c r="I632" s="0" t="n">
        <v>0</v>
      </c>
      <c r="J632" s="0" t="n">
        <v>679.802719766329</v>
      </c>
      <c r="K632" s="0" t="n">
        <v>0</v>
      </c>
      <c r="L632" s="0" t="n">
        <v>2.08283504540356</v>
      </c>
      <c r="M632" s="0" t="n">
        <v>682.643592752607</v>
      </c>
      <c r="N632" s="0" t="n">
        <v>2.84087298627821</v>
      </c>
      <c r="O632" s="0" t="n">
        <v>615</v>
      </c>
      <c r="P632" s="0" t="n">
        <v>309</v>
      </c>
      <c r="Q632" s="0" t="n">
        <v>306</v>
      </c>
      <c r="R632" s="0" t="n">
        <v>729.789586557678</v>
      </c>
      <c r="S632" s="0" t="n">
        <v>698.251734107503</v>
      </c>
      <c r="T632" s="0" t="n">
        <v>24</v>
      </c>
      <c r="U632" s="0" t="n">
        <v>24</v>
      </c>
      <c r="V632" s="0" t="n">
        <v>30.4078867699504</v>
      </c>
      <c r="W632" s="0" t="n">
        <v>29.093701030725</v>
      </c>
      <c r="X632" s="0" t="n">
        <v>0</v>
      </c>
      <c r="Y632" s="0" t="n">
        <v>0</v>
      </c>
      <c r="Z632" s="0" t="n">
        <v>0</v>
      </c>
      <c r="AA632" s="0" t="n">
        <v>2.84087298627821</v>
      </c>
      <c r="AB632" s="0" t="n">
        <v>0</v>
      </c>
      <c r="AC632" s="0" t="n">
        <v>0</v>
      </c>
      <c r="AD632" s="0" t="n">
        <v>0</v>
      </c>
      <c r="AE632" s="0" t="n">
        <v>1</v>
      </c>
      <c r="AF632" s="0" t="n">
        <v>0</v>
      </c>
      <c r="AG632" s="0" t="n">
        <v>0</v>
      </c>
      <c r="AH632" s="0" t="n">
        <v>0</v>
      </c>
      <c r="AI632" s="0" t="n">
        <v>23.9172619256055</v>
      </c>
      <c r="AK632" s="0" t="n">
        <f aca="false">A632</f>
        <v>615</v>
      </c>
      <c r="AL632" s="0" t="n">
        <v>1</v>
      </c>
      <c r="AM632" s="0" t="n">
        <v>0</v>
      </c>
      <c r="AO632" s="0" t="n">
        <v>615</v>
      </c>
      <c r="AP632" s="0" t="n">
        <v>1</v>
      </c>
      <c r="AQ632" s="0" t="n">
        <v>0.151442333865957</v>
      </c>
      <c r="AR632" s="0" t="n">
        <v>540.019277536947</v>
      </c>
      <c r="AS632" s="0" t="n">
        <v>82</v>
      </c>
      <c r="AT632" s="0" t="n">
        <v>82</v>
      </c>
    </row>
    <row r="633" customFormat="false" ht="12" hidden="false" customHeight="false" outlineLevel="0" collapsed="false">
      <c r="A633" s="0" t="n">
        <v>616</v>
      </c>
      <c r="B633" s="0" t="n">
        <v>1</v>
      </c>
      <c r="C633" s="0" t="n">
        <v>0.474304953263502</v>
      </c>
      <c r="D633" s="0" t="n">
        <v>680.277024719592</v>
      </c>
      <c r="E633" s="0" t="n">
        <v>2</v>
      </c>
      <c r="F633" s="0" t="n">
        <v>6</v>
      </c>
      <c r="G633" s="0" t="n">
        <v>0.5</v>
      </c>
      <c r="H633" s="0" t="n">
        <v>0</v>
      </c>
      <c r="I633" s="0" t="n">
        <v>2.07484366181615</v>
      </c>
      <c r="J633" s="0" t="n">
        <v>682.351868381408</v>
      </c>
      <c r="K633" s="0" t="n">
        <v>2.07484366181609</v>
      </c>
      <c r="L633" s="0" t="n">
        <v>0</v>
      </c>
      <c r="M633" s="0" t="n">
        <v>682.643592752607</v>
      </c>
      <c r="N633" s="0" t="n">
        <v>0</v>
      </c>
      <c r="O633" s="0" t="n">
        <v>616</v>
      </c>
      <c r="P633" s="0" t="n">
        <v>310</v>
      </c>
      <c r="Q633" s="0" t="n">
        <v>306</v>
      </c>
      <c r="R633" s="0" t="n">
        <v>804.114438945506</v>
      </c>
      <c r="S633" s="0" t="n">
        <v>650.618901421897</v>
      </c>
      <c r="T633" s="0" t="n">
        <v>27</v>
      </c>
      <c r="U633" s="0" t="n">
        <v>21</v>
      </c>
      <c r="V633" s="0" t="n">
        <v>29.7820052268687</v>
      </c>
      <c r="W633" s="0" t="n">
        <v>30.9817049167336</v>
      </c>
      <c r="X633" s="0" t="n">
        <v>2.07484366181609</v>
      </c>
      <c r="Y633" s="0" t="n">
        <v>0</v>
      </c>
      <c r="Z633" s="0" t="n">
        <v>0</v>
      </c>
      <c r="AA633" s="0" t="n">
        <v>0</v>
      </c>
      <c r="AB633" s="0" t="n">
        <v>1</v>
      </c>
      <c r="AC633" s="0" t="n">
        <v>0</v>
      </c>
      <c r="AD633" s="0" t="n">
        <v>0</v>
      </c>
      <c r="AE633" s="0" t="n">
        <v>0</v>
      </c>
      <c r="AF633" s="0" t="n">
        <v>28.6515736976007</v>
      </c>
      <c r="AG633" s="0" t="n">
        <v>0</v>
      </c>
      <c r="AH633" s="0" t="n">
        <v>0</v>
      </c>
      <c r="AI633" s="0" t="n">
        <v>0</v>
      </c>
      <c r="AK633" s="0" t="n">
        <f aca="false">A633</f>
        <v>616</v>
      </c>
      <c r="AL633" s="0" t="n">
        <v>2</v>
      </c>
      <c r="AM633" s="0" t="n">
        <v>1</v>
      </c>
      <c r="AO633" s="0" t="n">
        <v>616</v>
      </c>
      <c r="AP633" s="0" t="n">
        <v>0</v>
      </c>
      <c r="AQ633" s="0" t="n">
        <v>1.62411517075517</v>
      </c>
      <c r="AR633" s="0" t="n">
        <v>541.643392707702</v>
      </c>
      <c r="AS633" s="0" t="n">
        <v>82</v>
      </c>
      <c r="AT633" s="0" t="n">
        <v>80</v>
      </c>
    </row>
    <row r="634" customFormat="false" ht="12" hidden="false" customHeight="false" outlineLevel="0" collapsed="false">
      <c r="A634" s="0" t="n">
        <v>617</v>
      </c>
      <c r="B634" s="0" t="n">
        <v>0</v>
      </c>
      <c r="C634" s="0" t="n">
        <v>0.63930995380552</v>
      </c>
      <c r="D634" s="0" t="n">
        <v>680.916334673398</v>
      </c>
      <c r="E634" s="0" t="n">
        <v>4</v>
      </c>
      <c r="F634" s="0" t="n">
        <v>4</v>
      </c>
      <c r="G634" s="0" t="n">
        <v>0.5</v>
      </c>
      <c r="H634" s="0" t="n">
        <v>0</v>
      </c>
      <c r="I634" s="0" t="n">
        <v>2.16219516556252</v>
      </c>
      <c r="J634" s="0" t="n">
        <v>684.514063546971</v>
      </c>
      <c r="K634" s="0" t="n">
        <v>3.59772887357303</v>
      </c>
      <c r="L634" s="0" t="n">
        <v>0</v>
      </c>
      <c r="M634" s="0" t="n">
        <v>682.643592752607</v>
      </c>
      <c r="N634" s="0" t="n">
        <v>0</v>
      </c>
      <c r="O634" s="0" t="n">
        <v>617</v>
      </c>
      <c r="P634" s="0" t="n">
        <v>311</v>
      </c>
      <c r="Q634" s="0" t="n">
        <v>306</v>
      </c>
      <c r="R634" s="0" t="n">
        <v>636.374821117597</v>
      </c>
      <c r="S634" s="0" t="n">
        <v>794.073353855434</v>
      </c>
      <c r="T634" s="0" t="n">
        <v>19</v>
      </c>
      <c r="U634" s="0" t="n">
        <v>29</v>
      </c>
      <c r="V634" s="0" t="n">
        <v>33.4933940096661</v>
      </c>
      <c r="W634" s="0" t="n">
        <v>27.3817453683068</v>
      </c>
      <c r="X634" s="0" t="n">
        <v>0</v>
      </c>
      <c r="Y634" s="0" t="n">
        <v>3.59772887357303</v>
      </c>
      <c r="Z634" s="0" t="n">
        <v>0</v>
      </c>
      <c r="AA634" s="0" t="n">
        <v>0</v>
      </c>
      <c r="AB634" s="0" t="n">
        <v>0</v>
      </c>
      <c r="AC634" s="0" t="n">
        <v>1</v>
      </c>
      <c r="AD634" s="0" t="n">
        <v>0</v>
      </c>
      <c r="AE634" s="0" t="n">
        <v>0</v>
      </c>
      <c r="AF634" s="0" t="n">
        <v>0</v>
      </c>
      <c r="AG634" s="0" t="n">
        <v>21.7242513912294</v>
      </c>
      <c r="AH634" s="0" t="n">
        <v>0</v>
      </c>
      <c r="AI634" s="0" t="n">
        <v>0</v>
      </c>
      <c r="AK634" s="0" t="n">
        <f aca="false">A634</f>
        <v>617</v>
      </c>
      <c r="AL634" s="0" t="n">
        <v>0</v>
      </c>
      <c r="AM634" s="0" t="n">
        <v>2</v>
      </c>
      <c r="AO634" s="0" t="n">
        <v>617</v>
      </c>
      <c r="AP634" s="0" t="n">
        <v>1</v>
      </c>
      <c r="AQ634" s="0" t="n">
        <v>0.0876792823543254</v>
      </c>
      <c r="AR634" s="0" t="n">
        <v>541.731071990056</v>
      </c>
      <c r="AS634" s="0" t="n">
        <v>84</v>
      </c>
      <c r="AT634" s="0" t="n">
        <v>80</v>
      </c>
    </row>
    <row r="635" customFormat="false" ht="12" hidden="false" customHeight="false" outlineLevel="0" collapsed="false">
      <c r="A635" s="0" t="n">
        <v>618</v>
      </c>
      <c r="B635" s="0" t="n">
        <v>1</v>
      </c>
      <c r="C635" s="0" t="n">
        <v>0.940878936035446</v>
      </c>
      <c r="D635" s="0" t="n">
        <v>681.857213609433</v>
      </c>
      <c r="E635" s="0" t="n">
        <v>6</v>
      </c>
      <c r="F635" s="0" t="n">
        <v>4</v>
      </c>
      <c r="G635" s="0" t="n">
        <v>0.5</v>
      </c>
      <c r="H635" s="0" t="n">
        <v>1</v>
      </c>
      <c r="I635" s="0" t="n">
        <v>0</v>
      </c>
      <c r="J635" s="0" t="n">
        <v>684.514063546971</v>
      </c>
      <c r="K635" s="0" t="n">
        <v>0</v>
      </c>
      <c r="L635" s="0" t="n">
        <v>2.10594071575292</v>
      </c>
      <c r="M635" s="0" t="n">
        <v>684.74953346836</v>
      </c>
      <c r="N635" s="0" t="n">
        <v>2.89231985892661</v>
      </c>
      <c r="O635" s="0" t="n">
        <v>618</v>
      </c>
      <c r="P635" s="0" t="n">
        <v>311</v>
      </c>
      <c r="Q635" s="0" t="n">
        <v>307</v>
      </c>
      <c r="R635" s="0" t="n">
        <v>808.252633607479</v>
      </c>
      <c r="S635" s="0" t="n">
        <v>655.486452643137</v>
      </c>
      <c r="T635" s="0" t="n">
        <v>26</v>
      </c>
      <c r="U635" s="0" t="n">
        <v>22</v>
      </c>
      <c r="V635" s="0" t="n">
        <v>31.0866277977385</v>
      </c>
      <c r="W635" s="0" t="n">
        <v>29.7947033260366</v>
      </c>
      <c r="X635" s="0" t="n">
        <v>0</v>
      </c>
      <c r="Y635" s="0" t="n">
        <v>0</v>
      </c>
      <c r="Z635" s="0" t="n">
        <v>2.89231985892661</v>
      </c>
      <c r="AA635" s="0" t="n">
        <v>0</v>
      </c>
      <c r="AB635" s="0" t="n">
        <v>0</v>
      </c>
      <c r="AC635" s="0" t="n">
        <v>0</v>
      </c>
      <c r="AD635" s="0" t="n">
        <v>1</v>
      </c>
      <c r="AE635" s="0" t="n">
        <v>0</v>
      </c>
      <c r="AF635" s="0" t="n">
        <v>0</v>
      </c>
      <c r="AG635" s="0" t="n">
        <v>0</v>
      </c>
      <c r="AH635" s="0" t="n">
        <v>23.751815347829</v>
      </c>
      <c r="AI635" s="0" t="n">
        <v>0</v>
      </c>
      <c r="AK635" s="0" t="n">
        <f aca="false">A635</f>
        <v>618</v>
      </c>
      <c r="AL635" s="0" t="n">
        <v>1</v>
      </c>
      <c r="AM635" s="0" t="n">
        <v>1</v>
      </c>
      <c r="AO635" s="0" t="n">
        <v>618</v>
      </c>
      <c r="AP635" s="0" t="n">
        <v>1</v>
      </c>
      <c r="AQ635" s="0" t="n">
        <v>0.520646140700728</v>
      </c>
      <c r="AR635" s="0" t="n">
        <v>542.251718130757</v>
      </c>
      <c r="AS635" s="0" t="n">
        <v>84</v>
      </c>
      <c r="AT635" s="0" t="n">
        <v>82</v>
      </c>
    </row>
    <row r="636" customFormat="false" ht="12" hidden="false" customHeight="false" outlineLevel="0" collapsed="false">
      <c r="A636" s="0" t="n">
        <v>619</v>
      </c>
      <c r="B636" s="0" t="n">
        <v>0</v>
      </c>
      <c r="C636" s="0" t="n">
        <v>0.41924936612316</v>
      </c>
      <c r="D636" s="0" t="n">
        <v>682.276462975557</v>
      </c>
      <c r="E636" s="0" t="n">
        <v>6</v>
      </c>
      <c r="F636" s="0" t="n">
        <v>6</v>
      </c>
      <c r="G636" s="0" t="n">
        <v>0.5</v>
      </c>
      <c r="H636" s="0" t="n">
        <v>0</v>
      </c>
      <c r="I636" s="0" t="n">
        <v>2.23320985583477</v>
      </c>
      <c r="J636" s="0" t="n">
        <v>686.747273402806</v>
      </c>
      <c r="K636" s="0" t="n">
        <v>4.47081042724915</v>
      </c>
      <c r="L636" s="0" t="n">
        <v>0</v>
      </c>
      <c r="M636" s="0" t="n">
        <v>684.74953346836</v>
      </c>
      <c r="N636" s="0" t="n">
        <v>0</v>
      </c>
      <c r="O636" s="0" t="n">
        <v>619</v>
      </c>
      <c r="P636" s="0" t="n">
        <v>312</v>
      </c>
      <c r="Q636" s="0" t="n">
        <v>307</v>
      </c>
      <c r="R636" s="0" t="n">
        <v>684.430427714566</v>
      </c>
      <c r="S636" s="0" t="n">
        <v>766.894244904412</v>
      </c>
      <c r="T636" s="0" t="n">
        <v>25</v>
      </c>
      <c r="U636" s="0" t="n">
        <v>23</v>
      </c>
      <c r="V636" s="0" t="n">
        <v>27.3772061577002</v>
      </c>
      <c r="W636" s="0" t="n">
        <v>33.3430830693959</v>
      </c>
      <c r="X636" s="0" t="n">
        <v>0</v>
      </c>
      <c r="Y636" s="0" t="n">
        <v>4.47081042724915</v>
      </c>
      <c r="Z636" s="0" t="n">
        <v>0</v>
      </c>
      <c r="AA636" s="0" t="n">
        <v>0</v>
      </c>
      <c r="AB636" s="0" t="n">
        <v>0</v>
      </c>
      <c r="AC636" s="0" t="n">
        <v>1</v>
      </c>
      <c r="AD636" s="0" t="n">
        <v>0</v>
      </c>
      <c r="AE636" s="0" t="n">
        <v>0</v>
      </c>
      <c r="AF636" s="0" t="n">
        <v>0</v>
      </c>
      <c r="AG636" s="0" t="n">
        <v>14.3477819768741</v>
      </c>
      <c r="AH636" s="0" t="n">
        <v>0</v>
      </c>
      <c r="AI636" s="0" t="n">
        <v>0</v>
      </c>
      <c r="AK636" s="0" t="n">
        <f aca="false">A636</f>
        <v>619</v>
      </c>
      <c r="AL636" s="0" t="n">
        <v>0</v>
      </c>
      <c r="AM636" s="0" t="n">
        <v>0</v>
      </c>
      <c r="AO636" s="0" t="n">
        <v>619</v>
      </c>
      <c r="AP636" s="0" t="n">
        <v>1</v>
      </c>
      <c r="AQ636" s="0" t="n">
        <v>2.07116276455724</v>
      </c>
      <c r="AR636" s="0" t="n">
        <v>544.322880895314</v>
      </c>
      <c r="AS636" s="0" t="n">
        <v>82</v>
      </c>
      <c r="AT636" s="0" t="n">
        <v>82</v>
      </c>
    </row>
    <row r="637" customFormat="false" ht="12" hidden="false" customHeight="false" outlineLevel="0" collapsed="false">
      <c r="A637" s="0" t="n">
        <v>620</v>
      </c>
      <c r="B637" s="0" t="n">
        <v>0</v>
      </c>
      <c r="C637" s="0" t="n">
        <v>1.88675623371849</v>
      </c>
      <c r="D637" s="0" t="n">
        <v>684.163219209275</v>
      </c>
      <c r="E637" s="0" t="n">
        <v>6</v>
      </c>
      <c r="F637" s="0" t="n">
        <v>4</v>
      </c>
      <c r="G637" s="0" t="n">
        <v>0.5</v>
      </c>
      <c r="H637" s="0" t="n">
        <v>1</v>
      </c>
      <c r="I637" s="0" t="n">
        <v>0</v>
      </c>
      <c r="J637" s="0" t="n">
        <v>686.747273402806</v>
      </c>
      <c r="K637" s="0" t="n">
        <v>0</v>
      </c>
      <c r="L637" s="0" t="n">
        <v>1.8402311281854</v>
      </c>
      <c r="M637" s="0" t="n">
        <v>686.589764596545</v>
      </c>
      <c r="N637" s="0" t="n">
        <v>2.42654538727038</v>
      </c>
      <c r="O637" s="0" t="n">
        <v>620</v>
      </c>
      <c r="P637" s="0" t="n">
        <v>312</v>
      </c>
      <c r="Q637" s="0" t="n">
        <v>308</v>
      </c>
      <c r="R637" s="0" t="n">
        <v>857.34510116044</v>
      </c>
      <c r="S637" s="0" t="n">
        <v>596.640156874063</v>
      </c>
      <c r="T637" s="0" t="n">
        <v>27</v>
      </c>
      <c r="U637" s="0" t="n">
        <v>21</v>
      </c>
      <c r="V637" s="0" t="n">
        <v>31.753510504642</v>
      </c>
      <c r="W637" s="0" t="n">
        <v>28.4113007497137</v>
      </c>
      <c r="X637" s="0" t="n">
        <v>0</v>
      </c>
      <c r="Y637" s="0" t="n">
        <v>0</v>
      </c>
      <c r="Z637" s="0" t="n">
        <v>0</v>
      </c>
      <c r="AA637" s="0" t="n">
        <v>2.42654538727038</v>
      </c>
      <c r="AB637" s="0" t="n">
        <v>0</v>
      </c>
      <c r="AC637" s="0" t="n">
        <v>0</v>
      </c>
      <c r="AD637" s="0" t="n">
        <v>0</v>
      </c>
      <c r="AE637" s="0" t="n">
        <v>1</v>
      </c>
      <c r="AF637" s="0" t="n">
        <v>0</v>
      </c>
      <c r="AG637" s="0" t="n">
        <v>0</v>
      </c>
      <c r="AH637" s="0" t="n">
        <v>0</v>
      </c>
      <c r="AI637" s="0" t="n">
        <v>28.1414905473393</v>
      </c>
      <c r="AK637" s="0" t="n">
        <f aca="false">A637</f>
        <v>620</v>
      </c>
      <c r="AL637" s="0" t="n">
        <v>1</v>
      </c>
      <c r="AM637" s="0" t="n">
        <v>1</v>
      </c>
      <c r="AO637" s="0" t="n">
        <v>620</v>
      </c>
      <c r="AP637" s="0" t="n">
        <v>1</v>
      </c>
      <c r="AQ637" s="0" t="n">
        <v>1.80602916274653</v>
      </c>
      <c r="AR637" s="0" t="n">
        <v>546.128910058061</v>
      </c>
      <c r="AS637" s="0" t="n">
        <v>82</v>
      </c>
      <c r="AT637" s="0" t="n">
        <v>80</v>
      </c>
    </row>
    <row r="638" customFormat="false" ht="12" hidden="false" customHeight="false" outlineLevel="0" collapsed="false">
      <c r="A638" s="0" t="n">
        <v>621</v>
      </c>
      <c r="B638" s="0" t="n">
        <v>1</v>
      </c>
      <c r="C638" s="0" t="n">
        <v>0.239699445218377</v>
      </c>
      <c r="D638" s="0" t="n">
        <v>684.402918654493</v>
      </c>
      <c r="E638" s="0" t="n">
        <v>6</v>
      </c>
      <c r="F638" s="0" t="n">
        <v>6</v>
      </c>
      <c r="G638" s="0" t="n">
        <v>0.5</v>
      </c>
      <c r="H638" s="0" t="n">
        <v>0</v>
      </c>
      <c r="I638" s="0" t="n">
        <v>2.16808572743425</v>
      </c>
      <c r="J638" s="0" t="n">
        <v>688.91535913024</v>
      </c>
      <c r="K638" s="0" t="n">
        <v>4.51244047574653</v>
      </c>
      <c r="L638" s="0" t="n">
        <v>0</v>
      </c>
      <c r="M638" s="0" t="n">
        <v>686.589764596545</v>
      </c>
      <c r="N638" s="0" t="n">
        <v>0</v>
      </c>
      <c r="O638" s="0" t="n">
        <v>621</v>
      </c>
      <c r="P638" s="0" t="n">
        <v>313</v>
      </c>
      <c r="Q638" s="0" t="n">
        <v>308</v>
      </c>
      <c r="R638" s="0" t="n">
        <v>612.195944110955</v>
      </c>
      <c r="S638" s="0" t="n">
        <v>834.966325755613</v>
      </c>
      <c r="T638" s="0" t="n">
        <v>21</v>
      </c>
      <c r="U638" s="0" t="n">
        <v>27</v>
      </c>
      <c r="V638" s="0" t="n">
        <v>29.1521739328198</v>
      </c>
      <c r="W638" s="0" t="n">
        <v>30.9245641962664</v>
      </c>
      <c r="X638" s="0" t="n">
        <v>4.51244047574653</v>
      </c>
      <c r="Y638" s="0" t="n">
        <v>0</v>
      </c>
      <c r="Z638" s="0" t="n">
        <v>0</v>
      </c>
      <c r="AA638" s="0" t="n">
        <v>0</v>
      </c>
      <c r="AB638" s="0" t="n">
        <v>1</v>
      </c>
      <c r="AC638" s="0" t="n">
        <v>0</v>
      </c>
      <c r="AD638" s="0" t="n">
        <v>0</v>
      </c>
      <c r="AE638" s="0" t="n">
        <v>0</v>
      </c>
      <c r="AF638" s="0" t="n">
        <v>8.49792265788617</v>
      </c>
      <c r="AG638" s="0" t="n">
        <v>0</v>
      </c>
      <c r="AH638" s="0" t="n">
        <v>0</v>
      </c>
      <c r="AI638" s="0" t="n">
        <v>0</v>
      </c>
      <c r="AK638" s="0" t="n">
        <f aca="false">A638</f>
        <v>621</v>
      </c>
      <c r="AL638" s="0" t="n">
        <v>0</v>
      </c>
      <c r="AM638" s="0" t="n">
        <v>1</v>
      </c>
      <c r="AO638" s="0" t="n">
        <v>621</v>
      </c>
      <c r="AP638" s="0" t="n">
        <v>0</v>
      </c>
      <c r="AQ638" s="0" t="n">
        <v>0.755437255917618</v>
      </c>
      <c r="AR638" s="0" t="n">
        <v>546.884347313978</v>
      </c>
      <c r="AS638" s="0" t="n">
        <v>82</v>
      </c>
      <c r="AT638" s="0" t="n">
        <v>80</v>
      </c>
    </row>
    <row r="639" customFormat="false" ht="12" hidden="false" customHeight="false" outlineLevel="0" collapsed="false">
      <c r="A639" s="0" t="n">
        <v>622</v>
      </c>
      <c r="B639" s="0" t="n">
        <v>0</v>
      </c>
      <c r="C639" s="0" t="n">
        <v>1.32750345187999</v>
      </c>
      <c r="D639" s="0" t="n">
        <v>685.730422106373</v>
      </c>
      <c r="E639" s="0" t="n">
        <v>6</v>
      </c>
      <c r="F639" s="0" t="n">
        <v>4</v>
      </c>
      <c r="G639" s="0" t="n">
        <v>0.5</v>
      </c>
      <c r="H639" s="0" t="n">
        <v>1</v>
      </c>
      <c r="I639" s="0" t="n">
        <v>0</v>
      </c>
      <c r="J639" s="0" t="n">
        <v>688.91535913024</v>
      </c>
      <c r="K639" s="0" t="n">
        <v>0</v>
      </c>
      <c r="L639" s="0" t="n">
        <v>2.20508399058276</v>
      </c>
      <c r="M639" s="0" t="n">
        <v>688.794848587128</v>
      </c>
      <c r="N639" s="0" t="n">
        <v>3.06442648075483</v>
      </c>
      <c r="O639" s="0" t="n">
        <v>622</v>
      </c>
      <c r="P639" s="0" t="n">
        <v>313</v>
      </c>
      <c r="Q639" s="0" t="n">
        <v>309</v>
      </c>
      <c r="R639" s="0" t="n">
        <v>722.918624861691</v>
      </c>
      <c r="S639" s="0" t="n">
        <v>723.13029089641</v>
      </c>
      <c r="T639" s="0" t="n">
        <v>25</v>
      </c>
      <c r="U639" s="0" t="n">
        <v>23</v>
      </c>
      <c r="V639" s="0" t="n">
        <v>28.9167334277743</v>
      </c>
      <c r="W639" s="0" t="n">
        <v>31.4403107332755</v>
      </c>
      <c r="X639" s="0" t="n">
        <v>0</v>
      </c>
      <c r="Y639" s="0" t="n">
        <v>0</v>
      </c>
      <c r="Z639" s="0" t="n">
        <v>0</v>
      </c>
      <c r="AA639" s="0" t="n">
        <v>3.06442648075483</v>
      </c>
      <c r="AB639" s="0" t="n">
        <v>0</v>
      </c>
      <c r="AC639" s="0" t="n">
        <v>0</v>
      </c>
      <c r="AD639" s="0" t="n">
        <v>0</v>
      </c>
      <c r="AE639" s="0" t="n">
        <v>1</v>
      </c>
      <c r="AF639" s="0" t="n">
        <v>0</v>
      </c>
      <c r="AG639" s="0" t="n">
        <v>0</v>
      </c>
      <c r="AH639" s="0" t="n">
        <v>0</v>
      </c>
      <c r="AI639" s="0" t="n">
        <v>21.7806489422803</v>
      </c>
      <c r="AK639" s="0" t="n">
        <f aca="false">A639</f>
        <v>622</v>
      </c>
      <c r="AL639" s="0" t="n">
        <v>1</v>
      </c>
      <c r="AM639" s="0" t="n">
        <v>2</v>
      </c>
      <c r="AO639" s="0" t="n">
        <v>622</v>
      </c>
      <c r="AP639" s="0" t="n">
        <v>0</v>
      </c>
      <c r="AQ639" s="0" t="n">
        <v>0.310654575746945</v>
      </c>
      <c r="AR639" s="0" t="n">
        <v>547.195001889725</v>
      </c>
      <c r="AS639" s="0" t="n">
        <v>84</v>
      </c>
      <c r="AT639" s="0" t="n">
        <v>80</v>
      </c>
    </row>
    <row r="640" customFormat="false" ht="12" hidden="false" customHeight="false" outlineLevel="0" collapsed="false">
      <c r="A640" s="0" t="n">
        <v>623</v>
      </c>
      <c r="B640" s="0" t="n">
        <v>1</v>
      </c>
      <c r="C640" s="0" t="n">
        <v>0.0185223615791669</v>
      </c>
      <c r="D640" s="0" t="n">
        <v>685.748944467953</v>
      </c>
      <c r="E640" s="0" t="n">
        <v>6</v>
      </c>
      <c r="F640" s="0" t="n">
        <v>6</v>
      </c>
      <c r="G640" s="0" t="n">
        <v>0.5</v>
      </c>
      <c r="H640" s="0" t="n">
        <v>0</v>
      </c>
      <c r="I640" s="0" t="n">
        <v>1.80891952731163</v>
      </c>
      <c r="J640" s="0" t="n">
        <v>690.724278657552</v>
      </c>
      <c r="K640" s="0" t="n">
        <v>4.97533418959904</v>
      </c>
      <c r="L640" s="0" t="n">
        <v>0</v>
      </c>
      <c r="M640" s="0" t="n">
        <v>688.794848587128</v>
      </c>
      <c r="N640" s="0" t="n">
        <v>0</v>
      </c>
      <c r="O640" s="0" t="n">
        <v>623</v>
      </c>
      <c r="P640" s="0" t="n">
        <v>314</v>
      </c>
      <c r="Q640" s="0" t="n">
        <v>309</v>
      </c>
      <c r="R640" s="0" t="n">
        <v>680.806443651821</v>
      </c>
      <c r="S640" s="0" t="n">
        <v>761.596469360142</v>
      </c>
      <c r="T640" s="0" t="n">
        <v>22</v>
      </c>
      <c r="U640" s="0" t="n">
        <v>26</v>
      </c>
      <c r="V640" s="0" t="n">
        <v>30.9457333724767</v>
      </c>
      <c r="W640" s="0" t="n">
        <v>29.2920592367007</v>
      </c>
      <c r="X640" s="0" t="n">
        <v>4.97533418959904</v>
      </c>
      <c r="Y640" s="0" t="n">
        <v>0</v>
      </c>
      <c r="Z640" s="0" t="n">
        <v>0</v>
      </c>
      <c r="AA640" s="0" t="n">
        <v>0</v>
      </c>
      <c r="AB640" s="0" t="n">
        <v>1</v>
      </c>
      <c r="AC640" s="0" t="n">
        <v>0</v>
      </c>
      <c r="AD640" s="0" t="n">
        <v>0</v>
      </c>
      <c r="AE640" s="0" t="n">
        <v>0</v>
      </c>
      <c r="AF640" s="0" t="n">
        <v>6.01341211263495</v>
      </c>
      <c r="AG640" s="0" t="n">
        <v>0</v>
      </c>
      <c r="AH640" s="0" t="n">
        <v>0</v>
      </c>
      <c r="AI640" s="0" t="n">
        <v>0</v>
      </c>
      <c r="AK640" s="0" t="n">
        <f aca="false">A640</f>
        <v>623</v>
      </c>
      <c r="AL640" s="0" t="n">
        <v>0</v>
      </c>
      <c r="AM640" s="0" t="n">
        <v>0</v>
      </c>
      <c r="AO640" s="0" t="n">
        <v>623</v>
      </c>
      <c r="AP640" s="0" t="n">
        <v>1</v>
      </c>
      <c r="AQ640" s="0" t="n">
        <v>0.641732139042869</v>
      </c>
      <c r="AR640" s="0" t="n">
        <v>547.836734028768</v>
      </c>
      <c r="AS640" s="0" t="n">
        <v>82</v>
      </c>
      <c r="AT640" s="0" t="n">
        <v>82</v>
      </c>
    </row>
    <row r="641" customFormat="false" ht="12" hidden="false" customHeight="false" outlineLevel="0" collapsed="false">
      <c r="A641" s="0" t="n">
        <v>624</v>
      </c>
      <c r="B641" s="0" t="n">
        <v>1</v>
      </c>
      <c r="C641" s="0" t="n">
        <v>0.430094583041397</v>
      </c>
      <c r="D641" s="0" t="n">
        <v>686.179039050994</v>
      </c>
      <c r="E641" s="0" t="n">
        <v>8</v>
      </c>
      <c r="F641" s="0" t="n">
        <v>6</v>
      </c>
      <c r="G641" s="0" t="n">
        <v>0.5</v>
      </c>
      <c r="H641" s="0" t="n">
        <v>1</v>
      </c>
      <c r="I641" s="0" t="n">
        <v>0</v>
      </c>
      <c r="J641" s="0" t="n">
        <v>690.724278657552</v>
      </c>
      <c r="K641" s="0" t="n">
        <v>0</v>
      </c>
      <c r="L641" s="0" t="n">
        <v>2.07923982068141</v>
      </c>
      <c r="M641" s="0" t="n">
        <v>690.87408840781</v>
      </c>
      <c r="N641" s="0" t="n">
        <v>4.69504935681573</v>
      </c>
      <c r="O641" s="0" t="n">
        <v>624</v>
      </c>
      <c r="P641" s="0" t="n">
        <v>314</v>
      </c>
      <c r="Q641" s="0" t="n">
        <v>310</v>
      </c>
      <c r="R641" s="0" t="n">
        <v>927.906614881965</v>
      </c>
      <c r="S641" s="0" t="n">
        <v>526.113107320338</v>
      </c>
      <c r="T641" s="0" t="n">
        <v>29</v>
      </c>
      <c r="U641" s="0" t="n">
        <v>19</v>
      </c>
      <c r="V641" s="0" t="n">
        <v>31.9967687901475</v>
      </c>
      <c r="W641" s="0" t="n">
        <v>27.6900178062398</v>
      </c>
      <c r="X641" s="0" t="n">
        <v>0</v>
      </c>
      <c r="Y641" s="0" t="n">
        <v>0</v>
      </c>
      <c r="Z641" s="0" t="n">
        <v>4.69504935681573</v>
      </c>
      <c r="AA641" s="0" t="n">
        <v>0</v>
      </c>
      <c r="AB641" s="0" t="n">
        <v>0</v>
      </c>
      <c r="AC641" s="0" t="n">
        <v>0</v>
      </c>
      <c r="AD641" s="0" t="n">
        <v>1</v>
      </c>
      <c r="AE641" s="0" t="n">
        <v>0</v>
      </c>
      <c r="AF641" s="0" t="n">
        <v>0</v>
      </c>
      <c r="AG641" s="0" t="n">
        <v>0</v>
      </c>
      <c r="AH641" s="0" t="n">
        <v>9.43014380850537</v>
      </c>
      <c r="AI641" s="0" t="n">
        <v>0</v>
      </c>
      <c r="AK641" s="0" t="n">
        <f aca="false">A641</f>
        <v>624</v>
      </c>
      <c r="AL641" s="0" t="n">
        <v>1</v>
      </c>
      <c r="AM641" s="0" t="n">
        <v>0</v>
      </c>
      <c r="AO641" s="0" t="n">
        <v>624</v>
      </c>
      <c r="AP641" s="0" t="n">
        <v>0</v>
      </c>
      <c r="AQ641" s="0" t="n">
        <v>1.02147285825566</v>
      </c>
      <c r="AR641" s="0" t="n">
        <v>548.858206887024</v>
      </c>
      <c r="AS641" s="0" t="n">
        <v>82</v>
      </c>
      <c r="AT641" s="0" t="n">
        <v>82</v>
      </c>
    </row>
    <row r="642" customFormat="false" ht="12" hidden="false" customHeight="false" outlineLevel="0" collapsed="false">
      <c r="A642" s="0" t="n">
        <v>625</v>
      </c>
      <c r="B642" s="0" t="n">
        <v>0</v>
      </c>
      <c r="C642" s="0" t="n">
        <v>0.0194228771067281</v>
      </c>
      <c r="D642" s="0" t="n">
        <v>686.198461928101</v>
      </c>
      <c r="E642" s="0" t="n">
        <v>8</v>
      </c>
      <c r="F642" s="0" t="n">
        <v>8</v>
      </c>
      <c r="G642" s="0" t="n">
        <v>0.5</v>
      </c>
      <c r="H642" s="0" t="n">
        <v>1</v>
      </c>
      <c r="I642" s="0" t="n">
        <v>0</v>
      </c>
      <c r="J642" s="0" t="n">
        <v>690.724278657552</v>
      </c>
      <c r="K642" s="0" t="n">
        <v>0</v>
      </c>
      <c r="L642" s="0" t="n">
        <v>1.83993929905163</v>
      </c>
      <c r="M642" s="0" t="n">
        <v>692.714027706861</v>
      </c>
      <c r="N642" s="0" t="n">
        <v>6.51556577876056</v>
      </c>
      <c r="O642" s="0" t="n">
        <v>625</v>
      </c>
      <c r="P642" s="0" t="n">
        <v>314</v>
      </c>
      <c r="Q642" s="0" t="n">
        <v>311</v>
      </c>
      <c r="R642" s="0" t="n">
        <v>613.968202555933</v>
      </c>
      <c r="S642" s="0" t="n">
        <v>835.977462215546</v>
      </c>
      <c r="T642" s="0" t="n">
        <v>22</v>
      </c>
      <c r="U642" s="0" t="n">
        <v>26</v>
      </c>
      <c r="V642" s="0" t="n">
        <v>27.9076328854366</v>
      </c>
      <c r="W642" s="0" t="n">
        <v>32.1528556511531</v>
      </c>
      <c r="X642" s="0" t="n">
        <v>0</v>
      </c>
      <c r="Y642" s="0" t="n">
        <v>0</v>
      </c>
      <c r="Z642" s="0" t="n">
        <v>0</v>
      </c>
      <c r="AA642" s="0" t="n">
        <v>6.51556577876056</v>
      </c>
      <c r="AB642" s="0" t="n">
        <v>0</v>
      </c>
      <c r="AC642" s="0" t="n">
        <v>0</v>
      </c>
      <c r="AD642" s="0" t="n">
        <v>0</v>
      </c>
      <c r="AE642" s="0" t="n">
        <v>1</v>
      </c>
      <c r="AF642" s="0" t="n">
        <v>0</v>
      </c>
      <c r="AG642" s="0" t="n">
        <v>0</v>
      </c>
      <c r="AH642" s="0" t="n">
        <v>0</v>
      </c>
      <c r="AI642" s="0" t="n">
        <v>1.47825470659296</v>
      </c>
      <c r="AK642" s="0" t="n">
        <f aca="false">A642</f>
        <v>625</v>
      </c>
      <c r="AL642" s="0" t="n">
        <v>0</v>
      </c>
      <c r="AM642" s="0" t="n">
        <v>2</v>
      </c>
      <c r="AO642" s="0" t="n">
        <v>625</v>
      </c>
      <c r="AP642" s="0" t="n">
        <v>0</v>
      </c>
      <c r="AQ642" s="0" t="n">
        <v>1.1327796023046</v>
      </c>
      <c r="AR642" s="0" t="n">
        <v>549.990986489329</v>
      </c>
      <c r="AS642" s="0" t="n">
        <v>80</v>
      </c>
      <c r="AT642" s="0" t="n">
        <v>84</v>
      </c>
    </row>
    <row r="643" customFormat="false" ht="12" hidden="false" customHeight="false" outlineLevel="0" collapsed="false">
      <c r="A643" s="0" t="n">
        <v>626</v>
      </c>
      <c r="B643" s="0" t="n">
        <v>1</v>
      </c>
      <c r="C643" s="0" t="n">
        <v>0.824574349460735</v>
      </c>
      <c r="D643" s="0" t="n">
        <v>687.023036277561</v>
      </c>
      <c r="E643" s="0" t="n">
        <v>6</v>
      </c>
      <c r="F643" s="0" t="n">
        <v>8</v>
      </c>
      <c r="G643" s="0" t="n">
        <v>0.5</v>
      </c>
      <c r="H643" s="0" t="n">
        <v>0</v>
      </c>
      <c r="I643" s="0" t="n">
        <v>1.92280933309614</v>
      </c>
      <c r="J643" s="0" t="n">
        <v>692.647087990648</v>
      </c>
      <c r="K643" s="0" t="n">
        <v>5.62405171308626</v>
      </c>
      <c r="L643" s="0" t="n">
        <v>0</v>
      </c>
      <c r="M643" s="0" t="n">
        <v>692.714027706861</v>
      </c>
      <c r="N643" s="0" t="n">
        <v>0</v>
      </c>
      <c r="O643" s="0" t="n">
        <v>626</v>
      </c>
      <c r="P643" s="0" t="n">
        <v>315</v>
      </c>
      <c r="Q643" s="0" t="n">
        <v>311</v>
      </c>
      <c r="R643" s="0" t="n">
        <v>555.666974577204</v>
      </c>
      <c r="S643" s="0" t="n">
        <v>908.064321282428</v>
      </c>
      <c r="T643" s="0" t="n">
        <v>19</v>
      </c>
      <c r="U643" s="0" t="n">
        <v>29</v>
      </c>
      <c r="V643" s="0" t="n">
        <v>29.2456148484766</v>
      </c>
      <c r="W643" s="0" t="n">
        <v>31.3124548288602</v>
      </c>
      <c r="X643" s="0" t="n">
        <v>5.62405171308626</v>
      </c>
      <c r="Y643" s="0" t="n">
        <v>0</v>
      </c>
      <c r="Z643" s="0" t="n">
        <v>0</v>
      </c>
      <c r="AA643" s="0" t="n">
        <v>0</v>
      </c>
      <c r="AB643" s="0" t="n">
        <v>1</v>
      </c>
      <c r="AC643" s="0" t="n">
        <v>0</v>
      </c>
      <c r="AD643" s="0" t="n">
        <v>0</v>
      </c>
      <c r="AE643" s="0" t="n">
        <v>0</v>
      </c>
      <c r="AF643" s="0" t="n">
        <v>3.25264264654831</v>
      </c>
      <c r="AG643" s="0" t="n">
        <v>0</v>
      </c>
      <c r="AH643" s="0" t="n">
        <v>0</v>
      </c>
      <c r="AI643" s="0" t="n">
        <v>0</v>
      </c>
      <c r="AK643" s="0" t="n">
        <f aca="false">A643</f>
        <v>626</v>
      </c>
      <c r="AL643" s="0" t="n">
        <v>1</v>
      </c>
      <c r="AM643" s="0" t="n">
        <v>0</v>
      </c>
      <c r="AO643" s="0" t="n">
        <v>626</v>
      </c>
      <c r="AP643" s="0" t="n">
        <v>1</v>
      </c>
      <c r="AQ643" s="0" t="n">
        <v>0.270347255820807</v>
      </c>
      <c r="AR643" s="0" t="n">
        <v>550.261333745149</v>
      </c>
      <c r="AS643" s="0" t="n">
        <v>82</v>
      </c>
      <c r="AT643" s="0" t="n">
        <v>82</v>
      </c>
    </row>
    <row r="644" customFormat="false" ht="12" hidden="false" customHeight="false" outlineLevel="0" collapsed="false">
      <c r="A644" s="0" t="n">
        <v>627</v>
      </c>
      <c r="B644" s="0" t="n">
        <v>0</v>
      </c>
      <c r="C644" s="0" t="n">
        <v>0.586047315642352</v>
      </c>
      <c r="D644" s="0" t="n">
        <v>687.609083593204</v>
      </c>
      <c r="E644" s="0" t="n">
        <v>8</v>
      </c>
      <c r="F644" s="0" t="n">
        <v>8</v>
      </c>
      <c r="G644" s="0" t="n">
        <v>0.5</v>
      </c>
      <c r="H644" s="0" t="n">
        <v>0</v>
      </c>
      <c r="I644" s="0" t="n">
        <v>1.88237394615648</v>
      </c>
      <c r="J644" s="0" t="n">
        <v>694.529461936804</v>
      </c>
      <c r="K644" s="0" t="n">
        <v>6.92037834360042</v>
      </c>
      <c r="L644" s="0" t="n">
        <v>0</v>
      </c>
      <c r="M644" s="0" t="n">
        <v>692.714027706861</v>
      </c>
      <c r="N644" s="0" t="n">
        <v>0</v>
      </c>
      <c r="O644" s="0" t="n">
        <v>627</v>
      </c>
      <c r="P644" s="0" t="n">
        <v>316</v>
      </c>
      <c r="Q644" s="0" t="n">
        <v>311</v>
      </c>
      <c r="R644" s="0" t="n">
        <v>768.75022978325</v>
      </c>
      <c r="S644" s="0" t="n">
        <v>712.423952558881</v>
      </c>
      <c r="T644" s="0" t="n">
        <v>24</v>
      </c>
      <c r="U644" s="0" t="n">
        <v>24</v>
      </c>
      <c r="V644" s="0" t="n">
        <v>32.0312462279495</v>
      </c>
      <c r="W644" s="0" t="n">
        <v>29.6842076724214</v>
      </c>
      <c r="X644" s="0" t="n">
        <v>0</v>
      </c>
      <c r="Y644" s="0" t="n">
        <v>6.92037834360042</v>
      </c>
      <c r="Z644" s="0" t="n">
        <v>0</v>
      </c>
      <c r="AA644" s="0" t="n">
        <v>0</v>
      </c>
      <c r="AB644" s="0" t="n">
        <v>0</v>
      </c>
      <c r="AC644" s="0" t="n">
        <v>1</v>
      </c>
      <c r="AD644" s="0" t="n">
        <v>0</v>
      </c>
      <c r="AE644" s="0" t="n">
        <v>0</v>
      </c>
      <c r="AF644" s="0" t="n">
        <v>0</v>
      </c>
      <c r="AG644" s="0" t="n">
        <v>1.79098987458819</v>
      </c>
      <c r="AH644" s="0" t="n">
        <v>0</v>
      </c>
      <c r="AI644" s="0" t="n">
        <v>0</v>
      </c>
      <c r="AK644" s="0" t="n">
        <f aca="false">A644</f>
        <v>627</v>
      </c>
      <c r="AL644" s="0" t="n">
        <v>0</v>
      </c>
      <c r="AM644" s="0" t="n">
        <v>2</v>
      </c>
      <c r="AO644" s="0" t="n">
        <v>627</v>
      </c>
      <c r="AP644" s="0" t="n">
        <v>0</v>
      </c>
      <c r="AQ644" s="0" t="n">
        <v>1.36963893844398</v>
      </c>
      <c r="AR644" s="0" t="n">
        <v>551.630972683593</v>
      </c>
      <c r="AS644" s="0" t="n">
        <v>80</v>
      </c>
      <c r="AT644" s="0" t="n">
        <v>84</v>
      </c>
    </row>
    <row r="645" customFormat="false" ht="12" hidden="false" customHeight="false" outlineLevel="0" collapsed="false">
      <c r="A645" s="0" t="n">
        <v>628</v>
      </c>
      <c r="B645" s="0" t="n">
        <v>1</v>
      </c>
      <c r="C645" s="0" t="n">
        <v>1.90473532423447</v>
      </c>
      <c r="D645" s="0" t="n">
        <v>689.513818917438</v>
      </c>
      <c r="E645" s="0" t="n">
        <v>8</v>
      </c>
      <c r="F645" s="0" t="n">
        <v>6</v>
      </c>
      <c r="G645" s="0" t="n">
        <v>0.5</v>
      </c>
      <c r="H645" s="0" t="n">
        <v>1</v>
      </c>
      <c r="I645" s="0" t="n">
        <v>0</v>
      </c>
      <c r="J645" s="0" t="n">
        <v>694.529461936804</v>
      </c>
      <c r="K645" s="0" t="n">
        <v>0</v>
      </c>
      <c r="L645" s="0" t="n">
        <v>1.99689367207631</v>
      </c>
      <c r="M645" s="0" t="n">
        <v>694.710921378938</v>
      </c>
      <c r="N645" s="0" t="n">
        <v>5.19710246149941</v>
      </c>
      <c r="O645" s="0" t="n">
        <v>628</v>
      </c>
      <c r="P645" s="0" t="n">
        <v>316</v>
      </c>
      <c r="Q645" s="0" t="n">
        <v>312</v>
      </c>
      <c r="R645" s="0" t="n">
        <v>928.495864717572</v>
      </c>
      <c r="S645" s="0" t="n">
        <v>557.384947069563</v>
      </c>
      <c r="T645" s="0" t="n">
        <v>29</v>
      </c>
      <c r="U645" s="0" t="n">
        <v>19</v>
      </c>
      <c r="V645" s="0" t="n">
        <v>32.0170877429895</v>
      </c>
      <c r="W645" s="0" t="n">
        <v>29.3358954463168</v>
      </c>
      <c r="X645" s="0" t="n">
        <v>0</v>
      </c>
      <c r="Y645" s="0" t="n">
        <v>0</v>
      </c>
      <c r="Z645" s="0" t="n">
        <v>5.19710246149941</v>
      </c>
      <c r="AA645" s="0" t="n">
        <v>0</v>
      </c>
      <c r="AB645" s="0" t="n">
        <v>0</v>
      </c>
      <c r="AC645" s="0" t="n">
        <v>0</v>
      </c>
      <c r="AD645" s="0" t="n">
        <v>1</v>
      </c>
      <c r="AE645" s="0" t="n">
        <v>0</v>
      </c>
      <c r="AF645" s="0" t="n">
        <v>0</v>
      </c>
      <c r="AG645" s="0" t="n">
        <v>0</v>
      </c>
      <c r="AH645" s="0" t="n">
        <v>6.59873763757489</v>
      </c>
      <c r="AI645" s="0" t="n">
        <v>0</v>
      </c>
      <c r="AK645" s="0" t="n">
        <f aca="false">A645</f>
        <v>628</v>
      </c>
      <c r="AL645" s="0" t="n">
        <v>1</v>
      </c>
      <c r="AM645" s="0" t="n">
        <v>1</v>
      </c>
      <c r="AO645" s="0" t="n">
        <v>628</v>
      </c>
      <c r="AP645" s="0" t="n">
        <v>1</v>
      </c>
      <c r="AQ645" s="0" t="n">
        <v>0.332049761344931</v>
      </c>
      <c r="AR645" s="0" t="n">
        <v>551.963022444938</v>
      </c>
      <c r="AS645" s="0" t="n">
        <v>82</v>
      </c>
      <c r="AT645" s="0" t="n">
        <v>84</v>
      </c>
    </row>
    <row r="646" customFormat="false" ht="12" hidden="false" customHeight="false" outlineLevel="0" collapsed="false">
      <c r="A646" s="0" t="n">
        <v>629</v>
      </c>
      <c r="B646" s="0" t="n">
        <v>1</v>
      </c>
      <c r="C646" s="0" t="n">
        <v>1.60426576449655</v>
      </c>
      <c r="D646" s="0" t="n">
        <v>691.118084681935</v>
      </c>
      <c r="E646" s="0" t="n">
        <v>6</v>
      </c>
      <c r="F646" s="0" t="n">
        <v>6</v>
      </c>
      <c r="G646" s="0" t="n">
        <v>0.5</v>
      </c>
      <c r="H646" s="0" t="n">
        <v>0</v>
      </c>
      <c r="I646" s="0" t="n">
        <v>2.05674364415134</v>
      </c>
      <c r="J646" s="0" t="n">
        <v>696.586205580955</v>
      </c>
      <c r="K646" s="0" t="n">
        <v>5.46812089902073</v>
      </c>
      <c r="L646" s="0" t="n">
        <v>0</v>
      </c>
      <c r="M646" s="0" t="n">
        <v>694.710921378938</v>
      </c>
      <c r="N646" s="0" t="n">
        <v>0</v>
      </c>
      <c r="O646" s="0" t="n">
        <v>629</v>
      </c>
      <c r="P646" s="0" t="n">
        <v>317</v>
      </c>
      <c r="Q646" s="0" t="n">
        <v>312</v>
      </c>
      <c r="R646" s="0" t="n">
        <v>739.155885564455</v>
      </c>
      <c r="S646" s="0" t="n">
        <v>739.51669988215</v>
      </c>
      <c r="T646" s="0" t="n">
        <v>26</v>
      </c>
      <c r="U646" s="0" t="n">
        <v>22</v>
      </c>
      <c r="V646" s="0" t="n">
        <v>28.4290615874554</v>
      </c>
      <c r="W646" s="0" t="n">
        <v>33.6142426571765</v>
      </c>
      <c r="X646" s="0" t="n">
        <v>5.46812089902073</v>
      </c>
      <c r="Y646" s="0" t="n">
        <v>0</v>
      </c>
      <c r="Z646" s="0" t="n">
        <v>0</v>
      </c>
      <c r="AA646" s="0" t="n">
        <v>0</v>
      </c>
      <c r="AB646" s="0" t="n">
        <v>1</v>
      </c>
      <c r="AC646" s="0" t="n">
        <v>0</v>
      </c>
      <c r="AD646" s="0" t="n">
        <v>0</v>
      </c>
      <c r="AE646" s="0" t="n">
        <v>0</v>
      </c>
      <c r="AF646" s="0" t="n">
        <v>3.83940213974067</v>
      </c>
      <c r="AG646" s="0" t="n">
        <v>0</v>
      </c>
      <c r="AH646" s="0" t="n">
        <v>0</v>
      </c>
      <c r="AI646" s="0" t="n">
        <v>0</v>
      </c>
      <c r="AK646" s="0" t="n">
        <f aca="false">A646</f>
        <v>629</v>
      </c>
      <c r="AL646" s="0" t="n">
        <v>0</v>
      </c>
      <c r="AM646" s="0" t="n">
        <v>1</v>
      </c>
      <c r="AO646" s="0" t="n">
        <v>629</v>
      </c>
      <c r="AP646" s="0" t="n">
        <v>0</v>
      </c>
      <c r="AQ646" s="0" t="n">
        <v>0.474012393365879</v>
      </c>
      <c r="AR646" s="0" t="n">
        <v>552.437034838304</v>
      </c>
      <c r="AS646" s="0" t="n">
        <v>84</v>
      </c>
      <c r="AT646" s="0" t="n">
        <v>82</v>
      </c>
    </row>
    <row r="647" customFormat="false" ht="12" hidden="false" customHeight="false" outlineLevel="0" collapsed="false">
      <c r="A647" s="0" t="n">
        <v>630</v>
      </c>
      <c r="B647" s="0" t="n">
        <v>0</v>
      </c>
      <c r="C647" s="0" t="n">
        <v>0.302730038745144</v>
      </c>
      <c r="D647" s="0" t="n">
        <v>691.42081472068</v>
      </c>
      <c r="E647" s="0" t="n">
        <v>8</v>
      </c>
      <c r="F647" s="0" t="n">
        <v>6</v>
      </c>
      <c r="G647" s="0" t="n">
        <v>0.5</v>
      </c>
      <c r="H647" s="0" t="n">
        <v>1</v>
      </c>
      <c r="I647" s="0" t="n">
        <v>0</v>
      </c>
      <c r="J647" s="0" t="n">
        <v>696.586205580955</v>
      </c>
      <c r="K647" s="0" t="n">
        <v>0</v>
      </c>
      <c r="L647" s="0" t="n">
        <v>1.8871834157225</v>
      </c>
      <c r="M647" s="0" t="n">
        <v>696.59810479466</v>
      </c>
      <c r="N647" s="0" t="n">
        <v>5.1772900739802</v>
      </c>
      <c r="O647" s="0" t="n">
        <v>630</v>
      </c>
      <c r="P647" s="0" t="n">
        <v>317</v>
      </c>
      <c r="Q647" s="0" t="n">
        <v>313</v>
      </c>
      <c r="R647" s="0" t="n">
        <v>739.710949835346</v>
      </c>
      <c r="S647" s="0" t="n">
        <v>739.245898425493</v>
      </c>
      <c r="T647" s="0" t="n">
        <v>22</v>
      </c>
      <c r="U647" s="0" t="n">
        <v>26</v>
      </c>
      <c r="V647" s="0" t="n">
        <v>33.6232097092386</v>
      </c>
      <c r="W647" s="0" t="n">
        <v>28.4324251993451</v>
      </c>
      <c r="X647" s="0" t="n">
        <v>0</v>
      </c>
      <c r="Y647" s="0" t="n">
        <v>0</v>
      </c>
      <c r="Z647" s="0" t="n">
        <v>0</v>
      </c>
      <c r="AA647" s="0" t="n">
        <v>5.1772900739802</v>
      </c>
      <c r="AB647" s="0" t="n">
        <v>0</v>
      </c>
      <c r="AC647" s="0" t="n">
        <v>0</v>
      </c>
      <c r="AD647" s="0" t="n">
        <v>0</v>
      </c>
      <c r="AE647" s="0" t="n">
        <v>1</v>
      </c>
      <c r="AF647" s="0" t="n">
        <v>0</v>
      </c>
      <c r="AG647" s="0" t="n">
        <v>0</v>
      </c>
      <c r="AH647" s="0" t="n">
        <v>0</v>
      </c>
      <c r="AI647" s="0" t="n">
        <v>6.52348140691769</v>
      </c>
      <c r="AK647" s="0" t="n">
        <f aca="false">A647</f>
        <v>630</v>
      </c>
      <c r="AL647" s="0" t="n">
        <v>1</v>
      </c>
      <c r="AM647" s="0" t="n">
        <v>0</v>
      </c>
      <c r="AO647" s="0" t="n">
        <v>630</v>
      </c>
      <c r="AP647" s="0" t="n">
        <v>1</v>
      </c>
      <c r="AQ647" s="0" t="n">
        <v>0.00740339973493127</v>
      </c>
      <c r="AR647" s="0" t="n">
        <v>552.444438238039</v>
      </c>
      <c r="AS647" s="0" t="n">
        <v>84</v>
      </c>
      <c r="AT647" s="0" t="n">
        <v>84</v>
      </c>
    </row>
    <row r="648" customFormat="false" ht="12" hidden="false" customHeight="false" outlineLevel="0" collapsed="false">
      <c r="A648" s="0" t="n">
        <v>631</v>
      </c>
      <c r="B648" s="0" t="n">
        <v>0</v>
      </c>
      <c r="C648" s="0" t="n">
        <v>0.705352580072737</v>
      </c>
      <c r="D648" s="0" t="n">
        <v>692.126167300753</v>
      </c>
      <c r="E648" s="0" t="n">
        <v>8</v>
      </c>
      <c r="F648" s="0" t="n">
        <v>8</v>
      </c>
      <c r="G648" s="0" t="n">
        <v>0.5</v>
      </c>
      <c r="H648" s="0" t="n">
        <v>0</v>
      </c>
      <c r="I648" s="0" t="n">
        <v>2.23747627532332</v>
      </c>
      <c r="J648" s="0" t="n">
        <v>698.823681856279</v>
      </c>
      <c r="K648" s="0" t="n">
        <v>6.69751455552614</v>
      </c>
      <c r="L648" s="0" t="n">
        <v>0</v>
      </c>
      <c r="M648" s="0" t="n">
        <v>696.59810479466</v>
      </c>
      <c r="N648" s="0" t="n">
        <v>0</v>
      </c>
      <c r="O648" s="0" t="n">
        <v>631</v>
      </c>
      <c r="P648" s="0" t="n">
        <v>318</v>
      </c>
      <c r="Q648" s="0" t="n">
        <v>313</v>
      </c>
      <c r="R648" s="0" t="n">
        <v>772.164285959048</v>
      </c>
      <c r="S648" s="0" t="n">
        <v>725.855646136829</v>
      </c>
      <c r="T648" s="0" t="n">
        <v>24</v>
      </c>
      <c r="U648" s="0" t="n">
        <v>24</v>
      </c>
      <c r="V648" s="0" t="n">
        <v>32.173498509336</v>
      </c>
      <c r="W648" s="0" t="n">
        <v>30.243859239621</v>
      </c>
      <c r="X648" s="0" t="n">
        <v>0</v>
      </c>
      <c r="Y648" s="0" t="n">
        <v>6.69751455552614</v>
      </c>
      <c r="Z648" s="0" t="n">
        <v>0</v>
      </c>
      <c r="AA648" s="0" t="n">
        <v>0</v>
      </c>
      <c r="AB648" s="0" t="n">
        <v>0</v>
      </c>
      <c r="AC648" s="0" t="n">
        <v>1</v>
      </c>
      <c r="AD648" s="0" t="n">
        <v>0</v>
      </c>
      <c r="AE648" s="0" t="n">
        <v>0</v>
      </c>
      <c r="AF648" s="0" t="n">
        <v>0</v>
      </c>
      <c r="AG648" s="0" t="n">
        <v>2.43716586307158</v>
      </c>
      <c r="AH648" s="0" t="n">
        <v>0</v>
      </c>
      <c r="AI648" s="0" t="n">
        <v>0</v>
      </c>
      <c r="AK648" s="0" t="n">
        <f aca="false">A648</f>
        <v>631</v>
      </c>
      <c r="AL648" s="0" t="n">
        <v>0</v>
      </c>
      <c r="AM648" s="0" t="n">
        <v>1</v>
      </c>
      <c r="AO648" s="0" t="n">
        <v>631</v>
      </c>
      <c r="AP648" s="0" t="n">
        <v>1</v>
      </c>
      <c r="AQ648" s="0" t="n">
        <v>0.0535816709197928</v>
      </c>
      <c r="AR648" s="0" t="n">
        <v>552.498019908959</v>
      </c>
      <c r="AS648" s="0" t="n">
        <v>86</v>
      </c>
      <c r="AT648" s="0" t="n">
        <v>84</v>
      </c>
    </row>
    <row r="649" customFormat="false" ht="12" hidden="false" customHeight="false" outlineLevel="0" collapsed="false">
      <c r="A649" s="0" t="n">
        <v>632</v>
      </c>
      <c r="B649" s="0" t="n">
        <v>0</v>
      </c>
      <c r="C649" s="0" t="n">
        <v>2.12151584832553</v>
      </c>
      <c r="D649" s="0" t="n">
        <v>694.247683149078</v>
      </c>
      <c r="E649" s="0" t="n">
        <v>8</v>
      </c>
      <c r="F649" s="0" t="n">
        <v>6</v>
      </c>
      <c r="G649" s="0" t="n">
        <v>0.5</v>
      </c>
      <c r="H649" s="0" t="n">
        <v>1</v>
      </c>
      <c r="I649" s="0" t="n">
        <v>0</v>
      </c>
      <c r="J649" s="0" t="n">
        <v>698.823681856279</v>
      </c>
      <c r="K649" s="0" t="n">
        <v>0</v>
      </c>
      <c r="L649" s="0" t="n">
        <v>2.05451784181392</v>
      </c>
      <c r="M649" s="0" t="n">
        <v>698.652622636474</v>
      </c>
      <c r="N649" s="0" t="n">
        <v>4.40493948739584</v>
      </c>
      <c r="O649" s="0" t="n">
        <v>632</v>
      </c>
      <c r="P649" s="0" t="n">
        <v>318</v>
      </c>
      <c r="Q649" s="0" t="n">
        <v>314</v>
      </c>
      <c r="R649" s="0" t="n">
        <v>807.670399351262</v>
      </c>
      <c r="S649" s="0" t="n">
        <v>683.234712040777</v>
      </c>
      <c r="T649" s="0" t="n">
        <v>25</v>
      </c>
      <c r="U649" s="0" t="n">
        <v>23</v>
      </c>
      <c r="V649" s="0" t="n">
        <v>32.3068030513293</v>
      </c>
      <c r="W649" s="0" t="n">
        <v>29.7057278899125</v>
      </c>
      <c r="X649" s="0" t="n">
        <v>0</v>
      </c>
      <c r="Y649" s="0" t="n">
        <v>0</v>
      </c>
      <c r="Z649" s="0" t="n">
        <v>0</v>
      </c>
      <c r="AA649" s="0" t="n">
        <v>4.40493948739584</v>
      </c>
      <c r="AB649" s="0" t="n">
        <v>0</v>
      </c>
      <c r="AC649" s="0" t="n">
        <v>0</v>
      </c>
      <c r="AD649" s="0" t="n">
        <v>0</v>
      </c>
      <c r="AE649" s="0" t="n">
        <v>1</v>
      </c>
      <c r="AF649" s="0" t="n">
        <v>0</v>
      </c>
      <c r="AG649" s="0" t="n">
        <v>0</v>
      </c>
      <c r="AH649" s="0" t="n">
        <v>0</v>
      </c>
      <c r="AI649" s="0" t="n">
        <v>11.0653446117807</v>
      </c>
      <c r="AK649" s="0" t="n">
        <f aca="false">A649</f>
        <v>632</v>
      </c>
      <c r="AL649" s="0" t="n">
        <v>1</v>
      </c>
      <c r="AM649" s="0" t="n">
        <v>0</v>
      </c>
      <c r="AO649" s="0" t="n">
        <v>632</v>
      </c>
      <c r="AP649" s="0" t="n">
        <v>0</v>
      </c>
      <c r="AQ649" s="0" t="n">
        <v>2.60714511706526</v>
      </c>
      <c r="AR649" s="0" t="n">
        <v>555.105165026024</v>
      </c>
      <c r="AS649" s="0" t="n">
        <v>84</v>
      </c>
      <c r="AT649" s="0" t="n">
        <v>84</v>
      </c>
    </row>
    <row r="650" customFormat="false" ht="12" hidden="false" customHeight="false" outlineLevel="0" collapsed="false">
      <c r="A650" s="0" t="n">
        <v>633</v>
      </c>
      <c r="B650" s="0" t="n">
        <v>1</v>
      </c>
      <c r="C650" s="0" t="n">
        <v>0.104909107630885</v>
      </c>
      <c r="D650" s="0" t="n">
        <v>694.352592256709</v>
      </c>
      <c r="E650" s="0" t="n">
        <v>8</v>
      </c>
      <c r="F650" s="0" t="n">
        <v>8</v>
      </c>
      <c r="G650" s="0" t="n">
        <v>0.5</v>
      </c>
      <c r="H650" s="0" t="n">
        <v>0</v>
      </c>
      <c r="I650" s="0" t="n">
        <v>1.77109749541632</v>
      </c>
      <c r="J650" s="0" t="n">
        <v>700.594779351695</v>
      </c>
      <c r="K650" s="0" t="n">
        <v>6.24218709498609</v>
      </c>
      <c r="L650" s="0" t="n">
        <v>0</v>
      </c>
      <c r="M650" s="0" t="n">
        <v>698.652622636474</v>
      </c>
      <c r="N650" s="0" t="n">
        <v>0</v>
      </c>
      <c r="O650" s="0" t="n">
        <v>633</v>
      </c>
      <c r="P650" s="0" t="n">
        <v>319</v>
      </c>
      <c r="Q650" s="0" t="n">
        <v>314</v>
      </c>
      <c r="R650" s="0" t="n">
        <v>744.531490302177</v>
      </c>
      <c r="S650" s="0" t="n">
        <v>745.519044634457</v>
      </c>
      <c r="T650" s="0" t="n">
        <v>21</v>
      </c>
      <c r="U650" s="0" t="n">
        <v>27</v>
      </c>
      <c r="V650" s="0" t="n">
        <v>35.4538636077877</v>
      </c>
      <c r="W650" s="0" t="n">
        <v>27.6117142023347</v>
      </c>
      <c r="X650" s="0" t="n">
        <v>6.24218709498609</v>
      </c>
      <c r="Y650" s="0" t="n">
        <v>0</v>
      </c>
      <c r="Z650" s="0" t="n">
        <v>0</v>
      </c>
      <c r="AA650" s="0" t="n">
        <v>0</v>
      </c>
      <c r="AB650" s="0" t="n">
        <v>1</v>
      </c>
      <c r="AC650" s="0" t="n">
        <v>0</v>
      </c>
      <c r="AD650" s="0" t="n">
        <v>0</v>
      </c>
      <c r="AE650" s="0" t="n">
        <v>0</v>
      </c>
      <c r="AF650" s="0" t="n">
        <v>1.40510925623953</v>
      </c>
      <c r="AG650" s="0" t="n">
        <v>0</v>
      </c>
      <c r="AH650" s="0" t="n">
        <v>0</v>
      </c>
      <c r="AI650" s="0" t="n">
        <v>0</v>
      </c>
      <c r="AK650" s="0" t="n">
        <f aca="false">A650</f>
        <v>633</v>
      </c>
      <c r="AL650" s="0" t="n">
        <v>0</v>
      </c>
      <c r="AM650" s="0" t="n">
        <v>1</v>
      </c>
      <c r="AO650" s="0" t="n">
        <v>633</v>
      </c>
      <c r="AP650" s="0" t="n">
        <v>0</v>
      </c>
      <c r="AQ650" s="0" t="n">
        <v>0.345491900557875</v>
      </c>
      <c r="AR650" s="0" t="n">
        <v>555.450656926582</v>
      </c>
      <c r="AS650" s="0" t="n">
        <v>86</v>
      </c>
      <c r="AT650" s="0" t="n">
        <v>84</v>
      </c>
    </row>
    <row r="651" customFormat="false" ht="12" hidden="false" customHeight="false" outlineLevel="0" collapsed="false">
      <c r="A651" s="0" t="n">
        <v>634</v>
      </c>
      <c r="B651" s="0" t="n">
        <v>1</v>
      </c>
      <c r="C651" s="0" t="n">
        <v>1.6319105126021</v>
      </c>
      <c r="D651" s="0" t="n">
        <v>695.984502769311</v>
      </c>
      <c r="E651" s="0" t="n">
        <v>8</v>
      </c>
      <c r="F651" s="0" t="n">
        <v>6</v>
      </c>
      <c r="G651" s="0" t="n">
        <v>0.5</v>
      </c>
      <c r="H651" s="0" t="n">
        <v>1</v>
      </c>
      <c r="I651" s="0" t="n">
        <v>0</v>
      </c>
      <c r="J651" s="0" t="n">
        <v>700.594779351695</v>
      </c>
      <c r="K651" s="0" t="n">
        <v>0</v>
      </c>
      <c r="L651" s="0" t="n">
        <v>2.00537719941891</v>
      </c>
      <c r="M651" s="0" t="n">
        <v>700.657999835893</v>
      </c>
      <c r="N651" s="0" t="n">
        <v>4.67349706658183</v>
      </c>
      <c r="O651" s="0" t="n">
        <v>634</v>
      </c>
      <c r="P651" s="0" t="n">
        <v>319</v>
      </c>
      <c r="Q651" s="0" t="n">
        <v>315</v>
      </c>
      <c r="R651" s="0" t="n">
        <v>569.226331113609</v>
      </c>
      <c r="S651" s="0" t="n">
        <v>939.367246642647</v>
      </c>
      <c r="T651" s="0" t="n">
        <v>21</v>
      </c>
      <c r="U651" s="0" t="n">
        <v>27</v>
      </c>
      <c r="V651" s="0" t="n">
        <v>27.1060028596943</v>
      </c>
      <c r="W651" s="0" t="n">
        <v>34.7912506487993</v>
      </c>
      <c r="X651" s="0" t="n">
        <v>0</v>
      </c>
      <c r="Y651" s="0" t="n">
        <v>0</v>
      </c>
      <c r="Z651" s="0" t="n">
        <v>4.67349706658183</v>
      </c>
      <c r="AA651" s="0" t="n">
        <v>0</v>
      </c>
      <c r="AB651" s="0" t="n">
        <v>0</v>
      </c>
      <c r="AC651" s="0" t="n">
        <v>0</v>
      </c>
      <c r="AD651" s="0" t="n">
        <v>1</v>
      </c>
      <c r="AE651" s="0" t="n">
        <v>0</v>
      </c>
      <c r="AF651" s="0" t="n">
        <v>0</v>
      </c>
      <c r="AG651" s="0" t="n">
        <v>0</v>
      </c>
      <c r="AH651" s="0" t="n">
        <v>9.56297617969307</v>
      </c>
      <c r="AI651" s="0" t="n">
        <v>0</v>
      </c>
      <c r="AK651" s="0" t="n">
        <f aca="false">A651</f>
        <v>634</v>
      </c>
      <c r="AL651" s="0" t="n">
        <v>1</v>
      </c>
      <c r="AM651" s="0" t="n">
        <v>2</v>
      </c>
      <c r="AO651" s="0" t="n">
        <v>634</v>
      </c>
      <c r="AP651" s="0" t="n">
        <v>1</v>
      </c>
      <c r="AQ651" s="0" t="n">
        <v>2.10739056967662</v>
      </c>
      <c r="AR651" s="0" t="n">
        <v>557.558047496259</v>
      </c>
      <c r="AS651" s="0" t="n">
        <v>86</v>
      </c>
      <c r="AT651" s="0" t="n">
        <v>82</v>
      </c>
    </row>
    <row r="652" customFormat="false" ht="12" hidden="false" customHeight="false" outlineLevel="0" collapsed="false">
      <c r="A652" s="0" t="n">
        <v>635</v>
      </c>
      <c r="B652" s="0" t="n">
        <v>0</v>
      </c>
      <c r="C652" s="0" t="n">
        <v>0.470469553588029</v>
      </c>
      <c r="D652" s="0" t="n">
        <v>696.454972322899</v>
      </c>
      <c r="E652" s="0" t="n">
        <v>8</v>
      </c>
      <c r="F652" s="0" t="n">
        <v>8</v>
      </c>
      <c r="G652" s="0" t="n">
        <v>0.5</v>
      </c>
      <c r="H652" s="0" t="n">
        <v>1</v>
      </c>
      <c r="I652" s="0" t="n">
        <v>0</v>
      </c>
      <c r="J652" s="0" t="n">
        <v>700.594779351695</v>
      </c>
      <c r="K652" s="0" t="n">
        <v>0</v>
      </c>
      <c r="L652" s="0" t="n">
        <v>2.19858458598384</v>
      </c>
      <c r="M652" s="0" t="n">
        <v>702.856584421877</v>
      </c>
      <c r="N652" s="0" t="n">
        <v>6.40161209897769</v>
      </c>
      <c r="O652" s="0" t="n">
        <v>635</v>
      </c>
      <c r="P652" s="0" t="n">
        <v>319</v>
      </c>
      <c r="Q652" s="0" t="n">
        <v>316</v>
      </c>
      <c r="R652" s="0" t="n">
        <v>738.821162051107</v>
      </c>
      <c r="S652" s="0" t="n">
        <v>759.456446306771</v>
      </c>
      <c r="T652" s="0" t="n">
        <v>23</v>
      </c>
      <c r="U652" s="0" t="n">
        <v>25</v>
      </c>
      <c r="V652" s="0" t="n">
        <v>32.1226452532458</v>
      </c>
      <c r="W652" s="0" t="n">
        <v>30.3781363397255</v>
      </c>
      <c r="X652" s="0" t="n">
        <v>0</v>
      </c>
      <c r="Y652" s="0" t="n">
        <v>0</v>
      </c>
      <c r="Z652" s="0" t="n">
        <v>0</v>
      </c>
      <c r="AA652" s="0" t="n">
        <v>6.40161209897769</v>
      </c>
      <c r="AB652" s="0" t="n">
        <v>0</v>
      </c>
      <c r="AC652" s="0" t="n">
        <v>0</v>
      </c>
      <c r="AD652" s="0" t="n">
        <v>0</v>
      </c>
      <c r="AE652" s="0" t="n">
        <v>1</v>
      </c>
      <c r="AF652" s="0" t="n">
        <v>0</v>
      </c>
      <c r="AG652" s="0" t="n">
        <v>0</v>
      </c>
      <c r="AH652" s="0" t="n">
        <v>0</v>
      </c>
      <c r="AI652" s="0" t="n">
        <v>1.7683378884384</v>
      </c>
      <c r="AK652" s="0" t="n">
        <f aca="false">A652</f>
        <v>635</v>
      </c>
      <c r="AL652" s="0" t="n">
        <v>0</v>
      </c>
      <c r="AM652" s="0" t="n">
        <v>0</v>
      </c>
      <c r="AO652" s="0" t="n">
        <v>635</v>
      </c>
      <c r="AP652" s="0" t="n">
        <v>1</v>
      </c>
      <c r="AQ652" s="0" t="n">
        <v>0.166993012854903</v>
      </c>
      <c r="AR652" s="0" t="n">
        <v>557.725040509114</v>
      </c>
      <c r="AS652" s="0" t="n">
        <v>84</v>
      </c>
      <c r="AT652" s="0" t="n">
        <v>84</v>
      </c>
    </row>
    <row r="653" customFormat="false" ht="12" hidden="false" customHeight="false" outlineLevel="0" collapsed="false">
      <c r="A653" s="0" t="n">
        <v>636</v>
      </c>
      <c r="B653" s="0" t="n">
        <v>0</v>
      </c>
      <c r="C653" s="0" t="n">
        <v>0.673654341593194</v>
      </c>
      <c r="D653" s="0" t="n">
        <v>697.128626664492</v>
      </c>
      <c r="E653" s="0" t="n">
        <v>6</v>
      </c>
      <c r="F653" s="0" t="n">
        <v>8</v>
      </c>
      <c r="G653" s="0" t="n">
        <v>0.5</v>
      </c>
      <c r="H653" s="0" t="n">
        <v>1</v>
      </c>
      <c r="I653" s="0" t="n">
        <v>0</v>
      </c>
      <c r="J653" s="0" t="n">
        <v>700.594779351695</v>
      </c>
      <c r="K653" s="0" t="n">
        <v>0</v>
      </c>
      <c r="L653" s="0" t="n">
        <v>1.84167288212049</v>
      </c>
      <c r="M653" s="0" t="n">
        <v>704.698257303997</v>
      </c>
      <c r="N653" s="0" t="n">
        <v>7.56963063950502</v>
      </c>
      <c r="O653" s="0" t="n">
        <v>636</v>
      </c>
      <c r="P653" s="0" t="n">
        <v>319</v>
      </c>
      <c r="Q653" s="0" t="n">
        <v>317</v>
      </c>
      <c r="R653" s="0" t="n">
        <v>721.433355932066</v>
      </c>
      <c r="S653" s="0" t="n">
        <v>766.074583504974</v>
      </c>
      <c r="T653" s="0" t="n">
        <v>25</v>
      </c>
      <c r="U653" s="0" t="n">
        <v>23</v>
      </c>
      <c r="V653" s="0" t="n">
        <v>28.8573226943536</v>
      </c>
      <c r="W653" s="0" t="n">
        <v>33.3074457721912</v>
      </c>
      <c r="X653" s="0" t="n">
        <v>0</v>
      </c>
      <c r="Y653" s="0" t="n">
        <v>0</v>
      </c>
      <c r="Z653" s="0" t="n">
        <v>0</v>
      </c>
      <c r="AA653" s="0" t="n">
        <v>7.56963063950502</v>
      </c>
      <c r="AB653" s="0" t="n">
        <v>0</v>
      </c>
      <c r="AC653" s="0" t="n">
        <v>0</v>
      </c>
      <c r="AD653" s="0" t="n">
        <v>0</v>
      </c>
      <c r="AE653" s="0" t="n">
        <v>1</v>
      </c>
      <c r="AF653" s="0" t="n">
        <v>0</v>
      </c>
      <c r="AG653" s="0" t="n">
        <v>0</v>
      </c>
      <c r="AH653" s="0" t="n">
        <v>0</v>
      </c>
      <c r="AI653" s="0" t="n">
        <v>0.0261695725485541</v>
      </c>
      <c r="AK653" s="0" t="n">
        <f aca="false">A653</f>
        <v>636</v>
      </c>
      <c r="AL653" s="0" t="n">
        <v>1</v>
      </c>
      <c r="AM653" s="0" t="n">
        <v>1</v>
      </c>
      <c r="AO653" s="0" t="n">
        <v>636</v>
      </c>
      <c r="AP653" s="0" t="n">
        <v>1</v>
      </c>
      <c r="AQ653" s="0" t="n">
        <v>0.356663523945098</v>
      </c>
      <c r="AR653" s="0" t="n">
        <v>558.081704033059</v>
      </c>
      <c r="AS653" s="0" t="n">
        <v>86</v>
      </c>
      <c r="AT653" s="0" t="n">
        <v>84</v>
      </c>
    </row>
    <row r="654" customFormat="false" ht="12" hidden="false" customHeight="false" outlineLevel="0" collapsed="false">
      <c r="A654" s="0" t="n">
        <v>637</v>
      </c>
      <c r="B654" s="0" t="n">
        <v>1</v>
      </c>
      <c r="C654" s="0" t="n">
        <v>0.0347616759879253</v>
      </c>
      <c r="D654" s="0" t="n">
        <v>697.16338834048</v>
      </c>
      <c r="E654" s="0" t="n">
        <v>6</v>
      </c>
      <c r="F654" s="0" t="n">
        <v>10</v>
      </c>
      <c r="G654" s="0" t="n">
        <v>0.5</v>
      </c>
      <c r="H654" s="0" t="n">
        <v>0</v>
      </c>
      <c r="I654" s="0" t="n">
        <v>1.85115580979632</v>
      </c>
      <c r="J654" s="0" t="n">
        <v>702.445935161491</v>
      </c>
      <c r="K654" s="0" t="n">
        <v>5.28254682101112</v>
      </c>
      <c r="L654" s="0" t="n">
        <v>0</v>
      </c>
      <c r="M654" s="0" t="n">
        <v>704.698257303997</v>
      </c>
      <c r="N654" s="0" t="n">
        <v>0</v>
      </c>
      <c r="O654" s="0" t="n">
        <v>637</v>
      </c>
      <c r="P654" s="0" t="n">
        <v>320</v>
      </c>
      <c r="Q654" s="0" t="n">
        <v>317</v>
      </c>
      <c r="R654" s="0" t="n">
        <v>743.735984844111</v>
      </c>
      <c r="S654" s="0" t="n">
        <v>736.162073715841</v>
      </c>
      <c r="T654" s="0" t="n">
        <v>24</v>
      </c>
      <c r="U654" s="0" t="n">
        <v>24</v>
      </c>
      <c r="V654" s="0" t="n">
        <v>30.9889864564269</v>
      </c>
      <c r="W654" s="0" t="n">
        <v>30.673291932777</v>
      </c>
      <c r="X654" s="0" t="n">
        <v>5.28254682101112</v>
      </c>
      <c r="Y654" s="0" t="n">
        <v>0</v>
      </c>
      <c r="Z654" s="0" t="n">
        <v>0</v>
      </c>
      <c r="AA654" s="0" t="n">
        <v>0</v>
      </c>
      <c r="AB654" s="0" t="n">
        <v>1</v>
      </c>
      <c r="AC654" s="0" t="n">
        <v>0</v>
      </c>
      <c r="AD654" s="0" t="n">
        <v>0</v>
      </c>
      <c r="AE654" s="0" t="n">
        <v>0</v>
      </c>
      <c r="AF654" s="0" t="n">
        <v>4.60108213935262</v>
      </c>
      <c r="AG654" s="0" t="n">
        <v>0</v>
      </c>
      <c r="AH654" s="0" t="n">
        <v>0</v>
      </c>
      <c r="AI654" s="0" t="n">
        <v>0</v>
      </c>
      <c r="AK654" s="0" t="n">
        <f aca="false">A654</f>
        <v>637</v>
      </c>
      <c r="AL654" s="0" t="n">
        <v>2</v>
      </c>
      <c r="AM654" s="0" t="n">
        <v>1</v>
      </c>
      <c r="AO654" s="0" t="n">
        <v>637</v>
      </c>
      <c r="AP654" s="0" t="n">
        <v>0</v>
      </c>
      <c r="AQ654" s="0" t="n">
        <v>1.38252086201697</v>
      </c>
      <c r="AR654" s="0" t="n">
        <v>559.464224895076</v>
      </c>
      <c r="AS654" s="0" t="n">
        <v>86</v>
      </c>
      <c r="AT654" s="0" t="n">
        <v>84</v>
      </c>
    </row>
    <row r="655" customFormat="false" ht="12" hidden="false" customHeight="false" outlineLevel="0" collapsed="false">
      <c r="A655" s="0" t="n">
        <v>638</v>
      </c>
      <c r="B655" s="0" t="n">
        <v>0</v>
      </c>
      <c r="C655" s="0" t="n">
        <v>0.204360613809858</v>
      </c>
      <c r="D655" s="0" t="n">
        <v>697.36774895429</v>
      </c>
      <c r="E655" s="0" t="n">
        <v>8</v>
      </c>
      <c r="F655" s="0" t="n">
        <v>10</v>
      </c>
      <c r="G655" s="0" t="n">
        <v>0.5</v>
      </c>
      <c r="H655" s="0" t="n">
        <v>1</v>
      </c>
      <c r="I655" s="0" t="n">
        <v>0</v>
      </c>
      <c r="J655" s="0" t="n">
        <v>702.445935161491</v>
      </c>
      <c r="K655" s="0" t="n">
        <v>0</v>
      </c>
      <c r="L655" s="0" t="n">
        <v>1.87172655694664</v>
      </c>
      <c r="M655" s="0" t="n">
        <v>706.569983860944</v>
      </c>
      <c r="N655" s="0" t="n">
        <v>9.20223490665387</v>
      </c>
      <c r="O655" s="0" t="n">
        <v>638</v>
      </c>
      <c r="P655" s="0" t="n">
        <v>320</v>
      </c>
      <c r="Q655" s="0" t="n">
        <v>318</v>
      </c>
      <c r="R655" s="0" t="n">
        <v>941.39654812733</v>
      </c>
      <c r="S655" s="0" t="n">
        <v>565.743135656924</v>
      </c>
      <c r="T655" s="0" t="n">
        <v>26</v>
      </c>
      <c r="U655" s="0" t="n">
        <v>22</v>
      </c>
      <c r="V655" s="0" t="n">
        <v>36.2075456173798</v>
      </c>
      <c r="W655" s="0" t="n">
        <v>25.7154801867684</v>
      </c>
      <c r="X655" s="0" t="n">
        <v>0</v>
      </c>
      <c r="Y655" s="0" t="n">
        <v>0</v>
      </c>
      <c r="Z655" s="0" t="n">
        <v>0</v>
      </c>
      <c r="AA655" s="0" t="n">
        <v>9.20223490665387</v>
      </c>
      <c r="AB655" s="0" t="n">
        <v>0</v>
      </c>
      <c r="AC655" s="0" t="n">
        <v>0</v>
      </c>
      <c r="AD655" s="0" t="n">
        <v>0</v>
      </c>
      <c r="AE655" s="0" t="n">
        <v>1</v>
      </c>
      <c r="AF655" s="0" t="n">
        <v>0</v>
      </c>
      <c r="AG655" s="0" t="n">
        <v>0</v>
      </c>
      <c r="AH655" s="0" t="n">
        <v>0</v>
      </c>
      <c r="AI655" s="0" t="n">
        <v>2.16335308092954</v>
      </c>
      <c r="AK655" s="0" t="n">
        <f aca="false">A655</f>
        <v>638</v>
      </c>
      <c r="AL655" s="0" t="n">
        <v>1</v>
      </c>
      <c r="AM655" s="0" t="n">
        <v>1</v>
      </c>
      <c r="AO655" s="0" t="n">
        <v>638</v>
      </c>
      <c r="AP655" s="0" t="n">
        <v>1</v>
      </c>
      <c r="AQ655" s="0" t="n">
        <v>0.424741676640362</v>
      </c>
      <c r="AR655" s="0" t="n">
        <v>559.888966571716</v>
      </c>
      <c r="AS655" s="0" t="n">
        <v>84</v>
      </c>
      <c r="AT655" s="0" t="n">
        <v>86</v>
      </c>
    </row>
    <row r="656" customFormat="false" ht="12" hidden="false" customHeight="false" outlineLevel="0" collapsed="false">
      <c r="A656" s="0" t="n">
        <v>639</v>
      </c>
      <c r="B656" s="0" t="n">
        <v>1</v>
      </c>
      <c r="C656" s="0" t="n">
        <v>3.91565534834101</v>
      </c>
      <c r="D656" s="0" t="n">
        <v>701.283404302631</v>
      </c>
      <c r="E656" s="0" t="n">
        <v>4</v>
      </c>
      <c r="F656" s="0" t="n">
        <v>8</v>
      </c>
      <c r="G656" s="0" t="n">
        <v>0.5</v>
      </c>
      <c r="H656" s="0" t="n">
        <v>0</v>
      </c>
      <c r="I656" s="0" t="n">
        <v>2.18064601776246</v>
      </c>
      <c r="J656" s="0" t="n">
        <v>704.626581179254</v>
      </c>
      <c r="K656" s="0" t="n">
        <v>3.34317687662269</v>
      </c>
      <c r="L656" s="0" t="n">
        <v>0</v>
      </c>
      <c r="M656" s="0" t="n">
        <v>706.569983860944</v>
      </c>
      <c r="N656" s="0" t="n">
        <v>0</v>
      </c>
      <c r="O656" s="0" t="n">
        <v>639</v>
      </c>
      <c r="P656" s="0" t="n">
        <v>321</v>
      </c>
      <c r="Q656" s="0" t="n">
        <v>318</v>
      </c>
      <c r="R656" s="0" t="n">
        <v>806.914940127046</v>
      </c>
      <c r="S656" s="0" t="n">
        <v>701.160792888812</v>
      </c>
      <c r="T656" s="0" t="n">
        <v>25</v>
      </c>
      <c r="U656" s="0" t="n">
        <v>23</v>
      </c>
      <c r="V656" s="0" t="n">
        <v>32.2765846944479</v>
      </c>
      <c r="W656" s="0" t="n">
        <v>30.4851193207339</v>
      </c>
      <c r="X656" s="0" t="n">
        <v>3.34317687662269</v>
      </c>
      <c r="Y656" s="0" t="n">
        <v>0</v>
      </c>
      <c r="Z656" s="0" t="n">
        <v>0</v>
      </c>
      <c r="AA656" s="0" t="n">
        <v>0</v>
      </c>
      <c r="AB656" s="0" t="n">
        <v>1</v>
      </c>
      <c r="AC656" s="0" t="n">
        <v>0</v>
      </c>
      <c r="AD656" s="0" t="n">
        <v>0</v>
      </c>
      <c r="AE656" s="0" t="n">
        <v>0</v>
      </c>
      <c r="AF656" s="0" t="n">
        <v>16.6821866435142</v>
      </c>
      <c r="AG656" s="0" t="n">
        <v>0</v>
      </c>
      <c r="AH656" s="0" t="n">
        <v>0</v>
      </c>
      <c r="AI656" s="0" t="n">
        <v>0</v>
      </c>
      <c r="AK656" s="0" t="n">
        <f aca="false">A656</f>
        <v>639</v>
      </c>
      <c r="AL656" s="0" t="n">
        <v>2</v>
      </c>
      <c r="AM656" s="0" t="n">
        <v>1</v>
      </c>
      <c r="AO656" s="0" t="n">
        <v>639</v>
      </c>
      <c r="AP656" s="0" t="n">
        <v>0</v>
      </c>
      <c r="AQ656" s="0" t="n">
        <v>0.92328114939717</v>
      </c>
      <c r="AR656" s="0" t="n">
        <v>560.812247721113</v>
      </c>
      <c r="AS656" s="0" t="n">
        <v>86</v>
      </c>
      <c r="AT656" s="0" t="n">
        <v>84</v>
      </c>
    </row>
    <row r="657" customFormat="false" ht="12" hidden="false" customHeight="false" outlineLevel="0" collapsed="false">
      <c r="A657" s="0" t="n">
        <v>640</v>
      </c>
      <c r="B657" s="0" t="n">
        <v>1</v>
      </c>
      <c r="C657" s="0" t="n">
        <v>1.02795270676106</v>
      </c>
      <c r="D657" s="0" t="n">
        <v>702.311357009392</v>
      </c>
      <c r="E657" s="0" t="n">
        <v>6</v>
      </c>
      <c r="F657" s="0" t="n">
        <v>8</v>
      </c>
      <c r="G657" s="0" t="n">
        <v>0.5</v>
      </c>
      <c r="H657" s="0" t="n">
        <v>0</v>
      </c>
      <c r="I657" s="0" t="n">
        <v>2.17639447859948</v>
      </c>
      <c r="J657" s="0" t="n">
        <v>706.802975657853</v>
      </c>
      <c r="K657" s="0" t="n">
        <v>4.4916186484611</v>
      </c>
      <c r="L657" s="0" t="n">
        <v>0</v>
      </c>
      <c r="M657" s="0" t="n">
        <v>706.569983860944</v>
      </c>
      <c r="N657" s="0" t="n">
        <v>0</v>
      </c>
      <c r="O657" s="0" t="n">
        <v>640</v>
      </c>
      <c r="P657" s="0" t="n">
        <v>322</v>
      </c>
      <c r="Q657" s="0" t="n">
        <v>318</v>
      </c>
      <c r="R657" s="0" t="n">
        <v>666.010132134398</v>
      </c>
      <c r="S657" s="0" t="n">
        <v>847.816430980729</v>
      </c>
      <c r="T657" s="0" t="n">
        <v>21</v>
      </c>
      <c r="U657" s="0" t="n">
        <v>27</v>
      </c>
      <c r="V657" s="0" t="n">
        <v>31.7147530946127</v>
      </c>
      <c r="W657" s="0" t="n">
        <v>31.4004922567223</v>
      </c>
      <c r="X657" s="0" t="n">
        <v>4.4916186484611</v>
      </c>
      <c r="Y657" s="0" t="n">
        <v>0</v>
      </c>
      <c r="Z657" s="0" t="n">
        <v>0</v>
      </c>
      <c r="AA657" s="0" t="n">
        <v>0</v>
      </c>
      <c r="AB657" s="0" t="n">
        <v>1</v>
      </c>
      <c r="AC657" s="0" t="n">
        <v>0</v>
      </c>
      <c r="AD657" s="0" t="n">
        <v>0</v>
      </c>
      <c r="AE657" s="0" t="n">
        <v>0</v>
      </c>
      <c r="AF657" s="0" t="n">
        <v>8.6197524427155</v>
      </c>
      <c r="AG657" s="0" t="n">
        <v>0</v>
      </c>
      <c r="AH657" s="0" t="n">
        <v>0</v>
      </c>
      <c r="AI657" s="0" t="n">
        <v>0</v>
      </c>
      <c r="AK657" s="0" t="n">
        <f aca="false">A657</f>
        <v>640</v>
      </c>
      <c r="AL657" s="0" t="n">
        <v>1</v>
      </c>
      <c r="AM657" s="0" t="n">
        <v>0</v>
      </c>
      <c r="AO657" s="0" t="n">
        <v>640</v>
      </c>
      <c r="AP657" s="0" t="n">
        <v>1</v>
      </c>
      <c r="AQ657" s="0" t="n">
        <v>0.27883339635142</v>
      </c>
      <c r="AR657" s="0" t="n">
        <v>561.091081117465</v>
      </c>
      <c r="AS657" s="0" t="n">
        <v>86</v>
      </c>
      <c r="AT657" s="0" t="n">
        <v>86</v>
      </c>
    </row>
    <row r="658" customFormat="false" ht="12" hidden="false" customHeight="false" outlineLevel="0" collapsed="false">
      <c r="A658" s="0" t="n">
        <v>641</v>
      </c>
      <c r="B658" s="0" t="n">
        <v>0</v>
      </c>
      <c r="C658" s="0" t="n">
        <v>1.02624891317032</v>
      </c>
      <c r="D658" s="0" t="n">
        <v>703.337605922563</v>
      </c>
      <c r="E658" s="0" t="n">
        <v>6</v>
      </c>
      <c r="F658" s="0" t="n">
        <v>6</v>
      </c>
      <c r="G658" s="0" t="n">
        <v>0.5</v>
      </c>
      <c r="H658" s="0" t="n">
        <v>1</v>
      </c>
      <c r="I658" s="0" t="n">
        <v>0</v>
      </c>
      <c r="J658" s="0" t="n">
        <v>706.802975657853</v>
      </c>
      <c r="K658" s="0" t="n">
        <v>0</v>
      </c>
      <c r="L658" s="0" t="n">
        <v>2.16208417460187</v>
      </c>
      <c r="M658" s="0" t="n">
        <v>708.732068035546</v>
      </c>
      <c r="N658" s="0" t="n">
        <v>5.39446211298332</v>
      </c>
      <c r="O658" s="0" t="n">
        <v>641</v>
      </c>
      <c r="P658" s="0" t="n">
        <v>322</v>
      </c>
      <c r="Q658" s="0" t="n">
        <v>319</v>
      </c>
      <c r="R658" s="0" t="n">
        <v>678.547272128616</v>
      </c>
      <c r="S658" s="0" t="n">
        <v>838.715213036334</v>
      </c>
      <c r="T658" s="0" t="n">
        <v>21</v>
      </c>
      <c r="U658" s="0" t="n">
        <v>27</v>
      </c>
      <c r="V658" s="0" t="n">
        <v>32.3117594767153</v>
      </c>
      <c r="W658" s="0" t="n">
        <v>31.0634113590814</v>
      </c>
      <c r="X658" s="0" t="n">
        <v>0</v>
      </c>
      <c r="Y658" s="0" t="n">
        <v>0</v>
      </c>
      <c r="Z658" s="0" t="n">
        <v>0</v>
      </c>
      <c r="AA658" s="0" t="n">
        <v>5.39446211298332</v>
      </c>
      <c r="AB658" s="0" t="n">
        <v>0</v>
      </c>
      <c r="AC658" s="0" t="n">
        <v>0</v>
      </c>
      <c r="AD658" s="0" t="n">
        <v>0</v>
      </c>
      <c r="AE658" s="0" t="n">
        <v>1</v>
      </c>
      <c r="AF658" s="0" t="n">
        <v>0</v>
      </c>
      <c r="AG658" s="0" t="n">
        <v>0</v>
      </c>
      <c r="AH658" s="0" t="n">
        <v>0</v>
      </c>
      <c r="AI658" s="0" t="n">
        <v>5.46128224950647</v>
      </c>
      <c r="AK658" s="0" t="n">
        <f aca="false">A658</f>
        <v>641</v>
      </c>
      <c r="AL658" s="0" t="n">
        <v>0</v>
      </c>
      <c r="AM658" s="0" t="n">
        <v>1</v>
      </c>
      <c r="AO658" s="0" t="n">
        <v>641</v>
      </c>
      <c r="AP658" s="0" t="n">
        <v>0</v>
      </c>
      <c r="AQ658" s="0" t="n">
        <v>2.4017982201131</v>
      </c>
      <c r="AR658" s="0" t="n">
        <v>563.492879337578</v>
      </c>
      <c r="AS658" s="0" t="n">
        <v>86</v>
      </c>
      <c r="AT658" s="0" t="n">
        <v>84</v>
      </c>
    </row>
    <row r="659" customFormat="false" ht="12" hidden="false" customHeight="false" outlineLevel="0" collapsed="false">
      <c r="A659" s="0" t="n">
        <v>642</v>
      </c>
      <c r="B659" s="0" t="n">
        <v>1</v>
      </c>
      <c r="C659" s="0" t="n">
        <v>2.89847001440422</v>
      </c>
      <c r="D659" s="0" t="n">
        <v>706.236075936967</v>
      </c>
      <c r="E659" s="0" t="n">
        <v>4</v>
      </c>
      <c r="F659" s="0" t="n">
        <v>6</v>
      </c>
      <c r="G659" s="0" t="n">
        <v>0.5</v>
      </c>
      <c r="H659" s="0" t="n">
        <v>0</v>
      </c>
      <c r="I659" s="0" t="n">
        <v>1.77469882043098</v>
      </c>
      <c r="J659" s="0" t="n">
        <v>708.577674478284</v>
      </c>
      <c r="K659" s="0" t="n">
        <v>2.34159854131758</v>
      </c>
      <c r="L659" s="0" t="n">
        <v>0</v>
      </c>
      <c r="M659" s="0" t="n">
        <v>708.732068035546</v>
      </c>
      <c r="N659" s="0" t="n">
        <v>0</v>
      </c>
      <c r="O659" s="0" t="n">
        <v>642</v>
      </c>
      <c r="P659" s="0" t="n">
        <v>323</v>
      </c>
      <c r="Q659" s="0" t="n">
        <v>319</v>
      </c>
      <c r="R659" s="0" t="n">
        <v>837.403217934688</v>
      </c>
      <c r="S659" s="0" t="n">
        <v>709.925193023159</v>
      </c>
      <c r="T659" s="0" t="n">
        <v>25</v>
      </c>
      <c r="U659" s="0" t="n">
        <v>23</v>
      </c>
      <c r="V659" s="0" t="n">
        <v>33.4961153189414</v>
      </c>
      <c r="W659" s="0" t="n">
        <v>30.8661785393611</v>
      </c>
      <c r="X659" s="0" t="n">
        <v>2.34159854131758</v>
      </c>
      <c r="Y659" s="0" t="n">
        <v>0</v>
      </c>
      <c r="Z659" s="0" t="n">
        <v>0</v>
      </c>
      <c r="AA659" s="0" t="n">
        <v>0</v>
      </c>
      <c r="AB659" s="0" t="n">
        <v>1</v>
      </c>
      <c r="AC659" s="0" t="n">
        <v>0</v>
      </c>
      <c r="AD659" s="0" t="n">
        <v>0</v>
      </c>
      <c r="AE659" s="0" t="n">
        <v>0</v>
      </c>
      <c r="AF659" s="0" t="n">
        <v>25.8670053849627</v>
      </c>
      <c r="AG659" s="0" t="n">
        <v>0</v>
      </c>
      <c r="AH659" s="0" t="n">
        <v>0</v>
      </c>
      <c r="AI659" s="0" t="n">
        <v>0</v>
      </c>
      <c r="AK659" s="0" t="n">
        <f aca="false">A659</f>
        <v>642</v>
      </c>
      <c r="AL659" s="0" t="n">
        <v>1</v>
      </c>
      <c r="AM659" s="0" t="n">
        <v>2</v>
      </c>
      <c r="AO659" s="0" t="n">
        <v>642</v>
      </c>
      <c r="AP659" s="0" t="n">
        <v>1</v>
      </c>
      <c r="AQ659" s="0" t="n">
        <v>0.218988059131226</v>
      </c>
      <c r="AR659" s="0" t="n">
        <v>563.711867396709</v>
      </c>
      <c r="AS659" s="0" t="n">
        <v>88</v>
      </c>
      <c r="AT659" s="0" t="n">
        <v>84</v>
      </c>
    </row>
    <row r="660" customFormat="false" ht="12" hidden="false" customHeight="false" outlineLevel="0" collapsed="false">
      <c r="A660" s="0" t="n">
        <v>643</v>
      </c>
      <c r="B660" s="0" t="n">
        <v>1</v>
      </c>
      <c r="C660" s="0" t="n">
        <v>2.92535238441728</v>
      </c>
      <c r="D660" s="0" t="n">
        <v>709.161428321384</v>
      </c>
      <c r="E660" s="0" t="n">
        <v>2</v>
      </c>
      <c r="F660" s="0" t="n">
        <v>2</v>
      </c>
      <c r="G660" s="0" t="n">
        <v>0.5</v>
      </c>
      <c r="H660" s="0" t="n">
        <v>1</v>
      </c>
      <c r="I660" s="0" t="n">
        <v>0</v>
      </c>
      <c r="J660" s="0" t="n">
        <v>709.161428321384</v>
      </c>
      <c r="K660" s="0" t="n">
        <v>0</v>
      </c>
      <c r="L660" s="0" t="n">
        <v>1.84397303602364</v>
      </c>
      <c r="M660" s="0" t="n">
        <v>711.005401357408</v>
      </c>
      <c r="N660" s="0" t="n">
        <v>1.84397303602361</v>
      </c>
      <c r="O660" s="0" t="n">
        <v>643</v>
      </c>
      <c r="P660" s="0" t="n">
        <v>323</v>
      </c>
      <c r="Q660" s="0" t="n">
        <v>320</v>
      </c>
      <c r="R660" s="0" t="n">
        <v>680.384658009041</v>
      </c>
      <c r="S660" s="0" t="n">
        <v>849.947165610843</v>
      </c>
      <c r="T660" s="0" t="n">
        <v>24</v>
      </c>
      <c r="U660" s="0" t="n">
        <v>24</v>
      </c>
      <c r="V660" s="0" t="n">
        <v>28.349348938148</v>
      </c>
      <c r="W660" s="0" t="n">
        <v>35.4143176741281</v>
      </c>
      <c r="X660" s="0" t="n">
        <v>0</v>
      </c>
      <c r="Y660" s="0" t="n">
        <v>0</v>
      </c>
      <c r="Z660" s="0" t="n">
        <v>1.84397303602361</v>
      </c>
      <c r="AA660" s="0" t="n">
        <v>0</v>
      </c>
      <c r="AB660" s="0" t="n">
        <v>0</v>
      </c>
      <c r="AC660" s="0" t="n">
        <v>0</v>
      </c>
      <c r="AD660" s="0" t="n">
        <v>1</v>
      </c>
      <c r="AE660" s="0" t="n">
        <v>0</v>
      </c>
      <c r="AF660" s="0" t="n">
        <v>0</v>
      </c>
      <c r="AG660" s="0" t="n">
        <v>0</v>
      </c>
      <c r="AH660" s="0" t="n">
        <v>35.0692577971069</v>
      </c>
      <c r="AI660" s="0" t="n">
        <v>0</v>
      </c>
      <c r="AK660" s="0" t="n">
        <f aca="false">A660</f>
        <v>643</v>
      </c>
      <c r="AL660" s="0" t="n">
        <v>0</v>
      </c>
      <c r="AM660" s="0" t="n">
        <v>0</v>
      </c>
      <c r="AO660" s="0" t="n">
        <v>643</v>
      </c>
      <c r="AP660" s="0" t="n">
        <v>0</v>
      </c>
      <c r="AQ660" s="0" t="n">
        <v>0.257965759048097</v>
      </c>
      <c r="AR660" s="0" t="n">
        <v>563.969833155757</v>
      </c>
      <c r="AS660" s="0" t="n">
        <v>86</v>
      </c>
      <c r="AT660" s="0" t="n">
        <v>86</v>
      </c>
    </row>
    <row r="661" customFormat="false" ht="12" hidden="false" customHeight="false" outlineLevel="0" collapsed="false">
      <c r="A661" s="0" t="n">
        <v>644</v>
      </c>
      <c r="B661" s="0" t="n">
        <v>0</v>
      </c>
      <c r="C661" s="0" t="n">
        <v>0.104840558609394</v>
      </c>
      <c r="D661" s="0" t="n">
        <v>709.266268879993</v>
      </c>
      <c r="E661" s="0" t="n">
        <v>2</v>
      </c>
      <c r="F661" s="0" t="n">
        <v>4</v>
      </c>
      <c r="G661" s="0" t="n">
        <v>0.5</v>
      </c>
      <c r="H661" s="0" t="n">
        <v>1</v>
      </c>
      <c r="I661" s="0" t="n">
        <v>0</v>
      </c>
      <c r="J661" s="0" t="n">
        <v>709.266268879993</v>
      </c>
      <c r="K661" s="0" t="n">
        <v>0</v>
      </c>
      <c r="L661" s="0" t="n">
        <v>1.76557737272154</v>
      </c>
      <c r="M661" s="0" t="n">
        <v>712.770978730129</v>
      </c>
      <c r="N661" s="0" t="n">
        <v>3.50470985013578</v>
      </c>
      <c r="O661" s="0" t="n">
        <v>644</v>
      </c>
      <c r="P661" s="0" t="n">
        <v>323</v>
      </c>
      <c r="Q661" s="0" t="n">
        <v>321</v>
      </c>
      <c r="R661" s="0" t="n">
        <v>772.580412179735</v>
      </c>
      <c r="S661" s="0" t="n">
        <v>755.124412105638</v>
      </c>
      <c r="T661" s="0" t="n">
        <v>25</v>
      </c>
      <c r="U661" s="0" t="n">
        <v>23</v>
      </c>
      <c r="V661" s="0" t="n">
        <v>30.9032041259077</v>
      </c>
      <c r="W661" s="0" t="n">
        <v>32.8313534334911</v>
      </c>
      <c r="X661" s="0" t="n">
        <v>0</v>
      </c>
      <c r="Y661" s="0" t="n">
        <v>0</v>
      </c>
      <c r="Z661" s="0" t="n">
        <v>0</v>
      </c>
      <c r="AA661" s="0" t="n">
        <v>3.50470985013578</v>
      </c>
      <c r="AB661" s="0" t="n">
        <v>0</v>
      </c>
      <c r="AC661" s="0" t="n">
        <v>0</v>
      </c>
      <c r="AD661" s="0" t="n">
        <v>0</v>
      </c>
      <c r="AE661" s="0" t="n">
        <v>1</v>
      </c>
      <c r="AF661" s="0" t="n">
        <v>0</v>
      </c>
      <c r="AG661" s="0" t="n">
        <v>0</v>
      </c>
      <c r="AH661" s="0" t="n">
        <v>0</v>
      </c>
      <c r="AI661" s="0" t="n">
        <v>17.864916064867</v>
      </c>
      <c r="AK661" s="0" t="n">
        <f aca="false">A661</f>
        <v>644</v>
      </c>
      <c r="AL661" s="0" t="n">
        <v>1</v>
      </c>
      <c r="AM661" s="0" t="n">
        <v>1</v>
      </c>
      <c r="AO661" s="0" t="n">
        <v>644</v>
      </c>
      <c r="AP661" s="0" t="n">
        <v>1</v>
      </c>
      <c r="AQ661" s="0" t="n">
        <v>0.704299766874422</v>
      </c>
      <c r="AR661" s="0" t="n">
        <v>564.674132922631</v>
      </c>
      <c r="AS661" s="0" t="n">
        <v>86</v>
      </c>
      <c r="AT661" s="0" t="n">
        <v>88</v>
      </c>
    </row>
    <row r="662" customFormat="false" ht="12" hidden="false" customHeight="false" outlineLevel="0" collapsed="false">
      <c r="A662" s="0" t="n">
        <v>645</v>
      </c>
      <c r="B662" s="0" t="n">
        <v>0</v>
      </c>
      <c r="C662" s="0" t="n">
        <v>0.152825400229822</v>
      </c>
      <c r="D662" s="0" t="n">
        <v>709.419094280223</v>
      </c>
      <c r="E662" s="0" t="n">
        <v>2</v>
      </c>
      <c r="F662" s="0" t="n">
        <v>6</v>
      </c>
      <c r="G662" s="0" t="n">
        <v>0.5</v>
      </c>
      <c r="H662" s="0" t="n">
        <v>1</v>
      </c>
      <c r="I662" s="0" t="n">
        <v>0</v>
      </c>
      <c r="J662" s="0" t="n">
        <v>709.419094280223</v>
      </c>
      <c r="K662" s="0" t="n">
        <v>0</v>
      </c>
      <c r="L662" s="0" t="n">
        <v>2.19872409392731</v>
      </c>
      <c r="M662" s="0" t="n">
        <v>714.969702824056</v>
      </c>
      <c r="N662" s="0" t="n">
        <v>5.55060854383328</v>
      </c>
      <c r="O662" s="0" t="n">
        <v>645</v>
      </c>
      <c r="P662" s="0" t="n">
        <v>323</v>
      </c>
      <c r="Q662" s="0" t="n">
        <v>322</v>
      </c>
      <c r="R662" s="0" t="n">
        <v>543.178335511498</v>
      </c>
      <c r="S662" s="0" t="n">
        <v>979.744989108951</v>
      </c>
      <c r="T662" s="0" t="n">
        <v>16</v>
      </c>
      <c r="U662" s="0" t="n">
        <v>32</v>
      </c>
      <c r="V662" s="0" t="n">
        <v>33.9486247515781</v>
      </c>
      <c r="W662" s="0" t="n">
        <v>30.6169352317321</v>
      </c>
      <c r="X662" s="0" t="n">
        <v>0</v>
      </c>
      <c r="Y662" s="0" t="n">
        <v>0</v>
      </c>
      <c r="Z662" s="0" t="n">
        <v>0</v>
      </c>
      <c r="AA662" s="0" t="n">
        <v>5.55060854383328</v>
      </c>
      <c r="AB662" s="0" t="n">
        <v>0</v>
      </c>
      <c r="AC662" s="0" t="n">
        <v>0</v>
      </c>
      <c r="AD662" s="0" t="n">
        <v>0</v>
      </c>
      <c r="AE662" s="0" t="n">
        <v>1</v>
      </c>
      <c r="AF662" s="0" t="n">
        <v>0</v>
      </c>
      <c r="AG662" s="0" t="n">
        <v>0</v>
      </c>
      <c r="AH662" s="0" t="n">
        <v>0</v>
      </c>
      <c r="AI662" s="0" t="n">
        <v>4.75585469903915</v>
      </c>
      <c r="AK662" s="0" t="n">
        <f aca="false">A662</f>
        <v>645</v>
      </c>
      <c r="AL662" s="0" t="n">
        <v>2</v>
      </c>
      <c r="AM662" s="0" t="n">
        <v>0</v>
      </c>
      <c r="AO662" s="0" t="n">
        <v>645</v>
      </c>
      <c r="AP662" s="0" t="n">
        <v>1</v>
      </c>
      <c r="AQ662" s="0" t="n">
        <v>0.0327082499509696</v>
      </c>
      <c r="AR662" s="0" t="n">
        <v>564.706841172582</v>
      </c>
      <c r="AS662" s="0" t="n">
        <v>88</v>
      </c>
      <c r="AT662" s="0" t="n">
        <v>88</v>
      </c>
    </row>
    <row r="663" customFormat="false" ht="12" hidden="false" customHeight="false" outlineLevel="0" collapsed="false">
      <c r="A663" s="0" t="n">
        <v>646</v>
      </c>
      <c r="B663" s="0" t="n">
        <v>1</v>
      </c>
      <c r="C663" s="0" t="n">
        <v>0.187871243831499</v>
      </c>
      <c r="D663" s="0" t="n">
        <v>709.606965524055</v>
      </c>
      <c r="E663" s="0" t="n">
        <v>2</v>
      </c>
      <c r="F663" s="0" t="n">
        <v>8</v>
      </c>
      <c r="G663" s="0" t="n">
        <v>0.5</v>
      </c>
      <c r="H663" s="0" t="n">
        <v>0</v>
      </c>
      <c r="I663" s="0" t="n">
        <v>2.23778622428828</v>
      </c>
      <c r="J663" s="0" t="n">
        <v>711.844751748343</v>
      </c>
      <c r="K663" s="0" t="n">
        <v>2.23778622428824</v>
      </c>
      <c r="L663" s="0" t="n">
        <v>0</v>
      </c>
      <c r="M663" s="0" t="n">
        <v>714.969702824056</v>
      </c>
      <c r="N663" s="0" t="n">
        <v>0</v>
      </c>
      <c r="O663" s="0" t="n">
        <v>646</v>
      </c>
      <c r="P663" s="0" t="n">
        <v>324</v>
      </c>
      <c r="Q663" s="0" t="n">
        <v>322</v>
      </c>
      <c r="R663" s="0" t="n">
        <v>1065.5196618947</v>
      </c>
      <c r="S663" s="0" t="n">
        <v>463.118450760264</v>
      </c>
      <c r="T663" s="0" t="n">
        <v>32</v>
      </c>
      <c r="U663" s="0" t="n">
        <v>16</v>
      </c>
      <c r="V663" s="0" t="n">
        <v>33.2974790287472</v>
      </c>
      <c r="W663" s="0" t="n">
        <v>28.9447222680024</v>
      </c>
      <c r="X663" s="0" t="n">
        <v>2.23778622428824</v>
      </c>
      <c r="Y663" s="0" t="n">
        <v>0</v>
      </c>
      <c r="Z663" s="0" t="n">
        <v>0</v>
      </c>
      <c r="AA663" s="0" t="n">
        <v>0</v>
      </c>
      <c r="AB663" s="0" t="n">
        <v>1</v>
      </c>
      <c r="AC663" s="0" t="n">
        <v>0</v>
      </c>
      <c r="AD663" s="0" t="n">
        <v>0</v>
      </c>
      <c r="AE663" s="0" t="n">
        <v>0</v>
      </c>
      <c r="AF663" s="0" t="n">
        <v>26.9337532979271</v>
      </c>
      <c r="AG663" s="0" t="n">
        <v>0</v>
      </c>
      <c r="AH663" s="0" t="n">
        <v>0</v>
      </c>
      <c r="AI663" s="0" t="n">
        <v>0</v>
      </c>
      <c r="AK663" s="0" t="n">
        <f aca="false">A663</f>
        <v>646</v>
      </c>
      <c r="AL663" s="0" t="n">
        <v>3</v>
      </c>
      <c r="AM663" s="0" t="n">
        <v>2</v>
      </c>
      <c r="AO663" s="0" t="n">
        <v>646</v>
      </c>
      <c r="AP663" s="0" t="n">
        <v>0</v>
      </c>
      <c r="AQ663" s="0" t="n">
        <v>0.881133537996093</v>
      </c>
      <c r="AR663" s="0" t="n">
        <v>565.587974710578</v>
      </c>
      <c r="AS663" s="0" t="n">
        <v>90</v>
      </c>
      <c r="AT663" s="0" t="n">
        <v>86</v>
      </c>
    </row>
    <row r="664" customFormat="false" ht="12" hidden="false" customHeight="false" outlineLevel="0" collapsed="false">
      <c r="A664" s="0" t="n">
        <v>647</v>
      </c>
      <c r="B664" s="0" t="n">
        <v>1</v>
      </c>
      <c r="C664" s="0" t="n">
        <v>2.89150809829606</v>
      </c>
      <c r="D664" s="0" t="n">
        <v>712.498473622351</v>
      </c>
      <c r="E664" s="0" t="n">
        <v>2</v>
      </c>
      <c r="F664" s="0" t="n">
        <v>6</v>
      </c>
      <c r="G664" s="0" t="n">
        <v>0.5</v>
      </c>
      <c r="H664" s="0" t="n">
        <v>0</v>
      </c>
      <c r="I664" s="0" t="n">
        <v>1.82984251261297</v>
      </c>
      <c r="J664" s="0" t="n">
        <v>714.328316134964</v>
      </c>
      <c r="K664" s="0" t="n">
        <v>1.82984251261303</v>
      </c>
      <c r="L664" s="0" t="n">
        <v>0</v>
      </c>
      <c r="M664" s="0" t="n">
        <v>714.969702824056</v>
      </c>
      <c r="N664" s="0" t="n">
        <v>0</v>
      </c>
      <c r="O664" s="0" t="n">
        <v>647</v>
      </c>
      <c r="P664" s="0" t="n">
        <v>325</v>
      </c>
      <c r="Q664" s="0" t="n">
        <v>322</v>
      </c>
      <c r="R664" s="0" t="n">
        <v>699.120127789954</v>
      </c>
      <c r="S664" s="0" t="n">
        <v>829.610587664789</v>
      </c>
      <c r="T664" s="0" t="n">
        <v>23</v>
      </c>
      <c r="U664" s="0" t="n">
        <v>25</v>
      </c>
      <c r="V664" s="0" t="n">
        <v>30.3965140793397</v>
      </c>
      <c r="W664" s="0" t="n">
        <v>33.1842907694285</v>
      </c>
      <c r="X664" s="0" t="n">
        <v>1.82984251261303</v>
      </c>
      <c r="Y664" s="0" t="n">
        <v>0</v>
      </c>
      <c r="Z664" s="0" t="n">
        <v>0</v>
      </c>
      <c r="AA664" s="0" t="n">
        <v>0</v>
      </c>
      <c r="AB664" s="0" t="n">
        <v>1</v>
      </c>
      <c r="AC664" s="0" t="n">
        <v>0</v>
      </c>
      <c r="AD664" s="0" t="n">
        <v>0</v>
      </c>
      <c r="AE664" s="0" t="n">
        <v>0</v>
      </c>
      <c r="AF664" s="0" t="n">
        <v>31.3344426378194</v>
      </c>
      <c r="AG664" s="0" t="n">
        <v>0</v>
      </c>
      <c r="AH664" s="0" t="n">
        <v>0</v>
      </c>
      <c r="AI664" s="0" t="n">
        <v>0</v>
      </c>
      <c r="AK664" s="0" t="n">
        <f aca="false">A664</f>
        <v>647</v>
      </c>
      <c r="AL664" s="0" t="n">
        <v>2</v>
      </c>
      <c r="AM664" s="0" t="n">
        <v>1</v>
      </c>
      <c r="AO664" s="0" t="n">
        <v>647</v>
      </c>
      <c r="AP664" s="0" t="n">
        <v>0</v>
      </c>
      <c r="AQ664" s="0" t="n">
        <v>0.0594659141660849</v>
      </c>
      <c r="AR664" s="0" t="n">
        <v>565.647440624745</v>
      </c>
      <c r="AS664" s="0" t="n">
        <v>90</v>
      </c>
      <c r="AT664" s="0" t="n">
        <v>88</v>
      </c>
    </row>
    <row r="665" customFormat="false" ht="12" hidden="false" customHeight="false" outlineLevel="0" collapsed="false">
      <c r="A665" s="0" t="n">
        <v>648</v>
      </c>
      <c r="B665" s="0" t="n">
        <v>1</v>
      </c>
      <c r="C665" s="0" t="n">
        <v>0.811986390004075</v>
      </c>
      <c r="D665" s="0" t="n">
        <v>713.310460012355</v>
      </c>
      <c r="E665" s="0" t="n">
        <v>4</v>
      </c>
      <c r="F665" s="0" t="n">
        <v>4</v>
      </c>
      <c r="G665" s="0" t="n">
        <v>0.5</v>
      </c>
      <c r="H665" s="0" t="n">
        <v>1</v>
      </c>
      <c r="I665" s="0" t="n">
        <v>0</v>
      </c>
      <c r="J665" s="0" t="n">
        <v>714.328316134964</v>
      </c>
      <c r="K665" s="0" t="n">
        <v>0</v>
      </c>
      <c r="L665" s="0" t="n">
        <v>1.97259158573904</v>
      </c>
      <c r="M665" s="0" t="n">
        <v>716.942294409795</v>
      </c>
      <c r="N665" s="0" t="n">
        <v>3.63183439744057</v>
      </c>
      <c r="O665" s="0" t="n">
        <v>648</v>
      </c>
      <c r="P665" s="0" t="n">
        <v>325</v>
      </c>
      <c r="Q665" s="0" t="n">
        <v>323</v>
      </c>
      <c r="R665" s="0" t="n">
        <v>644.195979420322</v>
      </c>
      <c r="S665" s="0" t="n">
        <v>898.093393956951</v>
      </c>
      <c r="T665" s="0" t="n">
        <v>20</v>
      </c>
      <c r="U665" s="0" t="n">
        <v>28</v>
      </c>
      <c r="V665" s="0" t="n">
        <v>32.2097828661247</v>
      </c>
      <c r="W665" s="0" t="n">
        <v>32.0746495175714</v>
      </c>
      <c r="X665" s="0" t="n">
        <v>0</v>
      </c>
      <c r="Y665" s="0" t="n">
        <v>0</v>
      </c>
      <c r="Z665" s="0" t="n">
        <v>3.63183439744057</v>
      </c>
      <c r="AA665" s="0" t="n">
        <v>0</v>
      </c>
      <c r="AB665" s="0" t="n">
        <v>0</v>
      </c>
      <c r="AC665" s="0" t="n">
        <v>0</v>
      </c>
      <c r="AD665" s="0" t="n">
        <v>1</v>
      </c>
      <c r="AE665" s="0" t="n">
        <v>0</v>
      </c>
      <c r="AF665" s="0" t="n">
        <v>0</v>
      </c>
      <c r="AG665" s="0" t="n">
        <v>0</v>
      </c>
      <c r="AH665" s="0" t="n">
        <v>17.0905255135886</v>
      </c>
      <c r="AI665" s="0" t="n">
        <v>0</v>
      </c>
      <c r="AK665" s="0" t="n">
        <f aca="false">A665</f>
        <v>648</v>
      </c>
      <c r="AL665" s="0" t="n">
        <v>0</v>
      </c>
      <c r="AM665" s="0" t="n">
        <v>1</v>
      </c>
      <c r="AO665" s="0" t="n">
        <v>648</v>
      </c>
      <c r="AP665" s="0" t="n">
        <v>1</v>
      </c>
      <c r="AQ665" s="0" t="n">
        <v>0.462747279974281</v>
      </c>
      <c r="AR665" s="0" t="n">
        <v>566.110187904719</v>
      </c>
      <c r="AS665" s="0" t="n">
        <v>88</v>
      </c>
      <c r="AT665" s="0" t="n">
        <v>90</v>
      </c>
    </row>
    <row r="666" customFormat="false" ht="12" hidden="false" customHeight="false" outlineLevel="0" collapsed="false">
      <c r="A666" s="0" t="n">
        <v>649</v>
      </c>
      <c r="B666" s="0" t="n">
        <v>1</v>
      </c>
      <c r="C666" s="0" t="n">
        <v>0.779509562068113</v>
      </c>
      <c r="D666" s="0" t="n">
        <v>714.089969574423</v>
      </c>
      <c r="E666" s="0" t="n">
        <v>4</v>
      </c>
      <c r="F666" s="0" t="n">
        <v>6</v>
      </c>
      <c r="G666" s="0" t="n">
        <v>0.5</v>
      </c>
      <c r="H666" s="0" t="n">
        <v>0</v>
      </c>
      <c r="I666" s="0" t="n">
        <v>1.91965085003213</v>
      </c>
      <c r="J666" s="0" t="n">
        <v>716.247966984996</v>
      </c>
      <c r="K666" s="0" t="n">
        <v>2.15799741057288</v>
      </c>
      <c r="L666" s="0" t="n">
        <v>0</v>
      </c>
      <c r="M666" s="0" t="n">
        <v>716.942294409795</v>
      </c>
      <c r="N666" s="0" t="n">
        <v>0</v>
      </c>
      <c r="O666" s="0" t="n">
        <v>649</v>
      </c>
      <c r="P666" s="0" t="n">
        <v>326</v>
      </c>
      <c r="Q666" s="0" t="n">
        <v>323</v>
      </c>
      <c r="R666" s="0" t="n">
        <v>958.363940492334</v>
      </c>
      <c r="S666" s="0" t="n">
        <v>586.219818403286</v>
      </c>
      <c r="T666" s="0" t="n">
        <v>28</v>
      </c>
      <c r="U666" s="0" t="n">
        <v>20</v>
      </c>
      <c r="V666" s="0" t="n">
        <v>34.2272713649865</v>
      </c>
      <c r="W666" s="0" t="n">
        <v>29.3108443659425</v>
      </c>
      <c r="X666" s="0" t="n">
        <v>2.15799741057288</v>
      </c>
      <c r="Y666" s="0" t="n">
        <v>0</v>
      </c>
      <c r="Z666" s="0" t="n">
        <v>0</v>
      </c>
      <c r="AA666" s="0" t="n">
        <v>0</v>
      </c>
      <c r="AB666" s="0" t="n">
        <v>1</v>
      </c>
      <c r="AC666" s="0" t="n">
        <v>0</v>
      </c>
      <c r="AD666" s="0" t="n">
        <v>0</v>
      </c>
      <c r="AE666" s="0" t="n">
        <v>0</v>
      </c>
      <c r="AF666" s="0" t="n">
        <v>27.7682913611189</v>
      </c>
      <c r="AG666" s="0" t="n">
        <v>0</v>
      </c>
      <c r="AH666" s="0" t="n">
        <v>0</v>
      </c>
      <c r="AI666" s="0" t="n">
        <v>0</v>
      </c>
      <c r="AK666" s="0" t="n">
        <f aca="false">A666</f>
        <v>649</v>
      </c>
      <c r="AL666" s="0" t="n">
        <v>1</v>
      </c>
      <c r="AM666" s="0" t="n">
        <v>0</v>
      </c>
      <c r="AO666" s="0" t="n">
        <v>649</v>
      </c>
      <c r="AP666" s="0" t="n">
        <v>1</v>
      </c>
      <c r="AQ666" s="0" t="n">
        <v>0.561643491799419</v>
      </c>
      <c r="AR666" s="0" t="n">
        <v>566.671831396518</v>
      </c>
      <c r="AS666" s="0" t="n">
        <v>90</v>
      </c>
      <c r="AT666" s="0" t="n">
        <v>90</v>
      </c>
    </row>
    <row r="667" customFormat="false" ht="12" hidden="false" customHeight="false" outlineLevel="0" collapsed="false">
      <c r="A667" s="0" t="n">
        <v>650</v>
      </c>
      <c r="B667" s="0" t="n">
        <v>1</v>
      </c>
      <c r="C667" s="0" t="n">
        <v>1.91786000210076</v>
      </c>
      <c r="D667" s="0" t="n">
        <v>716.007829576524</v>
      </c>
      <c r="E667" s="0" t="n">
        <v>4</v>
      </c>
      <c r="F667" s="0" t="n">
        <v>4</v>
      </c>
      <c r="G667" s="0" t="n">
        <v>0.5</v>
      </c>
      <c r="H667" s="0" t="n">
        <v>1</v>
      </c>
      <c r="I667" s="0" t="n">
        <v>0</v>
      </c>
      <c r="J667" s="0" t="n">
        <v>716.247966984996</v>
      </c>
      <c r="K667" s="0" t="n">
        <v>0</v>
      </c>
      <c r="L667" s="0" t="n">
        <v>1.89273902670937</v>
      </c>
      <c r="M667" s="0" t="n">
        <v>718.835033436505</v>
      </c>
      <c r="N667" s="0" t="n">
        <v>2.82720385998107</v>
      </c>
      <c r="O667" s="0" t="n">
        <v>650</v>
      </c>
      <c r="P667" s="0" t="n">
        <v>326</v>
      </c>
      <c r="Q667" s="0" t="n">
        <v>324</v>
      </c>
      <c r="R667" s="0" t="n">
        <v>723.9147319091</v>
      </c>
      <c r="S667" s="0" t="n">
        <v>801.074346291697</v>
      </c>
      <c r="T667" s="0" t="n">
        <v>22</v>
      </c>
      <c r="U667" s="0" t="n">
        <v>26</v>
      </c>
      <c r="V667" s="0" t="n">
        <v>32.9052001298681</v>
      </c>
      <c r="W667" s="0" t="n">
        <v>30.8104332787834</v>
      </c>
      <c r="X667" s="0" t="n">
        <v>0</v>
      </c>
      <c r="Y667" s="0" t="n">
        <v>0</v>
      </c>
      <c r="Z667" s="0" t="n">
        <v>2.82720385998107</v>
      </c>
      <c r="AA667" s="0" t="n">
        <v>0</v>
      </c>
      <c r="AB667" s="0" t="n">
        <v>0</v>
      </c>
      <c r="AC667" s="0" t="n">
        <v>0</v>
      </c>
      <c r="AD667" s="0" t="n">
        <v>1</v>
      </c>
      <c r="AE667" s="0" t="n">
        <v>0</v>
      </c>
      <c r="AF667" s="0" t="n">
        <v>0</v>
      </c>
      <c r="AG667" s="0" t="n">
        <v>0</v>
      </c>
      <c r="AH667" s="0" t="n">
        <v>24.3907519467715</v>
      </c>
      <c r="AI667" s="0" t="n">
        <v>0</v>
      </c>
      <c r="AK667" s="0" t="n">
        <f aca="false">A667</f>
        <v>650</v>
      </c>
      <c r="AL667" s="0" t="n">
        <v>0</v>
      </c>
      <c r="AM667" s="0" t="n">
        <v>1</v>
      </c>
      <c r="AO667" s="0" t="n">
        <v>650</v>
      </c>
      <c r="AP667" s="0" t="n">
        <v>0</v>
      </c>
      <c r="AQ667" s="0" t="n">
        <v>0.200713660338903</v>
      </c>
      <c r="AR667" s="0" t="n">
        <v>566.872545056857</v>
      </c>
      <c r="AS667" s="0" t="n">
        <v>90</v>
      </c>
      <c r="AT667" s="0" t="n">
        <v>92</v>
      </c>
    </row>
    <row r="668" customFormat="false" ht="12" hidden="false" customHeight="false" outlineLevel="0" collapsed="false">
      <c r="A668" s="0" t="n">
        <v>651</v>
      </c>
      <c r="B668" s="0" t="n">
        <v>1</v>
      </c>
      <c r="C668" s="0" t="n">
        <v>0.212581095995358</v>
      </c>
      <c r="D668" s="0" t="n">
        <v>716.220410672519</v>
      </c>
      <c r="E668" s="0" t="n">
        <v>4</v>
      </c>
      <c r="F668" s="0" t="n">
        <v>6</v>
      </c>
      <c r="G668" s="0" t="n">
        <v>0.5</v>
      </c>
      <c r="H668" s="0" t="n">
        <v>0</v>
      </c>
      <c r="I668" s="0" t="n">
        <v>1.82801394733453</v>
      </c>
      <c r="J668" s="0" t="n">
        <v>718.07598093233</v>
      </c>
      <c r="K668" s="0" t="n">
        <v>1.85557025981132</v>
      </c>
      <c r="L668" s="0" t="n">
        <v>0</v>
      </c>
      <c r="M668" s="0" t="n">
        <v>718.835033436505</v>
      </c>
      <c r="N668" s="0" t="n">
        <v>0</v>
      </c>
      <c r="O668" s="0" t="n">
        <v>651</v>
      </c>
      <c r="P668" s="0" t="n">
        <v>327</v>
      </c>
      <c r="Q668" s="0" t="n">
        <v>324</v>
      </c>
      <c r="R668" s="0" t="n">
        <v>678.137492450696</v>
      </c>
      <c r="S668" s="0" t="n">
        <v>862.443665075702</v>
      </c>
      <c r="T668" s="0" t="n">
        <v>23</v>
      </c>
      <c r="U668" s="0" t="n">
        <v>25</v>
      </c>
      <c r="V668" s="0" t="n">
        <v>29.4842259829755</v>
      </c>
      <c r="W668" s="0" t="n">
        <v>34.4976086125936</v>
      </c>
      <c r="X668" s="0" t="n">
        <v>1.85557025981132</v>
      </c>
      <c r="Y668" s="0" t="n">
        <v>0</v>
      </c>
      <c r="Z668" s="0" t="n">
        <v>0</v>
      </c>
      <c r="AA668" s="0" t="n">
        <v>0</v>
      </c>
      <c r="AB668" s="0" t="n">
        <v>1</v>
      </c>
      <c r="AC668" s="0" t="n">
        <v>0</v>
      </c>
      <c r="AD668" s="0" t="n">
        <v>0</v>
      </c>
      <c r="AE668" s="0" t="n">
        <v>0</v>
      </c>
      <c r="AF668" s="0" t="n">
        <v>31.0470712267771</v>
      </c>
      <c r="AG668" s="0" t="n">
        <v>0</v>
      </c>
      <c r="AH668" s="0" t="n">
        <v>0</v>
      </c>
      <c r="AI668" s="0" t="n">
        <v>0</v>
      </c>
      <c r="AK668" s="0" t="n">
        <f aca="false">A668</f>
        <v>651</v>
      </c>
      <c r="AL668" s="0" t="n">
        <v>1</v>
      </c>
      <c r="AM668" s="0" t="n">
        <v>0</v>
      </c>
      <c r="AO668" s="0" t="n">
        <v>651</v>
      </c>
      <c r="AP668" s="0" t="n">
        <v>1</v>
      </c>
      <c r="AQ668" s="0" t="n">
        <v>1.4416020247058</v>
      </c>
      <c r="AR668" s="0" t="n">
        <v>568.314147081563</v>
      </c>
      <c r="AS668" s="0" t="n">
        <v>90</v>
      </c>
      <c r="AT668" s="0" t="n">
        <v>90</v>
      </c>
    </row>
    <row r="669" customFormat="false" ht="12" hidden="false" customHeight="false" outlineLevel="0" collapsed="false">
      <c r="A669" s="0" t="n">
        <v>652</v>
      </c>
      <c r="B669" s="0" t="n">
        <v>0</v>
      </c>
      <c r="C669" s="0" t="n">
        <v>0.597743391875947</v>
      </c>
      <c r="D669" s="0" t="n">
        <v>716.818154064395</v>
      </c>
      <c r="E669" s="0" t="n">
        <v>4</v>
      </c>
      <c r="F669" s="0" t="n">
        <v>6</v>
      </c>
      <c r="G669" s="0" t="n">
        <v>0.5</v>
      </c>
      <c r="H669" s="0" t="n">
        <v>0</v>
      </c>
      <c r="I669" s="0" t="n">
        <v>2.16675212922328</v>
      </c>
      <c r="J669" s="0" t="n">
        <v>720.242733061554</v>
      </c>
      <c r="K669" s="0" t="n">
        <v>3.42457899715862</v>
      </c>
      <c r="L669" s="0" t="n">
        <v>0</v>
      </c>
      <c r="M669" s="0" t="n">
        <v>718.835033436505</v>
      </c>
      <c r="N669" s="0" t="n">
        <v>0</v>
      </c>
      <c r="O669" s="0" t="n">
        <v>652</v>
      </c>
      <c r="P669" s="0" t="n">
        <v>328</v>
      </c>
      <c r="Q669" s="0" t="n">
        <v>324</v>
      </c>
      <c r="R669" s="0" t="n">
        <v>881.285186939711</v>
      </c>
      <c r="S669" s="0" t="n">
        <v>646.638678140766</v>
      </c>
      <c r="T669" s="0" t="n">
        <v>29</v>
      </c>
      <c r="U669" s="0" t="n">
        <v>19</v>
      </c>
      <c r="V669" s="0" t="n">
        <v>30.3891338982197</v>
      </c>
      <c r="W669" s="0" t="n">
        <v>34.0334355156429</v>
      </c>
      <c r="X669" s="0" t="n">
        <v>0</v>
      </c>
      <c r="Y669" s="0" t="n">
        <v>3.42457899715862</v>
      </c>
      <c r="Z669" s="0" t="n">
        <v>0</v>
      </c>
      <c r="AA669" s="0" t="n">
        <v>0</v>
      </c>
      <c r="AB669" s="0" t="n">
        <v>0</v>
      </c>
      <c r="AC669" s="0" t="n">
        <v>1</v>
      </c>
      <c r="AD669" s="0" t="n">
        <v>0</v>
      </c>
      <c r="AE669" s="0" t="n">
        <v>0</v>
      </c>
      <c r="AF669" s="0" t="n">
        <v>0</v>
      </c>
      <c r="AG669" s="0" t="n">
        <v>23.3683105436106</v>
      </c>
      <c r="AH669" s="0" t="n">
        <v>0</v>
      </c>
      <c r="AI669" s="0" t="n">
        <v>0</v>
      </c>
      <c r="AK669" s="0" t="n">
        <f aca="false">A669</f>
        <v>652</v>
      </c>
      <c r="AL669" s="0" t="n">
        <v>1</v>
      </c>
      <c r="AM669" s="0" t="n">
        <v>0</v>
      </c>
      <c r="AO669" s="0" t="n">
        <v>652</v>
      </c>
      <c r="AP669" s="0" t="n">
        <v>1</v>
      </c>
      <c r="AQ669" s="0" t="n">
        <v>1.17826097830011</v>
      </c>
      <c r="AR669" s="0" t="n">
        <v>569.492408059863</v>
      </c>
      <c r="AS669" s="0" t="n">
        <v>90</v>
      </c>
      <c r="AT669" s="0" t="n">
        <v>90</v>
      </c>
    </row>
    <row r="670" customFormat="false" ht="12" hidden="false" customHeight="false" outlineLevel="0" collapsed="false">
      <c r="A670" s="0" t="n">
        <v>653</v>
      </c>
      <c r="B670" s="0" t="n">
        <v>0</v>
      </c>
      <c r="C670" s="0" t="n">
        <v>0.271722625010852</v>
      </c>
      <c r="D670" s="0" t="n">
        <v>717.089876689406</v>
      </c>
      <c r="E670" s="0" t="n">
        <v>6</v>
      </c>
      <c r="F670" s="0" t="n">
        <v>4</v>
      </c>
      <c r="G670" s="0" t="n">
        <v>0.5</v>
      </c>
      <c r="H670" s="0" t="n">
        <v>1</v>
      </c>
      <c r="I670" s="0" t="n">
        <v>0</v>
      </c>
      <c r="J670" s="0" t="n">
        <v>720.242733061554</v>
      </c>
      <c r="K670" s="0" t="n">
        <v>0</v>
      </c>
      <c r="L670" s="0" t="n">
        <v>2.21138715518169</v>
      </c>
      <c r="M670" s="0" t="n">
        <v>721.046420591687</v>
      </c>
      <c r="N670" s="0" t="n">
        <v>3.9565439022806</v>
      </c>
      <c r="O670" s="0" t="n">
        <v>653</v>
      </c>
      <c r="P670" s="0" t="n">
        <v>328</v>
      </c>
      <c r="Q670" s="0" t="n">
        <v>325</v>
      </c>
      <c r="R670" s="0" t="n">
        <v>627.195785435525</v>
      </c>
      <c r="S670" s="0" t="n">
        <v>921.640578775989</v>
      </c>
      <c r="T670" s="0" t="n">
        <v>22</v>
      </c>
      <c r="U670" s="0" t="n">
        <v>26</v>
      </c>
      <c r="V670" s="0" t="n">
        <v>28.5088863793937</v>
      </c>
      <c r="W670" s="0" t="n">
        <v>35.4475782314679</v>
      </c>
      <c r="X670" s="0" t="n">
        <v>0</v>
      </c>
      <c r="Y670" s="0" t="n">
        <v>0</v>
      </c>
      <c r="Z670" s="0" t="n">
        <v>0</v>
      </c>
      <c r="AA670" s="0" t="n">
        <v>3.9565439022806</v>
      </c>
      <c r="AB670" s="0" t="n">
        <v>0</v>
      </c>
      <c r="AC670" s="0" t="n">
        <v>0</v>
      </c>
      <c r="AD670" s="0" t="n">
        <v>0</v>
      </c>
      <c r="AE670" s="0" t="n">
        <v>1</v>
      </c>
      <c r="AF670" s="0" t="n">
        <v>0</v>
      </c>
      <c r="AG670" s="0" t="n">
        <v>0</v>
      </c>
      <c r="AH670" s="0" t="n">
        <v>0</v>
      </c>
      <c r="AI670" s="0" t="n">
        <v>14.249544311756</v>
      </c>
      <c r="AK670" s="0" t="n">
        <f aca="false">A670</f>
        <v>653</v>
      </c>
      <c r="AL670" s="0" t="n">
        <v>1</v>
      </c>
      <c r="AM670" s="0" t="n">
        <v>2</v>
      </c>
      <c r="AO670" s="0" t="n">
        <v>653</v>
      </c>
      <c r="AP670" s="0" t="n">
        <v>0</v>
      </c>
      <c r="AQ670" s="0" t="n">
        <v>1.08935797115214</v>
      </c>
      <c r="AR670" s="0" t="n">
        <v>570.581766031015</v>
      </c>
      <c r="AS670" s="0" t="n">
        <v>88</v>
      </c>
      <c r="AT670" s="0" t="n">
        <v>92</v>
      </c>
    </row>
    <row r="671" customFormat="false" ht="12" hidden="false" customHeight="false" outlineLevel="0" collapsed="false">
      <c r="A671" s="0" t="n">
        <v>654</v>
      </c>
      <c r="B671" s="0" t="n">
        <v>0</v>
      </c>
      <c r="C671" s="0" t="n">
        <v>0.0350121326292321</v>
      </c>
      <c r="D671" s="0" t="n">
        <v>717.124888822035</v>
      </c>
      <c r="E671" s="0" t="n">
        <v>6</v>
      </c>
      <c r="F671" s="0" t="n">
        <v>6</v>
      </c>
      <c r="G671" s="0" t="n">
        <v>0.5</v>
      </c>
      <c r="H671" s="0" t="n">
        <v>0</v>
      </c>
      <c r="I671" s="0" t="n">
        <v>1.76382872594942</v>
      </c>
      <c r="J671" s="0" t="n">
        <v>722.006561787503</v>
      </c>
      <c r="K671" s="0" t="n">
        <v>4.88167296546794</v>
      </c>
      <c r="L671" s="0" t="n">
        <v>0</v>
      </c>
      <c r="M671" s="0" t="n">
        <v>721.046420591687</v>
      </c>
      <c r="N671" s="0" t="n">
        <v>0</v>
      </c>
      <c r="O671" s="0" t="n">
        <v>654</v>
      </c>
      <c r="P671" s="0" t="n">
        <v>329</v>
      </c>
      <c r="Q671" s="0" t="n">
        <v>325</v>
      </c>
      <c r="R671" s="0" t="n">
        <v>954.898289263487</v>
      </c>
      <c r="S671" s="0" t="n">
        <v>578.660300488573</v>
      </c>
      <c r="T671" s="0" t="n">
        <v>25</v>
      </c>
      <c r="U671" s="0" t="n">
        <v>23</v>
      </c>
      <c r="V671" s="0" t="n">
        <v>38.195916292173</v>
      </c>
      <c r="W671" s="0" t="n">
        <v>25.1590341123984</v>
      </c>
      <c r="X671" s="0" t="n">
        <v>0</v>
      </c>
      <c r="Y671" s="0" t="n">
        <v>4.88167296546794</v>
      </c>
      <c r="Z671" s="0" t="n">
        <v>0</v>
      </c>
      <c r="AA671" s="0" t="n">
        <v>0</v>
      </c>
      <c r="AB671" s="0" t="n">
        <v>0</v>
      </c>
      <c r="AC671" s="0" t="n">
        <v>1</v>
      </c>
      <c r="AD671" s="0" t="n">
        <v>0</v>
      </c>
      <c r="AE671" s="0" t="n">
        <v>0</v>
      </c>
      <c r="AF671" s="0" t="n">
        <v>0</v>
      </c>
      <c r="AG671" s="0" t="n">
        <v>11.4040214531463</v>
      </c>
      <c r="AH671" s="0" t="n">
        <v>0</v>
      </c>
      <c r="AI671" s="0" t="n">
        <v>0</v>
      </c>
      <c r="AK671" s="0" t="n">
        <f aca="false">A671</f>
        <v>654</v>
      </c>
      <c r="AL671" s="0" t="n">
        <v>0</v>
      </c>
      <c r="AM671" s="0" t="n">
        <v>2</v>
      </c>
      <c r="AO671" s="0" t="n">
        <v>654</v>
      </c>
      <c r="AP671" s="0" t="n">
        <v>1</v>
      </c>
      <c r="AQ671" s="0" t="n">
        <v>0.646919526332637</v>
      </c>
      <c r="AR671" s="0" t="n">
        <v>571.228685557348</v>
      </c>
      <c r="AS671" s="0" t="n">
        <v>88</v>
      </c>
      <c r="AT671" s="0" t="n">
        <v>92</v>
      </c>
    </row>
    <row r="672" customFormat="false" ht="12" hidden="false" customHeight="false" outlineLevel="0" collapsed="false">
      <c r="A672" s="0" t="n">
        <v>655</v>
      </c>
      <c r="B672" s="0" t="n">
        <v>1</v>
      </c>
      <c r="C672" s="0" t="n">
        <v>0.183124668100607</v>
      </c>
      <c r="D672" s="0" t="n">
        <v>717.308013490136</v>
      </c>
      <c r="E672" s="0" t="n">
        <v>8</v>
      </c>
      <c r="F672" s="0" t="n">
        <v>6</v>
      </c>
      <c r="G672" s="0" t="n">
        <v>0.5</v>
      </c>
      <c r="H672" s="0" t="n">
        <v>1</v>
      </c>
      <c r="I672" s="0" t="n">
        <v>0</v>
      </c>
      <c r="J672" s="0" t="n">
        <v>722.006561787503</v>
      </c>
      <c r="K672" s="0" t="n">
        <v>0</v>
      </c>
      <c r="L672" s="0" t="n">
        <v>2.06400494668532</v>
      </c>
      <c r="M672" s="0" t="n">
        <v>723.110425538372</v>
      </c>
      <c r="N672" s="0" t="n">
        <v>5.80241204823608</v>
      </c>
      <c r="O672" s="0" t="n">
        <v>655</v>
      </c>
      <c r="P672" s="0" t="n">
        <v>329</v>
      </c>
      <c r="Q672" s="0" t="n">
        <v>326</v>
      </c>
      <c r="R672" s="0" t="n">
        <v>734.385388979193</v>
      </c>
      <c r="S672" s="0" t="n">
        <v>796.408939317579</v>
      </c>
      <c r="T672" s="0" t="n">
        <v>21</v>
      </c>
      <c r="U672" s="0" t="n">
        <v>27</v>
      </c>
      <c r="V672" s="0" t="n">
        <v>34.970716155811</v>
      </c>
      <c r="W672" s="0" t="n">
        <v>29.4965181357691</v>
      </c>
      <c r="X672" s="0" t="n">
        <v>0</v>
      </c>
      <c r="Y672" s="0" t="n">
        <v>0</v>
      </c>
      <c r="Z672" s="0" t="n">
        <v>5.80241204823608</v>
      </c>
      <c r="AA672" s="0" t="n">
        <v>0</v>
      </c>
      <c r="AB672" s="0" t="n">
        <v>0</v>
      </c>
      <c r="AC672" s="0" t="n">
        <v>0</v>
      </c>
      <c r="AD672" s="0" t="n">
        <v>1</v>
      </c>
      <c r="AE672" s="0" t="n">
        <v>0</v>
      </c>
      <c r="AF672" s="0" t="n">
        <v>0</v>
      </c>
      <c r="AG672" s="0" t="n">
        <v>0</v>
      </c>
      <c r="AH672" s="0" t="n">
        <v>3.85529781143951</v>
      </c>
      <c r="AI672" s="0" t="n">
        <v>0</v>
      </c>
      <c r="AK672" s="0" t="n">
        <f aca="false">A672</f>
        <v>655</v>
      </c>
      <c r="AL672" s="0" t="n">
        <v>1</v>
      </c>
      <c r="AM672" s="0" t="n">
        <v>2</v>
      </c>
      <c r="AO672" s="0" t="n">
        <v>655</v>
      </c>
      <c r="AP672" s="0" t="n">
        <v>1</v>
      </c>
      <c r="AQ672" s="0" t="n">
        <v>0.754923385290063</v>
      </c>
      <c r="AR672" s="0" t="n">
        <v>571.983608942638</v>
      </c>
      <c r="AS672" s="0" t="n">
        <v>88</v>
      </c>
      <c r="AT672" s="0" t="n">
        <v>92</v>
      </c>
    </row>
    <row r="673" customFormat="false" ht="12" hidden="false" customHeight="false" outlineLevel="0" collapsed="false">
      <c r="A673" s="0" t="n">
        <v>656</v>
      </c>
      <c r="B673" s="0" t="n">
        <v>0</v>
      </c>
      <c r="C673" s="0" t="n">
        <v>1.14087422685878</v>
      </c>
      <c r="D673" s="0" t="n">
        <v>718.448887716995</v>
      </c>
      <c r="E673" s="0" t="n">
        <v>6</v>
      </c>
      <c r="F673" s="0" t="n">
        <v>8</v>
      </c>
      <c r="G673" s="0" t="n">
        <v>0.5</v>
      </c>
      <c r="H673" s="0" t="n">
        <v>0</v>
      </c>
      <c r="I673" s="0" t="n">
        <v>2.11619366803959</v>
      </c>
      <c r="J673" s="0" t="n">
        <v>724.122755455543</v>
      </c>
      <c r="K673" s="0" t="n">
        <v>5.67386773854821</v>
      </c>
      <c r="L673" s="0" t="n">
        <v>0</v>
      </c>
      <c r="M673" s="0" t="n">
        <v>723.110425538372</v>
      </c>
      <c r="N673" s="0" t="n">
        <v>0</v>
      </c>
      <c r="O673" s="0" t="n">
        <v>656</v>
      </c>
      <c r="P673" s="0" t="n">
        <v>330</v>
      </c>
      <c r="Q673" s="0" t="n">
        <v>326</v>
      </c>
      <c r="R673" s="0" t="n">
        <v>695.234256323626</v>
      </c>
      <c r="S673" s="0" t="n">
        <v>828.236620524445</v>
      </c>
      <c r="T673" s="0" t="n">
        <v>26</v>
      </c>
      <c r="U673" s="0" t="n">
        <v>22</v>
      </c>
      <c r="V673" s="0" t="n">
        <v>26.7397688048438</v>
      </c>
      <c r="W673" s="0" t="n">
        <v>37.6469479922566</v>
      </c>
      <c r="X673" s="0" t="n">
        <v>0</v>
      </c>
      <c r="Y673" s="0" t="n">
        <v>5.67386773854821</v>
      </c>
      <c r="Z673" s="0" t="n">
        <v>0</v>
      </c>
      <c r="AA673" s="0" t="n">
        <v>0</v>
      </c>
      <c r="AB673" s="0" t="n">
        <v>0</v>
      </c>
      <c r="AC673" s="0" t="n">
        <v>1</v>
      </c>
      <c r="AD673" s="0" t="n">
        <v>0</v>
      </c>
      <c r="AE673" s="0" t="n">
        <v>0</v>
      </c>
      <c r="AF673" s="0" t="n">
        <v>0</v>
      </c>
      <c r="AG673" s="0" t="n">
        <v>6.68113574323514</v>
      </c>
      <c r="AH673" s="0" t="n">
        <v>0</v>
      </c>
      <c r="AI673" s="0" t="n">
        <v>0</v>
      </c>
      <c r="AK673" s="0" t="n">
        <f aca="false">A673</f>
        <v>656</v>
      </c>
      <c r="AL673" s="0" t="n">
        <v>1</v>
      </c>
      <c r="AM673" s="0" t="n">
        <v>1</v>
      </c>
      <c r="AO673" s="0" t="n">
        <v>656</v>
      </c>
      <c r="AP673" s="0" t="n">
        <v>0</v>
      </c>
      <c r="AQ673" s="0" t="n">
        <v>2.24971855431093</v>
      </c>
      <c r="AR673" s="0" t="n">
        <v>574.233327496949</v>
      </c>
      <c r="AS673" s="0" t="n">
        <v>88</v>
      </c>
      <c r="AT673" s="0" t="n">
        <v>90</v>
      </c>
    </row>
    <row r="674" customFormat="false" ht="12" hidden="false" customHeight="false" outlineLevel="0" collapsed="false">
      <c r="A674" s="0" t="n">
        <v>657</v>
      </c>
      <c r="B674" s="0" t="n">
        <v>0</v>
      </c>
      <c r="C674" s="0" t="n">
        <v>0.0811270905975626</v>
      </c>
      <c r="D674" s="0" t="n">
        <v>718.530014807592</v>
      </c>
      <c r="E674" s="0" t="n">
        <v>8</v>
      </c>
      <c r="F674" s="0" t="n">
        <v>8</v>
      </c>
      <c r="G674" s="0" t="n">
        <v>0.5</v>
      </c>
      <c r="H674" s="0" t="n">
        <v>0</v>
      </c>
      <c r="I674" s="0" t="n">
        <v>2.24608693502933</v>
      </c>
      <c r="J674" s="0" t="n">
        <v>726.368842390572</v>
      </c>
      <c r="K674" s="0" t="n">
        <v>7.83882758298</v>
      </c>
      <c r="L674" s="0" t="n">
        <v>0</v>
      </c>
      <c r="M674" s="0" t="n">
        <v>723.110425538372</v>
      </c>
      <c r="N674" s="0" t="n">
        <v>0</v>
      </c>
      <c r="O674" s="0" t="n">
        <v>657</v>
      </c>
      <c r="P674" s="0" t="n">
        <v>331</v>
      </c>
      <c r="Q674" s="0" t="n">
        <v>326</v>
      </c>
      <c r="R674" s="0" t="n">
        <v>709.907164940502</v>
      </c>
      <c r="S674" s="0" t="n">
        <v>826.436067805055</v>
      </c>
      <c r="T674" s="0" t="n">
        <v>21</v>
      </c>
      <c r="U674" s="0" t="n">
        <v>27</v>
      </c>
      <c r="V674" s="0" t="n">
        <v>33.8050869947444</v>
      </c>
      <c r="W674" s="0" t="n">
        <v>30.6086298867432</v>
      </c>
      <c r="X674" s="0" t="n">
        <v>0</v>
      </c>
      <c r="Y674" s="0" t="n">
        <v>7.83882758298</v>
      </c>
      <c r="Z674" s="0" t="n">
        <v>0</v>
      </c>
      <c r="AA674" s="0" t="n">
        <v>0</v>
      </c>
      <c r="AB674" s="0" t="n">
        <v>0</v>
      </c>
      <c r="AC674" s="0" t="n">
        <v>1</v>
      </c>
      <c r="AD674" s="0" t="n">
        <v>0</v>
      </c>
      <c r="AE674" s="0" t="n">
        <v>0</v>
      </c>
      <c r="AF674" s="0" t="n">
        <v>0</v>
      </c>
      <c r="AG674" s="0" t="n">
        <v>0.176256774660431</v>
      </c>
      <c r="AH674" s="0" t="n">
        <v>0</v>
      </c>
      <c r="AI674" s="0" t="n">
        <v>0</v>
      </c>
      <c r="AK674" s="0" t="n">
        <f aca="false">A674</f>
        <v>657</v>
      </c>
      <c r="AL674" s="0" t="n">
        <v>0</v>
      </c>
      <c r="AM674" s="0" t="n">
        <v>0</v>
      </c>
      <c r="AO674" s="0" t="n">
        <v>657</v>
      </c>
      <c r="AP674" s="0" t="n">
        <v>0</v>
      </c>
      <c r="AQ674" s="0" t="n">
        <v>0.138518324063168</v>
      </c>
      <c r="AR674" s="0" t="n">
        <v>574.371845821012</v>
      </c>
      <c r="AS674" s="0" t="n">
        <v>90</v>
      </c>
      <c r="AT674" s="0" t="n">
        <v>90</v>
      </c>
    </row>
    <row r="675" customFormat="false" ht="12" hidden="false" customHeight="false" outlineLevel="0" collapsed="false">
      <c r="A675" s="0" t="n">
        <v>658</v>
      </c>
      <c r="B675" s="0" t="n">
        <v>1</v>
      </c>
      <c r="C675" s="0" t="n">
        <v>1.42072926474946</v>
      </c>
      <c r="D675" s="0" t="n">
        <v>719.950744072341</v>
      </c>
      <c r="E675" s="0" t="n">
        <v>10</v>
      </c>
      <c r="F675" s="0" t="n">
        <v>6</v>
      </c>
      <c r="G675" s="0" t="n">
        <v>0.5</v>
      </c>
      <c r="H675" s="0" t="n">
        <v>1</v>
      </c>
      <c r="I675" s="0" t="n">
        <v>0</v>
      </c>
      <c r="J675" s="0" t="n">
        <v>726.368842390572</v>
      </c>
      <c r="K675" s="0" t="n">
        <v>0</v>
      </c>
      <c r="L675" s="0" t="n">
        <v>1.87455712026871</v>
      </c>
      <c r="M675" s="0" t="n">
        <v>724.984982658641</v>
      </c>
      <c r="N675" s="0" t="n">
        <v>5.03423858629913</v>
      </c>
      <c r="O675" s="0" t="n">
        <v>658</v>
      </c>
      <c r="P675" s="0" t="n">
        <v>331</v>
      </c>
      <c r="Q675" s="0" t="n">
        <v>327</v>
      </c>
      <c r="R675" s="0" t="n">
        <v>609.000693362746</v>
      </c>
      <c r="S675" s="0" t="n">
        <v>920.332122855825</v>
      </c>
      <c r="T675" s="0" t="n">
        <v>24</v>
      </c>
      <c r="U675" s="0" t="n">
        <v>24</v>
      </c>
      <c r="V675" s="0" t="n">
        <v>25.3750183171901</v>
      </c>
      <c r="W675" s="0" t="n">
        <v>38.3470120064427</v>
      </c>
      <c r="X675" s="0" t="n">
        <v>0</v>
      </c>
      <c r="Y675" s="0" t="n">
        <v>0</v>
      </c>
      <c r="Z675" s="0" t="n">
        <v>5.03423858629913</v>
      </c>
      <c r="AA675" s="0" t="n">
        <v>0</v>
      </c>
      <c r="AB675" s="0" t="n">
        <v>0</v>
      </c>
      <c r="AC675" s="0" t="n">
        <v>0</v>
      </c>
      <c r="AD675" s="0" t="n">
        <v>1</v>
      </c>
      <c r="AE675" s="0" t="n">
        <v>0</v>
      </c>
      <c r="AF675" s="0" t="n">
        <v>0</v>
      </c>
      <c r="AG675" s="0" t="n">
        <v>0</v>
      </c>
      <c r="AH675" s="0" t="n">
        <v>7.46199199077854</v>
      </c>
      <c r="AI675" s="0" t="n">
        <v>0</v>
      </c>
      <c r="AK675" s="0" t="n">
        <f aca="false">A675</f>
        <v>658</v>
      </c>
      <c r="AL675" s="0" t="n">
        <v>2</v>
      </c>
      <c r="AM675" s="0" t="n">
        <v>1</v>
      </c>
      <c r="AO675" s="0" t="n">
        <v>658</v>
      </c>
      <c r="AP675" s="0" t="n">
        <v>1</v>
      </c>
      <c r="AQ675" s="0" t="n">
        <v>0.433031590373411</v>
      </c>
      <c r="AR675" s="0" t="n">
        <v>574.804877411386</v>
      </c>
      <c r="AS675" s="0" t="n">
        <v>90</v>
      </c>
      <c r="AT675" s="0" t="n">
        <v>92</v>
      </c>
    </row>
    <row r="676" customFormat="false" ht="12" hidden="false" customHeight="false" outlineLevel="0" collapsed="false">
      <c r="A676" s="0" t="n">
        <v>659</v>
      </c>
      <c r="B676" s="0" t="n">
        <v>1</v>
      </c>
      <c r="C676" s="0" t="n">
        <v>0.845646806489841</v>
      </c>
      <c r="D676" s="0" t="n">
        <v>720.796390878831</v>
      </c>
      <c r="E676" s="0" t="n">
        <v>8</v>
      </c>
      <c r="F676" s="0" t="n">
        <v>8</v>
      </c>
      <c r="G676" s="0" t="n">
        <v>0.5</v>
      </c>
      <c r="H676" s="0" t="n">
        <v>0</v>
      </c>
      <c r="I676" s="0" t="n">
        <v>2.22909546779937</v>
      </c>
      <c r="J676" s="0" t="n">
        <v>728.597937858371</v>
      </c>
      <c r="K676" s="0" t="n">
        <v>7.80154697954004</v>
      </c>
      <c r="L676" s="0" t="n">
        <v>0</v>
      </c>
      <c r="M676" s="0" t="n">
        <v>724.984982658641</v>
      </c>
      <c r="N676" s="0" t="n">
        <v>0</v>
      </c>
      <c r="O676" s="0" t="n">
        <v>659</v>
      </c>
      <c r="P676" s="0" t="n">
        <v>332</v>
      </c>
      <c r="Q676" s="0" t="n">
        <v>327</v>
      </c>
      <c r="R676" s="0" t="n">
        <v>906.430514184298</v>
      </c>
      <c r="S676" s="0" t="n">
        <v>643.00532485292</v>
      </c>
      <c r="T676" s="0" t="n">
        <v>26</v>
      </c>
      <c r="U676" s="0" t="n">
        <v>22</v>
      </c>
      <c r="V676" s="0" t="n">
        <v>34.8626986752812</v>
      </c>
      <c r="W676" s="0" t="n">
        <v>29.2273819143059</v>
      </c>
      <c r="X676" s="0" t="n">
        <v>7.80154697954004</v>
      </c>
      <c r="Y676" s="0" t="n">
        <v>0</v>
      </c>
      <c r="Z676" s="0" t="n">
        <v>0</v>
      </c>
      <c r="AA676" s="0" t="n">
        <v>0</v>
      </c>
      <c r="AB676" s="0" t="n">
        <v>1</v>
      </c>
      <c r="AC676" s="0" t="n">
        <v>0</v>
      </c>
      <c r="AD676" s="0" t="n">
        <v>0</v>
      </c>
      <c r="AE676" s="0" t="n">
        <v>0</v>
      </c>
      <c r="AF676" s="0" t="n">
        <v>0.13986615602484</v>
      </c>
      <c r="AG676" s="0" t="n">
        <v>0</v>
      </c>
      <c r="AH676" s="0" t="n">
        <v>0</v>
      </c>
      <c r="AI676" s="0" t="n">
        <v>0</v>
      </c>
      <c r="AK676" s="0" t="n">
        <f aca="false">A676</f>
        <v>659</v>
      </c>
      <c r="AL676" s="0" t="n">
        <v>0</v>
      </c>
      <c r="AM676" s="0" t="n">
        <v>1</v>
      </c>
      <c r="AO676" s="0" t="n">
        <v>659</v>
      </c>
      <c r="AP676" s="0" t="n">
        <v>1</v>
      </c>
      <c r="AQ676" s="0" t="n">
        <v>0.323025119259599</v>
      </c>
      <c r="AR676" s="0" t="n">
        <v>575.127902530645</v>
      </c>
      <c r="AS676" s="0" t="n">
        <v>92</v>
      </c>
      <c r="AT676" s="0" t="n">
        <v>90</v>
      </c>
    </row>
    <row r="677" customFormat="false" ht="12" hidden="false" customHeight="false" outlineLevel="0" collapsed="false">
      <c r="A677" s="0" t="n">
        <v>660</v>
      </c>
      <c r="B677" s="0" t="n">
        <v>0</v>
      </c>
      <c r="C677" s="0" t="n">
        <v>0.720398650233786</v>
      </c>
      <c r="D677" s="0" t="n">
        <v>721.516789529065</v>
      </c>
      <c r="E677" s="0" t="n">
        <v>10</v>
      </c>
      <c r="F677" s="0" t="n">
        <v>6</v>
      </c>
      <c r="G677" s="0" t="n">
        <v>0.5</v>
      </c>
      <c r="H677" s="0" t="n">
        <v>0</v>
      </c>
      <c r="I677" s="0" t="n">
        <v>2.22569049132392</v>
      </c>
      <c r="J677" s="0" t="n">
        <v>730.823628349695</v>
      </c>
      <c r="K677" s="0" t="n">
        <v>9.30683882063022</v>
      </c>
      <c r="L677" s="0" t="n">
        <v>0</v>
      </c>
      <c r="M677" s="0" t="n">
        <v>724.984982658641</v>
      </c>
      <c r="N677" s="0" t="n">
        <v>0</v>
      </c>
      <c r="O677" s="0" t="n">
        <v>660</v>
      </c>
      <c r="P677" s="0" t="n">
        <v>333</v>
      </c>
      <c r="Q677" s="0" t="n">
        <v>327</v>
      </c>
      <c r="R677" s="0" t="n">
        <v>660.512216336113</v>
      </c>
      <c r="S677" s="0" t="n">
        <v>871.855560594226</v>
      </c>
      <c r="T677" s="0" t="n">
        <v>23</v>
      </c>
      <c r="U677" s="0" t="n">
        <v>25</v>
      </c>
      <c r="V677" s="0" t="n">
        <v>28.7179099633484</v>
      </c>
      <c r="W677" s="0" t="n">
        <v>34.8740829274373</v>
      </c>
      <c r="X677" s="0" t="n">
        <v>0</v>
      </c>
      <c r="Y677" s="0" t="n">
        <v>9.30683882063022</v>
      </c>
      <c r="Z677" s="0" t="n">
        <v>0</v>
      </c>
      <c r="AA677" s="0" t="n">
        <v>0</v>
      </c>
      <c r="AB677" s="0" t="n">
        <v>0</v>
      </c>
      <c r="AC677" s="0" t="n">
        <v>1</v>
      </c>
      <c r="AD677" s="0" t="n">
        <v>0</v>
      </c>
      <c r="AE677" s="0" t="n">
        <v>0</v>
      </c>
      <c r="AF677" s="0" t="n">
        <v>0</v>
      </c>
      <c r="AG677" s="0" t="n">
        <v>1.09868504105389</v>
      </c>
      <c r="AH677" s="0" t="n">
        <v>0</v>
      </c>
      <c r="AI677" s="0" t="n">
        <v>0</v>
      </c>
      <c r="AK677" s="0" t="n">
        <f aca="false">A677</f>
        <v>660</v>
      </c>
      <c r="AL677" s="0" t="n">
        <v>2</v>
      </c>
      <c r="AM677" s="0" t="n">
        <v>1</v>
      </c>
      <c r="AO677" s="0" t="n">
        <v>660</v>
      </c>
      <c r="AP677" s="0" t="n">
        <v>0</v>
      </c>
      <c r="AQ677" s="0" t="n">
        <v>0.710428929101358</v>
      </c>
      <c r="AR677" s="0" t="n">
        <v>575.838331459746</v>
      </c>
      <c r="AS677" s="0" t="n">
        <v>90</v>
      </c>
      <c r="AT677" s="0" t="n">
        <v>92</v>
      </c>
    </row>
    <row r="678" customFormat="false" ht="12" hidden="false" customHeight="false" outlineLevel="0" collapsed="false">
      <c r="A678" s="0" t="n">
        <v>661</v>
      </c>
      <c r="B678" s="0" t="n">
        <v>1</v>
      </c>
      <c r="C678" s="0" t="n">
        <v>1.00595971812965</v>
      </c>
      <c r="D678" s="0" t="n">
        <v>722.522749247195</v>
      </c>
      <c r="E678" s="0" t="n">
        <v>10</v>
      </c>
      <c r="F678" s="0" t="n">
        <v>6</v>
      </c>
      <c r="G678" s="0" t="n">
        <v>0.5</v>
      </c>
      <c r="H678" s="0" t="n">
        <v>1</v>
      </c>
      <c r="I678" s="0" t="n">
        <v>0</v>
      </c>
      <c r="J678" s="0" t="n">
        <v>730.823628349695</v>
      </c>
      <c r="K678" s="0" t="n">
        <v>0</v>
      </c>
      <c r="L678" s="0" t="n">
        <v>1.88869240514551</v>
      </c>
      <c r="M678" s="0" t="n">
        <v>726.873675063786</v>
      </c>
      <c r="N678" s="0" t="n">
        <v>4.35092581659137</v>
      </c>
      <c r="O678" s="0" t="n">
        <v>661</v>
      </c>
      <c r="P678" s="0" t="n">
        <v>333</v>
      </c>
      <c r="Q678" s="0" t="n">
        <v>328</v>
      </c>
      <c r="R678" s="0" t="n">
        <v>844.267628987964</v>
      </c>
      <c r="S678" s="0" t="n">
        <v>686.001742782862</v>
      </c>
      <c r="T678" s="0" t="n">
        <v>22</v>
      </c>
      <c r="U678" s="0" t="n">
        <v>26</v>
      </c>
      <c r="V678" s="0" t="n">
        <v>38.3757838740966</v>
      </c>
      <c r="W678" s="0" t="n">
        <v>26.384580935568</v>
      </c>
      <c r="X678" s="0" t="n">
        <v>0</v>
      </c>
      <c r="Y678" s="0" t="n">
        <v>0</v>
      </c>
      <c r="Z678" s="0" t="n">
        <v>4.35092581659137</v>
      </c>
      <c r="AA678" s="0" t="n">
        <v>0</v>
      </c>
      <c r="AB678" s="0" t="n">
        <v>0</v>
      </c>
      <c r="AC678" s="0" t="n">
        <v>0</v>
      </c>
      <c r="AD678" s="0" t="n">
        <v>1</v>
      </c>
      <c r="AE678" s="0" t="n">
        <v>0</v>
      </c>
      <c r="AF678" s="0" t="n">
        <v>0</v>
      </c>
      <c r="AG678" s="0" t="n">
        <v>0</v>
      </c>
      <c r="AH678" s="0" t="n">
        <v>11.662071065546</v>
      </c>
      <c r="AI678" s="0" t="n">
        <v>0</v>
      </c>
      <c r="AK678" s="0" t="n">
        <f aca="false">A678</f>
        <v>661</v>
      </c>
      <c r="AL678" s="0" t="n">
        <v>2</v>
      </c>
      <c r="AM678" s="0" t="n">
        <v>0</v>
      </c>
      <c r="AO678" s="0" t="n">
        <v>661</v>
      </c>
      <c r="AP678" s="0" t="n">
        <v>0</v>
      </c>
      <c r="AQ678" s="0" t="n">
        <v>0.275217675383371</v>
      </c>
      <c r="AR678" s="0" t="n">
        <v>576.11354913513</v>
      </c>
      <c r="AS678" s="0" t="n">
        <v>92</v>
      </c>
      <c r="AT678" s="0" t="n">
        <v>92</v>
      </c>
    </row>
    <row r="679" customFormat="false" ht="12" hidden="false" customHeight="false" outlineLevel="0" collapsed="false">
      <c r="A679" s="0" t="n">
        <v>662</v>
      </c>
      <c r="B679" s="0" t="n">
        <v>0</v>
      </c>
      <c r="C679" s="0" t="n">
        <v>1.70066802280631</v>
      </c>
      <c r="D679" s="0" t="n">
        <v>724.223417270001</v>
      </c>
      <c r="E679" s="0" t="n">
        <v>8</v>
      </c>
      <c r="F679" s="0" t="n">
        <v>6</v>
      </c>
      <c r="G679" s="0" t="n">
        <v>0.5</v>
      </c>
      <c r="H679" s="0" t="n">
        <v>1</v>
      </c>
      <c r="I679" s="0" t="n">
        <v>0</v>
      </c>
      <c r="J679" s="0" t="n">
        <v>730.823628349695</v>
      </c>
      <c r="K679" s="0" t="n">
        <v>0</v>
      </c>
      <c r="L679" s="0" t="n">
        <v>2.18893738749225</v>
      </c>
      <c r="M679" s="0" t="n">
        <v>729.062612451278</v>
      </c>
      <c r="N679" s="0" t="n">
        <v>4.83919518127732</v>
      </c>
      <c r="O679" s="0" t="n">
        <v>662</v>
      </c>
      <c r="P679" s="0" t="n">
        <v>333</v>
      </c>
      <c r="Q679" s="0" t="n">
        <v>329</v>
      </c>
      <c r="R679" s="0" t="n">
        <v>818.168520471043</v>
      </c>
      <c r="S679" s="0" t="n">
        <v>733.603072841546</v>
      </c>
      <c r="T679" s="0" t="n">
        <v>24</v>
      </c>
      <c r="U679" s="0" t="n">
        <v>24</v>
      </c>
      <c r="V679" s="0" t="n">
        <v>34.0903408153181</v>
      </c>
      <c r="W679" s="0" t="n">
        <v>30.5666673406172</v>
      </c>
      <c r="X679" s="0" t="n">
        <v>0</v>
      </c>
      <c r="Y679" s="0" t="n">
        <v>0</v>
      </c>
      <c r="Z679" s="0" t="n">
        <v>0</v>
      </c>
      <c r="AA679" s="0" t="n">
        <v>4.83919518127732</v>
      </c>
      <c r="AB679" s="0" t="n">
        <v>0</v>
      </c>
      <c r="AC679" s="0" t="n">
        <v>0</v>
      </c>
      <c r="AD679" s="0" t="n">
        <v>0</v>
      </c>
      <c r="AE679" s="0" t="n">
        <v>1</v>
      </c>
      <c r="AF679" s="0" t="n">
        <v>0</v>
      </c>
      <c r="AG679" s="0" t="n">
        <v>0</v>
      </c>
      <c r="AH679" s="0" t="n">
        <v>0</v>
      </c>
      <c r="AI679" s="0" t="n">
        <v>8.36485312145866</v>
      </c>
      <c r="AK679" s="0" t="n">
        <f aca="false">A679</f>
        <v>662</v>
      </c>
      <c r="AL679" s="0" t="n">
        <v>1</v>
      </c>
      <c r="AM679" s="0" t="n">
        <v>1</v>
      </c>
      <c r="AO679" s="0" t="n">
        <v>662</v>
      </c>
      <c r="AP679" s="0" t="n">
        <v>1</v>
      </c>
      <c r="AQ679" s="0" t="n">
        <v>2.37325843506732</v>
      </c>
      <c r="AR679" s="0" t="n">
        <v>578.486807570197</v>
      </c>
      <c r="AS679" s="0" t="n">
        <v>92</v>
      </c>
      <c r="AT679" s="0" t="n">
        <v>90</v>
      </c>
    </row>
    <row r="680" customFormat="false" ht="12" hidden="false" customHeight="false" outlineLevel="0" collapsed="false">
      <c r="A680" s="0" t="n">
        <v>663</v>
      </c>
      <c r="B680" s="0" t="n">
        <v>0</v>
      </c>
      <c r="C680" s="0" t="n">
        <v>0.252741361747421</v>
      </c>
      <c r="D680" s="0" t="n">
        <v>724.476158631749</v>
      </c>
      <c r="E680" s="0" t="n">
        <v>8</v>
      </c>
      <c r="F680" s="0" t="n">
        <v>8</v>
      </c>
      <c r="G680" s="0" t="n">
        <v>0.5</v>
      </c>
      <c r="H680" s="0" t="n">
        <v>0</v>
      </c>
      <c r="I680" s="0" t="n">
        <v>2.22487479610258</v>
      </c>
      <c r="J680" s="0" t="n">
        <v>733.048503145798</v>
      </c>
      <c r="K680" s="0" t="n">
        <v>8.57234451404929</v>
      </c>
      <c r="L680" s="0" t="n">
        <v>0</v>
      </c>
      <c r="M680" s="0" t="n">
        <v>729.062612451278</v>
      </c>
      <c r="N680" s="0" t="n">
        <v>0</v>
      </c>
      <c r="O680" s="0" t="n">
        <v>663</v>
      </c>
      <c r="P680" s="0" t="n">
        <v>334</v>
      </c>
      <c r="Q680" s="0" t="n">
        <v>329</v>
      </c>
      <c r="R680" s="0" t="n">
        <v>652.017141932529</v>
      </c>
      <c r="S680" s="0" t="n">
        <v>898.0624983706</v>
      </c>
      <c r="T680" s="0" t="n">
        <v>23</v>
      </c>
      <c r="U680" s="0" t="n">
        <v>25</v>
      </c>
      <c r="V680" s="0" t="n">
        <v>28.3485590629103</v>
      </c>
      <c r="W680" s="0" t="n">
        <v>35.922356245399</v>
      </c>
      <c r="X680" s="0" t="n">
        <v>0</v>
      </c>
      <c r="Y680" s="0" t="n">
        <v>8.57234451404929</v>
      </c>
      <c r="Z680" s="0" t="n">
        <v>0</v>
      </c>
      <c r="AA680" s="0" t="n">
        <v>0</v>
      </c>
      <c r="AB680" s="0" t="n">
        <v>0</v>
      </c>
      <c r="AC680" s="0" t="n">
        <v>1</v>
      </c>
      <c r="AD680" s="0" t="n">
        <v>0</v>
      </c>
      <c r="AE680" s="0" t="n">
        <v>0</v>
      </c>
      <c r="AF680" s="0" t="n">
        <v>0</v>
      </c>
      <c r="AG680" s="0" t="n">
        <v>0.0983998301211177</v>
      </c>
      <c r="AH680" s="0" t="n">
        <v>0</v>
      </c>
      <c r="AI680" s="0" t="n">
        <v>0</v>
      </c>
      <c r="AK680" s="0" t="n">
        <f aca="false">A680</f>
        <v>663</v>
      </c>
      <c r="AL680" s="0" t="n">
        <v>0</v>
      </c>
      <c r="AM680" s="0" t="n">
        <v>0</v>
      </c>
      <c r="AO680" s="0" t="n">
        <v>663</v>
      </c>
      <c r="AP680" s="0" t="n">
        <v>1</v>
      </c>
      <c r="AQ680" s="0" t="n">
        <v>1.94103996513751</v>
      </c>
      <c r="AR680" s="0" t="n">
        <v>580.427847535335</v>
      </c>
      <c r="AS680" s="0" t="n">
        <v>90</v>
      </c>
      <c r="AT680" s="0" t="n">
        <v>90</v>
      </c>
    </row>
    <row r="681" customFormat="false" ht="12" hidden="false" customHeight="false" outlineLevel="0" collapsed="false">
      <c r="A681" s="0" t="n">
        <v>664</v>
      </c>
      <c r="B681" s="0" t="n">
        <v>1</v>
      </c>
      <c r="C681" s="0" t="n">
        <v>0.777151137059604</v>
      </c>
      <c r="D681" s="0" t="n">
        <v>725.253309768808</v>
      </c>
      <c r="E681" s="0" t="n">
        <v>10</v>
      </c>
      <c r="F681" s="0" t="n">
        <v>6</v>
      </c>
      <c r="G681" s="0" t="n">
        <v>0.5</v>
      </c>
      <c r="H681" s="0" t="n">
        <v>1</v>
      </c>
      <c r="I681" s="0" t="n">
        <v>0</v>
      </c>
      <c r="J681" s="0" t="n">
        <v>733.048503145798</v>
      </c>
      <c r="K681" s="0" t="n">
        <v>0</v>
      </c>
      <c r="L681" s="0" t="n">
        <v>2.00338905510224</v>
      </c>
      <c r="M681" s="0" t="n">
        <v>731.066001506381</v>
      </c>
      <c r="N681" s="0" t="n">
        <v>5.81269173757255</v>
      </c>
      <c r="O681" s="0" t="n">
        <v>664</v>
      </c>
      <c r="P681" s="0" t="n">
        <v>334</v>
      </c>
      <c r="Q681" s="0" t="n">
        <v>330</v>
      </c>
      <c r="R681" s="0" t="n">
        <v>702.657657353568</v>
      </c>
      <c r="S681" s="0" t="n">
        <v>861.278942406405</v>
      </c>
      <c r="T681" s="0" t="n">
        <v>23</v>
      </c>
      <c r="U681" s="0" t="n">
        <v>25</v>
      </c>
      <c r="V681" s="0" t="n">
        <v>30.5503196456683</v>
      </c>
      <c r="W681" s="0" t="n">
        <v>34.4510198921766</v>
      </c>
      <c r="X681" s="0" t="n">
        <v>0</v>
      </c>
      <c r="Y681" s="0" t="n">
        <v>0</v>
      </c>
      <c r="Z681" s="0" t="n">
        <v>5.81269173757255</v>
      </c>
      <c r="AA681" s="0" t="n">
        <v>0</v>
      </c>
      <c r="AB681" s="0" t="n">
        <v>0</v>
      </c>
      <c r="AC681" s="0" t="n">
        <v>0</v>
      </c>
      <c r="AD681" s="0" t="n">
        <v>1</v>
      </c>
      <c r="AE681" s="0" t="n">
        <v>0</v>
      </c>
      <c r="AF681" s="0" t="n">
        <v>0</v>
      </c>
      <c r="AG681" s="0" t="n">
        <v>0</v>
      </c>
      <c r="AH681" s="0" t="n">
        <v>3.81503532372776</v>
      </c>
      <c r="AI681" s="0" t="n">
        <v>0</v>
      </c>
      <c r="AK681" s="0" t="n">
        <f aca="false">A681</f>
        <v>664</v>
      </c>
      <c r="AL681" s="0" t="n">
        <v>2</v>
      </c>
      <c r="AM681" s="0" t="n">
        <v>1</v>
      </c>
      <c r="AO681" s="0" t="n">
        <v>664</v>
      </c>
      <c r="AP681" s="0" t="n">
        <v>1</v>
      </c>
      <c r="AQ681" s="0" t="n">
        <v>0.203902734867972</v>
      </c>
      <c r="AR681" s="0" t="n">
        <v>580.631750270203</v>
      </c>
      <c r="AS681" s="0" t="n">
        <v>92</v>
      </c>
      <c r="AT681" s="0" t="n">
        <v>90</v>
      </c>
    </row>
    <row r="682" customFormat="false" ht="12" hidden="false" customHeight="false" outlineLevel="0" collapsed="false">
      <c r="A682" s="0" t="n">
        <v>665</v>
      </c>
      <c r="B682" s="0" t="n">
        <v>0</v>
      </c>
      <c r="C682" s="0" t="n">
        <v>1.41433624510969</v>
      </c>
      <c r="D682" s="0" t="n">
        <v>726.667646013918</v>
      </c>
      <c r="E682" s="0" t="n">
        <v>8</v>
      </c>
      <c r="F682" s="0" t="n">
        <v>8</v>
      </c>
      <c r="G682" s="0" t="n">
        <v>0.5</v>
      </c>
      <c r="H682" s="0" t="n">
        <v>1</v>
      </c>
      <c r="I682" s="0" t="n">
        <v>0</v>
      </c>
      <c r="J682" s="0" t="n">
        <v>733.048503145798</v>
      </c>
      <c r="K682" s="0" t="n">
        <v>0</v>
      </c>
      <c r="L682" s="0" t="n">
        <v>2.21368183339151</v>
      </c>
      <c r="M682" s="0" t="n">
        <v>733.279683339772</v>
      </c>
      <c r="N682" s="0" t="n">
        <v>6.61203732585443</v>
      </c>
      <c r="O682" s="0" t="n">
        <v>665</v>
      </c>
      <c r="P682" s="0" t="n">
        <v>334</v>
      </c>
      <c r="Q682" s="0" t="n">
        <v>331</v>
      </c>
      <c r="R682" s="0" t="n">
        <v>949.596519537351</v>
      </c>
      <c r="S682" s="0" t="n">
        <v>607.142817285945</v>
      </c>
      <c r="T682" s="0" t="n">
        <v>24</v>
      </c>
      <c r="U682" s="0" t="n">
        <v>24</v>
      </c>
      <c r="V682" s="0" t="n">
        <v>39.5665051613458</v>
      </c>
      <c r="W682" s="0" t="n">
        <v>25.2975119806144</v>
      </c>
      <c r="X682" s="0" t="n">
        <v>0</v>
      </c>
      <c r="Y682" s="0" t="n">
        <v>0</v>
      </c>
      <c r="Z682" s="0" t="n">
        <v>0</v>
      </c>
      <c r="AA682" s="0" t="n">
        <v>6.61203732585443</v>
      </c>
      <c r="AB682" s="0" t="n">
        <v>0</v>
      </c>
      <c r="AC682" s="0" t="n">
        <v>0</v>
      </c>
      <c r="AD682" s="0" t="n">
        <v>0</v>
      </c>
      <c r="AE682" s="0" t="n">
        <v>1</v>
      </c>
      <c r="AF682" s="0" t="n">
        <v>0</v>
      </c>
      <c r="AG682" s="0" t="n">
        <v>0</v>
      </c>
      <c r="AH682" s="0" t="n">
        <v>0</v>
      </c>
      <c r="AI682" s="0" t="n">
        <v>1.25297450229388</v>
      </c>
      <c r="AK682" s="0" t="n">
        <f aca="false">A682</f>
        <v>665</v>
      </c>
      <c r="AL682" s="0" t="n">
        <v>0</v>
      </c>
      <c r="AM682" s="0" t="n">
        <v>1</v>
      </c>
      <c r="AO682" s="0" t="n">
        <v>665</v>
      </c>
      <c r="AP682" s="0" t="n">
        <v>1</v>
      </c>
      <c r="AQ682" s="0" t="n">
        <v>0.947053811451587</v>
      </c>
      <c r="AR682" s="0" t="n">
        <v>581.578804081654</v>
      </c>
      <c r="AS682" s="0" t="n">
        <v>92</v>
      </c>
      <c r="AT682" s="0" t="n">
        <v>90</v>
      </c>
    </row>
    <row r="683" customFormat="false" ht="12" hidden="false" customHeight="false" outlineLevel="0" collapsed="false">
      <c r="A683" s="0" t="n">
        <v>666</v>
      </c>
      <c r="B683" s="0" t="n">
        <v>0</v>
      </c>
      <c r="C683" s="0" t="n">
        <v>1.51089321069701</v>
      </c>
      <c r="D683" s="0" t="n">
        <v>728.178539224615</v>
      </c>
      <c r="E683" s="0" t="n">
        <v>8</v>
      </c>
      <c r="F683" s="0" t="n">
        <v>8</v>
      </c>
      <c r="G683" s="0" t="n">
        <v>0.5</v>
      </c>
      <c r="H683" s="0" t="n">
        <v>0</v>
      </c>
      <c r="I683" s="0" t="n">
        <v>2.24717831323262</v>
      </c>
      <c r="J683" s="0" t="n">
        <v>735.29568145903</v>
      </c>
      <c r="K683" s="0" t="n">
        <v>7.11714223441572</v>
      </c>
      <c r="L683" s="0" t="n">
        <v>0</v>
      </c>
      <c r="M683" s="0" t="n">
        <v>733.279683339772</v>
      </c>
      <c r="N683" s="0" t="n">
        <v>0</v>
      </c>
      <c r="O683" s="0" t="n">
        <v>666</v>
      </c>
      <c r="P683" s="0" t="n">
        <v>335</v>
      </c>
      <c r="Q683" s="0" t="n">
        <v>331</v>
      </c>
      <c r="R683" s="0" t="n">
        <v>736.048073252308</v>
      </c>
      <c r="S683" s="0" t="n">
        <v>828.481679677878</v>
      </c>
      <c r="T683" s="0" t="n">
        <v>23</v>
      </c>
      <c r="U683" s="0" t="n">
        <v>25</v>
      </c>
      <c r="V683" s="0" t="n">
        <v>32.0020762274585</v>
      </c>
      <c r="W683" s="0" t="n">
        <v>33.1391346305766</v>
      </c>
      <c r="X683" s="0" t="n">
        <v>0</v>
      </c>
      <c r="Y683" s="0" t="n">
        <v>7.11714223441572</v>
      </c>
      <c r="Z683" s="0" t="n">
        <v>0</v>
      </c>
      <c r="AA683" s="0" t="n">
        <v>0</v>
      </c>
      <c r="AB683" s="0" t="n">
        <v>0</v>
      </c>
      <c r="AC683" s="0" t="n">
        <v>1</v>
      </c>
      <c r="AD683" s="0" t="n">
        <v>0</v>
      </c>
      <c r="AE683" s="0" t="n">
        <v>0</v>
      </c>
      <c r="AF683" s="0" t="n">
        <v>0</v>
      </c>
      <c r="AG683" s="0" t="n">
        <v>1.30305605593256</v>
      </c>
      <c r="AH683" s="0" t="n">
        <v>0</v>
      </c>
      <c r="AI683" s="0" t="n">
        <v>0</v>
      </c>
      <c r="AK683" s="0" t="n">
        <f aca="false">A683</f>
        <v>666</v>
      </c>
      <c r="AL683" s="0" t="n">
        <v>0</v>
      </c>
      <c r="AM683" s="0" t="n">
        <v>0</v>
      </c>
      <c r="AO683" s="0" t="n">
        <v>666</v>
      </c>
      <c r="AP683" s="0" t="n">
        <v>1</v>
      </c>
      <c r="AQ683" s="0" t="n">
        <v>0.119638449026015</v>
      </c>
      <c r="AR683" s="0" t="n">
        <v>581.69844253068</v>
      </c>
      <c r="AS683" s="0" t="n">
        <v>92</v>
      </c>
      <c r="AT683" s="0" t="n">
        <v>92</v>
      </c>
    </row>
    <row r="684" customFormat="false" ht="12" hidden="false" customHeight="false" outlineLevel="0" collapsed="false">
      <c r="A684" s="0" t="n">
        <v>667</v>
      </c>
      <c r="B684" s="0" t="n">
        <v>1</v>
      </c>
      <c r="C684" s="0" t="n">
        <v>1.24280362357552</v>
      </c>
      <c r="D684" s="0" t="n">
        <v>729.42134284819</v>
      </c>
      <c r="E684" s="0" t="n">
        <v>8</v>
      </c>
      <c r="F684" s="0" t="n">
        <v>6</v>
      </c>
      <c r="G684" s="0" t="n">
        <v>0.5</v>
      </c>
      <c r="H684" s="0" t="n">
        <v>1</v>
      </c>
      <c r="I684" s="0" t="n">
        <v>0</v>
      </c>
      <c r="J684" s="0" t="n">
        <v>735.29568145903</v>
      </c>
      <c r="K684" s="0" t="n">
        <v>0</v>
      </c>
      <c r="L684" s="0" t="n">
        <v>2.19528477035387</v>
      </c>
      <c r="M684" s="0" t="n">
        <v>735.474968110126</v>
      </c>
      <c r="N684" s="0" t="n">
        <v>6.05362526193585</v>
      </c>
      <c r="O684" s="0" t="n">
        <v>667</v>
      </c>
      <c r="P684" s="0" t="n">
        <v>335</v>
      </c>
      <c r="Q684" s="0" t="n">
        <v>332</v>
      </c>
      <c r="R684" s="0" t="n">
        <v>868.083081467456</v>
      </c>
      <c r="S684" s="0" t="n">
        <v>690.868490725714</v>
      </c>
      <c r="T684" s="0" t="n">
        <v>29</v>
      </c>
      <c r="U684" s="0" t="n">
        <v>19</v>
      </c>
      <c r="V684" s="0" t="n">
        <v>29.9338890389161</v>
      </c>
      <c r="W684" s="0" t="n">
        <v>36.3613081365737</v>
      </c>
      <c r="X684" s="0" t="n">
        <v>0</v>
      </c>
      <c r="Y684" s="0" t="n">
        <v>0</v>
      </c>
      <c r="Z684" s="0" t="n">
        <v>6.05362526193585</v>
      </c>
      <c r="AA684" s="0" t="n">
        <v>0</v>
      </c>
      <c r="AB684" s="0" t="n">
        <v>0</v>
      </c>
      <c r="AC684" s="0" t="n">
        <v>0</v>
      </c>
      <c r="AD684" s="0" t="n">
        <v>1</v>
      </c>
      <c r="AE684" s="0" t="n">
        <v>0</v>
      </c>
      <c r="AF684" s="0" t="n">
        <v>0</v>
      </c>
      <c r="AG684" s="0" t="n">
        <v>0</v>
      </c>
      <c r="AH684" s="0" t="n">
        <v>2.93189600611018</v>
      </c>
      <c r="AI684" s="0" t="n">
        <v>0</v>
      </c>
      <c r="AK684" s="0" t="n">
        <f aca="false">A684</f>
        <v>667</v>
      </c>
      <c r="AL684" s="0" t="n">
        <v>1</v>
      </c>
      <c r="AM684" s="0" t="n">
        <v>2</v>
      </c>
      <c r="AO684" s="0" t="n">
        <v>667</v>
      </c>
      <c r="AP684" s="0" t="n">
        <v>1</v>
      </c>
      <c r="AQ684" s="0" t="n">
        <v>0.469741555219218</v>
      </c>
      <c r="AR684" s="0" t="n">
        <v>582.1681840859</v>
      </c>
      <c r="AS684" s="0" t="n">
        <v>90</v>
      </c>
      <c r="AT684" s="0" t="n">
        <v>94</v>
      </c>
    </row>
    <row r="685" customFormat="false" ht="12" hidden="false" customHeight="false" outlineLevel="0" collapsed="false">
      <c r="A685" s="0" t="n">
        <v>668</v>
      </c>
      <c r="B685" s="0" t="n">
        <v>0</v>
      </c>
      <c r="C685" s="0" t="n">
        <v>0.291320796222866</v>
      </c>
      <c r="D685" s="0" t="n">
        <v>729.712663644413</v>
      </c>
      <c r="E685" s="0" t="n">
        <v>8</v>
      </c>
      <c r="F685" s="0" t="n">
        <v>8</v>
      </c>
      <c r="G685" s="0" t="n">
        <v>0.5</v>
      </c>
      <c r="H685" s="0" t="n">
        <v>1</v>
      </c>
      <c r="I685" s="0" t="n">
        <v>0</v>
      </c>
      <c r="J685" s="0" t="n">
        <v>735.29568145903</v>
      </c>
      <c r="K685" s="0" t="n">
        <v>0</v>
      </c>
      <c r="L685" s="0" t="n">
        <v>1.83198440472056</v>
      </c>
      <c r="M685" s="0" t="n">
        <v>737.306952514847</v>
      </c>
      <c r="N685" s="0" t="n">
        <v>7.5942888704335</v>
      </c>
      <c r="O685" s="0" t="n">
        <v>668</v>
      </c>
      <c r="P685" s="0" t="n">
        <v>335</v>
      </c>
      <c r="Q685" s="0" t="n">
        <v>333</v>
      </c>
      <c r="R685" s="0" t="n">
        <v>931.80639802663</v>
      </c>
      <c r="S685" s="0" t="n">
        <v>632.6459603274</v>
      </c>
      <c r="T685" s="0" t="n">
        <v>26</v>
      </c>
      <c r="U685" s="0" t="n">
        <v>22</v>
      </c>
      <c r="V685" s="0" t="n">
        <v>35.8386938322958</v>
      </c>
      <c r="W685" s="0" t="n">
        <v>28.7565038489552</v>
      </c>
      <c r="X685" s="0" t="n">
        <v>0</v>
      </c>
      <c r="Y685" s="0" t="n">
        <v>0</v>
      </c>
      <c r="Z685" s="0" t="n">
        <v>0</v>
      </c>
      <c r="AA685" s="0" t="n">
        <v>7.5942888704335</v>
      </c>
      <c r="AB685" s="0" t="n">
        <v>0</v>
      </c>
      <c r="AC685" s="0" t="n">
        <v>0</v>
      </c>
      <c r="AD685" s="0" t="n">
        <v>0</v>
      </c>
      <c r="AE685" s="0" t="n">
        <v>1</v>
      </c>
      <c r="AF685" s="0" t="n">
        <v>0</v>
      </c>
      <c r="AG685" s="0" t="n">
        <v>0</v>
      </c>
      <c r="AH685" s="0" t="n">
        <v>0</v>
      </c>
      <c r="AI685" s="0" t="n">
        <v>0.0187996708229397</v>
      </c>
      <c r="AK685" s="0" t="n">
        <f aca="false">A685</f>
        <v>668</v>
      </c>
      <c r="AL685" s="0" t="n">
        <v>0</v>
      </c>
      <c r="AM685" s="0" t="n">
        <v>1</v>
      </c>
      <c r="AO685" s="0" t="n">
        <v>668</v>
      </c>
      <c r="AP685" s="0" t="n">
        <v>1</v>
      </c>
      <c r="AQ685" s="0" t="n">
        <v>0.15776426204078</v>
      </c>
      <c r="AR685" s="0" t="n">
        <v>582.32594834794</v>
      </c>
      <c r="AS685" s="0" t="n">
        <v>92</v>
      </c>
      <c r="AT685" s="0" t="n">
        <v>94</v>
      </c>
    </row>
    <row r="686" customFormat="false" ht="12" hidden="false" customHeight="false" outlineLevel="0" collapsed="false">
      <c r="A686" s="0" t="n">
        <v>669</v>
      </c>
      <c r="B686" s="0" t="n">
        <v>0</v>
      </c>
      <c r="C686" s="0" t="n">
        <v>1.45041865519013</v>
      </c>
      <c r="D686" s="0" t="n">
        <v>731.163082299603</v>
      </c>
      <c r="E686" s="0" t="n">
        <v>6</v>
      </c>
      <c r="F686" s="0" t="n">
        <v>8</v>
      </c>
      <c r="G686" s="0" t="n">
        <v>0.5</v>
      </c>
      <c r="H686" s="0" t="n">
        <v>0</v>
      </c>
      <c r="I686" s="0" t="n">
        <v>2.0941473520955</v>
      </c>
      <c r="J686" s="0" t="n">
        <v>737.389828811126</v>
      </c>
      <c r="K686" s="0" t="n">
        <v>6.22674651152283</v>
      </c>
      <c r="L686" s="0" t="n">
        <v>0</v>
      </c>
      <c r="M686" s="0" t="n">
        <v>737.306952514847</v>
      </c>
      <c r="N686" s="0" t="n">
        <v>0</v>
      </c>
      <c r="O686" s="0" t="n">
        <v>669</v>
      </c>
      <c r="P686" s="0" t="n">
        <v>336</v>
      </c>
      <c r="Q686" s="0" t="n">
        <v>333</v>
      </c>
      <c r="R686" s="0" t="n">
        <v>670.81946169731</v>
      </c>
      <c r="S686" s="0" t="n">
        <v>896.062880452196</v>
      </c>
      <c r="T686" s="0" t="n">
        <v>22</v>
      </c>
      <c r="U686" s="0" t="n">
        <v>26</v>
      </c>
      <c r="V686" s="0" t="n">
        <v>30.4917798536142</v>
      </c>
      <c r="W686" s="0" t="n">
        <v>34.4638243872984</v>
      </c>
      <c r="X686" s="0" t="n">
        <v>0</v>
      </c>
      <c r="Y686" s="0" t="n">
        <v>6.22674651152283</v>
      </c>
      <c r="Z686" s="0" t="n">
        <v>0</v>
      </c>
      <c r="AA686" s="0" t="n">
        <v>0</v>
      </c>
      <c r="AB686" s="0" t="n">
        <v>0</v>
      </c>
      <c r="AC686" s="0" t="n">
        <v>1</v>
      </c>
      <c r="AD686" s="0" t="n">
        <v>0</v>
      </c>
      <c r="AE686" s="0" t="n">
        <v>0</v>
      </c>
      <c r="AF686" s="0" t="n">
        <v>0</v>
      </c>
      <c r="AG686" s="0" t="n">
        <v>4.12866040386113</v>
      </c>
      <c r="AH686" s="0" t="n">
        <v>0</v>
      </c>
      <c r="AI686" s="0" t="n">
        <v>0</v>
      </c>
      <c r="AK686" s="0" t="n">
        <f aca="false">A686</f>
        <v>669</v>
      </c>
      <c r="AL686" s="0" t="n">
        <v>1</v>
      </c>
      <c r="AM686" s="0" t="n">
        <v>0</v>
      </c>
      <c r="AO686" s="0" t="n">
        <v>669</v>
      </c>
      <c r="AP686" s="0" t="n">
        <v>1</v>
      </c>
      <c r="AQ686" s="0" t="n">
        <v>0.62690071179159</v>
      </c>
      <c r="AR686" s="0" t="n">
        <v>582.952849059732</v>
      </c>
      <c r="AS686" s="0" t="n">
        <v>94</v>
      </c>
      <c r="AT686" s="0" t="n">
        <v>94</v>
      </c>
    </row>
    <row r="687" customFormat="false" ht="12" hidden="false" customHeight="false" outlineLevel="0" collapsed="false">
      <c r="A687" s="0" t="n">
        <v>670</v>
      </c>
      <c r="B687" s="0" t="n">
        <v>0</v>
      </c>
      <c r="C687" s="0" t="n">
        <v>1.49891169262628</v>
      </c>
      <c r="D687" s="0" t="n">
        <v>732.661993992229</v>
      </c>
      <c r="E687" s="0" t="n">
        <v>8</v>
      </c>
      <c r="F687" s="0" t="n">
        <v>8</v>
      </c>
      <c r="G687" s="0" t="n">
        <v>0.5</v>
      </c>
      <c r="H687" s="0" t="n">
        <v>0</v>
      </c>
      <c r="I687" s="0" t="n">
        <v>2.12181885952634</v>
      </c>
      <c r="J687" s="0" t="n">
        <v>739.511647670652</v>
      </c>
      <c r="K687" s="0" t="n">
        <v>6.8496536784229</v>
      </c>
      <c r="L687" s="0" t="n">
        <v>0</v>
      </c>
      <c r="M687" s="0" t="n">
        <v>737.306952514847</v>
      </c>
      <c r="N687" s="0" t="n">
        <v>0</v>
      </c>
      <c r="O687" s="0" t="n">
        <v>670</v>
      </c>
      <c r="P687" s="0" t="n">
        <v>337</v>
      </c>
      <c r="Q687" s="0" t="n">
        <v>333</v>
      </c>
      <c r="R687" s="0" t="n">
        <v>635.73650042007</v>
      </c>
      <c r="S687" s="0" t="n">
        <v>939.812810691768</v>
      </c>
      <c r="T687" s="0" t="n">
        <v>23</v>
      </c>
      <c r="U687" s="0" t="n">
        <v>25</v>
      </c>
      <c r="V687" s="0" t="n">
        <v>27.6407053918703</v>
      </c>
      <c r="W687" s="0" t="n">
        <v>37.5923620582225</v>
      </c>
      <c r="X687" s="0" t="n">
        <v>0</v>
      </c>
      <c r="Y687" s="0" t="n">
        <v>6.8496536784229</v>
      </c>
      <c r="Z687" s="0" t="n">
        <v>0</v>
      </c>
      <c r="AA687" s="0" t="n">
        <v>0</v>
      </c>
      <c r="AB687" s="0" t="n">
        <v>0</v>
      </c>
      <c r="AC687" s="0" t="n">
        <v>1</v>
      </c>
      <c r="AD687" s="0" t="n">
        <v>0</v>
      </c>
      <c r="AE687" s="0" t="n">
        <v>0</v>
      </c>
      <c r="AF687" s="0" t="n">
        <v>0</v>
      </c>
      <c r="AG687" s="0" t="n">
        <v>1.9852904785696</v>
      </c>
      <c r="AH687" s="0" t="n">
        <v>0</v>
      </c>
      <c r="AI687" s="0" t="n">
        <v>0</v>
      </c>
      <c r="AK687" s="0" t="n">
        <f aca="false">A687</f>
        <v>670</v>
      </c>
      <c r="AL687" s="0" t="n">
        <v>0</v>
      </c>
      <c r="AM687" s="0" t="n">
        <v>1</v>
      </c>
      <c r="AO687" s="0" t="n">
        <v>670</v>
      </c>
      <c r="AP687" s="0" t="n">
        <v>1</v>
      </c>
      <c r="AQ687" s="0" t="n">
        <v>1.39933651168776</v>
      </c>
      <c r="AR687" s="0" t="n">
        <v>584.35218557142</v>
      </c>
      <c r="AS687" s="0" t="n">
        <v>92</v>
      </c>
      <c r="AT687" s="0" t="n">
        <v>94</v>
      </c>
    </row>
    <row r="688" customFormat="false" ht="12" hidden="false" customHeight="false" outlineLevel="0" collapsed="false">
      <c r="A688" s="0" t="n">
        <v>671</v>
      </c>
      <c r="B688" s="0" t="n">
        <v>0</v>
      </c>
      <c r="C688" s="0" t="n">
        <v>2.25077108353564</v>
      </c>
      <c r="D688" s="0" t="n">
        <v>734.912765075765</v>
      </c>
      <c r="E688" s="0" t="n">
        <v>8</v>
      </c>
      <c r="F688" s="0" t="n">
        <v>6</v>
      </c>
      <c r="G688" s="0" t="n">
        <v>0.5</v>
      </c>
      <c r="H688" s="0" t="n">
        <v>1</v>
      </c>
      <c r="I688" s="0" t="n">
        <v>0</v>
      </c>
      <c r="J688" s="0" t="n">
        <v>739.511647670652</v>
      </c>
      <c r="K688" s="0" t="n">
        <v>0</v>
      </c>
      <c r="L688" s="0" t="n">
        <v>1.9855385576692</v>
      </c>
      <c r="M688" s="0" t="n">
        <v>739.292491072516</v>
      </c>
      <c r="N688" s="0" t="n">
        <v>4.37972599675072</v>
      </c>
      <c r="O688" s="0" t="n">
        <v>671</v>
      </c>
      <c r="P688" s="0" t="n">
        <v>337</v>
      </c>
      <c r="Q688" s="0" t="n">
        <v>334</v>
      </c>
      <c r="R688" s="0" t="n">
        <v>804.963860799977</v>
      </c>
      <c r="S688" s="0" t="n">
        <v>761.180753059812</v>
      </c>
      <c r="T688" s="0" t="n">
        <v>24</v>
      </c>
      <c r="U688" s="0" t="n">
        <v>24</v>
      </c>
      <c r="V688" s="0" t="n">
        <v>33.5401468916045</v>
      </c>
      <c r="W688" s="0" t="n">
        <v>31.7157325619398</v>
      </c>
      <c r="X688" s="0" t="n">
        <v>0</v>
      </c>
      <c r="Y688" s="0" t="n">
        <v>0</v>
      </c>
      <c r="Z688" s="0" t="n">
        <v>0</v>
      </c>
      <c r="AA688" s="0" t="n">
        <v>4.37972599675072</v>
      </c>
      <c r="AB688" s="0" t="n">
        <v>0</v>
      </c>
      <c r="AC688" s="0" t="n">
        <v>0</v>
      </c>
      <c r="AD688" s="0" t="n">
        <v>0</v>
      </c>
      <c r="AE688" s="0" t="n">
        <v>1</v>
      </c>
      <c r="AF688" s="0" t="n">
        <v>0</v>
      </c>
      <c r="AG688" s="0" t="n">
        <v>0</v>
      </c>
      <c r="AH688" s="0" t="n">
        <v>0</v>
      </c>
      <c r="AI688" s="0" t="n">
        <v>11.233723732351</v>
      </c>
      <c r="AK688" s="0" t="n">
        <f aca="false">A688</f>
        <v>671</v>
      </c>
      <c r="AL688" s="0" t="n">
        <v>1</v>
      </c>
      <c r="AM688" s="0" t="n">
        <v>0</v>
      </c>
      <c r="AO688" s="0" t="n">
        <v>671</v>
      </c>
      <c r="AP688" s="0" t="n">
        <v>1</v>
      </c>
      <c r="AQ688" s="0" t="n">
        <v>0.291917371633881</v>
      </c>
      <c r="AR688" s="0" t="n">
        <v>584.644102943054</v>
      </c>
      <c r="AS688" s="0" t="n">
        <v>94</v>
      </c>
      <c r="AT688" s="0" t="n">
        <v>94</v>
      </c>
    </row>
    <row r="689" customFormat="false" ht="12" hidden="false" customHeight="false" outlineLevel="0" collapsed="false">
      <c r="A689" s="0" t="n">
        <v>672</v>
      </c>
      <c r="B689" s="0" t="n">
        <v>1</v>
      </c>
      <c r="C689" s="0" t="n">
        <v>0.0660993926512574</v>
      </c>
      <c r="D689" s="0" t="n">
        <v>734.978864468416</v>
      </c>
      <c r="E689" s="0" t="n">
        <v>8</v>
      </c>
      <c r="F689" s="0" t="n">
        <v>8</v>
      </c>
      <c r="G689" s="0" t="n">
        <v>0.5</v>
      </c>
      <c r="H689" s="0" t="n">
        <v>0</v>
      </c>
      <c r="I689" s="0" t="n">
        <v>2.02818933075102</v>
      </c>
      <c r="J689" s="0" t="n">
        <v>741.539837001403</v>
      </c>
      <c r="K689" s="0" t="n">
        <v>6.56097253298708</v>
      </c>
      <c r="L689" s="0" t="n">
        <v>0</v>
      </c>
      <c r="M689" s="0" t="n">
        <v>739.292491072516</v>
      </c>
      <c r="N689" s="0" t="n">
        <v>0</v>
      </c>
      <c r="O689" s="0" t="n">
        <v>672</v>
      </c>
      <c r="P689" s="0" t="n">
        <v>338</v>
      </c>
      <c r="Q689" s="0" t="n">
        <v>334</v>
      </c>
      <c r="R689" s="0" t="n">
        <v>740.846568763802</v>
      </c>
      <c r="S689" s="0" t="n">
        <v>843.66809318027</v>
      </c>
      <c r="T689" s="0" t="n">
        <v>19</v>
      </c>
      <c r="U689" s="0" t="n">
        <v>29</v>
      </c>
      <c r="V689" s="0" t="n">
        <v>38.9919041497242</v>
      </c>
      <c r="W689" s="0" t="n">
        <v>29.0919028962062</v>
      </c>
      <c r="X689" s="0" t="n">
        <v>6.56097253298708</v>
      </c>
      <c r="Y689" s="0" t="n">
        <v>0</v>
      </c>
      <c r="Z689" s="0" t="n">
        <v>0</v>
      </c>
      <c r="AA689" s="0" t="n">
        <v>0</v>
      </c>
      <c r="AB689" s="0" t="n">
        <v>1</v>
      </c>
      <c r="AC689" s="0" t="n">
        <v>0</v>
      </c>
      <c r="AD689" s="0" t="n">
        <v>0</v>
      </c>
      <c r="AE689" s="0" t="n">
        <v>0</v>
      </c>
      <c r="AF689" s="0" t="n">
        <v>0.75097408091641</v>
      </c>
      <c r="AG689" s="0" t="n">
        <v>0</v>
      </c>
      <c r="AH689" s="0" t="n">
        <v>0</v>
      </c>
      <c r="AI689" s="0" t="n">
        <v>0</v>
      </c>
      <c r="AK689" s="0" t="n">
        <f aca="false">A689</f>
        <v>672</v>
      </c>
      <c r="AL689" s="0" t="n">
        <v>0</v>
      </c>
      <c r="AM689" s="0" t="n">
        <v>0</v>
      </c>
      <c r="AO689" s="0" t="n">
        <v>672</v>
      </c>
      <c r="AP689" s="0" t="n">
        <v>0</v>
      </c>
      <c r="AQ689" s="0" t="n">
        <v>0.405352649611547</v>
      </c>
      <c r="AR689" s="0" t="n">
        <v>585.049455592665</v>
      </c>
      <c r="AS689" s="0" t="n">
        <v>94</v>
      </c>
      <c r="AT689" s="0" t="n">
        <v>94</v>
      </c>
    </row>
    <row r="690" customFormat="false" ht="12" hidden="false" customHeight="false" outlineLevel="0" collapsed="false">
      <c r="A690" s="0" t="n">
        <v>673</v>
      </c>
      <c r="B690" s="0" t="n">
        <v>0</v>
      </c>
      <c r="C690" s="0" t="n">
        <v>0.791692157482176</v>
      </c>
      <c r="D690" s="0" t="n">
        <v>735.770556625899</v>
      </c>
      <c r="E690" s="0" t="n">
        <v>8</v>
      </c>
      <c r="F690" s="0" t="n">
        <v>6</v>
      </c>
      <c r="G690" s="0" t="n">
        <v>0.5</v>
      </c>
      <c r="H690" s="0" t="n">
        <v>1</v>
      </c>
      <c r="I690" s="0" t="n">
        <v>0</v>
      </c>
      <c r="J690" s="0" t="n">
        <v>741.539837001403</v>
      </c>
      <c r="K690" s="0" t="n">
        <v>0</v>
      </c>
      <c r="L690" s="0" t="n">
        <v>2.13467811035261</v>
      </c>
      <c r="M690" s="0" t="n">
        <v>741.427169182868</v>
      </c>
      <c r="N690" s="0" t="n">
        <v>5.65661255696989</v>
      </c>
      <c r="O690" s="0" t="n">
        <v>673</v>
      </c>
      <c r="P690" s="0" t="n">
        <v>338</v>
      </c>
      <c r="Q690" s="0" t="n">
        <v>335</v>
      </c>
      <c r="R690" s="0" t="n">
        <v>1018.82656302916</v>
      </c>
      <c r="S690" s="0" t="n">
        <v>543.25759623337</v>
      </c>
      <c r="T690" s="0" t="n">
        <v>30</v>
      </c>
      <c r="U690" s="0" t="n">
        <v>18</v>
      </c>
      <c r="V690" s="0" t="n">
        <v>33.960874114014</v>
      </c>
      <c r="W690" s="0" t="n">
        <v>30.1808098973545</v>
      </c>
      <c r="X690" s="0" t="n">
        <v>0</v>
      </c>
      <c r="Y690" s="0" t="n">
        <v>0</v>
      </c>
      <c r="Z690" s="0" t="n">
        <v>0</v>
      </c>
      <c r="AA690" s="0" t="n">
        <v>5.65661255696989</v>
      </c>
      <c r="AB690" s="0" t="n">
        <v>0</v>
      </c>
      <c r="AC690" s="0" t="n">
        <v>0</v>
      </c>
      <c r="AD690" s="0" t="n">
        <v>0</v>
      </c>
      <c r="AE690" s="0" t="n">
        <v>1</v>
      </c>
      <c r="AF690" s="0" t="n">
        <v>0</v>
      </c>
      <c r="AG690" s="0" t="n">
        <v>0</v>
      </c>
      <c r="AH690" s="0" t="n">
        <v>0</v>
      </c>
      <c r="AI690" s="0" t="n">
        <v>4.30474609594386</v>
      </c>
      <c r="AK690" s="0" t="n">
        <f aca="false">A690</f>
        <v>673</v>
      </c>
      <c r="AL690" s="0" t="n">
        <v>1</v>
      </c>
      <c r="AM690" s="0" t="n">
        <v>1</v>
      </c>
      <c r="AO690" s="0" t="n">
        <v>673</v>
      </c>
      <c r="AP690" s="0" t="n">
        <v>1</v>
      </c>
      <c r="AQ690" s="0" t="n">
        <v>0.486506941064198</v>
      </c>
      <c r="AR690" s="0" t="n">
        <v>585.535962533729</v>
      </c>
      <c r="AS690" s="0" t="n">
        <v>96</v>
      </c>
      <c r="AT690" s="0" t="n">
        <v>94</v>
      </c>
    </row>
    <row r="691" customFormat="false" ht="12" hidden="false" customHeight="false" outlineLevel="0" collapsed="false">
      <c r="A691" s="0" t="n">
        <v>674</v>
      </c>
      <c r="B691" s="0" t="n">
        <v>1</v>
      </c>
      <c r="C691" s="0" t="n">
        <v>3.02347911841095</v>
      </c>
      <c r="D691" s="0" t="n">
        <v>738.794035744309</v>
      </c>
      <c r="E691" s="0" t="n">
        <v>6</v>
      </c>
      <c r="F691" s="0" t="n">
        <v>6</v>
      </c>
      <c r="G691" s="0" t="n">
        <v>0.5</v>
      </c>
      <c r="H691" s="0" t="n">
        <v>1</v>
      </c>
      <c r="I691" s="0" t="n">
        <v>0</v>
      </c>
      <c r="J691" s="0" t="n">
        <v>741.539837001403</v>
      </c>
      <c r="K691" s="0" t="n">
        <v>0</v>
      </c>
      <c r="L691" s="0" t="n">
        <v>2.23933556387667</v>
      </c>
      <c r="M691" s="0" t="n">
        <v>743.666504746745</v>
      </c>
      <c r="N691" s="0" t="n">
        <v>4.87246900243565</v>
      </c>
      <c r="O691" s="0" t="n">
        <v>674</v>
      </c>
      <c r="P691" s="0" t="n">
        <v>338</v>
      </c>
      <c r="Q691" s="0" t="n">
        <v>336</v>
      </c>
      <c r="R691" s="0" t="n">
        <v>713.153863520924</v>
      </c>
      <c r="S691" s="0" t="n">
        <v>870.405047366008</v>
      </c>
      <c r="T691" s="0" t="n">
        <v>24</v>
      </c>
      <c r="U691" s="0" t="n">
        <v>24</v>
      </c>
      <c r="V691" s="0" t="n">
        <v>29.7147319322335</v>
      </c>
      <c r="W691" s="0" t="n">
        <v>36.2667258622259</v>
      </c>
      <c r="X691" s="0" t="n">
        <v>0</v>
      </c>
      <c r="Y691" s="0" t="n">
        <v>0</v>
      </c>
      <c r="Z691" s="0" t="n">
        <v>4.87246900243565</v>
      </c>
      <c r="AA691" s="0" t="n">
        <v>0</v>
      </c>
      <c r="AB691" s="0" t="n">
        <v>0</v>
      </c>
      <c r="AC691" s="0" t="n">
        <v>0</v>
      </c>
      <c r="AD691" s="0" t="n">
        <v>1</v>
      </c>
      <c r="AE691" s="0" t="n">
        <v>0</v>
      </c>
      <c r="AF691" s="0" t="n">
        <v>0</v>
      </c>
      <c r="AG691" s="0" t="n">
        <v>0</v>
      </c>
      <c r="AH691" s="0" t="n">
        <v>8.37196191007524</v>
      </c>
      <c r="AI691" s="0" t="n">
        <v>0</v>
      </c>
      <c r="AK691" s="0" t="n">
        <f aca="false">A691</f>
        <v>674</v>
      </c>
      <c r="AL691" s="0" t="n">
        <v>0</v>
      </c>
      <c r="AM691" s="0" t="n">
        <v>1</v>
      </c>
      <c r="AO691" s="0" t="n">
        <v>674</v>
      </c>
      <c r="AP691" s="0" t="n">
        <v>0</v>
      </c>
      <c r="AQ691" s="0" t="n">
        <v>1.34086683609328</v>
      </c>
      <c r="AR691" s="0" t="n">
        <v>586.876829369823</v>
      </c>
      <c r="AS691" s="0" t="n">
        <v>94</v>
      </c>
      <c r="AT691" s="0" t="n">
        <v>96</v>
      </c>
    </row>
    <row r="692" customFormat="false" ht="12" hidden="false" customHeight="false" outlineLevel="0" collapsed="false">
      <c r="A692" s="0" t="n">
        <v>675</v>
      </c>
      <c r="B692" s="0" t="n">
        <v>1</v>
      </c>
      <c r="C692" s="0" t="n">
        <v>0.274202874015216</v>
      </c>
      <c r="D692" s="0" t="n">
        <v>739.068238618325</v>
      </c>
      <c r="E692" s="0" t="n">
        <v>6</v>
      </c>
      <c r="F692" s="0" t="n">
        <v>8</v>
      </c>
      <c r="G692" s="0" t="n">
        <v>0.5</v>
      </c>
      <c r="H692" s="0" t="n">
        <v>0</v>
      </c>
      <c r="I692" s="0" t="n">
        <v>2.02664938582165</v>
      </c>
      <c r="J692" s="0" t="n">
        <v>743.566486387225</v>
      </c>
      <c r="K692" s="0" t="n">
        <v>4.49824776890034</v>
      </c>
      <c r="L692" s="0" t="n">
        <v>0</v>
      </c>
      <c r="M692" s="0" t="n">
        <v>743.666504746745</v>
      </c>
      <c r="N692" s="0" t="n">
        <v>0</v>
      </c>
      <c r="O692" s="0" t="n">
        <v>675</v>
      </c>
      <c r="P692" s="0" t="n">
        <v>339</v>
      </c>
      <c r="Q692" s="0" t="n">
        <v>336</v>
      </c>
      <c r="R692" s="0" t="n">
        <v>797.616248926738</v>
      </c>
      <c r="S692" s="0" t="n">
        <v>770.182639268997</v>
      </c>
      <c r="T692" s="0" t="n">
        <v>27</v>
      </c>
      <c r="U692" s="0" t="n">
        <v>21</v>
      </c>
      <c r="V692" s="0" t="n">
        <v>29.5413316116082</v>
      </c>
      <c r="W692" s="0" t="n">
        <v>36.6751891309564</v>
      </c>
      <c r="X692" s="0" t="n">
        <v>4.49824776890034</v>
      </c>
      <c r="Y692" s="0" t="n">
        <v>0</v>
      </c>
      <c r="Z692" s="0" t="n">
        <v>0</v>
      </c>
      <c r="AA692" s="0" t="n">
        <v>0</v>
      </c>
      <c r="AB692" s="0" t="n">
        <v>1</v>
      </c>
      <c r="AC692" s="0" t="n">
        <v>0</v>
      </c>
      <c r="AD692" s="0" t="n">
        <v>0</v>
      </c>
      <c r="AE692" s="0" t="n">
        <v>0</v>
      </c>
      <c r="AF692" s="0" t="n">
        <v>8.58087096845113</v>
      </c>
      <c r="AG692" s="0" t="n">
        <v>0</v>
      </c>
      <c r="AH692" s="0" t="n">
        <v>0</v>
      </c>
      <c r="AI692" s="0" t="n">
        <v>0</v>
      </c>
      <c r="AK692" s="0" t="n">
        <f aca="false">A692</f>
        <v>675</v>
      </c>
      <c r="AL692" s="0" t="n">
        <v>1</v>
      </c>
      <c r="AM692" s="0" t="n">
        <v>1</v>
      </c>
      <c r="AO692" s="0" t="n">
        <v>675</v>
      </c>
      <c r="AP692" s="0" t="n">
        <v>0</v>
      </c>
      <c r="AQ692" s="0" t="n">
        <v>0.028902695429512</v>
      </c>
      <c r="AR692" s="0" t="n">
        <v>586.905732065252</v>
      </c>
      <c r="AS692" s="0" t="n">
        <v>94</v>
      </c>
      <c r="AT692" s="0" t="n">
        <v>96</v>
      </c>
    </row>
    <row r="693" customFormat="false" ht="12" hidden="false" customHeight="false" outlineLevel="0" collapsed="false">
      <c r="A693" s="0" t="n">
        <v>676</v>
      </c>
      <c r="B693" s="0" t="n">
        <v>0</v>
      </c>
      <c r="C693" s="0" t="n">
        <v>0.982095100513812</v>
      </c>
      <c r="D693" s="0" t="n">
        <v>740.050333718839</v>
      </c>
      <c r="E693" s="0" t="n">
        <v>6</v>
      </c>
      <c r="F693" s="0" t="n">
        <v>6</v>
      </c>
      <c r="G693" s="0" t="n">
        <v>0.5</v>
      </c>
      <c r="H693" s="0" t="n">
        <v>1</v>
      </c>
      <c r="I693" s="0" t="n">
        <v>0</v>
      </c>
      <c r="J693" s="0" t="n">
        <v>743.566486387225</v>
      </c>
      <c r="K693" s="0" t="n">
        <v>0</v>
      </c>
      <c r="L693" s="0" t="n">
        <v>1.98134356093589</v>
      </c>
      <c r="M693" s="0" t="n">
        <v>745.647848307681</v>
      </c>
      <c r="N693" s="0" t="n">
        <v>5.5975145888425</v>
      </c>
      <c r="O693" s="0" t="n">
        <v>676</v>
      </c>
      <c r="P693" s="0" t="n">
        <v>339</v>
      </c>
      <c r="Q693" s="0" t="n">
        <v>337</v>
      </c>
      <c r="R693" s="0" t="n">
        <v>714.259045821221</v>
      </c>
      <c r="S693" s="0" t="n">
        <v>868.626387933228</v>
      </c>
      <c r="T693" s="0" t="n">
        <v>22</v>
      </c>
      <c r="U693" s="0" t="n">
        <v>26</v>
      </c>
      <c r="V693" s="0" t="n">
        <v>32.4663055071894</v>
      </c>
      <c r="W693" s="0" t="n">
        <v>33.4085787336675</v>
      </c>
      <c r="X693" s="0" t="n">
        <v>0</v>
      </c>
      <c r="Y693" s="0" t="n">
        <v>0</v>
      </c>
      <c r="Z693" s="0" t="n">
        <v>0</v>
      </c>
      <c r="AA693" s="0" t="n">
        <v>5.5975145888425</v>
      </c>
      <c r="AB693" s="0" t="n">
        <v>0</v>
      </c>
      <c r="AC693" s="0" t="n">
        <v>0</v>
      </c>
      <c r="AD693" s="0" t="n">
        <v>0</v>
      </c>
      <c r="AE693" s="0" t="n">
        <v>1</v>
      </c>
      <c r="AF693" s="0" t="n">
        <v>0</v>
      </c>
      <c r="AG693" s="0" t="n">
        <v>0</v>
      </c>
      <c r="AH693" s="0" t="n">
        <v>0</v>
      </c>
      <c r="AI693" s="0" t="n">
        <v>4.55347020021059</v>
      </c>
      <c r="AK693" s="0" t="n">
        <f aca="false">A693</f>
        <v>676</v>
      </c>
      <c r="AL693" s="0" t="n">
        <v>0</v>
      </c>
      <c r="AM693" s="0" t="n">
        <v>2</v>
      </c>
      <c r="AO693" s="0" t="n">
        <v>676</v>
      </c>
      <c r="AP693" s="0" t="n">
        <v>1</v>
      </c>
      <c r="AQ693" s="0" t="n">
        <v>2.03719231044173</v>
      </c>
      <c r="AR693" s="0" t="n">
        <v>588.942924375694</v>
      </c>
      <c r="AS693" s="0" t="n">
        <v>92</v>
      </c>
      <c r="AT693" s="0" t="n">
        <v>96</v>
      </c>
    </row>
    <row r="694" customFormat="false" ht="12" hidden="false" customHeight="false" outlineLevel="0" collapsed="false">
      <c r="A694" s="0" t="n">
        <v>677</v>
      </c>
      <c r="B694" s="0" t="n">
        <v>1</v>
      </c>
      <c r="C694" s="0" t="n">
        <v>0.926918461566014</v>
      </c>
      <c r="D694" s="0" t="n">
        <v>740.977252180405</v>
      </c>
      <c r="E694" s="0" t="n">
        <v>6</v>
      </c>
      <c r="F694" s="0" t="n">
        <v>8</v>
      </c>
      <c r="G694" s="0" t="n">
        <v>0.5</v>
      </c>
      <c r="H694" s="0" t="n">
        <v>0</v>
      </c>
      <c r="I694" s="0" t="n">
        <v>1.77407626540977</v>
      </c>
      <c r="J694" s="0" t="n">
        <v>745.340562652635</v>
      </c>
      <c r="K694" s="0" t="n">
        <v>4.3633104722303</v>
      </c>
      <c r="L694" s="0" t="n">
        <v>0</v>
      </c>
      <c r="M694" s="0" t="n">
        <v>745.647848307681</v>
      </c>
      <c r="N694" s="0" t="n">
        <v>0</v>
      </c>
      <c r="O694" s="0" t="n">
        <v>677</v>
      </c>
      <c r="P694" s="0" t="n">
        <v>340</v>
      </c>
      <c r="Q694" s="0" t="n">
        <v>337</v>
      </c>
      <c r="R694" s="0" t="n">
        <v>740.280453139868</v>
      </c>
      <c r="S694" s="0" t="n">
        <v>830.041143812025</v>
      </c>
      <c r="T694" s="0" t="n">
        <v>20</v>
      </c>
      <c r="U694" s="0" t="n">
        <v>28</v>
      </c>
      <c r="V694" s="0" t="n">
        <v>37.0140041499913</v>
      </c>
      <c r="W694" s="0" t="n">
        <v>29.6442206924984</v>
      </c>
      <c r="X694" s="0" t="n">
        <v>4.3633104722303</v>
      </c>
      <c r="Y694" s="0" t="n">
        <v>0</v>
      </c>
      <c r="Z694" s="0" t="n">
        <v>0</v>
      </c>
      <c r="AA694" s="0" t="n">
        <v>0</v>
      </c>
      <c r="AB694" s="0" t="n">
        <v>1</v>
      </c>
      <c r="AC694" s="0" t="n">
        <v>0</v>
      </c>
      <c r="AD694" s="0" t="n">
        <v>0</v>
      </c>
      <c r="AE694" s="0" t="n">
        <v>0</v>
      </c>
      <c r="AF694" s="0" t="n">
        <v>9.38962602744522</v>
      </c>
      <c r="AG694" s="0" t="n">
        <v>0</v>
      </c>
      <c r="AH694" s="0" t="n">
        <v>0</v>
      </c>
      <c r="AI694" s="0" t="n">
        <v>0</v>
      </c>
      <c r="AK694" s="0" t="n">
        <f aca="false">A694</f>
        <v>677</v>
      </c>
      <c r="AL694" s="0" t="n">
        <v>1</v>
      </c>
      <c r="AM694" s="0" t="n">
        <v>2</v>
      </c>
      <c r="AO694" s="0" t="n">
        <v>677</v>
      </c>
      <c r="AP694" s="0" t="n">
        <v>1</v>
      </c>
      <c r="AQ694" s="0" t="n">
        <v>1.90884772052514</v>
      </c>
      <c r="AR694" s="0" t="n">
        <v>590.851772096219</v>
      </c>
      <c r="AS694" s="0" t="n">
        <v>92</v>
      </c>
      <c r="AT694" s="0" t="n">
        <v>96</v>
      </c>
    </row>
    <row r="695" customFormat="false" ht="12" hidden="false" customHeight="false" outlineLevel="0" collapsed="false">
      <c r="A695" s="0" t="n">
        <v>678</v>
      </c>
      <c r="B695" s="0" t="n">
        <v>1</v>
      </c>
      <c r="C695" s="0" t="n">
        <v>0.107702756359538</v>
      </c>
      <c r="D695" s="0" t="n">
        <v>741.084954936764</v>
      </c>
      <c r="E695" s="0" t="n">
        <v>8</v>
      </c>
      <c r="F695" s="0" t="n">
        <v>8</v>
      </c>
      <c r="G695" s="0" t="n">
        <v>0.5</v>
      </c>
      <c r="H695" s="0" t="n">
        <v>1</v>
      </c>
      <c r="I695" s="0" t="n">
        <v>0</v>
      </c>
      <c r="J695" s="0" t="n">
        <v>745.340562652635</v>
      </c>
      <c r="K695" s="0" t="n">
        <v>0</v>
      </c>
      <c r="L695" s="0" t="n">
        <v>2.17317584531123</v>
      </c>
      <c r="M695" s="0" t="n">
        <v>747.821024152992</v>
      </c>
      <c r="N695" s="0" t="n">
        <v>6.73606921622809</v>
      </c>
      <c r="O695" s="0" t="n">
        <v>678</v>
      </c>
      <c r="P695" s="0" t="n">
        <v>340</v>
      </c>
      <c r="Q695" s="0" t="n">
        <v>338</v>
      </c>
      <c r="R695" s="0" t="n">
        <v>969.002655983023</v>
      </c>
      <c r="S695" s="0" t="n">
        <v>610.357658804259</v>
      </c>
      <c r="T695" s="0" t="n">
        <v>28</v>
      </c>
      <c r="U695" s="0" t="n">
        <v>20</v>
      </c>
      <c r="V695" s="0" t="n">
        <v>34.6072253539561</v>
      </c>
      <c r="W695" s="0" t="n">
        <v>30.5177303515612</v>
      </c>
      <c r="X695" s="0" t="n">
        <v>0</v>
      </c>
      <c r="Y695" s="0" t="n">
        <v>0</v>
      </c>
      <c r="Z695" s="0" t="n">
        <v>6.73606921622809</v>
      </c>
      <c r="AA695" s="0" t="n">
        <v>0</v>
      </c>
      <c r="AB695" s="0" t="n">
        <v>0</v>
      </c>
      <c r="AC695" s="0" t="n">
        <v>0</v>
      </c>
      <c r="AD695" s="0" t="n">
        <v>1</v>
      </c>
      <c r="AE695" s="0" t="n">
        <v>0</v>
      </c>
      <c r="AF695" s="0" t="n">
        <v>0</v>
      </c>
      <c r="AG695" s="0" t="n">
        <v>0</v>
      </c>
      <c r="AH695" s="0" t="n">
        <v>1.06055819587641</v>
      </c>
      <c r="AI695" s="0" t="n">
        <v>0</v>
      </c>
      <c r="AK695" s="0" t="n">
        <f aca="false">A695</f>
        <v>678</v>
      </c>
      <c r="AL695" s="0" t="n">
        <v>0</v>
      </c>
      <c r="AM695" s="0" t="n">
        <v>0</v>
      </c>
      <c r="AO695" s="0" t="n">
        <v>678</v>
      </c>
      <c r="AP695" s="0" t="n">
        <v>0</v>
      </c>
      <c r="AQ695" s="0" t="n">
        <v>1.00508284428383</v>
      </c>
      <c r="AR695" s="0" t="n">
        <v>591.856854940503</v>
      </c>
      <c r="AS695" s="0" t="n">
        <v>94</v>
      </c>
      <c r="AT695" s="0" t="n">
        <v>94</v>
      </c>
    </row>
    <row r="696" customFormat="false" ht="12" hidden="false" customHeight="false" outlineLevel="0" collapsed="false">
      <c r="A696" s="0" t="n">
        <v>679</v>
      </c>
      <c r="B696" s="0" t="n">
        <v>0</v>
      </c>
      <c r="C696" s="0" t="n">
        <v>0.292600026198347</v>
      </c>
      <c r="D696" s="0" t="n">
        <v>741.377554962962</v>
      </c>
      <c r="E696" s="0" t="n">
        <v>8</v>
      </c>
      <c r="F696" s="0" t="n">
        <v>10</v>
      </c>
      <c r="G696" s="0" t="n">
        <v>0.5</v>
      </c>
      <c r="H696" s="0" t="n">
        <v>1</v>
      </c>
      <c r="I696" s="0" t="n">
        <v>0</v>
      </c>
      <c r="J696" s="0" t="n">
        <v>745.340562652635</v>
      </c>
      <c r="K696" s="0" t="n">
        <v>0</v>
      </c>
      <c r="L696" s="0" t="n">
        <v>2.120010124612</v>
      </c>
      <c r="M696" s="0" t="n">
        <v>749.941034277604</v>
      </c>
      <c r="N696" s="0" t="n">
        <v>8.56347931464177</v>
      </c>
      <c r="O696" s="0" t="n">
        <v>679</v>
      </c>
      <c r="P696" s="0" t="n">
        <v>340</v>
      </c>
      <c r="Q696" s="0" t="n">
        <v>339</v>
      </c>
      <c r="R696" s="0" t="n">
        <v>674.870516270004</v>
      </c>
      <c r="S696" s="0" t="n">
        <v>907.721701269329</v>
      </c>
      <c r="T696" s="0" t="n">
        <v>22</v>
      </c>
      <c r="U696" s="0" t="n">
        <v>26</v>
      </c>
      <c r="V696" s="0" t="n">
        <v>30.6759186141281</v>
      </c>
      <c r="W696" s="0" t="n">
        <v>34.9122388479017</v>
      </c>
      <c r="X696" s="0" t="n">
        <v>0</v>
      </c>
      <c r="Y696" s="0" t="n">
        <v>0</v>
      </c>
      <c r="Z696" s="0" t="n">
        <v>0</v>
      </c>
      <c r="AA696" s="0" t="n">
        <v>8.56347931464177</v>
      </c>
      <c r="AB696" s="0" t="n">
        <v>0</v>
      </c>
      <c r="AC696" s="0" t="n">
        <v>0</v>
      </c>
      <c r="AD696" s="0" t="n">
        <v>0</v>
      </c>
      <c r="AE696" s="0" t="n">
        <v>1</v>
      </c>
      <c r="AF696" s="0" t="n">
        <v>0</v>
      </c>
      <c r="AG696" s="0" t="n">
        <v>0</v>
      </c>
      <c r="AH696" s="0" t="n">
        <v>0</v>
      </c>
      <c r="AI696" s="0" t="n">
        <v>0.692354717681479</v>
      </c>
      <c r="AK696" s="0" t="n">
        <f aca="false">A696</f>
        <v>679</v>
      </c>
      <c r="AL696" s="0" t="n">
        <v>1</v>
      </c>
      <c r="AM696" s="0" t="n">
        <v>1</v>
      </c>
      <c r="AO696" s="0" t="n">
        <v>679</v>
      </c>
      <c r="AP696" s="0" t="n">
        <v>1</v>
      </c>
      <c r="AQ696" s="0" t="n">
        <v>0.056944554561192</v>
      </c>
      <c r="AR696" s="0" t="n">
        <v>591.913799495064</v>
      </c>
      <c r="AS696" s="0" t="n">
        <v>96</v>
      </c>
      <c r="AT696" s="0" t="n">
        <v>94</v>
      </c>
    </row>
    <row r="697" customFormat="false" ht="12" hidden="false" customHeight="false" outlineLevel="0" collapsed="false">
      <c r="A697" s="0" t="n">
        <v>680</v>
      </c>
      <c r="B697" s="0" t="n">
        <v>0</v>
      </c>
      <c r="C697" s="0" t="n">
        <v>0.139561060719736</v>
      </c>
      <c r="D697" s="0" t="n">
        <v>741.517116023682</v>
      </c>
      <c r="E697" s="0" t="n">
        <v>8</v>
      </c>
      <c r="F697" s="0" t="n">
        <v>10</v>
      </c>
      <c r="G697" s="0" t="n">
        <v>0.5</v>
      </c>
      <c r="H697" s="0" t="n">
        <v>0</v>
      </c>
      <c r="I697" s="0" t="n">
        <v>1.75231430527897</v>
      </c>
      <c r="J697" s="0" t="n">
        <v>747.092876957914</v>
      </c>
      <c r="K697" s="0" t="n">
        <v>5.57576093423165</v>
      </c>
      <c r="L697" s="0" t="n">
        <v>0</v>
      </c>
      <c r="M697" s="0" t="n">
        <v>749.941034277604</v>
      </c>
      <c r="N697" s="0" t="n">
        <v>0</v>
      </c>
      <c r="O697" s="0" t="n">
        <v>680</v>
      </c>
      <c r="P697" s="0" t="n">
        <v>341</v>
      </c>
      <c r="Q697" s="0" t="n">
        <v>339</v>
      </c>
      <c r="R697" s="0" t="n">
        <v>784.50929191521</v>
      </c>
      <c r="S697" s="0" t="n">
        <v>796.061725906695</v>
      </c>
      <c r="T697" s="0" t="n">
        <v>22</v>
      </c>
      <c r="U697" s="0" t="n">
        <v>26</v>
      </c>
      <c r="V697" s="0" t="n">
        <v>35.6594970600109</v>
      </c>
      <c r="W697" s="0" t="n">
        <v>30.6176409285616</v>
      </c>
      <c r="X697" s="0" t="n">
        <v>0</v>
      </c>
      <c r="Y697" s="0" t="n">
        <v>5.57576093423165</v>
      </c>
      <c r="Z697" s="0" t="n">
        <v>0</v>
      </c>
      <c r="AA697" s="0" t="n">
        <v>0</v>
      </c>
      <c r="AB697" s="0" t="n">
        <v>0</v>
      </c>
      <c r="AC697" s="0" t="n">
        <v>1</v>
      </c>
      <c r="AD697" s="0" t="n">
        <v>0</v>
      </c>
      <c r="AE697" s="0" t="n">
        <v>0</v>
      </c>
      <c r="AF697" s="0" t="n">
        <v>0</v>
      </c>
      <c r="AG697" s="0" t="n">
        <v>7.19793152507476</v>
      </c>
      <c r="AH697" s="0" t="n">
        <v>0</v>
      </c>
      <c r="AI697" s="0" t="n">
        <v>0</v>
      </c>
      <c r="AK697" s="0" t="n">
        <f aca="false">A697</f>
        <v>680</v>
      </c>
      <c r="AL697" s="0" t="n">
        <v>1</v>
      </c>
      <c r="AM697" s="0" t="n">
        <v>0</v>
      </c>
      <c r="AO697" s="0" t="n">
        <v>680</v>
      </c>
      <c r="AP697" s="0" t="n">
        <v>0</v>
      </c>
      <c r="AQ697" s="0" t="n">
        <v>0.0644661994812261</v>
      </c>
      <c r="AR697" s="0" t="n">
        <v>591.978265694545</v>
      </c>
      <c r="AS697" s="0" t="n">
        <v>96</v>
      </c>
      <c r="AT697" s="0" t="n">
        <v>96</v>
      </c>
    </row>
    <row r="698" customFormat="false" ht="12" hidden="false" customHeight="false" outlineLevel="0" collapsed="false">
      <c r="A698" s="0" t="n">
        <v>681</v>
      </c>
      <c r="B698" s="0" t="n">
        <v>1</v>
      </c>
      <c r="C698" s="0" t="n">
        <v>0.0507437776476167</v>
      </c>
      <c r="D698" s="0" t="n">
        <v>741.56785980133</v>
      </c>
      <c r="E698" s="0" t="n">
        <v>8</v>
      </c>
      <c r="F698" s="0" t="n">
        <v>10</v>
      </c>
      <c r="G698" s="0" t="n">
        <v>0.5</v>
      </c>
      <c r="H698" s="0" t="n">
        <v>0</v>
      </c>
      <c r="I698" s="0" t="n">
        <v>2.14073376418343</v>
      </c>
      <c r="J698" s="0" t="n">
        <v>749.233610722097</v>
      </c>
      <c r="K698" s="0" t="n">
        <v>7.66575092076744</v>
      </c>
      <c r="L698" s="0" t="n">
        <v>0</v>
      </c>
      <c r="M698" s="0" t="n">
        <v>749.941034277604</v>
      </c>
      <c r="N698" s="0" t="n">
        <v>0</v>
      </c>
      <c r="O698" s="0" t="n">
        <v>681</v>
      </c>
      <c r="P698" s="0" t="n">
        <v>342</v>
      </c>
      <c r="Q698" s="0" t="n">
        <v>339</v>
      </c>
      <c r="R698" s="0" t="n">
        <v>893.830518006785</v>
      </c>
      <c r="S698" s="0" t="n">
        <v>684.465811024713</v>
      </c>
      <c r="T698" s="0" t="n">
        <v>28</v>
      </c>
      <c r="U698" s="0" t="n">
        <v>20</v>
      </c>
      <c r="V698" s="0" t="n">
        <v>31.9225070993469</v>
      </c>
      <c r="W698" s="0" t="n">
        <v>34.2231194356385</v>
      </c>
      <c r="X698" s="0" t="n">
        <v>7.66575092076744</v>
      </c>
      <c r="Y698" s="0" t="n">
        <v>0</v>
      </c>
      <c r="Z698" s="0" t="n">
        <v>0</v>
      </c>
      <c r="AA698" s="0" t="n">
        <v>0</v>
      </c>
      <c r="AB698" s="0" t="n">
        <v>1</v>
      </c>
      <c r="AC698" s="0" t="n">
        <v>0</v>
      </c>
      <c r="AD698" s="0" t="n">
        <v>0</v>
      </c>
      <c r="AE698" s="0" t="n">
        <v>0</v>
      </c>
      <c r="AF698" s="0" t="n">
        <v>0.0567348479634327</v>
      </c>
      <c r="AG698" s="0" t="n">
        <v>0</v>
      </c>
      <c r="AH698" s="0" t="n">
        <v>0</v>
      </c>
      <c r="AI698" s="0" t="n">
        <v>0</v>
      </c>
      <c r="AK698" s="0" t="n">
        <f aca="false">A698</f>
        <v>681</v>
      </c>
      <c r="AL698" s="0" t="n">
        <v>1</v>
      </c>
      <c r="AM698" s="0" t="n">
        <v>1</v>
      </c>
      <c r="AO698" s="0" t="n">
        <v>681</v>
      </c>
      <c r="AP698" s="0" t="n">
        <v>0</v>
      </c>
      <c r="AQ698" s="0" t="n">
        <v>1.84738153065291</v>
      </c>
      <c r="AR698" s="0" t="n">
        <v>593.825647225198</v>
      </c>
      <c r="AS698" s="0" t="n">
        <v>94</v>
      </c>
      <c r="AT698" s="0" t="n">
        <v>96</v>
      </c>
    </row>
    <row r="699" customFormat="false" ht="12" hidden="false" customHeight="false" outlineLevel="0" collapsed="false">
      <c r="A699" s="0" t="n">
        <v>682</v>
      </c>
      <c r="B699" s="0" t="n">
        <v>0</v>
      </c>
      <c r="C699" s="0" t="n">
        <v>0.557006357275334</v>
      </c>
      <c r="D699" s="0" t="n">
        <v>742.124866158605</v>
      </c>
      <c r="E699" s="0" t="n">
        <v>10</v>
      </c>
      <c r="F699" s="0" t="n">
        <v>10</v>
      </c>
      <c r="G699" s="0" t="n">
        <v>0.5</v>
      </c>
      <c r="H699" s="0" t="n">
        <v>1</v>
      </c>
      <c r="I699" s="0" t="n">
        <v>0</v>
      </c>
      <c r="J699" s="0" t="n">
        <v>749.233610722097</v>
      </c>
      <c r="K699" s="0" t="n">
        <v>0</v>
      </c>
      <c r="L699" s="0" t="n">
        <v>1.97346263853582</v>
      </c>
      <c r="M699" s="0" t="n">
        <v>751.91449691614</v>
      </c>
      <c r="N699" s="0" t="n">
        <v>9.78963075753484</v>
      </c>
      <c r="O699" s="0" t="n">
        <v>682</v>
      </c>
      <c r="P699" s="0" t="n">
        <v>342</v>
      </c>
      <c r="Q699" s="0" t="n">
        <v>340</v>
      </c>
      <c r="R699" s="0" t="n">
        <v>602.060959517389</v>
      </c>
      <c r="S699" s="0" t="n">
        <v>987.778664859558</v>
      </c>
      <c r="T699" s="0" t="n">
        <v>21</v>
      </c>
      <c r="U699" s="0" t="n">
        <v>27</v>
      </c>
      <c r="V699" s="0" t="n">
        <v>28.6695558486586</v>
      </c>
      <c r="W699" s="0" t="n">
        <v>36.584259497541</v>
      </c>
      <c r="X699" s="0" t="n">
        <v>0</v>
      </c>
      <c r="Y699" s="0" t="n">
        <v>0</v>
      </c>
      <c r="Z699" s="0" t="n">
        <v>0</v>
      </c>
      <c r="AA699" s="0" t="n">
        <v>9.78963075753484</v>
      </c>
      <c r="AB699" s="0" t="n">
        <v>0</v>
      </c>
      <c r="AC699" s="0" t="n">
        <v>0</v>
      </c>
      <c r="AD699" s="0" t="n">
        <v>0</v>
      </c>
      <c r="AE699" s="0" t="n">
        <v>1</v>
      </c>
      <c r="AF699" s="0" t="n">
        <v>0</v>
      </c>
      <c r="AG699" s="0" t="n">
        <v>0</v>
      </c>
      <c r="AH699" s="0" t="n">
        <v>0</v>
      </c>
      <c r="AI699" s="0" t="n">
        <v>4.23631071430923</v>
      </c>
      <c r="AK699" s="0" t="n">
        <f aca="false">A699</f>
        <v>682</v>
      </c>
      <c r="AL699" s="0" t="n">
        <v>0</v>
      </c>
      <c r="AM699" s="0" t="n">
        <v>2</v>
      </c>
      <c r="AO699" s="0" t="n">
        <v>682</v>
      </c>
      <c r="AP699" s="0" t="n">
        <v>1</v>
      </c>
      <c r="AQ699" s="0" t="n">
        <v>1.75068664153737</v>
      </c>
      <c r="AR699" s="0" t="n">
        <v>595.576333866736</v>
      </c>
      <c r="AS699" s="0" t="n">
        <v>92</v>
      </c>
      <c r="AT699" s="0" t="n">
        <v>96</v>
      </c>
    </row>
    <row r="700" customFormat="false" ht="12" hidden="false" customHeight="false" outlineLevel="0" collapsed="false">
      <c r="A700" s="0" t="n">
        <v>683</v>
      </c>
      <c r="B700" s="0" t="n">
        <v>0</v>
      </c>
      <c r="C700" s="0" t="n">
        <v>0.271637517275522</v>
      </c>
      <c r="D700" s="0" t="n">
        <v>742.396503675881</v>
      </c>
      <c r="E700" s="0" t="n">
        <v>10</v>
      </c>
      <c r="F700" s="0" t="n">
        <v>12</v>
      </c>
      <c r="G700" s="0" t="n">
        <v>0.5</v>
      </c>
      <c r="H700" s="0" t="n">
        <v>1</v>
      </c>
      <c r="I700" s="0" t="n">
        <v>0</v>
      </c>
      <c r="J700" s="0" t="n">
        <v>749.233610722097</v>
      </c>
      <c r="K700" s="0" t="n">
        <v>0</v>
      </c>
      <c r="L700" s="0" t="n">
        <v>2.18001611605366</v>
      </c>
      <c r="M700" s="0" t="n">
        <v>754.094513032194</v>
      </c>
      <c r="N700" s="0" t="n">
        <v>11.698009356313</v>
      </c>
      <c r="O700" s="0" t="n">
        <v>683</v>
      </c>
      <c r="P700" s="0" t="n">
        <v>342</v>
      </c>
      <c r="Q700" s="0" t="n">
        <v>341</v>
      </c>
      <c r="R700" s="0" t="n">
        <v>929.396784960772</v>
      </c>
      <c r="S700" s="0" t="n">
        <v>664.741953958122</v>
      </c>
      <c r="T700" s="0" t="n">
        <v>24</v>
      </c>
      <c r="U700" s="0" t="n">
        <v>24</v>
      </c>
      <c r="V700" s="0" t="n">
        <v>38.724849904678</v>
      </c>
      <c r="W700" s="0" t="n">
        <v>27.6974660088134</v>
      </c>
      <c r="X700" s="0" t="n">
        <v>0</v>
      </c>
      <c r="Y700" s="0" t="n">
        <v>0</v>
      </c>
      <c r="Z700" s="0" t="n">
        <v>0</v>
      </c>
      <c r="AA700" s="0" t="n">
        <v>11.698009356313</v>
      </c>
      <c r="AB700" s="0" t="n">
        <v>0</v>
      </c>
      <c r="AC700" s="0" t="n">
        <v>0</v>
      </c>
      <c r="AD700" s="0" t="n">
        <v>0</v>
      </c>
      <c r="AE700" s="0" t="n">
        <v>1</v>
      </c>
      <c r="AF700" s="0" t="n">
        <v>0</v>
      </c>
      <c r="AG700" s="0" t="n">
        <v>0</v>
      </c>
      <c r="AH700" s="0" t="n">
        <v>0</v>
      </c>
      <c r="AI700" s="0" t="n">
        <v>15.7339837400731</v>
      </c>
      <c r="AK700" s="0" t="n">
        <f aca="false">A700</f>
        <v>683</v>
      </c>
      <c r="AL700" s="0" t="n">
        <v>1</v>
      </c>
      <c r="AM700" s="0" t="n">
        <v>1</v>
      </c>
      <c r="AO700" s="0" t="n">
        <v>683</v>
      </c>
      <c r="AP700" s="0" t="n">
        <v>1</v>
      </c>
      <c r="AQ700" s="0" t="n">
        <v>0.0922030771489456</v>
      </c>
      <c r="AR700" s="0" t="n">
        <v>595.668536943885</v>
      </c>
      <c r="AS700" s="0" t="n">
        <v>94</v>
      </c>
      <c r="AT700" s="0" t="n">
        <v>96</v>
      </c>
    </row>
    <row r="701" customFormat="false" ht="12" hidden="false" customHeight="false" outlineLevel="0" collapsed="false">
      <c r="A701" s="0" t="n">
        <v>684</v>
      </c>
      <c r="B701" s="0" t="n">
        <v>0</v>
      </c>
      <c r="C701" s="0" t="n">
        <v>2.27550674394001</v>
      </c>
      <c r="D701" s="0" t="n">
        <v>744.672010419821</v>
      </c>
      <c r="E701" s="0" t="n">
        <v>8</v>
      </c>
      <c r="F701" s="0" t="n">
        <v>12</v>
      </c>
      <c r="G701" s="0" t="n">
        <v>0.5</v>
      </c>
      <c r="H701" s="0" t="n">
        <v>0</v>
      </c>
      <c r="I701" s="0" t="n">
        <v>1.87107194378806</v>
      </c>
      <c r="J701" s="0" t="n">
        <v>751.104682665885</v>
      </c>
      <c r="K701" s="0" t="n">
        <v>6.43267224606461</v>
      </c>
      <c r="L701" s="0" t="n">
        <v>0</v>
      </c>
      <c r="M701" s="0" t="n">
        <v>754.094513032194</v>
      </c>
      <c r="N701" s="0" t="n">
        <v>0</v>
      </c>
      <c r="O701" s="0" t="n">
        <v>684</v>
      </c>
      <c r="P701" s="0" t="n">
        <v>343</v>
      </c>
      <c r="Q701" s="0" t="n">
        <v>341</v>
      </c>
      <c r="R701" s="0" t="n">
        <v>695.21028923833</v>
      </c>
      <c r="S701" s="0" t="n">
        <v>889.76258132397</v>
      </c>
      <c r="T701" s="0" t="n">
        <v>23</v>
      </c>
      <c r="U701" s="0" t="n">
        <v>25</v>
      </c>
      <c r="V701" s="0" t="n">
        <v>30.2265211727443</v>
      </c>
      <c r="W701" s="0" t="n">
        <v>35.5903608915152</v>
      </c>
      <c r="X701" s="0" t="n">
        <v>0</v>
      </c>
      <c r="Y701" s="0" t="n">
        <v>6.43267224606461</v>
      </c>
      <c r="Z701" s="0" t="n">
        <v>0</v>
      </c>
      <c r="AA701" s="0" t="n">
        <v>0</v>
      </c>
      <c r="AB701" s="0" t="n">
        <v>0</v>
      </c>
      <c r="AC701" s="0" t="n">
        <v>1</v>
      </c>
      <c r="AD701" s="0" t="n">
        <v>0</v>
      </c>
      <c r="AE701" s="0" t="n">
        <v>0</v>
      </c>
      <c r="AF701" s="0" t="n">
        <v>0</v>
      </c>
      <c r="AG701" s="0" t="n">
        <v>3.33422047498462</v>
      </c>
      <c r="AH701" s="0" t="n">
        <v>0</v>
      </c>
      <c r="AI701" s="0" t="n">
        <v>0</v>
      </c>
      <c r="AK701" s="0" t="n">
        <f aca="false">A701</f>
        <v>684</v>
      </c>
      <c r="AL701" s="0" t="n">
        <v>2</v>
      </c>
      <c r="AM701" s="0" t="n">
        <v>1</v>
      </c>
      <c r="AO701" s="0" t="n">
        <v>684</v>
      </c>
      <c r="AP701" s="0" t="n">
        <v>1</v>
      </c>
      <c r="AQ701" s="0" t="n">
        <v>0.620437063704427</v>
      </c>
      <c r="AR701" s="0" t="n">
        <v>596.288974007589</v>
      </c>
      <c r="AS701" s="0" t="n">
        <v>94</v>
      </c>
      <c r="AT701" s="0" t="n">
        <v>96</v>
      </c>
    </row>
    <row r="702" customFormat="false" ht="12" hidden="false" customHeight="false" outlineLevel="0" collapsed="false">
      <c r="A702" s="0" t="n">
        <v>685</v>
      </c>
      <c r="B702" s="0" t="n">
        <v>0</v>
      </c>
      <c r="C702" s="0" t="n">
        <v>1.11162489784515</v>
      </c>
      <c r="D702" s="0" t="n">
        <v>745.783635317666</v>
      </c>
      <c r="E702" s="0" t="n">
        <v>8</v>
      </c>
      <c r="F702" s="0" t="n">
        <v>10</v>
      </c>
      <c r="G702" s="0" t="n">
        <v>0.5</v>
      </c>
      <c r="H702" s="0" t="n">
        <v>1</v>
      </c>
      <c r="I702" s="0" t="n">
        <v>0</v>
      </c>
      <c r="J702" s="0" t="n">
        <v>751.104682665885</v>
      </c>
      <c r="K702" s="0" t="n">
        <v>0</v>
      </c>
      <c r="L702" s="0" t="n">
        <v>2.15530126485382</v>
      </c>
      <c r="M702" s="0" t="n">
        <v>756.249814297048</v>
      </c>
      <c r="N702" s="0" t="n">
        <v>10.4661789793818</v>
      </c>
      <c r="O702" s="0" t="n">
        <v>685</v>
      </c>
      <c r="P702" s="0" t="n">
        <v>343</v>
      </c>
      <c r="Q702" s="0" t="n">
        <v>342</v>
      </c>
      <c r="R702" s="0" t="n">
        <v>683.393954434535</v>
      </c>
      <c r="S702" s="0" t="n">
        <v>898.266110949409</v>
      </c>
      <c r="T702" s="0" t="n">
        <v>20</v>
      </c>
      <c r="U702" s="0" t="n">
        <v>28</v>
      </c>
      <c r="V702" s="0" t="n">
        <v>34.1696806368864</v>
      </c>
      <c r="W702" s="0" t="n">
        <v>32.0808179595576</v>
      </c>
      <c r="X702" s="0" t="n">
        <v>0</v>
      </c>
      <c r="Y702" s="0" t="n">
        <v>0</v>
      </c>
      <c r="Z702" s="0" t="n">
        <v>0</v>
      </c>
      <c r="AA702" s="0" t="n">
        <v>10.4661789793818</v>
      </c>
      <c r="AB702" s="0" t="n">
        <v>0</v>
      </c>
      <c r="AC702" s="0" t="n">
        <v>0</v>
      </c>
      <c r="AD702" s="0" t="n">
        <v>0</v>
      </c>
      <c r="AE702" s="0" t="n">
        <v>1</v>
      </c>
      <c r="AF702" s="0" t="n">
        <v>0</v>
      </c>
      <c r="AG702" s="0" t="n">
        <v>0</v>
      </c>
      <c r="AH702" s="0" t="n">
        <v>0</v>
      </c>
      <c r="AI702" s="0" t="n">
        <v>7.47901189798662</v>
      </c>
      <c r="AK702" s="0" t="n">
        <f aca="false">A702</f>
        <v>685</v>
      </c>
      <c r="AL702" s="0" t="n">
        <v>1</v>
      </c>
      <c r="AM702" s="0" t="n">
        <v>1</v>
      </c>
      <c r="AO702" s="0" t="n">
        <v>685</v>
      </c>
      <c r="AP702" s="0" t="n">
        <v>0</v>
      </c>
      <c r="AQ702" s="0" t="n">
        <v>0.304882453639978</v>
      </c>
      <c r="AR702" s="0" t="n">
        <v>596.593856461229</v>
      </c>
      <c r="AS702" s="0" t="n">
        <v>96</v>
      </c>
      <c r="AT702" s="0" t="n">
        <v>94</v>
      </c>
    </row>
    <row r="703" customFormat="false" ht="12" hidden="false" customHeight="false" outlineLevel="0" collapsed="false">
      <c r="A703" s="0" t="n">
        <v>686</v>
      </c>
      <c r="B703" s="0" t="n">
        <v>0</v>
      </c>
      <c r="C703" s="0" t="n">
        <v>1.8262107345709</v>
      </c>
      <c r="D703" s="0" t="n">
        <v>747.609846052237</v>
      </c>
      <c r="E703" s="0" t="n">
        <v>6</v>
      </c>
      <c r="F703" s="0" t="n">
        <v>12</v>
      </c>
      <c r="G703" s="0" t="n">
        <v>0.5</v>
      </c>
      <c r="H703" s="0" t="n">
        <v>1</v>
      </c>
      <c r="I703" s="0" t="n">
        <v>0</v>
      </c>
      <c r="J703" s="0" t="n">
        <v>751.104682665885</v>
      </c>
      <c r="K703" s="0" t="n">
        <v>0</v>
      </c>
      <c r="L703" s="0" t="n">
        <v>1.92788355790943</v>
      </c>
      <c r="M703" s="0" t="n">
        <v>758.177697854957</v>
      </c>
      <c r="N703" s="0" t="n">
        <v>10.5678518027204</v>
      </c>
      <c r="O703" s="0" t="n">
        <v>686</v>
      </c>
      <c r="P703" s="0" t="n">
        <v>343</v>
      </c>
      <c r="Q703" s="0" t="n">
        <v>343</v>
      </c>
      <c r="R703" s="0" t="n">
        <v>822.269347440758</v>
      </c>
      <c r="S703" s="0" t="n">
        <v>776.057519015735</v>
      </c>
      <c r="T703" s="0" t="n">
        <v>26</v>
      </c>
      <c r="U703" s="0" t="n">
        <v>22</v>
      </c>
      <c r="V703" s="0" t="n">
        <v>31.6257319685938</v>
      </c>
      <c r="W703" s="0" t="n">
        <v>35.2751814317087</v>
      </c>
      <c r="X703" s="0" t="n">
        <v>0</v>
      </c>
      <c r="Y703" s="0" t="n">
        <v>0</v>
      </c>
      <c r="Z703" s="0" t="n">
        <v>0</v>
      </c>
      <c r="AA703" s="0" t="n">
        <v>10.5678518027204</v>
      </c>
      <c r="AB703" s="0" t="n">
        <v>0</v>
      </c>
      <c r="AC703" s="0" t="n">
        <v>0</v>
      </c>
      <c r="AD703" s="0" t="n">
        <v>0</v>
      </c>
      <c r="AE703" s="0" t="n">
        <v>1</v>
      </c>
      <c r="AF703" s="0" t="n">
        <v>0</v>
      </c>
      <c r="AG703" s="0" t="n">
        <v>0</v>
      </c>
      <c r="AH703" s="0" t="n">
        <v>0</v>
      </c>
      <c r="AI703" s="0" t="n">
        <v>8.0454545061142</v>
      </c>
      <c r="AK703" s="0" t="n">
        <f aca="false">A703</f>
        <v>686</v>
      </c>
      <c r="AL703" s="0" t="n">
        <v>3</v>
      </c>
      <c r="AM703" s="0" t="n">
        <v>2</v>
      </c>
      <c r="AO703" s="0" t="n">
        <v>686</v>
      </c>
      <c r="AP703" s="0" t="n">
        <v>0</v>
      </c>
      <c r="AQ703" s="0" t="n">
        <v>0.888398476197795</v>
      </c>
      <c r="AR703" s="0" t="n">
        <v>597.482254937427</v>
      </c>
      <c r="AS703" s="0" t="n">
        <v>98</v>
      </c>
      <c r="AT703" s="0" t="n">
        <v>94</v>
      </c>
    </row>
    <row r="704" customFormat="false" ht="12" hidden="false" customHeight="false" outlineLevel="0" collapsed="false">
      <c r="A704" s="0" t="n">
        <v>687</v>
      </c>
      <c r="B704" s="0" t="n">
        <v>1</v>
      </c>
      <c r="C704" s="0" t="n">
        <v>0.248324913920616</v>
      </c>
      <c r="D704" s="0" t="n">
        <v>747.858170966157</v>
      </c>
      <c r="E704" s="0" t="n">
        <v>6</v>
      </c>
      <c r="F704" s="0" t="n">
        <v>12</v>
      </c>
      <c r="G704" s="0" t="n">
        <v>0.5</v>
      </c>
      <c r="H704" s="0" t="n">
        <v>0</v>
      </c>
      <c r="I704" s="0" t="n">
        <v>1.8630693616541</v>
      </c>
      <c r="J704" s="0" t="n">
        <v>752.967752027539</v>
      </c>
      <c r="K704" s="0" t="n">
        <v>5.10958106138207</v>
      </c>
      <c r="L704" s="0" t="n">
        <v>0</v>
      </c>
      <c r="M704" s="0" t="n">
        <v>758.177697854957</v>
      </c>
      <c r="N704" s="0" t="n">
        <v>0</v>
      </c>
      <c r="O704" s="0" t="n">
        <v>687</v>
      </c>
      <c r="P704" s="0" t="n">
        <v>344</v>
      </c>
      <c r="Q704" s="0" t="n">
        <v>343</v>
      </c>
      <c r="R704" s="0" t="n">
        <v>996.315086551731</v>
      </c>
      <c r="S704" s="0" t="n">
        <v>591.148472167798</v>
      </c>
      <c r="T704" s="0" t="n">
        <v>27</v>
      </c>
      <c r="U704" s="0" t="n">
        <v>21</v>
      </c>
      <c r="V704" s="0" t="n">
        <v>36.9005450943067</v>
      </c>
      <c r="W704" s="0" t="n">
        <v>28.1497931994513</v>
      </c>
      <c r="X704" s="0" t="n">
        <v>5.10958106138207</v>
      </c>
      <c r="Y704" s="0" t="n">
        <v>0</v>
      </c>
      <c r="Z704" s="0" t="n">
        <v>0</v>
      </c>
      <c r="AA704" s="0" t="n">
        <v>0</v>
      </c>
      <c r="AB704" s="0" t="n">
        <v>1</v>
      </c>
      <c r="AC704" s="0" t="n">
        <v>0</v>
      </c>
      <c r="AD704" s="0" t="n">
        <v>0</v>
      </c>
      <c r="AE704" s="0" t="n">
        <v>0</v>
      </c>
      <c r="AF704" s="0" t="n">
        <v>5.37302700968085</v>
      </c>
      <c r="AG704" s="0" t="n">
        <v>0</v>
      </c>
      <c r="AH704" s="0" t="n">
        <v>0</v>
      </c>
      <c r="AI704" s="0" t="n">
        <v>0</v>
      </c>
      <c r="AK704" s="0" t="n">
        <f aca="false">A704</f>
        <v>687</v>
      </c>
      <c r="AL704" s="0" t="n">
        <v>3</v>
      </c>
      <c r="AM704" s="0" t="n">
        <v>3</v>
      </c>
      <c r="AO704" s="0" t="n">
        <v>687</v>
      </c>
      <c r="AP704" s="0" t="n">
        <v>1</v>
      </c>
      <c r="AQ704" s="0" t="n">
        <v>0.272913069702287</v>
      </c>
      <c r="AR704" s="0" t="n">
        <v>597.755168007129</v>
      </c>
      <c r="AS704" s="0" t="n">
        <v>100</v>
      </c>
      <c r="AT704" s="0" t="n">
        <v>94</v>
      </c>
    </row>
    <row r="705" customFormat="false" ht="12" hidden="false" customHeight="false" outlineLevel="0" collapsed="false">
      <c r="A705" s="0" t="n">
        <v>688</v>
      </c>
      <c r="B705" s="0" t="n">
        <v>1</v>
      </c>
      <c r="C705" s="0" t="n">
        <v>2.47549037745185</v>
      </c>
      <c r="D705" s="0" t="n">
        <v>750.333661343609</v>
      </c>
      <c r="E705" s="0" t="n">
        <v>6</v>
      </c>
      <c r="F705" s="0" t="n">
        <v>10</v>
      </c>
      <c r="G705" s="0" t="n">
        <v>0.5</v>
      </c>
      <c r="H705" s="0" t="n">
        <v>0</v>
      </c>
      <c r="I705" s="0" t="n">
        <v>1.96526592241944</v>
      </c>
      <c r="J705" s="0" t="n">
        <v>754.933017949959</v>
      </c>
      <c r="K705" s="0" t="n">
        <v>4.59935660634972</v>
      </c>
      <c r="L705" s="0" t="n">
        <v>0</v>
      </c>
      <c r="M705" s="0" t="n">
        <v>758.177697854957</v>
      </c>
      <c r="N705" s="0" t="n">
        <v>0</v>
      </c>
      <c r="O705" s="0" t="n">
        <v>688</v>
      </c>
      <c r="P705" s="0" t="n">
        <v>345</v>
      </c>
      <c r="Q705" s="0" t="n">
        <v>343</v>
      </c>
      <c r="R705" s="0" t="n">
        <v>627.218068922346</v>
      </c>
      <c r="S705" s="0" t="n">
        <v>959.257529338527</v>
      </c>
      <c r="T705" s="0" t="n">
        <v>23</v>
      </c>
      <c r="U705" s="0" t="n">
        <v>25</v>
      </c>
      <c r="V705" s="0" t="n">
        <v>27.2703389660416</v>
      </c>
      <c r="W705" s="0" t="n">
        <v>38.3701476929503</v>
      </c>
      <c r="X705" s="0" t="n">
        <v>4.59935660634972</v>
      </c>
      <c r="Y705" s="0" t="n">
        <v>0</v>
      </c>
      <c r="Z705" s="0" t="n">
        <v>0</v>
      </c>
      <c r="AA705" s="0" t="n">
        <v>0</v>
      </c>
      <c r="AB705" s="0" t="n">
        <v>1</v>
      </c>
      <c r="AC705" s="0" t="n">
        <v>0</v>
      </c>
      <c r="AD705" s="0" t="n">
        <v>0</v>
      </c>
      <c r="AE705" s="0" t="n">
        <v>0</v>
      </c>
      <c r="AF705" s="0" t="n">
        <v>7.99873522869198</v>
      </c>
      <c r="AG705" s="0" t="n">
        <v>0</v>
      </c>
      <c r="AH705" s="0" t="n">
        <v>0</v>
      </c>
      <c r="AI705" s="0" t="n">
        <v>0</v>
      </c>
      <c r="AK705" s="0" t="n">
        <f aca="false">A705</f>
        <v>688</v>
      </c>
      <c r="AL705" s="0" t="n">
        <v>2</v>
      </c>
      <c r="AM705" s="0" t="n">
        <v>1</v>
      </c>
      <c r="AO705" s="0" t="n">
        <v>688</v>
      </c>
      <c r="AP705" s="0" t="n">
        <v>1</v>
      </c>
      <c r="AQ705" s="0" t="n">
        <v>2.66880234526521</v>
      </c>
      <c r="AR705" s="0" t="n">
        <v>600.423970352394</v>
      </c>
      <c r="AS705" s="0" t="n">
        <v>96</v>
      </c>
      <c r="AT705" s="0" t="n">
        <v>94</v>
      </c>
    </row>
    <row r="706" customFormat="false" ht="12" hidden="false" customHeight="false" outlineLevel="0" collapsed="false">
      <c r="A706" s="0" t="n">
        <v>689</v>
      </c>
      <c r="B706" s="0" t="n">
        <v>1</v>
      </c>
      <c r="C706" s="0" t="n">
        <v>2.86110453781834</v>
      </c>
      <c r="D706" s="0" t="n">
        <v>753.194765881428</v>
      </c>
      <c r="E706" s="0" t="n">
        <v>4</v>
      </c>
      <c r="F706" s="0" t="n">
        <v>8</v>
      </c>
      <c r="G706" s="0" t="n">
        <v>0.5</v>
      </c>
      <c r="H706" s="0" t="n">
        <v>0</v>
      </c>
      <c r="I706" s="0" t="n">
        <v>1.89635199726585</v>
      </c>
      <c r="J706" s="0" t="n">
        <v>756.829369947225</v>
      </c>
      <c r="K706" s="0" t="n">
        <v>3.63460406579713</v>
      </c>
      <c r="L706" s="0" t="n">
        <v>0</v>
      </c>
      <c r="M706" s="0" t="n">
        <v>758.177697854957</v>
      </c>
      <c r="N706" s="0" t="n">
        <v>0</v>
      </c>
      <c r="O706" s="0" t="n">
        <v>689</v>
      </c>
      <c r="P706" s="0" t="n">
        <v>346</v>
      </c>
      <c r="Q706" s="0" t="n">
        <v>343</v>
      </c>
      <c r="R706" s="0" t="n">
        <v>825.444833639604</v>
      </c>
      <c r="S706" s="0" t="n">
        <v>766.881002183183</v>
      </c>
      <c r="T706" s="0" t="n">
        <v>24</v>
      </c>
      <c r="U706" s="0" t="n">
        <v>24</v>
      </c>
      <c r="V706" s="0" t="n">
        <v>34.39352040435</v>
      </c>
      <c r="W706" s="0" t="n">
        <v>31.9532419524578</v>
      </c>
      <c r="X706" s="0" t="n">
        <v>3.63460406579713</v>
      </c>
      <c r="Y706" s="0" t="n">
        <v>0</v>
      </c>
      <c r="Z706" s="0" t="n">
        <v>0</v>
      </c>
      <c r="AA706" s="0" t="n">
        <v>0</v>
      </c>
      <c r="AB706" s="0" t="n">
        <v>1</v>
      </c>
      <c r="AC706" s="0" t="n">
        <v>0</v>
      </c>
      <c r="AD706" s="0" t="n">
        <v>0</v>
      </c>
      <c r="AE706" s="0" t="n">
        <v>0</v>
      </c>
      <c r="AF706" s="0" t="n">
        <v>14.3865157820931</v>
      </c>
      <c r="AG706" s="0" t="n">
        <v>0</v>
      </c>
      <c r="AH706" s="0" t="n">
        <v>0</v>
      </c>
      <c r="AI706" s="0" t="n">
        <v>0</v>
      </c>
      <c r="AK706" s="0" t="n">
        <f aca="false">A706</f>
        <v>689</v>
      </c>
      <c r="AL706" s="0" t="n">
        <v>2</v>
      </c>
      <c r="AM706" s="0" t="n">
        <v>0</v>
      </c>
      <c r="AO706" s="0" t="n">
        <v>689</v>
      </c>
      <c r="AP706" s="0" t="n">
        <v>1</v>
      </c>
      <c r="AQ706" s="0" t="n">
        <v>0.116226372328421</v>
      </c>
      <c r="AR706" s="0" t="n">
        <v>600.540196724723</v>
      </c>
      <c r="AS706" s="0" t="n">
        <v>96</v>
      </c>
      <c r="AT706" s="0" t="n">
        <v>96</v>
      </c>
    </row>
    <row r="707" customFormat="false" ht="12" hidden="false" customHeight="false" outlineLevel="0" collapsed="false">
      <c r="A707" s="0" t="n">
        <v>690</v>
      </c>
      <c r="B707" s="0" t="n">
        <v>1</v>
      </c>
      <c r="C707" s="0" t="n">
        <v>0.229638254730421</v>
      </c>
      <c r="D707" s="0" t="n">
        <v>753.424404136158</v>
      </c>
      <c r="E707" s="0" t="n">
        <v>6</v>
      </c>
      <c r="F707" s="0" t="n">
        <v>8</v>
      </c>
      <c r="G707" s="0" t="n">
        <v>0.5</v>
      </c>
      <c r="H707" s="0" t="n">
        <v>0</v>
      </c>
      <c r="I707" s="0" t="n">
        <v>2.00275648780665</v>
      </c>
      <c r="J707" s="0" t="n">
        <v>758.832126435031</v>
      </c>
      <c r="K707" s="0" t="n">
        <v>5.40772229887341</v>
      </c>
      <c r="L707" s="0" t="n">
        <v>0</v>
      </c>
      <c r="M707" s="0" t="n">
        <v>758.177697854957</v>
      </c>
      <c r="N707" s="0" t="n">
        <v>0</v>
      </c>
      <c r="O707" s="0" t="n">
        <v>690</v>
      </c>
      <c r="P707" s="0" t="n">
        <v>347</v>
      </c>
      <c r="Q707" s="0" t="n">
        <v>343</v>
      </c>
      <c r="R707" s="0" t="n">
        <v>758.990296204256</v>
      </c>
      <c r="S707" s="0" t="n">
        <v>847.647213034814</v>
      </c>
      <c r="T707" s="0" t="n">
        <v>24</v>
      </c>
      <c r="U707" s="0" t="n">
        <v>24</v>
      </c>
      <c r="V707" s="0" t="n">
        <v>31.624582498268</v>
      </c>
      <c r="W707" s="0" t="n">
        <v>35.3184867160893</v>
      </c>
      <c r="X707" s="0" t="n">
        <v>5.40772229887341</v>
      </c>
      <c r="Y707" s="0" t="n">
        <v>0</v>
      </c>
      <c r="Z707" s="0" t="n">
        <v>0</v>
      </c>
      <c r="AA707" s="0" t="n">
        <v>0</v>
      </c>
      <c r="AB707" s="0" t="n">
        <v>1</v>
      </c>
      <c r="AC707" s="0" t="n">
        <v>0</v>
      </c>
      <c r="AD707" s="0" t="n">
        <v>0</v>
      </c>
      <c r="AE707" s="0" t="n">
        <v>0</v>
      </c>
      <c r="AF707" s="0" t="n">
        <v>4.07974490511827</v>
      </c>
      <c r="AG707" s="0" t="n">
        <v>0</v>
      </c>
      <c r="AH707" s="0" t="n">
        <v>0</v>
      </c>
      <c r="AI707" s="0" t="n">
        <v>0</v>
      </c>
      <c r="AK707" s="0" t="n">
        <f aca="false">A707</f>
        <v>690</v>
      </c>
      <c r="AL707" s="0" t="n">
        <v>1</v>
      </c>
      <c r="AM707" s="0" t="n">
        <v>1</v>
      </c>
      <c r="AO707" s="0" t="n">
        <v>690</v>
      </c>
      <c r="AP707" s="0" t="n">
        <v>0</v>
      </c>
      <c r="AQ707" s="0" t="n">
        <v>2.11145255415885</v>
      </c>
      <c r="AR707" s="0" t="n">
        <v>602.651649278882</v>
      </c>
      <c r="AS707" s="0" t="n">
        <v>96</v>
      </c>
      <c r="AT707" s="0" t="n">
        <v>94</v>
      </c>
    </row>
    <row r="708" customFormat="false" ht="12" hidden="false" customHeight="false" outlineLevel="0" collapsed="false">
      <c r="A708" s="0" t="n">
        <v>691</v>
      </c>
      <c r="B708" s="0" t="n">
        <v>0</v>
      </c>
      <c r="C708" s="0" t="n">
        <v>1.1504613762615</v>
      </c>
      <c r="D708" s="0" t="n">
        <v>754.57486551242</v>
      </c>
      <c r="E708" s="0" t="n">
        <v>8</v>
      </c>
      <c r="F708" s="0" t="n">
        <v>6</v>
      </c>
      <c r="G708" s="0" t="n">
        <v>0.5</v>
      </c>
      <c r="H708" s="0" t="n">
        <v>0</v>
      </c>
      <c r="I708" s="0" t="n">
        <v>2.03935898831525</v>
      </c>
      <c r="J708" s="0" t="n">
        <v>760.871485423347</v>
      </c>
      <c r="K708" s="0" t="n">
        <v>6.29661991092712</v>
      </c>
      <c r="L708" s="0" t="n">
        <v>0</v>
      </c>
      <c r="M708" s="0" t="n">
        <v>758.177697854957</v>
      </c>
      <c r="N708" s="0" t="n">
        <v>0</v>
      </c>
      <c r="O708" s="0" t="n">
        <v>691</v>
      </c>
      <c r="P708" s="0" t="n">
        <v>348</v>
      </c>
      <c r="Q708" s="0" t="n">
        <v>343</v>
      </c>
      <c r="R708" s="0" t="n">
        <v>944.711243704774</v>
      </c>
      <c r="S708" s="0" t="n">
        <v>656.650916360907</v>
      </c>
      <c r="T708" s="0" t="n">
        <v>28</v>
      </c>
      <c r="U708" s="0" t="n">
        <v>20</v>
      </c>
      <c r="V708" s="0" t="n">
        <v>33.7396752252865</v>
      </c>
      <c r="W708" s="0" t="n">
        <v>32.8323816561371</v>
      </c>
      <c r="X708" s="0" t="n">
        <v>0</v>
      </c>
      <c r="Y708" s="0" t="n">
        <v>6.29661991092712</v>
      </c>
      <c r="Z708" s="0" t="n">
        <v>0</v>
      </c>
      <c r="AA708" s="0" t="n">
        <v>0</v>
      </c>
      <c r="AB708" s="0" t="n">
        <v>0</v>
      </c>
      <c r="AC708" s="0" t="n">
        <v>1</v>
      </c>
      <c r="AD708" s="0" t="n">
        <v>0</v>
      </c>
      <c r="AE708" s="0" t="n">
        <v>0</v>
      </c>
      <c r="AF708" s="0" t="n">
        <v>0</v>
      </c>
      <c r="AG708" s="0" t="n">
        <v>3.84958970370593</v>
      </c>
      <c r="AH708" s="0" t="n">
        <v>0</v>
      </c>
      <c r="AI708" s="0" t="n">
        <v>0</v>
      </c>
      <c r="AK708" s="0" t="n">
        <f aca="false">A708</f>
        <v>691</v>
      </c>
      <c r="AL708" s="0" t="n">
        <v>1</v>
      </c>
      <c r="AM708" s="0" t="n">
        <v>1</v>
      </c>
      <c r="AO708" s="0" t="n">
        <v>691</v>
      </c>
      <c r="AP708" s="0" t="n">
        <v>0</v>
      </c>
      <c r="AQ708" s="0" t="n">
        <v>1.00176132048684</v>
      </c>
      <c r="AR708" s="0" t="n">
        <v>603.653410599369</v>
      </c>
      <c r="AS708" s="0" t="n">
        <v>96</v>
      </c>
      <c r="AT708" s="0" t="n">
        <v>94</v>
      </c>
    </row>
    <row r="709" customFormat="false" ht="12" hidden="false" customHeight="false" outlineLevel="0" collapsed="false">
      <c r="A709" s="0" t="n">
        <v>692</v>
      </c>
      <c r="B709" s="0" t="n">
        <v>0</v>
      </c>
      <c r="C709" s="0" t="n">
        <v>1.48305383680381</v>
      </c>
      <c r="D709" s="0" t="n">
        <v>756.057919349223</v>
      </c>
      <c r="E709" s="0" t="n">
        <v>8</v>
      </c>
      <c r="F709" s="0" t="n">
        <v>6</v>
      </c>
      <c r="G709" s="0" t="n">
        <v>0.5</v>
      </c>
      <c r="H709" s="0" t="n">
        <v>0</v>
      </c>
      <c r="I709" s="0" t="n">
        <v>1.76367810552025</v>
      </c>
      <c r="J709" s="0" t="n">
        <v>762.635163528867</v>
      </c>
      <c r="K709" s="0" t="n">
        <v>6.57724417964357</v>
      </c>
      <c r="L709" s="0" t="n">
        <v>0</v>
      </c>
      <c r="M709" s="0" t="n">
        <v>758.177697854957</v>
      </c>
      <c r="N709" s="0" t="n">
        <v>0</v>
      </c>
      <c r="O709" s="0" t="n">
        <v>692</v>
      </c>
      <c r="P709" s="0" t="n">
        <v>349</v>
      </c>
      <c r="Q709" s="0" t="n">
        <v>343</v>
      </c>
      <c r="R709" s="0" t="n">
        <v>681.881516560303</v>
      </c>
      <c r="S709" s="0" t="n">
        <v>922.458846861868</v>
      </c>
      <c r="T709" s="0" t="n">
        <v>20</v>
      </c>
      <c r="U709" s="0" t="n">
        <v>28</v>
      </c>
      <c r="V709" s="0" t="n">
        <v>34.0940587809858</v>
      </c>
      <c r="W709" s="0" t="n">
        <v>32.9448411563483</v>
      </c>
      <c r="X709" s="0" t="n">
        <v>0</v>
      </c>
      <c r="Y709" s="0" t="n">
        <v>6.57724417964357</v>
      </c>
      <c r="Z709" s="0" t="n">
        <v>0</v>
      </c>
      <c r="AA709" s="0" t="n">
        <v>0</v>
      </c>
      <c r="AB709" s="0" t="n">
        <v>0</v>
      </c>
      <c r="AC709" s="0" t="n">
        <v>1</v>
      </c>
      <c r="AD709" s="0" t="n">
        <v>0</v>
      </c>
      <c r="AE709" s="0" t="n">
        <v>0</v>
      </c>
      <c r="AF709" s="0" t="n">
        <v>0</v>
      </c>
      <c r="AG709" s="0" t="n">
        <v>2.82714921369526</v>
      </c>
      <c r="AH709" s="0" t="n">
        <v>0</v>
      </c>
      <c r="AI709" s="0" t="n">
        <v>0</v>
      </c>
      <c r="AK709" s="0" t="n">
        <f aca="false">A709</f>
        <v>692</v>
      </c>
      <c r="AL709" s="0" t="n">
        <v>1</v>
      </c>
      <c r="AM709" s="0" t="n">
        <v>2</v>
      </c>
      <c r="AO709" s="0" t="n">
        <v>692</v>
      </c>
      <c r="AP709" s="0" t="n">
        <v>1</v>
      </c>
      <c r="AQ709" s="0" t="n">
        <v>0.070272775419604</v>
      </c>
      <c r="AR709" s="0" t="n">
        <v>603.723683374788</v>
      </c>
      <c r="AS709" s="0" t="n">
        <v>98</v>
      </c>
      <c r="AT709" s="0" t="n">
        <v>94</v>
      </c>
    </row>
    <row r="710" customFormat="false" ht="12" hidden="false" customHeight="false" outlineLevel="0" collapsed="false">
      <c r="A710" s="0" t="n">
        <v>693</v>
      </c>
      <c r="B710" s="0" t="n">
        <v>0</v>
      </c>
      <c r="C710" s="0" t="n">
        <v>0.823437757205191</v>
      </c>
      <c r="D710" s="0" t="n">
        <v>756.881357106429</v>
      </c>
      <c r="E710" s="0" t="n">
        <v>8</v>
      </c>
      <c r="F710" s="0" t="n">
        <v>4</v>
      </c>
      <c r="G710" s="0" t="n">
        <v>0.5</v>
      </c>
      <c r="H710" s="0" t="n">
        <v>0</v>
      </c>
      <c r="I710" s="0" t="n">
        <v>1.75948339837066</v>
      </c>
      <c r="J710" s="0" t="n">
        <v>764.394646927238</v>
      </c>
      <c r="K710" s="0" t="n">
        <v>7.51328982080906</v>
      </c>
      <c r="L710" s="0" t="n">
        <v>0</v>
      </c>
      <c r="M710" s="0" t="n">
        <v>758.177697854957</v>
      </c>
      <c r="N710" s="0" t="n">
        <v>0</v>
      </c>
      <c r="O710" s="0" t="n">
        <v>693</v>
      </c>
      <c r="P710" s="0" t="n">
        <v>350</v>
      </c>
      <c r="Q710" s="0" t="n">
        <v>343</v>
      </c>
      <c r="R710" s="0" t="n">
        <v>867.327611869288</v>
      </c>
      <c r="S710" s="0" t="n">
        <v>733.239665222181</v>
      </c>
      <c r="T710" s="0" t="n">
        <v>25</v>
      </c>
      <c r="U710" s="0" t="n">
        <v>23</v>
      </c>
      <c r="V710" s="0" t="n">
        <v>34.6930905975353</v>
      </c>
      <c r="W710" s="0" t="n">
        <v>31.8798468364129</v>
      </c>
      <c r="X710" s="0" t="n">
        <v>0</v>
      </c>
      <c r="Y710" s="0" t="n">
        <v>7.51328982080906</v>
      </c>
      <c r="Z710" s="0" t="n">
        <v>0</v>
      </c>
      <c r="AA710" s="0" t="n">
        <v>0</v>
      </c>
      <c r="AB710" s="0" t="n">
        <v>0</v>
      </c>
      <c r="AC710" s="0" t="n">
        <v>1</v>
      </c>
      <c r="AD710" s="0" t="n">
        <v>0</v>
      </c>
      <c r="AE710" s="0" t="n">
        <v>0</v>
      </c>
      <c r="AF710" s="0" t="n">
        <v>0</v>
      </c>
      <c r="AG710" s="0" t="n">
        <v>0.555572294424846</v>
      </c>
      <c r="AH710" s="0" t="n">
        <v>0</v>
      </c>
      <c r="AI710" s="0" t="n">
        <v>0</v>
      </c>
      <c r="AK710" s="0" t="n">
        <f aca="false">A710</f>
        <v>693</v>
      </c>
      <c r="AL710" s="0" t="n">
        <v>2</v>
      </c>
      <c r="AM710" s="0" t="n">
        <v>0</v>
      </c>
      <c r="AO710" s="0" t="n">
        <v>693</v>
      </c>
      <c r="AP710" s="0" t="n">
        <v>1</v>
      </c>
      <c r="AQ710" s="0" t="n">
        <v>2.43501595441495</v>
      </c>
      <c r="AR710" s="0" t="n">
        <v>606.158699329203</v>
      </c>
      <c r="AS710" s="0" t="n">
        <v>94</v>
      </c>
      <c r="AT710" s="0" t="n">
        <v>94</v>
      </c>
    </row>
    <row r="711" customFormat="false" ht="12" hidden="false" customHeight="false" outlineLevel="0" collapsed="false">
      <c r="A711" s="0" t="n">
        <v>694</v>
      </c>
      <c r="B711" s="0" t="n">
        <v>1</v>
      </c>
      <c r="C711" s="0" t="n">
        <v>1.12534100840722</v>
      </c>
      <c r="D711" s="0" t="n">
        <v>758.006698114836</v>
      </c>
      <c r="E711" s="0" t="n">
        <v>10</v>
      </c>
      <c r="F711" s="0" t="n">
        <v>4</v>
      </c>
      <c r="G711" s="0" t="n">
        <v>0.5</v>
      </c>
      <c r="H711" s="0" t="n">
        <v>1</v>
      </c>
      <c r="I711" s="0" t="n">
        <v>0</v>
      </c>
      <c r="J711" s="0" t="n">
        <v>764.394646927238</v>
      </c>
      <c r="K711" s="0" t="n">
        <v>0</v>
      </c>
      <c r="L711" s="0" t="n">
        <v>1.97694118482606</v>
      </c>
      <c r="M711" s="0" t="n">
        <v>760.154639039783</v>
      </c>
      <c r="N711" s="0" t="n">
        <v>2.14794092494742</v>
      </c>
      <c r="O711" s="0" t="n">
        <v>694</v>
      </c>
      <c r="P711" s="0" t="n">
        <v>350</v>
      </c>
      <c r="Q711" s="0" t="n">
        <v>344</v>
      </c>
      <c r="R711" s="0" t="n">
        <v>832.881927078136</v>
      </c>
      <c r="S711" s="0" t="n">
        <v>759.935140449423</v>
      </c>
      <c r="T711" s="0" t="n">
        <v>24</v>
      </c>
      <c r="U711" s="0" t="n">
        <v>24</v>
      </c>
      <c r="V711" s="0" t="n">
        <v>34.703399168506</v>
      </c>
      <c r="W711" s="0" t="n">
        <v>31.6638322527582</v>
      </c>
      <c r="X711" s="0" t="n">
        <v>0</v>
      </c>
      <c r="Y711" s="0" t="n">
        <v>0</v>
      </c>
      <c r="Z711" s="0" t="n">
        <v>2.14794092494742</v>
      </c>
      <c r="AA711" s="0" t="n">
        <v>0</v>
      </c>
      <c r="AB711" s="0" t="n">
        <v>0</v>
      </c>
      <c r="AC711" s="0" t="n">
        <v>0</v>
      </c>
      <c r="AD711" s="0" t="n">
        <v>1</v>
      </c>
      <c r="AE711" s="0" t="n">
        <v>0</v>
      </c>
      <c r="AF711" s="0" t="n">
        <v>0</v>
      </c>
      <c r="AG711" s="0" t="n">
        <v>0</v>
      </c>
      <c r="AH711" s="0" t="n">
        <v>31.5615010062665</v>
      </c>
      <c r="AI711" s="0" t="n">
        <v>0</v>
      </c>
      <c r="AK711" s="0" t="n">
        <f aca="false">A711</f>
        <v>694</v>
      </c>
      <c r="AL711" s="0" t="n">
        <v>3</v>
      </c>
      <c r="AM711" s="0" t="n">
        <v>0</v>
      </c>
      <c r="AO711" s="0" t="n">
        <v>694</v>
      </c>
      <c r="AP711" s="0" t="n">
        <v>0</v>
      </c>
      <c r="AQ711" s="0" t="n">
        <v>0.550724528717822</v>
      </c>
      <c r="AR711" s="0" t="n">
        <v>606.709423857921</v>
      </c>
      <c r="AS711" s="0" t="n">
        <v>94</v>
      </c>
      <c r="AT711" s="0" t="n">
        <v>94</v>
      </c>
    </row>
    <row r="712" customFormat="false" ht="12" hidden="false" customHeight="false" outlineLevel="0" collapsed="false">
      <c r="A712" s="0" t="n">
        <v>695</v>
      </c>
      <c r="B712" s="0" t="n">
        <v>1</v>
      </c>
      <c r="C712" s="0" t="n">
        <v>0.0984346471488774</v>
      </c>
      <c r="D712" s="0" t="n">
        <v>758.105132761985</v>
      </c>
      <c r="E712" s="0" t="n">
        <v>10</v>
      </c>
      <c r="F712" s="0" t="n">
        <v>6</v>
      </c>
      <c r="G712" s="0" t="n">
        <v>0.5</v>
      </c>
      <c r="H712" s="0" t="n">
        <v>1</v>
      </c>
      <c r="I712" s="0" t="n">
        <v>0</v>
      </c>
      <c r="J712" s="0" t="n">
        <v>764.394646927238</v>
      </c>
      <c r="K712" s="0" t="n">
        <v>0</v>
      </c>
      <c r="L712" s="0" t="n">
        <v>2.17637461570571</v>
      </c>
      <c r="M712" s="0" t="n">
        <v>762.331013655489</v>
      </c>
      <c r="N712" s="0" t="n">
        <v>4.22588089350427</v>
      </c>
      <c r="O712" s="0" t="n">
        <v>695</v>
      </c>
      <c r="P712" s="0" t="n">
        <v>350</v>
      </c>
      <c r="Q712" s="0" t="n">
        <v>345</v>
      </c>
      <c r="R712" s="0" t="n">
        <v>648.406043429953</v>
      </c>
      <c r="S712" s="0" t="n">
        <v>931.634902992342</v>
      </c>
      <c r="T712" s="0" t="n">
        <v>20</v>
      </c>
      <c r="U712" s="0" t="n">
        <v>28</v>
      </c>
      <c r="V712" s="0" t="n">
        <v>32.4202859613547</v>
      </c>
      <c r="W712" s="0" t="n">
        <v>33.2725562763112</v>
      </c>
      <c r="X712" s="0" t="n">
        <v>0</v>
      </c>
      <c r="Y712" s="0" t="n">
        <v>0</v>
      </c>
      <c r="Z712" s="0" t="n">
        <v>4.22588089350427</v>
      </c>
      <c r="AA712" s="0" t="n">
        <v>0</v>
      </c>
      <c r="AB712" s="0" t="n">
        <v>0</v>
      </c>
      <c r="AC712" s="0" t="n">
        <v>0</v>
      </c>
      <c r="AD712" s="0" t="n">
        <v>1</v>
      </c>
      <c r="AE712" s="0" t="n">
        <v>0</v>
      </c>
      <c r="AF712" s="0" t="n">
        <v>0</v>
      </c>
      <c r="AG712" s="0" t="n">
        <v>0</v>
      </c>
      <c r="AH712" s="0" t="n">
        <v>12.5317584864803</v>
      </c>
      <c r="AI712" s="0" t="n">
        <v>0</v>
      </c>
      <c r="AK712" s="0" t="n">
        <f aca="false">A712</f>
        <v>695</v>
      </c>
      <c r="AL712" s="0" t="n">
        <v>2</v>
      </c>
      <c r="AM712" s="0" t="n">
        <v>1</v>
      </c>
      <c r="AO712" s="0" t="n">
        <v>695</v>
      </c>
      <c r="AP712" s="0" t="n">
        <v>0</v>
      </c>
      <c r="AQ712" s="0" t="n">
        <v>2.07378309897632</v>
      </c>
      <c r="AR712" s="0" t="n">
        <v>608.783206956897</v>
      </c>
      <c r="AS712" s="0" t="n">
        <v>94</v>
      </c>
      <c r="AT712" s="0" t="n">
        <v>92</v>
      </c>
    </row>
    <row r="713" customFormat="false" ht="12" hidden="false" customHeight="false" outlineLevel="0" collapsed="false">
      <c r="A713" s="0" t="n">
        <v>696</v>
      </c>
      <c r="B713" s="0" t="n">
        <v>0</v>
      </c>
      <c r="C713" s="0" t="n">
        <v>0.572203658174912</v>
      </c>
      <c r="D713" s="0" t="n">
        <v>758.67733642016</v>
      </c>
      <c r="E713" s="0" t="n">
        <v>10</v>
      </c>
      <c r="F713" s="0" t="n">
        <v>6</v>
      </c>
      <c r="G713" s="0" t="n">
        <v>0.5</v>
      </c>
      <c r="H713" s="0" t="n">
        <v>1</v>
      </c>
      <c r="I713" s="0" t="n">
        <v>0</v>
      </c>
      <c r="J713" s="0" t="n">
        <v>764.394646927238</v>
      </c>
      <c r="K713" s="0" t="n">
        <v>0</v>
      </c>
      <c r="L713" s="0" t="n">
        <v>2.24460647554852</v>
      </c>
      <c r="M713" s="0" t="n">
        <v>764.575620131037</v>
      </c>
      <c r="N713" s="0" t="n">
        <v>5.89828371087788</v>
      </c>
      <c r="O713" s="0" t="n">
        <v>696</v>
      </c>
      <c r="P713" s="0" t="n">
        <v>350</v>
      </c>
      <c r="Q713" s="0" t="n">
        <v>346</v>
      </c>
      <c r="R713" s="0" t="n">
        <v>839.862309672363</v>
      </c>
      <c r="S713" s="0" t="n">
        <v>736.168543116352</v>
      </c>
      <c r="T713" s="0" t="n">
        <v>28</v>
      </c>
      <c r="U713" s="0" t="n">
        <v>20</v>
      </c>
      <c r="V713" s="0" t="n">
        <v>29.995071775773</v>
      </c>
      <c r="W713" s="0" t="n">
        <v>36.808243114602</v>
      </c>
      <c r="X713" s="0" t="n">
        <v>0</v>
      </c>
      <c r="Y713" s="0" t="n">
        <v>0</v>
      </c>
      <c r="Z713" s="0" t="n">
        <v>0</v>
      </c>
      <c r="AA713" s="0" t="n">
        <v>5.89828371087788</v>
      </c>
      <c r="AB713" s="0" t="n">
        <v>0</v>
      </c>
      <c r="AC713" s="0" t="n">
        <v>0</v>
      </c>
      <c r="AD713" s="0" t="n">
        <v>0</v>
      </c>
      <c r="AE713" s="0" t="n">
        <v>1</v>
      </c>
      <c r="AF713" s="0" t="n">
        <v>0</v>
      </c>
      <c r="AG713" s="0" t="n">
        <v>0</v>
      </c>
      <c r="AH713" s="0" t="n">
        <v>0</v>
      </c>
      <c r="AI713" s="0" t="n">
        <v>3.3603181233018</v>
      </c>
      <c r="AK713" s="0" t="n">
        <f aca="false">A713</f>
        <v>696</v>
      </c>
      <c r="AL713" s="0" t="n">
        <v>2</v>
      </c>
      <c r="AM713" s="0" t="n">
        <v>1</v>
      </c>
      <c r="AO713" s="0" t="n">
        <v>696</v>
      </c>
      <c r="AP713" s="0" t="n">
        <v>1</v>
      </c>
      <c r="AQ713" s="0" t="n">
        <v>1.26821322998464</v>
      </c>
      <c r="AR713" s="0" t="n">
        <v>610.051420186882</v>
      </c>
      <c r="AS713" s="0" t="n">
        <v>92</v>
      </c>
      <c r="AT713" s="0" t="n">
        <v>94</v>
      </c>
    </row>
    <row r="714" customFormat="false" ht="12" hidden="false" customHeight="false" outlineLevel="0" collapsed="false">
      <c r="A714" s="0" t="n">
        <v>697</v>
      </c>
      <c r="B714" s="0" t="n">
        <v>1</v>
      </c>
      <c r="C714" s="0" t="n">
        <v>0.657899663509486</v>
      </c>
      <c r="D714" s="0" t="n">
        <v>759.335236083669</v>
      </c>
      <c r="E714" s="0" t="n">
        <v>8</v>
      </c>
      <c r="F714" s="0" t="n">
        <v>8</v>
      </c>
      <c r="G714" s="0" t="n">
        <v>0.5</v>
      </c>
      <c r="H714" s="0" t="n">
        <v>1</v>
      </c>
      <c r="I714" s="0" t="n">
        <v>0</v>
      </c>
      <c r="J714" s="0" t="n">
        <v>764.394646927238</v>
      </c>
      <c r="K714" s="0" t="n">
        <v>0</v>
      </c>
      <c r="L714" s="0" t="n">
        <v>2.19635678499536</v>
      </c>
      <c r="M714" s="0" t="n">
        <v>766.771976916033</v>
      </c>
      <c r="N714" s="0" t="n">
        <v>7.43674083236374</v>
      </c>
      <c r="O714" s="0" t="n">
        <v>697</v>
      </c>
      <c r="P714" s="0" t="n">
        <v>350</v>
      </c>
      <c r="Q714" s="0" t="n">
        <v>347</v>
      </c>
      <c r="R714" s="0" t="n">
        <v>761.633093683607</v>
      </c>
      <c r="S714" s="0" t="n">
        <v>819.269842923981</v>
      </c>
      <c r="T714" s="0" t="n">
        <v>23</v>
      </c>
      <c r="U714" s="0" t="n">
        <v>25</v>
      </c>
      <c r="V714" s="0" t="n">
        <v>33.1144679364751</v>
      </c>
      <c r="W714" s="0" t="n">
        <v>32.7706626343087</v>
      </c>
      <c r="X714" s="0" t="n">
        <v>0</v>
      </c>
      <c r="Y714" s="0" t="n">
        <v>0</v>
      </c>
      <c r="Z714" s="0" t="n">
        <v>7.43674083236374</v>
      </c>
      <c r="AA714" s="0" t="n">
        <v>0</v>
      </c>
      <c r="AB714" s="0" t="n">
        <v>0</v>
      </c>
      <c r="AC714" s="0" t="n">
        <v>0</v>
      </c>
      <c r="AD714" s="0" t="n">
        <v>1</v>
      </c>
      <c r="AE714" s="0" t="n">
        <v>0</v>
      </c>
      <c r="AF714" s="0" t="n">
        <v>0</v>
      </c>
      <c r="AG714" s="0" t="n">
        <v>0</v>
      </c>
      <c r="AH714" s="0" t="n">
        <v>0.108347915965884</v>
      </c>
      <c r="AI714" s="0" t="n">
        <v>0</v>
      </c>
      <c r="AK714" s="0" t="n">
        <f aca="false">A714</f>
        <v>697</v>
      </c>
      <c r="AL714" s="0" t="n">
        <v>0</v>
      </c>
      <c r="AM714" s="0" t="n">
        <v>1</v>
      </c>
      <c r="AO714" s="0" t="n">
        <v>697</v>
      </c>
      <c r="AP714" s="0" t="n">
        <v>1</v>
      </c>
      <c r="AQ714" s="0" t="n">
        <v>3.37634153689539</v>
      </c>
      <c r="AR714" s="0" t="n">
        <v>613.427761723777</v>
      </c>
      <c r="AS714" s="0" t="n">
        <v>92</v>
      </c>
      <c r="AT714" s="0" t="n">
        <v>90</v>
      </c>
    </row>
    <row r="715" customFormat="false" ht="12" hidden="false" customHeight="false" outlineLevel="0" collapsed="false">
      <c r="A715" s="0" t="n">
        <v>698</v>
      </c>
      <c r="B715" s="0" t="n">
        <v>0</v>
      </c>
      <c r="C715" s="0" t="n">
        <v>0.504984373608113</v>
      </c>
      <c r="D715" s="0" t="n">
        <v>759.840220457277</v>
      </c>
      <c r="E715" s="0" t="n">
        <v>8</v>
      </c>
      <c r="F715" s="0" t="n">
        <v>10</v>
      </c>
      <c r="G715" s="0" t="n">
        <v>0.5</v>
      </c>
      <c r="H715" s="0" t="n">
        <v>0</v>
      </c>
      <c r="I715" s="0" t="n">
        <v>2.15572587330096</v>
      </c>
      <c r="J715" s="0" t="n">
        <v>766.550372800539</v>
      </c>
      <c r="K715" s="0" t="n">
        <v>6.71015234326148</v>
      </c>
      <c r="L715" s="0" t="n">
        <v>0</v>
      </c>
      <c r="M715" s="0" t="n">
        <v>766.771976916033</v>
      </c>
      <c r="N715" s="0" t="n">
        <v>0</v>
      </c>
      <c r="O715" s="0" t="n">
        <v>698</v>
      </c>
      <c r="P715" s="0" t="n">
        <v>351</v>
      </c>
      <c r="Q715" s="0" t="n">
        <v>347</v>
      </c>
      <c r="R715" s="0" t="n">
        <v>849.552871443739</v>
      </c>
      <c r="S715" s="0" t="n">
        <v>710.446972930182</v>
      </c>
      <c r="T715" s="0" t="n">
        <v>24</v>
      </c>
      <c r="U715" s="0" t="n">
        <v>24</v>
      </c>
      <c r="V715" s="0" t="n">
        <v>35.3980215609801</v>
      </c>
      <c r="W715" s="0" t="n">
        <v>29.6018338644498</v>
      </c>
      <c r="X715" s="0" t="n">
        <v>0</v>
      </c>
      <c r="Y715" s="0" t="n">
        <v>6.71015234326148</v>
      </c>
      <c r="Z715" s="0" t="n">
        <v>0</v>
      </c>
      <c r="AA715" s="0" t="n">
        <v>0</v>
      </c>
      <c r="AB715" s="0" t="n">
        <v>0</v>
      </c>
      <c r="AC715" s="0" t="n">
        <v>1</v>
      </c>
      <c r="AD715" s="0" t="n">
        <v>0</v>
      </c>
      <c r="AE715" s="0" t="n">
        <v>0</v>
      </c>
      <c r="AF715" s="0" t="n">
        <v>0</v>
      </c>
      <c r="AG715" s="0" t="n">
        <v>2.39786680201308</v>
      </c>
      <c r="AH715" s="0" t="n">
        <v>0</v>
      </c>
      <c r="AI715" s="0" t="n">
        <v>0</v>
      </c>
      <c r="AK715" s="0" t="n">
        <f aca="false">A715</f>
        <v>698</v>
      </c>
      <c r="AL715" s="0" t="n">
        <v>1</v>
      </c>
      <c r="AM715" s="0" t="n">
        <v>0</v>
      </c>
      <c r="AO715" s="0" t="n">
        <v>698</v>
      </c>
      <c r="AP715" s="0" t="n">
        <v>0</v>
      </c>
      <c r="AQ715" s="0" t="n">
        <v>0.684760034239749</v>
      </c>
      <c r="AR715" s="0" t="n">
        <v>614.112521758017</v>
      </c>
      <c r="AS715" s="0" t="n">
        <v>92</v>
      </c>
      <c r="AT715" s="0" t="n">
        <v>92</v>
      </c>
    </row>
    <row r="716" customFormat="false" ht="12" hidden="false" customHeight="false" outlineLevel="0" collapsed="false">
      <c r="A716" s="0" t="n">
        <v>699</v>
      </c>
      <c r="B716" s="0" t="n">
        <v>0</v>
      </c>
      <c r="C716" s="0" t="n">
        <v>1.41915186911184</v>
      </c>
      <c r="D716" s="0" t="n">
        <v>761.259372326389</v>
      </c>
      <c r="E716" s="0" t="n">
        <v>8</v>
      </c>
      <c r="F716" s="0" t="n">
        <v>8</v>
      </c>
      <c r="G716" s="0" t="n">
        <v>0.5</v>
      </c>
      <c r="H716" s="0" t="n">
        <v>1</v>
      </c>
      <c r="I716" s="0" t="n">
        <v>0</v>
      </c>
      <c r="J716" s="0" t="n">
        <v>766.550372800539</v>
      </c>
      <c r="K716" s="0" t="n">
        <v>0</v>
      </c>
      <c r="L716" s="0" t="n">
        <v>2.1166858220605</v>
      </c>
      <c r="M716" s="0" t="n">
        <v>768.888662738093</v>
      </c>
      <c r="N716" s="0" t="n">
        <v>7.62929041170435</v>
      </c>
      <c r="O716" s="0" t="n">
        <v>699</v>
      </c>
      <c r="P716" s="0" t="n">
        <v>351</v>
      </c>
      <c r="Q716" s="0" t="n">
        <v>348</v>
      </c>
      <c r="R716" s="0" t="n">
        <v>928.774251703857</v>
      </c>
      <c r="S716" s="0" t="n">
        <v>646.773988255005</v>
      </c>
      <c r="T716" s="0" t="n">
        <v>25</v>
      </c>
      <c r="U716" s="0" t="n">
        <v>23</v>
      </c>
      <c r="V716" s="0" t="n">
        <v>37.1509552077722</v>
      </c>
      <c r="W716" s="0" t="n">
        <v>28.1204859220179</v>
      </c>
      <c r="X716" s="0" t="n">
        <v>0</v>
      </c>
      <c r="Y716" s="0" t="n">
        <v>0</v>
      </c>
      <c r="Z716" s="0" t="n">
        <v>0</v>
      </c>
      <c r="AA716" s="0" t="n">
        <v>7.62929041170435</v>
      </c>
      <c r="AB716" s="0" t="n">
        <v>0</v>
      </c>
      <c r="AC716" s="0" t="n">
        <v>0</v>
      </c>
      <c r="AD716" s="0" t="n">
        <v>0</v>
      </c>
      <c r="AE716" s="0" t="n">
        <v>1</v>
      </c>
      <c r="AF716" s="0" t="n">
        <v>0</v>
      </c>
      <c r="AG716" s="0" t="n">
        <v>0</v>
      </c>
      <c r="AH716" s="0" t="n">
        <v>0</v>
      </c>
      <c r="AI716" s="0" t="n">
        <v>0.0104265236479247</v>
      </c>
      <c r="AK716" s="0" t="n">
        <f aca="false">A716</f>
        <v>699</v>
      </c>
      <c r="AL716" s="0" t="n">
        <v>0</v>
      </c>
      <c r="AM716" s="0" t="n">
        <v>1</v>
      </c>
      <c r="AO716" s="0" t="n">
        <v>699</v>
      </c>
      <c r="AP716" s="0" t="n">
        <v>0</v>
      </c>
      <c r="AQ716" s="0" t="n">
        <v>1.0934155787821</v>
      </c>
      <c r="AR716" s="0" t="n">
        <v>615.205937336799</v>
      </c>
      <c r="AS716" s="0" t="n">
        <v>90</v>
      </c>
      <c r="AT716" s="0" t="n">
        <v>92</v>
      </c>
    </row>
    <row r="717" customFormat="false" ht="12" hidden="false" customHeight="false" outlineLevel="0" collapsed="false">
      <c r="A717" s="0" t="n">
        <v>700</v>
      </c>
      <c r="B717" s="0" t="n">
        <v>0</v>
      </c>
      <c r="C717" s="0" t="n">
        <v>3.14385935440197</v>
      </c>
      <c r="D717" s="0" t="n">
        <v>764.403231680791</v>
      </c>
      <c r="E717" s="0" t="n">
        <v>4</v>
      </c>
      <c r="F717" s="0" t="n">
        <v>8</v>
      </c>
      <c r="G717" s="0" t="n">
        <v>0.5</v>
      </c>
      <c r="H717" s="0" t="n">
        <v>0</v>
      </c>
      <c r="I717" s="0" t="n">
        <v>2.22602065473288</v>
      </c>
      <c r="J717" s="0" t="n">
        <v>768.776393455271</v>
      </c>
      <c r="K717" s="0" t="n">
        <v>4.37316177448065</v>
      </c>
      <c r="L717" s="0" t="n">
        <v>0</v>
      </c>
      <c r="M717" s="0" t="n">
        <v>768.888662738093</v>
      </c>
      <c r="N717" s="0" t="n">
        <v>0</v>
      </c>
      <c r="O717" s="0" t="n">
        <v>700</v>
      </c>
      <c r="P717" s="0" t="n">
        <v>352</v>
      </c>
      <c r="Q717" s="0" t="n">
        <v>348</v>
      </c>
      <c r="R717" s="0" t="n">
        <v>619.64810242347</v>
      </c>
      <c r="S717" s="0" t="n">
        <v>952.310044216934</v>
      </c>
      <c r="T717" s="0" t="n">
        <v>22</v>
      </c>
      <c r="U717" s="0" t="n">
        <v>26</v>
      </c>
      <c r="V717" s="0" t="n">
        <v>28.1658100347895</v>
      </c>
      <c r="W717" s="0" t="n">
        <v>36.6271685192339</v>
      </c>
      <c r="X717" s="0" t="n">
        <v>0</v>
      </c>
      <c r="Y717" s="0" t="n">
        <v>4.37316177448065</v>
      </c>
      <c r="Z717" s="0" t="n">
        <v>0</v>
      </c>
      <c r="AA717" s="0" t="n">
        <v>0</v>
      </c>
      <c r="AB717" s="0" t="n">
        <v>0</v>
      </c>
      <c r="AC717" s="0" t="n">
        <v>1</v>
      </c>
      <c r="AD717" s="0" t="n">
        <v>0</v>
      </c>
      <c r="AE717" s="0" t="n">
        <v>0</v>
      </c>
      <c r="AF717" s="0" t="n">
        <v>0</v>
      </c>
      <c r="AG717" s="0" t="n">
        <v>15.0970734739098</v>
      </c>
      <c r="AH717" s="0" t="n">
        <v>0</v>
      </c>
      <c r="AI717" s="0" t="n">
        <v>0</v>
      </c>
      <c r="AK717" s="0" t="n">
        <f aca="false">A717</f>
        <v>700</v>
      </c>
      <c r="AL717" s="0" t="n">
        <v>2</v>
      </c>
      <c r="AM717" s="0" t="n">
        <v>2</v>
      </c>
      <c r="AO717" s="0" t="n">
        <v>700</v>
      </c>
      <c r="AP717" s="0" t="n">
        <v>0</v>
      </c>
      <c r="AQ717" s="0" t="n">
        <v>0.516571582058639</v>
      </c>
      <c r="AR717" s="0" t="n">
        <v>615.722508918858</v>
      </c>
      <c r="AS717" s="0" t="n">
        <v>90</v>
      </c>
      <c r="AT717" s="0" t="n">
        <v>94</v>
      </c>
    </row>
    <row r="718" customFormat="false" ht="12" hidden="false" customHeight="false" outlineLevel="0" collapsed="false">
      <c r="A718" s="0" t="n">
        <v>701</v>
      </c>
      <c r="B718" s="0" t="n">
        <v>0</v>
      </c>
      <c r="C718" s="0" t="n">
        <v>1.24596450237196</v>
      </c>
      <c r="D718" s="0" t="n">
        <v>765.649196183163</v>
      </c>
      <c r="E718" s="0" t="n">
        <v>6</v>
      </c>
      <c r="F718" s="0" t="n">
        <v>6</v>
      </c>
      <c r="G718" s="0" t="n">
        <v>0.5</v>
      </c>
      <c r="H718" s="0" t="n">
        <v>1</v>
      </c>
      <c r="I718" s="0" t="n">
        <v>0</v>
      </c>
      <c r="J718" s="0" t="n">
        <v>768.776393455271</v>
      </c>
      <c r="K718" s="0" t="n">
        <v>0</v>
      </c>
      <c r="L718" s="0" t="n">
        <v>1.86520213774899</v>
      </c>
      <c r="M718" s="0" t="n">
        <v>770.753864875842</v>
      </c>
      <c r="N718" s="0" t="n">
        <v>5.10466869267941</v>
      </c>
      <c r="O718" s="0" t="n">
        <v>701</v>
      </c>
      <c r="P718" s="0" t="n">
        <v>352</v>
      </c>
      <c r="Q718" s="0" t="n">
        <v>349</v>
      </c>
      <c r="R718" s="0" t="n">
        <v>1014.25202629383</v>
      </c>
      <c r="S718" s="0" t="n">
        <v>568.246578080439</v>
      </c>
      <c r="T718" s="0" t="n">
        <v>29</v>
      </c>
      <c r="U718" s="0" t="n">
        <v>19</v>
      </c>
      <c r="V718" s="0" t="n">
        <v>34.974195743168</v>
      </c>
      <c r="W718" s="0" t="n">
        <v>29.9075572276167</v>
      </c>
      <c r="X718" s="0" t="n">
        <v>0</v>
      </c>
      <c r="Y718" s="0" t="n">
        <v>0</v>
      </c>
      <c r="Z718" s="0" t="n">
        <v>0</v>
      </c>
      <c r="AA718" s="0" t="n">
        <v>5.10466869267941</v>
      </c>
      <c r="AB718" s="0" t="n">
        <v>0</v>
      </c>
      <c r="AC718" s="0" t="n">
        <v>0</v>
      </c>
      <c r="AD718" s="0" t="n">
        <v>0</v>
      </c>
      <c r="AE718" s="0" t="n">
        <v>1</v>
      </c>
      <c r="AF718" s="0" t="n">
        <v>0</v>
      </c>
      <c r="AG718" s="0" t="n">
        <v>0</v>
      </c>
      <c r="AH718" s="0" t="n">
        <v>0</v>
      </c>
      <c r="AI718" s="0" t="n">
        <v>6.89972136426537</v>
      </c>
      <c r="AK718" s="0" t="n">
        <f aca="false">A718</f>
        <v>701</v>
      </c>
      <c r="AL718" s="0" t="n">
        <v>0</v>
      </c>
      <c r="AM718" s="0" t="n">
        <v>3</v>
      </c>
      <c r="AO718" s="0" t="n">
        <v>701</v>
      </c>
      <c r="AP718" s="0" t="n">
        <v>0</v>
      </c>
      <c r="AQ718" s="0" t="n">
        <v>3.83350978161994</v>
      </c>
      <c r="AR718" s="0" t="n">
        <v>619.556018700478</v>
      </c>
      <c r="AS718" s="0" t="n">
        <v>86</v>
      </c>
      <c r="AT718" s="0" t="n">
        <v>92</v>
      </c>
    </row>
    <row r="719" customFormat="false" ht="12" hidden="false" customHeight="false" outlineLevel="0" collapsed="false">
      <c r="A719" s="0" t="n">
        <v>702</v>
      </c>
      <c r="B719" s="0" t="n">
        <v>1</v>
      </c>
      <c r="C719" s="0" t="n">
        <v>0.208268627278091</v>
      </c>
      <c r="D719" s="0" t="n">
        <v>765.857464810441</v>
      </c>
      <c r="E719" s="0" t="n">
        <v>6</v>
      </c>
      <c r="F719" s="0" t="n">
        <v>8</v>
      </c>
      <c r="G719" s="0" t="n">
        <v>0.5</v>
      </c>
      <c r="H719" s="0" t="n">
        <v>0</v>
      </c>
      <c r="I719" s="0" t="n">
        <v>2.23677424497422</v>
      </c>
      <c r="J719" s="0" t="n">
        <v>771.013167700246</v>
      </c>
      <c r="K719" s="0" t="n">
        <v>5.15570288980473</v>
      </c>
      <c r="L719" s="0" t="n">
        <v>0</v>
      </c>
      <c r="M719" s="0" t="n">
        <v>770.753864875842</v>
      </c>
      <c r="N719" s="0" t="n">
        <v>0</v>
      </c>
      <c r="O719" s="0" t="n">
        <v>702</v>
      </c>
      <c r="P719" s="0" t="n">
        <v>353</v>
      </c>
      <c r="Q719" s="0" t="n">
        <v>349</v>
      </c>
      <c r="R719" s="0" t="n">
        <v>793.513374440092</v>
      </c>
      <c r="S719" s="0" t="n">
        <v>769.977071159153</v>
      </c>
      <c r="T719" s="0" t="n">
        <v>25</v>
      </c>
      <c r="U719" s="0" t="n">
        <v>23</v>
      </c>
      <c r="V719" s="0" t="n">
        <v>31.7405222813948</v>
      </c>
      <c r="W719" s="0" t="n">
        <v>33.4771184107527</v>
      </c>
      <c r="X719" s="0" t="n">
        <v>5.15570288980473</v>
      </c>
      <c r="Y719" s="0" t="n">
        <v>0</v>
      </c>
      <c r="Z719" s="0" t="n">
        <v>0</v>
      </c>
      <c r="AA719" s="0" t="n">
        <v>0</v>
      </c>
      <c r="AB719" s="0" t="n">
        <v>1</v>
      </c>
      <c r="AC719" s="0" t="n">
        <v>0</v>
      </c>
      <c r="AD719" s="0" t="n">
        <v>0</v>
      </c>
      <c r="AE719" s="0" t="n">
        <v>0</v>
      </c>
      <c r="AF719" s="0" t="n">
        <v>5.16133536601992</v>
      </c>
      <c r="AG719" s="0" t="n">
        <v>0</v>
      </c>
      <c r="AH719" s="0" t="n">
        <v>0</v>
      </c>
      <c r="AI719" s="0" t="n">
        <v>0</v>
      </c>
      <c r="AK719" s="0" t="n">
        <f aca="false">A719</f>
        <v>702</v>
      </c>
      <c r="AL719" s="0" t="n">
        <v>1</v>
      </c>
      <c r="AM719" s="0" t="n">
        <v>4</v>
      </c>
      <c r="AO719" s="0" t="n">
        <v>702</v>
      </c>
      <c r="AP719" s="0" t="n">
        <v>0</v>
      </c>
      <c r="AQ719" s="0" t="n">
        <v>0.111426310831511</v>
      </c>
      <c r="AR719" s="0" t="n">
        <v>619.667445011309</v>
      </c>
      <c r="AS719" s="0" t="n">
        <v>86</v>
      </c>
      <c r="AT719" s="0" t="n">
        <v>94</v>
      </c>
    </row>
    <row r="720" customFormat="false" ht="12" hidden="false" customHeight="false" outlineLevel="0" collapsed="false">
      <c r="A720" s="0" t="n">
        <v>703</v>
      </c>
      <c r="B720" s="0" t="n">
        <v>1</v>
      </c>
      <c r="C720" s="0" t="n">
        <v>1.33733270234987</v>
      </c>
      <c r="D720" s="0" t="n">
        <v>767.194797512791</v>
      </c>
      <c r="E720" s="0" t="n">
        <v>6</v>
      </c>
      <c r="F720" s="0" t="n">
        <v>6</v>
      </c>
      <c r="G720" s="0" t="n">
        <v>0.5</v>
      </c>
      <c r="H720" s="0" t="n">
        <v>1</v>
      </c>
      <c r="I720" s="0" t="n">
        <v>0</v>
      </c>
      <c r="J720" s="0" t="n">
        <v>771.013167700246</v>
      </c>
      <c r="K720" s="0" t="n">
        <v>0</v>
      </c>
      <c r="L720" s="0" t="n">
        <v>2.02605870856336</v>
      </c>
      <c r="M720" s="0" t="n">
        <v>772.779923584406</v>
      </c>
      <c r="N720" s="0" t="n">
        <v>5.58512607161481</v>
      </c>
      <c r="O720" s="0" t="n">
        <v>703</v>
      </c>
      <c r="P720" s="0" t="n">
        <v>353</v>
      </c>
      <c r="Q720" s="0" t="n">
        <v>350</v>
      </c>
      <c r="R720" s="0" t="n">
        <v>740.884957830086</v>
      </c>
      <c r="S720" s="0" t="n">
        <v>828.465415818491</v>
      </c>
      <c r="T720" s="0" t="n">
        <v>20</v>
      </c>
      <c r="U720" s="0" t="n">
        <v>28</v>
      </c>
      <c r="V720" s="0" t="n">
        <v>37.0442293693896</v>
      </c>
      <c r="W720" s="0" t="n">
        <v>29.5879448937143</v>
      </c>
      <c r="X720" s="0" t="n">
        <v>0</v>
      </c>
      <c r="Y720" s="0" t="n">
        <v>0</v>
      </c>
      <c r="Z720" s="0" t="n">
        <v>5.58512607161481</v>
      </c>
      <c r="AA720" s="0" t="n">
        <v>0</v>
      </c>
      <c r="AB720" s="0" t="n">
        <v>0</v>
      </c>
      <c r="AC720" s="0" t="n">
        <v>0</v>
      </c>
      <c r="AD720" s="0" t="n">
        <v>1</v>
      </c>
      <c r="AE720" s="0" t="n">
        <v>0</v>
      </c>
      <c r="AF720" s="0" t="n">
        <v>0</v>
      </c>
      <c r="AG720" s="0" t="n">
        <v>0</v>
      </c>
      <c r="AH720" s="0" t="n">
        <v>4.75578922619902</v>
      </c>
      <c r="AI720" s="0" t="n">
        <v>0</v>
      </c>
      <c r="AK720" s="0" t="n">
        <f aca="false">A720</f>
        <v>703</v>
      </c>
      <c r="AL720" s="0" t="n">
        <v>0</v>
      </c>
      <c r="AM720" s="0" t="n">
        <v>3</v>
      </c>
      <c r="AO720" s="0" t="n">
        <v>703</v>
      </c>
      <c r="AP720" s="0" t="n">
        <v>0</v>
      </c>
      <c r="AQ720" s="0" t="n">
        <v>0.294273496108328</v>
      </c>
      <c r="AR720" s="0" t="n">
        <v>619.961718507418</v>
      </c>
      <c r="AS720" s="0" t="n">
        <v>88</v>
      </c>
      <c r="AT720" s="0" t="n">
        <v>94</v>
      </c>
    </row>
    <row r="721" customFormat="false" ht="12" hidden="false" customHeight="false" outlineLevel="0" collapsed="false">
      <c r="A721" s="0" t="n">
        <v>704</v>
      </c>
      <c r="B721" s="0" t="n">
        <v>0</v>
      </c>
      <c r="C721" s="0" t="n">
        <v>0.380259913818532</v>
      </c>
      <c r="D721" s="0" t="n">
        <v>767.575057426609</v>
      </c>
      <c r="E721" s="0" t="n">
        <v>6</v>
      </c>
      <c r="F721" s="0" t="n">
        <v>8</v>
      </c>
      <c r="G721" s="0" t="n">
        <v>0.5</v>
      </c>
      <c r="H721" s="0" t="n">
        <v>0</v>
      </c>
      <c r="I721" s="0" t="n">
        <v>1.84653350225624</v>
      </c>
      <c r="J721" s="0" t="n">
        <v>772.859701202502</v>
      </c>
      <c r="K721" s="0" t="n">
        <v>5.28464377589251</v>
      </c>
      <c r="L721" s="0" t="n">
        <v>0</v>
      </c>
      <c r="M721" s="0" t="n">
        <v>772.779923584406</v>
      </c>
      <c r="N721" s="0" t="n">
        <v>0</v>
      </c>
      <c r="O721" s="0" t="n">
        <v>704</v>
      </c>
      <c r="P721" s="0" t="n">
        <v>354</v>
      </c>
      <c r="Q721" s="0" t="n">
        <v>350</v>
      </c>
      <c r="R721" s="0" t="n">
        <v>593.820052361072</v>
      </c>
      <c r="S721" s="0" t="n">
        <v>962.618709870243</v>
      </c>
      <c r="T721" s="0" t="n">
        <v>22</v>
      </c>
      <c r="U721" s="0" t="n">
        <v>26</v>
      </c>
      <c r="V721" s="0" t="n">
        <v>26.9918082928631</v>
      </c>
      <c r="W721" s="0" t="n">
        <v>37.0236541348011</v>
      </c>
      <c r="X721" s="0" t="n">
        <v>0</v>
      </c>
      <c r="Y721" s="0" t="n">
        <v>5.28464377589251</v>
      </c>
      <c r="Z721" s="0" t="n">
        <v>0</v>
      </c>
      <c r="AA721" s="0" t="n">
        <v>0</v>
      </c>
      <c r="AB721" s="0" t="n">
        <v>0</v>
      </c>
      <c r="AC721" s="0" t="n">
        <v>1</v>
      </c>
      <c r="AD721" s="0" t="n">
        <v>0</v>
      </c>
      <c r="AE721" s="0" t="n">
        <v>0</v>
      </c>
      <c r="AF721" s="0" t="n">
        <v>0</v>
      </c>
      <c r="AG721" s="0" t="n">
        <v>8.84475490697917</v>
      </c>
      <c r="AH721" s="0" t="n">
        <v>0</v>
      </c>
      <c r="AI721" s="0" t="n">
        <v>0</v>
      </c>
      <c r="AK721" s="0" t="n">
        <f aca="false">A721</f>
        <v>704</v>
      </c>
      <c r="AL721" s="0" t="n">
        <v>1</v>
      </c>
      <c r="AM721" s="0" t="n">
        <v>2</v>
      </c>
      <c r="AO721" s="0" t="n">
        <v>704</v>
      </c>
      <c r="AP721" s="0" t="n">
        <v>1</v>
      </c>
      <c r="AQ721" s="0" t="n">
        <v>0.200272529398689</v>
      </c>
      <c r="AR721" s="0" t="n">
        <v>620.161991036816</v>
      </c>
      <c r="AS721" s="0" t="n">
        <v>90</v>
      </c>
      <c r="AT721" s="0" t="n">
        <v>94</v>
      </c>
    </row>
    <row r="722" customFormat="false" ht="12" hidden="false" customHeight="false" outlineLevel="0" collapsed="false">
      <c r="A722" s="0" t="n">
        <v>705</v>
      </c>
      <c r="B722" s="0" t="n">
        <v>1</v>
      </c>
      <c r="C722" s="0" t="n">
        <v>0.836129726461746</v>
      </c>
      <c r="D722" s="0" t="n">
        <v>768.411187153071</v>
      </c>
      <c r="E722" s="0" t="n">
        <v>8</v>
      </c>
      <c r="F722" s="0" t="n">
        <v>8</v>
      </c>
      <c r="G722" s="0" t="n">
        <v>0.5</v>
      </c>
      <c r="H722" s="0" t="n">
        <v>1</v>
      </c>
      <c r="I722" s="0" t="n">
        <v>0</v>
      </c>
      <c r="J722" s="0" t="n">
        <v>772.859701202502</v>
      </c>
      <c r="K722" s="0" t="n">
        <v>0</v>
      </c>
      <c r="L722" s="0" t="n">
        <v>2.15208888290491</v>
      </c>
      <c r="M722" s="0" t="n">
        <v>774.93201246731</v>
      </c>
      <c r="N722" s="0" t="n">
        <v>6.52082531423935</v>
      </c>
      <c r="O722" s="0" t="n">
        <v>705</v>
      </c>
      <c r="P722" s="0" t="n">
        <v>354</v>
      </c>
      <c r="Q722" s="0" t="n">
        <v>351</v>
      </c>
      <c r="R722" s="0" t="n">
        <v>829.36334379022</v>
      </c>
      <c r="S722" s="0" t="n">
        <v>742.337161500274</v>
      </c>
      <c r="T722" s="0" t="n">
        <v>25</v>
      </c>
      <c r="U722" s="0" t="n">
        <v>23</v>
      </c>
      <c r="V722" s="0" t="n">
        <v>33.1745204818006</v>
      </c>
      <c r="W722" s="0" t="n">
        <v>32.2753884331057</v>
      </c>
      <c r="X722" s="0" t="n">
        <v>0</v>
      </c>
      <c r="Y722" s="0" t="n">
        <v>0</v>
      </c>
      <c r="Z722" s="0" t="n">
        <v>6.52082531423935</v>
      </c>
      <c r="AA722" s="0" t="n">
        <v>0</v>
      </c>
      <c r="AB722" s="0" t="n">
        <v>0</v>
      </c>
      <c r="AC722" s="0" t="n">
        <v>0</v>
      </c>
      <c r="AD722" s="0" t="n">
        <v>1</v>
      </c>
      <c r="AE722" s="0" t="n">
        <v>0</v>
      </c>
      <c r="AF722" s="0" t="n">
        <v>0</v>
      </c>
      <c r="AG722" s="0" t="n">
        <v>0</v>
      </c>
      <c r="AH722" s="0" t="n">
        <v>1.55021913716113</v>
      </c>
      <c r="AI722" s="0" t="n">
        <v>0</v>
      </c>
      <c r="AK722" s="0" t="n">
        <f aca="false">A722</f>
        <v>705</v>
      </c>
      <c r="AL722" s="0" t="n">
        <v>0</v>
      </c>
      <c r="AM722" s="0" t="n">
        <v>1</v>
      </c>
      <c r="AO722" s="0" t="n">
        <v>705</v>
      </c>
      <c r="AP722" s="0" t="n">
        <v>1</v>
      </c>
      <c r="AQ722" s="0" t="n">
        <v>0.883815650174609</v>
      </c>
      <c r="AR722" s="0" t="n">
        <v>621.045806686991</v>
      </c>
      <c r="AS722" s="0" t="n">
        <v>90</v>
      </c>
      <c r="AT722" s="0" t="n">
        <v>92</v>
      </c>
    </row>
    <row r="723" customFormat="false" ht="12" hidden="false" customHeight="false" outlineLevel="0" collapsed="false">
      <c r="A723" s="0" t="n">
        <v>706</v>
      </c>
      <c r="B723" s="0" t="n">
        <v>1</v>
      </c>
      <c r="C723" s="0" t="n">
        <v>1.22693434755691</v>
      </c>
      <c r="D723" s="0" t="n">
        <v>769.638121500628</v>
      </c>
      <c r="E723" s="0" t="n">
        <v>6</v>
      </c>
      <c r="F723" s="0" t="n">
        <v>8</v>
      </c>
      <c r="G723" s="0" t="n">
        <v>0.5</v>
      </c>
      <c r="H723" s="0" t="n">
        <v>0</v>
      </c>
      <c r="I723" s="0" t="n">
        <v>2.09143880890435</v>
      </c>
      <c r="J723" s="0" t="n">
        <v>774.951140011406</v>
      </c>
      <c r="K723" s="0" t="n">
        <v>5.31301851077819</v>
      </c>
      <c r="L723" s="0" t="n">
        <v>0</v>
      </c>
      <c r="M723" s="0" t="n">
        <v>774.93201246731</v>
      </c>
      <c r="N723" s="0" t="n">
        <v>0</v>
      </c>
      <c r="O723" s="0" t="n">
        <v>706</v>
      </c>
      <c r="P723" s="0" t="n">
        <v>355</v>
      </c>
      <c r="Q723" s="0" t="n">
        <v>351</v>
      </c>
      <c r="R723" s="0" t="n">
        <v>656.626929109646</v>
      </c>
      <c r="S723" s="0" t="n">
        <v>914.716209864697</v>
      </c>
      <c r="T723" s="0" t="n">
        <v>22</v>
      </c>
      <c r="U723" s="0" t="n">
        <v>26</v>
      </c>
      <c r="V723" s="0" t="n">
        <v>29.8466650292271</v>
      </c>
      <c r="W723" s="0" t="n">
        <v>35.1812573745754</v>
      </c>
      <c r="X723" s="0" t="n">
        <v>5.31301851077819</v>
      </c>
      <c r="Y723" s="0" t="n">
        <v>0</v>
      </c>
      <c r="Z723" s="0" t="n">
        <v>0</v>
      </c>
      <c r="AA723" s="0" t="n">
        <v>0</v>
      </c>
      <c r="AB723" s="0" t="n">
        <v>1</v>
      </c>
      <c r="AC723" s="0" t="n">
        <v>0</v>
      </c>
      <c r="AD723" s="0" t="n">
        <v>0</v>
      </c>
      <c r="AE723" s="0" t="n">
        <v>0</v>
      </c>
      <c r="AF723" s="0" t="n">
        <v>4.47128630241483</v>
      </c>
      <c r="AG723" s="0" t="n">
        <v>0</v>
      </c>
      <c r="AH723" s="0" t="n">
        <v>0</v>
      </c>
      <c r="AI723" s="0" t="n">
        <v>0</v>
      </c>
      <c r="AK723" s="0" t="n">
        <f aca="false">A723</f>
        <v>706</v>
      </c>
      <c r="AL723" s="0" t="n">
        <v>1</v>
      </c>
      <c r="AM723" s="0" t="n">
        <v>0</v>
      </c>
      <c r="AO723" s="0" t="n">
        <v>706</v>
      </c>
      <c r="AP723" s="0" t="n">
        <v>1</v>
      </c>
      <c r="AQ723" s="0" t="n">
        <v>0.304008602570771</v>
      </c>
      <c r="AR723" s="0" t="n">
        <v>621.349815289562</v>
      </c>
      <c r="AS723" s="0" t="n">
        <v>92</v>
      </c>
      <c r="AT723" s="0" t="n">
        <v>92</v>
      </c>
    </row>
    <row r="724" customFormat="false" ht="12" hidden="false" customHeight="false" outlineLevel="0" collapsed="false">
      <c r="A724" s="0" t="n">
        <v>707</v>
      </c>
      <c r="B724" s="0" t="n">
        <v>1</v>
      </c>
      <c r="C724" s="0" t="n">
        <v>0.744530775025115</v>
      </c>
      <c r="D724" s="0" t="n">
        <v>770.382652275653</v>
      </c>
      <c r="E724" s="0" t="n">
        <v>8</v>
      </c>
      <c r="F724" s="0" t="n">
        <v>8</v>
      </c>
      <c r="G724" s="0" t="n">
        <v>0.5</v>
      </c>
      <c r="H724" s="0" t="n">
        <v>0</v>
      </c>
      <c r="I724" s="0" t="n">
        <v>2.17758267208437</v>
      </c>
      <c r="J724" s="0" t="n">
        <v>777.128722683491</v>
      </c>
      <c r="K724" s="0" t="n">
        <v>6.74607040783735</v>
      </c>
      <c r="L724" s="0" t="n">
        <v>0</v>
      </c>
      <c r="M724" s="0" t="n">
        <v>774.93201246731</v>
      </c>
      <c r="N724" s="0" t="n">
        <v>0</v>
      </c>
      <c r="O724" s="0" t="n">
        <v>707</v>
      </c>
      <c r="P724" s="0" t="n">
        <v>356</v>
      </c>
      <c r="Q724" s="0" t="n">
        <v>351</v>
      </c>
      <c r="R724" s="0" t="n">
        <v>868.317362571079</v>
      </c>
      <c r="S724" s="0" t="n">
        <v>698.410795266114</v>
      </c>
      <c r="T724" s="0" t="n">
        <v>25</v>
      </c>
      <c r="U724" s="0" t="n">
        <v>23</v>
      </c>
      <c r="V724" s="0" t="n">
        <v>34.7326806097709</v>
      </c>
      <c r="W724" s="0" t="n">
        <v>30.3655547265496</v>
      </c>
      <c r="X724" s="0" t="n">
        <v>6.74607040783735</v>
      </c>
      <c r="Y724" s="0" t="n">
        <v>0</v>
      </c>
      <c r="Z724" s="0" t="n">
        <v>0</v>
      </c>
      <c r="AA724" s="0" t="n">
        <v>0</v>
      </c>
      <c r="AB724" s="0" t="n">
        <v>1</v>
      </c>
      <c r="AC724" s="0" t="n">
        <v>0</v>
      </c>
      <c r="AD724" s="0" t="n">
        <v>0</v>
      </c>
      <c r="AE724" s="0" t="n">
        <v>0</v>
      </c>
      <c r="AF724" s="0" t="n">
        <v>0.464428255269628</v>
      </c>
      <c r="AG724" s="0" t="n">
        <v>0</v>
      </c>
      <c r="AH724" s="0" t="n">
        <v>0</v>
      </c>
      <c r="AI724" s="0" t="n">
        <v>0</v>
      </c>
      <c r="AK724" s="0" t="n">
        <f aca="false">A724</f>
        <v>707</v>
      </c>
      <c r="AL724" s="0" t="n">
        <v>0</v>
      </c>
      <c r="AM724" s="0" t="n">
        <v>1</v>
      </c>
      <c r="AO724" s="0" t="n">
        <v>707</v>
      </c>
      <c r="AP724" s="0" t="n">
        <v>0</v>
      </c>
      <c r="AQ724" s="0" t="n">
        <v>0.793163602237951</v>
      </c>
      <c r="AR724" s="0" t="n">
        <v>622.1429788918</v>
      </c>
      <c r="AS724" s="0" t="n">
        <v>92</v>
      </c>
      <c r="AT724" s="0" t="n">
        <v>94</v>
      </c>
    </row>
    <row r="725" customFormat="false" ht="12" hidden="false" customHeight="false" outlineLevel="0" collapsed="false">
      <c r="A725" s="0" t="n">
        <v>708</v>
      </c>
      <c r="B725" s="0" t="n">
        <v>0</v>
      </c>
      <c r="C725" s="0" t="n">
        <v>0.889732958104297</v>
      </c>
      <c r="D725" s="0" t="n">
        <v>771.272385233758</v>
      </c>
      <c r="E725" s="0" t="n">
        <v>8</v>
      </c>
      <c r="F725" s="0" t="n">
        <v>6</v>
      </c>
      <c r="G725" s="0" t="n">
        <v>0.5</v>
      </c>
      <c r="H725" s="0" t="n">
        <v>0</v>
      </c>
      <c r="I725" s="0" t="n">
        <v>2.1693118789526</v>
      </c>
      <c r="J725" s="0" t="n">
        <v>779.298034562443</v>
      </c>
      <c r="K725" s="0" t="n">
        <v>8.02564932868563</v>
      </c>
      <c r="L725" s="0" t="n">
        <v>0</v>
      </c>
      <c r="M725" s="0" t="n">
        <v>774.93201246731</v>
      </c>
      <c r="N725" s="0" t="n">
        <v>0</v>
      </c>
      <c r="O725" s="0" t="n">
        <v>708</v>
      </c>
      <c r="P725" s="0" t="n">
        <v>357</v>
      </c>
      <c r="Q725" s="0" t="n">
        <v>351</v>
      </c>
      <c r="R725" s="0" t="n">
        <v>799.006677196649</v>
      </c>
      <c r="S725" s="0" t="n">
        <v>771.130576102422</v>
      </c>
      <c r="T725" s="0" t="n">
        <v>24</v>
      </c>
      <c r="U725" s="0" t="n">
        <v>24</v>
      </c>
      <c r="V725" s="0" t="n">
        <v>33.2919310115558</v>
      </c>
      <c r="W725" s="0" t="n">
        <v>32.1303067946559</v>
      </c>
      <c r="X725" s="0" t="n">
        <v>0</v>
      </c>
      <c r="Y725" s="0" t="n">
        <v>8.02564932868563</v>
      </c>
      <c r="Z725" s="0" t="n">
        <v>0</v>
      </c>
      <c r="AA725" s="0" t="n">
        <v>0</v>
      </c>
      <c r="AB725" s="0" t="n">
        <v>0</v>
      </c>
      <c r="AC725" s="0" t="n">
        <v>1</v>
      </c>
      <c r="AD725" s="0" t="n">
        <v>0</v>
      </c>
      <c r="AE725" s="0" t="n">
        <v>0</v>
      </c>
      <c r="AF725" s="0" t="n">
        <v>0</v>
      </c>
      <c r="AG725" s="0" t="n">
        <v>0.0542925944636622</v>
      </c>
      <c r="AH725" s="0" t="n">
        <v>0</v>
      </c>
      <c r="AI725" s="0" t="n">
        <v>0</v>
      </c>
      <c r="AK725" s="0" t="n">
        <f aca="false">A725</f>
        <v>708</v>
      </c>
      <c r="AL725" s="0" t="n">
        <v>1</v>
      </c>
      <c r="AM725" s="0" t="n">
        <v>1</v>
      </c>
      <c r="AO725" s="0" t="n">
        <v>708</v>
      </c>
      <c r="AP725" s="0" t="n">
        <v>0</v>
      </c>
      <c r="AQ725" s="0" t="n">
        <v>4.24383643792788</v>
      </c>
      <c r="AR725" s="0" t="n">
        <v>626.386815329728</v>
      </c>
      <c r="AS725" s="0" t="n">
        <v>88</v>
      </c>
      <c r="AT725" s="0" t="n">
        <v>90</v>
      </c>
    </row>
    <row r="726" customFormat="false" ht="12" hidden="false" customHeight="false" outlineLevel="0" collapsed="false">
      <c r="A726" s="0" t="n">
        <v>709</v>
      </c>
      <c r="B726" s="0" t="n">
        <v>1</v>
      </c>
      <c r="C726" s="0" t="n">
        <v>0.495855548483426</v>
      </c>
      <c r="D726" s="0" t="n">
        <v>771.768240782241</v>
      </c>
      <c r="E726" s="0" t="n">
        <v>10</v>
      </c>
      <c r="F726" s="0" t="n">
        <v>6</v>
      </c>
      <c r="G726" s="0" t="n">
        <v>0.5</v>
      </c>
      <c r="H726" s="0" t="n">
        <v>1</v>
      </c>
      <c r="I726" s="0" t="n">
        <v>0</v>
      </c>
      <c r="J726" s="0" t="n">
        <v>779.298034562443</v>
      </c>
      <c r="K726" s="0" t="n">
        <v>0</v>
      </c>
      <c r="L726" s="0" t="n">
        <v>1.7912750028504</v>
      </c>
      <c r="M726" s="0" t="n">
        <v>776.723287470161</v>
      </c>
      <c r="N726" s="0" t="n">
        <v>4.95504668791989</v>
      </c>
      <c r="O726" s="0" t="n">
        <v>709</v>
      </c>
      <c r="P726" s="0" t="n">
        <v>357</v>
      </c>
      <c r="Q726" s="0" t="n">
        <v>352</v>
      </c>
      <c r="R726" s="0" t="n">
        <v>804.649967396884</v>
      </c>
      <c r="S726" s="0" t="n">
        <v>771.621507732448</v>
      </c>
      <c r="T726" s="0" t="n">
        <v>28</v>
      </c>
      <c r="U726" s="0" t="n">
        <v>20</v>
      </c>
      <c r="V726" s="0" t="n">
        <v>28.7374885722142</v>
      </c>
      <c r="W726" s="0" t="n">
        <v>38.58088248221</v>
      </c>
      <c r="X726" s="0" t="n">
        <v>0</v>
      </c>
      <c r="Y726" s="0" t="n">
        <v>0</v>
      </c>
      <c r="Z726" s="0" t="n">
        <v>4.95504668791989</v>
      </c>
      <c r="AA726" s="0" t="n">
        <v>0</v>
      </c>
      <c r="AB726" s="0" t="n">
        <v>0</v>
      </c>
      <c r="AC726" s="0" t="n">
        <v>0</v>
      </c>
      <c r="AD726" s="0" t="n">
        <v>1</v>
      </c>
      <c r="AE726" s="0" t="n">
        <v>0</v>
      </c>
      <c r="AF726" s="0" t="n">
        <v>0</v>
      </c>
      <c r="AG726" s="0" t="n">
        <v>0</v>
      </c>
      <c r="AH726" s="0" t="n">
        <v>7.90091477297397</v>
      </c>
      <c r="AI726" s="0" t="n">
        <v>0</v>
      </c>
      <c r="AK726" s="0" t="n">
        <f aca="false">A726</f>
        <v>709</v>
      </c>
      <c r="AL726" s="0" t="n">
        <v>2</v>
      </c>
      <c r="AM726" s="0" t="n">
        <v>2</v>
      </c>
      <c r="AO726" s="0" t="n">
        <v>709</v>
      </c>
      <c r="AP726" s="0" t="n">
        <v>0</v>
      </c>
      <c r="AQ726" s="0" t="n">
        <v>1.7945079203949</v>
      </c>
      <c r="AR726" s="0" t="n">
        <v>628.181323250122</v>
      </c>
      <c r="AS726" s="0" t="n">
        <v>86</v>
      </c>
      <c r="AT726" s="0" t="n">
        <v>90</v>
      </c>
    </row>
    <row r="727" customFormat="false" ht="12" hidden="false" customHeight="false" outlineLevel="0" collapsed="false">
      <c r="A727" s="0" t="n">
        <v>710</v>
      </c>
      <c r="B727" s="0" t="n">
        <v>1</v>
      </c>
      <c r="C727" s="0" t="n">
        <v>0.324317305060755</v>
      </c>
      <c r="D727" s="0" t="n">
        <v>772.092558087302</v>
      </c>
      <c r="E727" s="0" t="n">
        <v>10</v>
      </c>
      <c r="F727" s="0" t="n">
        <v>8</v>
      </c>
      <c r="G727" s="0" t="n">
        <v>0.5</v>
      </c>
      <c r="H727" s="0" t="n">
        <v>1</v>
      </c>
      <c r="I727" s="0" t="n">
        <v>0</v>
      </c>
      <c r="J727" s="0" t="n">
        <v>779.298034562443</v>
      </c>
      <c r="K727" s="0" t="n">
        <v>0</v>
      </c>
      <c r="L727" s="0" t="n">
        <v>2.00060089698455</v>
      </c>
      <c r="M727" s="0" t="n">
        <v>778.723888367145</v>
      </c>
      <c r="N727" s="0" t="n">
        <v>6.63133027984372</v>
      </c>
      <c r="O727" s="0" t="n">
        <v>710</v>
      </c>
      <c r="P727" s="0" t="n">
        <v>357</v>
      </c>
      <c r="Q727" s="0" t="n">
        <v>353</v>
      </c>
      <c r="R727" s="0" t="n">
        <v>793.300175254431</v>
      </c>
      <c r="S727" s="0" t="n">
        <v>793.452821431286</v>
      </c>
      <c r="T727" s="0" t="n">
        <v>22</v>
      </c>
      <c r="U727" s="0" t="n">
        <v>26</v>
      </c>
      <c r="V727" s="0" t="n">
        <v>36.0590824847094</v>
      </c>
      <c r="W727" s="0" t="n">
        <v>30.5172988346693</v>
      </c>
      <c r="X727" s="0" t="n">
        <v>0</v>
      </c>
      <c r="Y727" s="0" t="n">
        <v>0</v>
      </c>
      <c r="Z727" s="0" t="n">
        <v>6.63133027984372</v>
      </c>
      <c r="AA727" s="0" t="n">
        <v>0</v>
      </c>
      <c r="AB727" s="0" t="n">
        <v>0</v>
      </c>
      <c r="AC727" s="0" t="n">
        <v>0</v>
      </c>
      <c r="AD727" s="0" t="n">
        <v>1</v>
      </c>
      <c r="AE727" s="0" t="n">
        <v>0</v>
      </c>
      <c r="AF727" s="0" t="n">
        <v>0</v>
      </c>
      <c r="AG727" s="0" t="n">
        <v>0</v>
      </c>
      <c r="AH727" s="0" t="n">
        <v>1.28725588934703</v>
      </c>
      <c r="AI727" s="0" t="n">
        <v>0</v>
      </c>
      <c r="AK727" s="0" t="n">
        <f aca="false">A727</f>
        <v>710</v>
      </c>
      <c r="AL727" s="0" t="n">
        <v>1</v>
      </c>
      <c r="AM727" s="0" t="n">
        <v>3</v>
      </c>
      <c r="AO727" s="0" t="n">
        <v>710</v>
      </c>
      <c r="AP727" s="0" t="n">
        <v>1</v>
      </c>
      <c r="AQ727" s="0" t="n">
        <v>0.0292138713686502</v>
      </c>
      <c r="AR727" s="0" t="n">
        <v>628.210537121491</v>
      </c>
      <c r="AS727" s="0" t="n">
        <v>86</v>
      </c>
      <c r="AT727" s="0" t="n">
        <v>92</v>
      </c>
    </row>
    <row r="728" customFormat="false" ht="12" hidden="false" customHeight="false" outlineLevel="0" collapsed="false">
      <c r="A728" s="0" t="n">
        <v>711</v>
      </c>
      <c r="B728" s="0" t="n">
        <v>0</v>
      </c>
      <c r="C728" s="0" t="n">
        <v>1.75817066379203</v>
      </c>
      <c r="D728" s="0" t="n">
        <v>773.850728751094</v>
      </c>
      <c r="E728" s="0" t="n">
        <v>8</v>
      </c>
      <c r="F728" s="0" t="n">
        <v>8</v>
      </c>
      <c r="G728" s="0" t="n">
        <v>0.5</v>
      </c>
      <c r="H728" s="0" t="n">
        <v>0</v>
      </c>
      <c r="I728" s="0" t="n">
        <v>1.79749092517571</v>
      </c>
      <c r="J728" s="0" t="n">
        <v>781.095525487619</v>
      </c>
      <c r="K728" s="0" t="n">
        <v>7.24479673652513</v>
      </c>
      <c r="L728" s="0" t="n">
        <v>0</v>
      </c>
      <c r="M728" s="0" t="n">
        <v>778.723888367145</v>
      </c>
      <c r="N728" s="0" t="n">
        <v>0</v>
      </c>
      <c r="O728" s="0" t="n">
        <v>711</v>
      </c>
      <c r="P728" s="0" t="n">
        <v>358</v>
      </c>
      <c r="Q728" s="0" t="n">
        <v>353</v>
      </c>
      <c r="R728" s="0" t="n">
        <v>790.246768998112</v>
      </c>
      <c r="S728" s="0" t="n">
        <v>787.827229662346</v>
      </c>
      <c r="T728" s="0" t="n">
        <v>25</v>
      </c>
      <c r="U728" s="0" t="n">
        <v>23</v>
      </c>
      <c r="V728" s="0" t="n">
        <v>31.6098581159812</v>
      </c>
      <c r="W728" s="0" t="n">
        <v>34.2532088844112</v>
      </c>
      <c r="X728" s="0" t="n">
        <v>0</v>
      </c>
      <c r="Y728" s="0" t="n">
        <v>7.24479673652513</v>
      </c>
      <c r="Z728" s="0" t="n">
        <v>0</v>
      </c>
      <c r="AA728" s="0" t="n">
        <v>0</v>
      </c>
      <c r="AB728" s="0" t="n">
        <v>0</v>
      </c>
      <c r="AC728" s="0" t="n">
        <v>1</v>
      </c>
      <c r="AD728" s="0" t="n">
        <v>0</v>
      </c>
      <c r="AE728" s="0" t="n">
        <v>0</v>
      </c>
      <c r="AF728" s="0" t="n">
        <v>0</v>
      </c>
      <c r="AG728" s="0" t="n">
        <v>1.02791271901616</v>
      </c>
      <c r="AH728" s="0" t="n">
        <v>0</v>
      </c>
      <c r="AI728" s="0" t="n">
        <v>0</v>
      </c>
      <c r="AK728" s="0" t="n">
        <f aca="false">A728</f>
        <v>711</v>
      </c>
      <c r="AL728" s="0" t="n">
        <v>0</v>
      </c>
      <c r="AM728" s="0" t="n">
        <v>2</v>
      </c>
      <c r="AO728" s="0" t="n">
        <v>711</v>
      </c>
      <c r="AP728" s="0" t="n">
        <v>1</v>
      </c>
      <c r="AQ728" s="0" t="n">
        <v>0.100121068302578</v>
      </c>
      <c r="AR728" s="0" t="n">
        <v>628.310658189794</v>
      </c>
      <c r="AS728" s="0" t="n">
        <v>88</v>
      </c>
      <c r="AT728" s="0" t="n">
        <v>92</v>
      </c>
    </row>
    <row r="729" customFormat="false" ht="12" hidden="false" customHeight="false" outlineLevel="0" collapsed="false">
      <c r="A729" s="0" t="n">
        <v>712</v>
      </c>
      <c r="B729" s="0" t="n">
        <v>0</v>
      </c>
      <c r="C729" s="0" t="n">
        <v>1.28623528944058</v>
      </c>
      <c r="D729" s="0" t="n">
        <v>775.136964040534</v>
      </c>
      <c r="E729" s="0" t="n">
        <v>8</v>
      </c>
      <c r="F729" s="0" t="n">
        <v>6</v>
      </c>
      <c r="G729" s="0" t="n">
        <v>0.5</v>
      </c>
      <c r="H729" s="0" t="n">
        <v>1</v>
      </c>
      <c r="I729" s="0" t="n">
        <v>0</v>
      </c>
      <c r="J729" s="0" t="n">
        <v>781.095525487619</v>
      </c>
      <c r="K729" s="0" t="n">
        <v>0</v>
      </c>
      <c r="L729" s="0" t="n">
        <v>1.81264035657229</v>
      </c>
      <c r="M729" s="0" t="n">
        <v>780.536528723718</v>
      </c>
      <c r="N729" s="0" t="n">
        <v>5.39956468318337</v>
      </c>
      <c r="O729" s="0" t="n">
        <v>712</v>
      </c>
      <c r="P729" s="0" t="n">
        <v>358</v>
      </c>
      <c r="Q729" s="0" t="n">
        <v>354</v>
      </c>
      <c r="R729" s="0" t="n">
        <v>1058.27541542803</v>
      </c>
      <c r="S729" s="0" t="n">
        <v>526.201138268865</v>
      </c>
      <c r="T729" s="0" t="n">
        <v>26</v>
      </c>
      <c r="U729" s="0" t="n">
        <v>22</v>
      </c>
      <c r="V729" s="0" t="n">
        <v>40.7028849384302</v>
      </c>
      <c r="W729" s="0" t="n">
        <v>23.9181248389264</v>
      </c>
      <c r="X729" s="0" t="n">
        <v>0</v>
      </c>
      <c r="Y729" s="0" t="n">
        <v>0</v>
      </c>
      <c r="Z729" s="0" t="n">
        <v>0</v>
      </c>
      <c r="AA729" s="0" t="n">
        <v>5.39956468318337</v>
      </c>
      <c r="AB729" s="0" t="n">
        <v>0</v>
      </c>
      <c r="AC729" s="0" t="n">
        <v>0</v>
      </c>
      <c r="AD729" s="0" t="n">
        <v>0</v>
      </c>
      <c r="AE729" s="0" t="n">
        <v>1</v>
      </c>
      <c r="AF729" s="0" t="n">
        <v>0</v>
      </c>
      <c r="AG729" s="0" t="n">
        <v>0</v>
      </c>
      <c r="AH729" s="0" t="n">
        <v>0</v>
      </c>
      <c r="AI729" s="0" t="n">
        <v>5.43745949870895</v>
      </c>
      <c r="AK729" s="0" t="n">
        <f aca="false">A729</f>
        <v>712</v>
      </c>
      <c r="AL729" s="0" t="n">
        <v>1</v>
      </c>
      <c r="AM729" s="0" t="n">
        <v>2</v>
      </c>
      <c r="AO729" s="0" t="n">
        <v>712</v>
      </c>
      <c r="AP729" s="0" t="n">
        <v>1</v>
      </c>
      <c r="AQ729" s="0" t="n">
        <v>0.448129335013728</v>
      </c>
      <c r="AR729" s="0" t="n">
        <v>628.758787524807</v>
      </c>
      <c r="AS729" s="0" t="n">
        <v>88</v>
      </c>
      <c r="AT729" s="0" t="n">
        <v>92</v>
      </c>
    </row>
    <row r="730" customFormat="false" ht="12" hidden="false" customHeight="false" outlineLevel="0" collapsed="false">
      <c r="A730" s="0" t="n">
        <v>713</v>
      </c>
      <c r="B730" s="0" t="n">
        <v>0</v>
      </c>
      <c r="C730" s="0" t="n">
        <v>0.573631013141079</v>
      </c>
      <c r="D730" s="0" t="n">
        <v>775.710595053675</v>
      </c>
      <c r="E730" s="0" t="n">
        <v>8</v>
      </c>
      <c r="F730" s="0" t="n">
        <v>8</v>
      </c>
      <c r="G730" s="0" t="n">
        <v>0.5</v>
      </c>
      <c r="H730" s="0" t="n">
        <v>0</v>
      </c>
      <c r="I730" s="0" t="n">
        <v>2.12557229035682</v>
      </c>
      <c r="J730" s="0" t="n">
        <v>783.221097777976</v>
      </c>
      <c r="K730" s="0" t="n">
        <v>7.5105027243003</v>
      </c>
      <c r="L730" s="0" t="n">
        <v>0</v>
      </c>
      <c r="M730" s="0" t="n">
        <v>780.536528723718</v>
      </c>
      <c r="N730" s="0" t="n">
        <v>0</v>
      </c>
      <c r="O730" s="0" t="n">
        <v>713</v>
      </c>
      <c r="P730" s="0" t="n">
        <v>359</v>
      </c>
      <c r="Q730" s="0" t="n">
        <v>354</v>
      </c>
      <c r="R730" s="0" t="n">
        <v>561.061680286867</v>
      </c>
      <c r="S730" s="0" t="n">
        <v>1026.08033142134</v>
      </c>
      <c r="T730" s="0" t="n">
        <v>19</v>
      </c>
      <c r="U730" s="0" t="n">
        <v>29</v>
      </c>
      <c r="V730" s="0" t="n">
        <v>29.5295465784948</v>
      </c>
      <c r="W730" s="0" t="n">
        <v>35.3819583870864</v>
      </c>
      <c r="X730" s="0" t="n">
        <v>0</v>
      </c>
      <c r="Y730" s="0" t="n">
        <v>7.5105027243003</v>
      </c>
      <c r="Z730" s="0" t="n">
        <v>0</v>
      </c>
      <c r="AA730" s="0" t="n">
        <v>0</v>
      </c>
      <c r="AB730" s="0" t="n">
        <v>0</v>
      </c>
      <c r="AC730" s="0" t="n">
        <v>1</v>
      </c>
      <c r="AD730" s="0" t="n">
        <v>0</v>
      </c>
      <c r="AE730" s="0" t="n">
        <v>0</v>
      </c>
      <c r="AF730" s="0" t="n">
        <v>0</v>
      </c>
      <c r="AG730" s="0" t="n">
        <v>0.559734883091655</v>
      </c>
      <c r="AH730" s="0" t="n">
        <v>0</v>
      </c>
      <c r="AI730" s="0" t="n">
        <v>0</v>
      </c>
      <c r="AK730" s="0" t="n">
        <f aca="false">A730</f>
        <v>713</v>
      </c>
      <c r="AL730" s="0" t="n">
        <v>0</v>
      </c>
      <c r="AM730" s="0" t="n">
        <v>1</v>
      </c>
      <c r="AO730" s="0" t="n">
        <v>713</v>
      </c>
      <c r="AP730" s="0" t="n">
        <v>1</v>
      </c>
      <c r="AQ730" s="0" t="n">
        <v>0.313665167481641</v>
      </c>
      <c r="AR730" s="0" t="n">
        <v>629.072452692289</v>
      </c>
      <c r="AS730" s="0" t="n">
        <v>90</v>
      </c>
      <c r="AT730" s="0" t="n">
        <v>92</v>
      </c>
    </row>
    <row r="731" customFormat="false" ht="12" hidden="false" customHeight="false" outlineLevel="0" collapsed="false">
      <c r="A731" s="0" t="n">
        <v>714</v>
      </c>
      <c r="B731" s="0" t="n">
        <v>1</v>
      </c>
      <c r="C731" s="0" t="n">
        <v>1.02798405506838</v>
      </c>
      <c r="D731" s="0" t="n">
        <v>776.738579108744</v>
      </c>
      <c r="E731" s="0" t="n">
        <v>10</v>
      </c>
      <c r="F731" s="0" t="n">
        <v>6</v>
      </c>
      <c r="G731" s="0" t="n">
        <v>0.5</v>
      </c>
      <c r="H731" s="0" t="n">
        <v>1</v>
      </c>
      <c r="I731" s="0" t="n">
        <v>0</v>
      </c>
      <c r="J731" s="0" t="n">
        <v>783.221097777976</v>
      </c>
      <c r="K731" s="0" t="n">
        <v>0</v>
      </c>
      <c r="L731" s="0" t="n">
        <v>2.2204531938514</v>
      </c>
      <c r="M731" s="0" t="n">
        <v>782.756981917569</v>
      </c>
      <c r="N731" s="0" t="n">
        <v>6.01840280882539</v>
      </c>
      <c r="O731" s="0" t="n">
        <v>714</v>
      </c>
      <c r="P731" s="0" t="n">
        <v>359</v>
      </c>
      <c r="Q731" s="0" t="n">
        <v>355</v>
      </c>
      <c r="R731" s="0" t="n">
        <v>703.21689925256</v>
      </c>
      <c r="S731" s="0" t="n">
        <v>895.240954004303</v>
      </c>
      <c r="T731" s="0" t="n">
        <v>25</v>
      </c>
      <c r="U731" s="0" t="n">
        <v>23</v>
      </c>
      <c r="V731" s="0" t="n">
        <v>28.1286647186365</v>
      </c>
      <c r="W731" s="0" t="n">
        <v>38.9233505073588</v>
      </c>
      <c r="X731" s="0" t="n">
        <v>0</v>
      </c>
      <c r="Y731" s="0" t="n">
        <v>0</v>
      </c>
      <c r="Z731" s="0" t="n">
        <v>6.01840280882539</v>
      </c>
      <c r="AA731" s="0" t="n">
        <v>0</v>
      </c>
      <c r="AB731" s="0" t="n">
        <v>0</v>
      </c>
      <c r="AC731" s="0" t="n">
        <v>0</v>
      </c>
      <c r="AD731" s="0" t="n">
        <v>1</v>
      </c>
      <c r="AE731" s="0" t="n">
        <v>0</v>
      </c>
      <c r="AF731" s="0" t="n">
        <v>0</v>
      </c>
      <c r="AG731" s="0" t="n">
        <v>0</v>
      </c>
      <c r="AH731" s="0" t="n">
        <v>3.0537578916164</v>
      </c>
      <c r="AI731" s="0" t="n">
        <v>0</v>
      </c>
      <c r="AK731" s="0" t="n">
        <f aca="false">A731</f>
        <v>714</v>
      </c>
      <c r="AL731" s="0" t="n">
        <v>2</v>
      </c>
      <c r="AM731" s="0" t="n">
        <v>0</v>
      </c>
      <c r="AO731" s="0" t="n">
        <v>714</v>
      </c>
      <c r="AP731" s="0" t="n">
        <v>1</v>
      </c>
      <c r="AQ731" s="0" t="n">
        <v>2.21235211153616</v>
      </c>
      <c r="AR731" s="0" t="n">
        <v>631.284804803825</v>
      </c>
      <c r="AS731" s="0" t="n">
        <v>90</v>
      </c>
      <c r="AT731" s="0" t="n">
        <v>90</v>
      </c>
    </row>
    <row r="732" customFormat="false" ht="12" hidden="false" customHeight="false" outlineLevel="0" collapsed="false">
      <c r="A732" s="0" t="n">
        <v>715</v>
      </c>
      <c r="B732" s="0" t="n">
        <v>1</v>
      </c>
      <c r="C732" s="0" t="n">
        <v>0.629851881432062</v>
      </c>
      <c r="D732" s="0" t="n">
        <v>777.368430990176</v>
      </c>
      <c r="E732" s="0" t="n">
        <v>8</v>
      </c>
      <c r="F732" s="0" t="n">
        <v>8</v>
      </c>
      <c r="G732" s="0" t="n">
        <v>0.5</v>
      </c>
      <c r="H732" s="0" t="n">
        <v>0</v>
      </c>
      <c r="I732" s="0" t="n">
        <v>1.77477586352823</v>
      </c>
      <c r="J732" s="0" t="n">
        <v>784.995873641504</v>
      </c>
      <c r="K732" s="0" t="n">
        <v>7.62744265132812</v>
      </c>
      <c r="L732" s="0" t="n">
        <v>0</v>
      </c>
      <c r="M732" s="0" t="n">
        <v>782.756981917569</v>
      </c>
      <c r="N732" s="0" t="n">
        <v>0</v>
      </c>
      <c r="O732" s="0" t="n">
        <v>715</v>
      </c>
      <c r="P732" s="0" t="n">
        <v>360</v>
      </c>
      <c r="Q732" s="0" t="n">
        <v>355</v>
      </c>
      <c r="R732" s="0" t="n">
        <v>1009.15595176041</v>
      </c>
      <c r="S732" s="0" t="n">
        <v>588.966525812052</v>
      </c>
      <c r="T732" s="0" t="n">
        <v>29</v>
      </c>
      <c r="U732" s="0" t="n">
        <v>19</v>
      </c>
      <c r="V732" s="0" t="n">
        <v>34.7984690957145</v>
      </c>
      <c r="W732" s="0" t="n">
        <v>30.9980750528709</v>
      </c>
      <c r="X732" s="0" t="n">
        <v>7.62744265132812</v>
      </c>
      <c r="Y732" s="0" t="n">
        <v>0</v>
      </c>
      <c r="Z732" s="0" t="n">
        <v>0</v>
      </c>
      <c r="AA732" s="0" t="n">
        <v>0</v>
      </c>
      <c r="AB732" s="0" t="n">
        <v>1</v>
      </c>
      <c r="AC732" s="0" t="n">
        <v>0</v>
      </c>
      <c r="AD732" s="0" t="n">
        <v>0</v>
      </c>
      <c r="AE732" s="0" t="n">
        <v>0</v>
      </c>
      <c r="AF732" s="0" t="n">
        <v>0.039953018268402</v>
      </c>
      <c r="AG732" s="0" t="n">
        <v>0</v>
      </c>
      <c r="AH732" s="0" t="n">
        <v>0</v>
      </c>
      <c r="AI732" s="0" t="n">
        <v>0</v>
      </c>
      <c r="AK732" s="0" t="n">
        <f aca="false">A732</f>
        <v>715</v>
      </c>
      <c r="AL732" s="0" t="n">
        <v>0</v>
      </c>
      <c r="AM732" s="0" t="n">
        <v>1</v>
      </c>
      <c r="AO732" s="0" t="n">
        <v>715</v>
      </c>
      <c r="AP732" s="0" t="n">
        <v>1</v>
      </c>
      <c r="AQ732" s="0" t="n">
        <v>2.00678105261973</v>
      </c>
      <c r="AR732" s="0" t="n">
        <v>633.291585856445</v>
      </c>
      <c r="AS732" s="0" t="n">
        <v>88</v>
      </c>
      <c r="AT732" s="0" t="n">
        <v>90</v>
      </c>
    </row>
    <row r="733" customFormat="false" ht="12" hidden="false" customHeight="false" outlineLevel="0" collapsed="false">
      <c r="A733" s="0" t="n">
        <v>716</v>
      </c>
      <c r="B733" s="0" t="n">
        <v>1</v>
      </c>
      <c r="C733" s="0" t="n">
        <v>1.53635957171571</v>
      </c>
      <c r="D733" s="0" t="n">
        <v>778.904790561891</v>
      </c>
      <c r="E733" s="0" t="n">
        <v>10</v>
      </c>
      <c r="F733" s="0" t="n">
        <v>6</v>
      </c>
      <c r="G733" s="0" t="n">
        <v>0.5</v>
      </c>
      <c r="H733" s="0" t="n">
        <v>1</v>
      </c>
      <c r="I733" s="0" t="n">
        <v>0</v>
      </c>
      <c r="J733" s="0" t="n">
        <v>784.995873641504</v>
      </c>
      <c r="K733" s="0" t="n">
        <v>0</v>
      </c>
      <c r="L733" s="0" t="n">
        <v>1.90142629008043</v>
      </c>
      <c r="M733" s="0" t="n">
        <v>784.65840820765</v>
      </c>
      <c r="N733" s="0" t="n">
        <v>5.75361764575803</v>
      </c>
      <c r="O733" s="0" t="n">
        <v>716</v>
      </c>
      <c r="P733" s="0" t="n">
        <v>360</v>
      </c>
      <c r="Q733" s="0" t="n">
        <v>356</v>
      </c>
      <c r="R733" s="0" t="n">
        <v>728.168093297265</v>
      </c>
      <c r="S733" s="0" t="n">
        <v>876.773707071917</v>
      </c>
      <c r="T733" s="0" t="n">
        <v>23</v>
      </c>
      <c r="U733" s="0" t="n">
        <v>25</v>
      </c>
      <c r="V733" s="0" t="n">
        <v>31.6594685522861</v>
      </c>
      <c r="W733" s="0" t="n">
        <v>35.0708079996447</v>
      </c>
      <c r="X733" s="0" t="n">
        <v>0</v>
      </c>
      <c r="Y733" s="0" t="n">
        <v>0</v>
      </c>
      <c r="Z733" s="0" t="n">
        <v>5.75361764575803</v>
      </c>
      <c r="AA733" s="0" t="n">
        <v>0</v>
      </c>
      <c r="AB733" s="0" t="n">
        <v>0</v>
      </c>
      <c r="AC733" s="0" t="n">
        <v>0</v>
      </c>
      <c r="AD733" s="0" t="n">
        <v>1</v>
      </c>
      <c r="AE733" s="0" t="n">
        <v>0</v>
      </c>
      <c r="AF733" s="0" t="n">
        <v>0</v>
      </c>
      <c r="AG733" s="0" t="n">
        <v>0</v>
      </c>
      <c r="AH733" s="0" t="n">
        <v>4.04929346785884</v>
      </c>
      <c r="AI733" s="0" t="n">
        <v>0</v>
      </c>
      <c r="AK733" s="0" t="n">
        <f aca="false">A733</f>
        <v>716</v>
      </c>
      <c r="AL733" s="0" t="n">
        <v>2</v>
      </c>
      <c r="AM733" s="0" t="n">
        <v>1</v>
      </c>
      <c r="AO733" s="0" t="n">
        <v>716</v>
      </c>
      <c r="AP733" s="0" t="n">
        <v>0</v>
      </c>
      <c r="AQ733" s="0" t="n">
        <v>1.17106354235148</v>
      </c>
      <c r="AR733" s="0" t="n">
        <v>634.462649398796</v>
      </c>
      <c r="AS733" s="0" t="n">
        <v>90</v>
      </c>
      <c r="AT733" s="0" t="n">
        <v>88</v>
      </c>
    </row>
    <row r="734" customFormat="false" ht="12" hidden="false" customHeight="false" outlineLevel="0" collapsed="false">
      <c r="A734" s="0" t="n">
        <v>717</v>
      </c>
      <c r="B734" s="0" t="n">
        <v>0</v>
      </c>
      <c r="C734" s="0" t="n">
        <v>0.154528112967582</v>
      </c>
      <c r="D734" s="0" t="n">
        <v>779.059318674859</v>
      </c>
      <c r="E734" s="0" t="n">
        <v>10</v>
      </c>
      <c r="F734" s="0" t="n">
        <v>8</v>
      </c>
      <c r="G734" s="0" t="n">
        <v>0.5</v>
      </c>
      <c r="H734" s="0" t="n">
        <v>0</v>
      </c>
      <c r="I734" s="0" t="n">
        <v>2.04060064242645</v>
      </c>
      <c r="J734" s="0" t="n">
        <v>787.03647428393</v>
      </c>
      <c r="K734" s="0" t="n">
        <v>7.97715560907125</v>
      </c>
      <c r="L734" s="0" t="n">
        <v>0</v>
      </c>
      <c r="M734" s="0" t="n">
        <v>784.65840820765</v>
      </c>
      <c r="N734" s="0" t="n">
        <v>0</v>
      </c>
      <c r="O734" s="0" t="n">
        <v>717</v>
      </c>
      <c r="P734" s="0" t="n">
        <v>361</v>
      </c>
      <c r="Q734" s="0" t="n">
        <v>356</v>
      </c>
      <c r="R734" s="0" t="n">
        <v>972.914979785391</v>
      </c>
      <c r="S734" s="0" t="n">
        <v>635.638455399489</v>
      </c>
      <c r="T734" s="0" t="n">
        <v>26</v>
      </c>
      <c r="U734" s="0" t="n">
        <v>22</v>
      </c>
      <c r="V734" s="0" t="n">
        <v>37.4197925225948</v>
      </c>
      <c r="W734" s="0" t="n">
        <v>28.8925257339507</v>
      </c>
      <c r="X734" s="0" t="n">
        <v>0</v>
      </c>
      <c r="Y734" s="0" t="n">
        <v>7.97715560907125</v>
      </c>
      <c r="Z734" s="0" t="n">
        <v>0</v>
      </c>
      <c r="AA734" s="0" t="n">
        <v>0</v>
      </c>
      <c r="AB734" s="0" t="n">
        <v>0</v>
      </c>
      <c r="AC734" s="0" t="n">
        <v>1</v>
      </c>
      <c r="AD734" s="0" t="n">
        <v>0</v>
      </c>
      <c r="AE734" s="0" t="n">
        <v>0</v>
      </c>
      <c r="AF734" s="0" t="n">
        <v>0</v>
      </c>
      <c r="AG734" s="0" t="n">
        <v>0.0792430567405441</v>
      </c>
      <c r="AH734" s="0" t="n">
        <v>0</v>
      </c>
      <c r="AI734" s="0" t="n">
        <v>0</v>
      </c>
      <c r="AK734" s="0" t="n">
        <f aca="false">A734</f>
        <v>717</v>
      </c>
      <c r="AL734" s="0" t="n">
        <v>1</v>
      </c>
      <c r="AM734" s="0" t="n">
        <v>1</v>
      </c>
      <c r="AO734" s="0" t="n">
        <v>717</v>
      </c>
      <c r="AP734" s="0" t="n">
        <v>1</v>
      </c>
      <c r="AQ734" s="0" t="n">
        <v>0.421121352254081</v>
      </c>
      <c r="AR734" s="0" t="n">
        <v>634.88377075105</v>
      </c>
      <c r="AS734" s="0" t="n">
        <v>90</v>
      </c>
      <c r="AT734" s="0" t="n">
        <v>88</v>
      </c>
    </row>
    <row r="735" customFormat="false" ht="12" hidden="false" customHeight="false" outlineLevel="0" collapsed="false">
      <c r="A735" s="0" t="n">
        <v>718</v>
      </c>
      <c r="B735" s="0" t="n">
        <v>1</v>
      </c>
      <c r="C735" s="0" t="n">
        <v>0.297318527056765</v>
      </c>
      <c r="D735" s="0" t="n">
        <v>779.356637201916</v>
      </c>
      <c r="E735" s="0" t="n">
        <v>10</v>
      </c>
      <c r="F735" s="0" t="n">
        <v>8</v>
      </c>
      <c r="G735" s="0" t="n">
        <v>0.5</v>
      </c>
      <c r="H735" s="0" t="n">
        <v>1</v>
      </c>
      <c r="I735" s="0" t="n">
        <v>0</v>
      </c>
      <c r="J735" s="0" t="n">
        <v>787.03647428393</v>
      </c>
      <c r="K735" s="0" t="n">
        <v>0</v>
      </c>
      <c r="L735" s="0" t="n">
        <v>1.78259507868538</v>
      </c>
      <c r="M735" s="0" t="n">
        <v>786.441003286335</v>
      </c>
      <c r="N735" s="0" t="n">
        <v>7.08436608441912</v>
      </c>
      <c r="O735" s="0" t="n">
        <v>718</v>
      </c>
      <c r="P735" s="0" t="n">
        <v>361</v>
      </c>
      <c r="Q735" s="0" t="n">
        <v>357</v>
      </c>
      <c r="R735" s="0" t="n">
        <v>598.280482923075</v>
      </c>
      <c r="S735" s="0" t="n">
        <v>1008.50738808329</v>
      </c>
      <c r="T735" s="0" t="n">
        <v>18</v>
      </c>
      <c r="U735" s="0" t="n">
        <v>30</v>
      </c>
      <c r="V735" s="0" t="n">
        <v>33.2377861414008</v>
      </c>
      <c r="W735" s="0" t="n">
        <v>33.6168008801069</v>
      </c>
      <c r="X735" s="0" t="n">
        <v>0</v>
      </c>
      <c r="Y735" s="0" t="n">
        <v>0</v>
      </c>
      <c r="Z735" s="0" t="n">
        <v>7.08436608441912</v>
      </c>
      <c r="AA735" s="0" t="n">
        <v>0</v>
      </c>
      <c r="AB735" s="0" t="n">
        <v>0</v>
      </c>
      <c r="AC735" s="0" t="n">
        <v>0</v>
      </c>
      <c r="AD735" s="0" t="n">
        <v>1</v>
      </c>
      <c r="AE735" s="0" t="n">
        <v>0</v>
      </c>
      <c r="AF735" s="0" t="n">
        <v>0</v>
      </c>
      <c r="AG735" s="0" t="n">
        <v>0</v>
      </c>
      <c r="AH735" s="0" t="n">
        <v>0.464492946955973</v>
      </c>
      <c r="AI735" s="0" t="n">
        <v>0</v>
      </c>
      <c r="AK735" s="0" t="n">
        <f aca="false">A735</f>
        <v>718</v>
      </c>
      <c r="AL735" s="0" t="n">
        <v>1</v>
      </c>
      <c r="AM735" s="0" t="n">
        <v>0</v>
      </c>
      <c r="AO735" s="0" t="n">
        <v>718</v>
      </c>
      <c r="AP735" s="0" t="n">
        <v>0</v>
      </c>
      <c r="AQ735" s="0" t="n">
        <v>0.294454348276038</v>
      </c>
      <c r="AR735" s="0" t="n">
        <v>635.178225099327</v>
      </c>
      <c r="AS735" s="0" t="n">
        <v>90</v>
      </c>
      <c r="AT735" s="0" t="n">
        <v>90</v>
      </c>
    </row>
    <row r="736" customFormat="false" ht="12" hidden="false" customHeight="false" outlineLevel="0" collapsed="false">
      <c r="A736" s="0" t="n">
        <v>719</v>
      </c>
      <c r="B736" s="0" t="n">
        <v>1</v>
      </c>
      <c r="C736" s="0" t="n">
        <v>0.222229324589238</v>
      </c>
      <c r="D736" s="0" t="n">
        <v>779.578866526505</v>
      </c>
      <c r="E736" s="0" t="n">
        <v>10</v>
      </c>
      <c r="F736" s="0" t="n">
        <v>10</v>
      </c>
      <c r="G736" s="0" t="n">
        <v>0.5</v>
      </c>
      <c r="H736" s="0" t="n">
        <v>1</v>
      </c>
      <c r="I736" s="0" t="n">
        <v>0</v>
      </c>
      <c r="J736" s="0" t="n">
        <v>787.03647428393</v>
      </c>
      <c r="K736" s="0" t="n">
        <v>0</v>
      </c>
      <c r="L736" s="0" t="n">
        <v>2.14061640177023</v>
      </c>
      <c r="M736" s="0" t="n">
        <v>788.581619688105</v>
      </c>
      <c r="N736" s="0" t="n">
        <v>9.00275316160014</v>
      </c>
      <c r="O736" s="0" t="n">
        <v>719</v>
      </c>
      <c r="P736" s="0" t="n">
        <v>361</v>
      </c>
      <c r="Q736" s="0" t="n">
        <v>358</v>
      </c>
      <c r="R736" s="0" t="n">
        <v>715.479740985904</v>
      </c>
      <c r="S736" s="0" t="n">
        <v>904.743779244617</v>
      </c>
      <c r="T736" s="0" t="n">
        <v>22</v>
      </c>
      <c r="U736" s="0" t="n">
        <v>26</v>
      </c>
      <c r="V736" s="0" t="n">
        <v>32.5217916258176</v>
      </c>
      <c r="W736" s="0" t="n">
        <v>34.7977038259321</v>
      </c>
      <c r="X736" s="0" t="n">
        <v>0</v>
      </c>
      <c r="Y736" s="0" t="n">
        <v>0</v>
      </c>
      <c r="Z736" s="0" t="n">
        <v>9.00275316160014</v>
      </c>
      <c r="AA736" s="0" t="n">
        <v>0</v>
      </c>
      <c r="AB736" s="0" t="n">
        <v>0</v>
      </c>
      <c r="AC736" s="0" t="n">
        <v>0</v>
      </c>
      <c r="AD736" s="0" t="n">
        <v>1</v>
      </c>
      <c r="AE736" s="0" t="n">
        <v>0</v>
      </c>
      <c r="AF736" s="0" t="n">
        <v>0</v>
      </c>
      <c r="AG736" s="0" t="n">
        <v>0</v>
      </c>
      <c r="AH736" s="0" t="n">
        <v>1.52979763325164</v>
      </c>
      <c r="AI736" s="0" t="n">
        <v>0</v>
      </c>
      <c r="AK736" s="0" t="n">
        <f aca="false">A736</f>
        <v>719</v>
      </c>
      <c r="AL736" s="0" t="n">
        <v>0</v>
      </c>
      <c r="AM736" s="0" t="n">
        <v>2</v>
      </c>
      <c r="AO736" s="0" t="n">
        <v>719</v>
      </c>
      <c r="AP736" s="0" t="n">
        <v>0</v>
      </c>
      <c r="AQ736" s="0" t="n">
        <v>1.04858116044571</v>
      </c>
      <c r="AR736" s="0" t="n">
        <v>636.226806259772</v>
      </c>
      <c r="AS736" s="0" t="n">
        <v>92</v>
      </c>
      <c r="AT736" s="0" t="n">
        <v>88</v>
      </c>
    </row>
    <row r="737" customFormat="false" ht="12" hidden="false" customHeight="false" outlineLevel="0" collapsed="false">
      <c r="A737" s="0" t="n">
        <v>720</v>
      </c>
      <c r="B737" s="0" t="n">
        <v>1</v>
      </c>
      <c r="C737" s="0" t="n">
        <v>0.992987824888084</v>
      </c>
      <c r="D737" s="0" t="n">
        <v>780.571854351393</v>
      </c>
      <c r="E737" s="0" t="n">
        <v>10</v>
      </c>
      <c r="F737" s="0" t="n">
        <v>10</v>
      </c>
      <c r="G737" s="0" t="n">
        <v>0.5</v>
      </c>
      <c r="H737" s="0" t="n">
        <v>0</v>
      </c>
      <c r="I737" s="0" t="n">
        <v>1.79253695921432</v>
      </c>
      <c r="J737" s="0" t="n">
        <v>788.829011243145</v>
      </c>
      <c r="K737" s="0" t="n">
        <v>8.25715689175149</v>
      </c>
      <c r="L737" s="0" t="n">
        <v>0</v>
      </c>
      <c r="M737" s="0" t="n">
        <v>788.581619688105</v>
      </c>
      <c r="N737" s="0" t="n">
        <v>0</v>
      </c>
      <c r="O737" s="0" t="n">
        <v>720</v>
      </c>
      <c r="P737" s="0" t="n">
        <v>362</v>
      </c>
      <c r="Q737" s="0" t="n">
        <v>358</v>
      </c>
      <c r="R737" s="0" t="n">
        <v>1205.44684176869</v>
      </c>
      <c r="S737" s="0" t="n">
        <v>412.070945039623</v>
      </c>
      <c r="T737" s="0" t="n">
        <v>32</v>
      </c>
      <c r="U737" s="0" t="n">
        <v>16</v>
      </c>
      <c r="V737" s="0" t="n">
        <v>37.6702020333334</v>
      </c>
      <c r="W737" s="0" t="n">
        <v>25.7542731007695</v>
      </c>
      <c r="X737" s="0" t="n">
        <v>8.25715689175149</v>
      </c>
      <c r="Y737" s="0" t="n">
        <v>0</v>
      </c>
      <c r="Z737" s="0" t="n">
        <v>0</v>
      </c>
      <c r="AA737" s="0" t="n">
        <v>0</v>
      </c>
      <c r="AB737" s="0" t="n">
        <v>1</v>
      </c>
      <c r="AC737" s="0" t="n">
        <v>0</v>
      </c>
      <c r="AD737" s="0" t="n">
        <v>0</v>
      </c>
      <c r="AE737" s="0" t="n">
        <v>0</v>
      </c>
      <c r="AF737" s="0" t="n">
        <v>0.688230770240891</v>
      </c>
      <c r="AG737" s="0" t="n">
        <v>0</v>
      </c>
      <c r="AH737" s="0" t="n">
        <v>0</v>
      </c>
      <c r="AI737" s="0" t="n">
        <v>0</v>
      </c>
      <c r="AK737" s="0" t="n">
        <f aca="false">A737</f>
        <v>720</v>
      </c>
      <c r="AL737" s="0" t="n">
        <v>0</v>
      </c>
      <c r="AM737" s="0" t="n">
        <v>1</v>
      </c>
      <c r="AO737" s="0" t="n">
        <v>720</v>
      </c>
      <c r="AP737" s="0" t="n">
        <v>0</v>
      </c>
      <c r="AQ737" s="0" t="n">
        <v>0.378158445141075</v>
      </c>
      <c r="AR737" s="0" t="n">
        <v>636.604964704913</v>
      </c>
      <c r="AS737" s="0" t="n">
        <v>92</v>
      </c>
      <c r="AT737" s="0" t="n">
        <v>90</v>
      </c>
    </row>
    <row r="738" customFormat="false" ht="12" hidden="false" customHeight="false" outlineLevel="0" collapsed="false">
      <c r="A738" s="0" t="n">
        <v>721</v>
      </c>
      <c r="B738" s="0" t="n">
        <v>1</v>
      </c>
      <c r="C738" s="0" t="n">
        <v>1.48151731873956</v>
      </c>
      <c r="D738" s="0" t="n">
        <v>782.053371670133</v>
      </c>
      <c r="E738" s="0" t="n">
        <v>10</v>
      </c>
      <c r="F738" s="0" t="n">
        <v>10</v>
      </c>
      <c r="G738" s="0" t="n">
        <v>0.5</v>
      </c>
      <c r="H738" s="0" t="n">
        <v>0</v>
      </c>
      <c r="I738" s="0" t="n">
        <v>1.89268800704584</v>
      </c>
      <c r="J738" s="0" t="n">
        <v>790.721699250191</v>
      </c>
      <c r="K738" s="0" t="n">
        <v>8.66832758005785</v>
      </c>
      <c r="L738" s="0" t="n">
        <v>0</v>
      </c>
      <c r="M738" s="0" t="n">
        <v>788.581619688105</v>
      </c>
      <c r="N738" s="0" t="n">
        <v>0</v>
      </c>
      <c r="O738" s="0" t="n">
        <v>721</v>
      </c>
      <c r="P738" s="0" t="n">
        <v>363</v>
      </c>
      <c r="Q738" s="0" t="n">
        <v>358</v>
      </c>
      <c r="R738" s="0" t="n">
        <v>571.656413978703</v>
      </c>
      <c r="S738" s="0" t="n">
        <v>1041.07893487253</v>
      </c>
      <c r="T738" s="0" t="n">
        <v>21</v>
      </c>
      <c r="U738" s="0" t="n">
        <v>27</v>
      </c>
      <c r="V738" s="0" t="n">
        <v>27.2217210362615</v>
      </c>
      <c r="W738" s="0" t="n">
        <v>38.5583362607002</v>
      </c>
      <c r="X738" s="0" t="n">
        <v>8.66832758005785</v>
      </c>
      <c r="Y738" s="0" t="n">
        <v>0</v>
      </c>
      <c r="Z738" s="0" t="n">
        <v>0</v>
      </c>
      <c r="AA738" s="0" t="n">
        <v>0</v>
      </c>
      <c r="AB738" s="0" t="n">
        <v>1</v>
      </c>
      <c r="AC738" s="0" t="n">
        <v>0</v>
      </c>
      <c r="AD738" s="0" t="n">
        <v>0</v>
      </c>
      <c r="AE738" s="0" t="n">
        <v>0</v>
      </c>
      <c r="AF738" s="0" t="n">
        <v>1.53950383989531</v>
      </c>
      <c r="AG738" s="0" t="n">
        <v>0</v>
      </c>
      <c r="AH738" s="0" t="n">
        <v>0</v>
      </c>
      <c r="AI738" s="0" t="n">
        <v>0</v>
      </c>
      <c r="AK738" s="0" t="n">
        <f aca="false">A738</f>
        <v>721</v>
      </c>
      <c r="AL738" s="0" t="n">
        <v>0</v>
      </c>
      <c r="AM738" s="0" t="n">
        <v>1</v>
      </c>
      <c r="AO738" s="0" t="n">
        <v>721</v>
      </c>
      <c r="AP738" s="0" t="n">
        <v>0</v>
      </c>
      <c r="AQ738" s="0" t="n">
        <v>0.641580665560731</v>
      </c>
      <c r="AR738" s="0" t="n">
        <v>637.246545370474</v>
      </c>
      <c r="AS738" s="0" t="n">
        <v>90</v>
      </c>
      <c r="AT738" s="0" t="n">
        <v>92</v>
      </c>
    </row>
    <row r="739" customFormat="false" ht="12" hidden="false" customHeight="false" outlineLevel="0" collapsed="false">
      <c r="A739" s="0" t="n">
        <v>722</v>
      </c>
      <c r="B739" s="0" t="n">
        <v>0</v>
      </c>
      <c r="C739" s="0" t="n">
        <v>0.00547253150117595</v>
      </c>
      <c r="D739" s="0" t="n">
        <v>782.058844201634</v>
      </c>
      <c r="E739" s="0" t="n">
        <v>12</v>
      </c>
      <c r="F739" s="0" t="n">
        <v>10</v>
      </c>
      <c r="G739" s="0" t="n">
        <v>0.5</v>
      </c>
      <c r="H739" s="0" t="n">
        <v>0</v>
      </c>
      <c r="I739" s="0" t="n">
        <v>2.1807456553109</v>
      </c>
      <c r="J739" s="0" t="n">
        <v>792.902444905501</v>
      </c>
      <c r="K739" s="0" t="n">
        <v>10.8436007038677</v>
      </c>
      <c r="L739" s="0" t="n">
        <v>0</v>
      </c>
      <c r="M739" s="0" t="n">
        <v>788.581619688105</v>
      </c>
      <c r="N739" s="0" t="n">
        <v>0</v>
      </c>
      <c r="O739" s="0" t="n">
        <v>722</v>
      </c>
      <c r="P739" s="0" t="n">
        <v>364</v>
      </c>
      <c r="Q739" s="0" t="n">
        <v>358</v>
      </c>
      <c r="R739" s="0" t="n">
        <v>660.237943801462</v>
      </c>
      <c r="S739" s="0" t="n">
        <v>968.61746764431</v>
      </c>
      <c r="T739" s="0" t="n">
        <v>22</v>
      </c>
      <c r="U739" s="0" t="n">
        <v>26</v>
      </c>
      <c r="V739" s="0" t="n">
        <v>30.0108019860655</v>
      </c>
      <c r="W739" s="0" t="n">
        <v>37.2543747002631</v>
      </c>
      <c r="X739" s="0" t="n">
        <v>0</v>
      </c>
      <c r="Y739" s="0" t="n">
        <v>10.8436007038677</v>
      </c>
      <c r="Z739" s="0" t="n">
        <v>0</v>
      </c>
      <c r="AA739" s="0" t="n">
        <v>0</v>
      </c>
      <c r="AB739" s="0" t="n">
        <v>0</v>
      </c>
      <c r="AC739" s="0" t="n">
        <v>1</v>
      </c>
      <c r="AD739" s="0" t="n">
        <v>0</v>
      </c>
      <c r="AE739" s="0" t="n">
        <v>0</v>
      </c>
      <c r="AF739" s="0" t="n">
        <v>0</v>
      </c>
      <c r="AG739" s="0" t="n">
        <v>6.68193373503339</v>
      </c>
      <c r="AH739" s="0" t="n">
        <v>0</v>
      </c>
      <c r="AI739" s="0" t="n">
        <v>0</v>
      </c>
      <c r="AK739" s="0" t="n">
        <f aca="false">A739</f>
        <v>722</v>
      </c>
      <c r="AL739" s="0" t="n">
        <v>1</v>
      </c>
      <c r="AM739" s="0" t="n">
        <v>0</v>
      </c>
      <c r="AO739" s="0" t="n">
        <v>722</v>
      </c>
      <c r="AP739" s="0" t="n">
        <v>1</v>
      </c>
      <c r="AQ739" s="0" t="n">
        <v>0.0243438092749714</v>
      </c>
      <c r="AR739" s="0" t="n">
        <v>637.270889179749</v>
      </c>
      <c r="AS739" s="0" t="n">
        <v>92</v>
      </c>
      <c r="AT739" s="0" t="n">
        <v>92</v>
      </c>
    </row>
    <row r="740" customFormat="false" ht="12" hidden="false" customHeight="false" outlineLevel="0" collapsed="false">
      <c r="A740" s="0" t="n">
        <v>723</v>
      </c>
      <c r="B740" s="0" t="n">
        <v>0</v>
      </c>
      <c r="C740" s="0" t="n">
        <v>0.0902977230746894</v>
      </c>
      <c r="D740" s="0" t="n">
        <v>782.149141924709</v>
      </c>
      <c r="E740" s="0" t="n">
        <v>14</v>
      </c>
      <c r="F740" s="0" t="n">
        <v>10</v>
      </c>
      <c r="G740" s="0" t="n">
        <v>0.5</v>
      </c>
      <c r="H740" s="0" t="n">
        <v>0</v>
      </c>
      <c r="I740" s="0" t="n">
        <v>1.84379174143447</v>
      </c>
      <c r="J740" s="0" t="n">
        <v>794.746236646936</v>
      </c>
      <c r="K740" s="0" t="n">
        <v>12.5970947222273</v>
      </c>
      <c r="L740" s="0" t="n">
        <v>0</v>
      </c>
      <c r="M740" s="0" t="n">
        <v>788.581619688105</v>
      </c>
      <c r="N740" s="0" t="n">
        <v>0</v>
      </c>
      <c r="O740" s="0" t="n">
        <v>723</v>
      </c>
      <c r="P740" s="0" t="n">
        <v>365</v>
      </c>
      <c r="Q740" s="0" t="n">
        <v>358</v>
      </c>
      <c r="R740" s="0" t="n">
        <v>882.547898479807</v>
      </c>
      <c r="S740" s="0" t="n">
        <v>730.594810506544</v>
      </c>
      <c r="T740" s="0" t="n">
        <v>26</v>
      </c>
      <c r="U740" s="0" t="n">
        <v>22</v>
      </c>
      <c r="V740" s="0" t="n">
        <v>33.9441368860938</v>
      </c>
      <c r="W740" s="0" t="n">
        <v>33.2087040743698</v>
      </c>
      <c r="X740" s="0" t="n">
        <v>0</v>
      </c>
      <c r="Y740" s="0" t="n">
        <v>12.5970947222273</v>
      </c>
      <c r="Z740" s="0" t="n">
        <v>0</v>
      </c>
      <c r="AA740" s="0" t="n">
        <v>0</v>
      </c>
      <c r="AB740" s="0" t="n">
        <v>0</v>
      </c>
      <c r="AC740" s="0" t="n">
        <v>1</v>
      </c>
      <c r="AD740" s="0" t="n">
        <v>0</v>
      </c>
      <c r="AE740" s="0" t="n">
        <v>0</v>
      </c>
      <c r="AF740" s="0" t="n">
        <v>0</v>
      </c>
      <c r="AG740" s="0" t="n">
        <v>18.8220415052224</v>
      </c>
      <c r="AH740" s="0" t="n">
        <v>0</v>
      </c>
      <c r="AI740" s="0" t="n">
        <v>0</v>
      </c>
      <c r="AK740" s="0" t="n">
        <f aca="false">A740</f>
        <v>723</v>
      </c>
      <c r="AL740" s="0" t="n">
        <v>2</v>
      </c>
      <c r="AM740" s="0" t="n">
        <v>1</v>
      </c>
      <c r="AO740" s="0" t="n">
        <v>723</v>
      </c>
      <c r="AP740" s="0" t="n">
        <v>1</v>
      </c>
      <c r="AQ740" s="0" t="n">
        <v>0.396921270077778</v>
      </c>
      <c r="AR740" s="0" t="n">
        <v>637.667810449827</v>
      </c>
      <c r="AS740" s="0" t="n">
        <v>92</v>
      </c>
      <c r="AT740" s="0" t="n">
        <v>94</v>
      </c>
    </row>
    <row r="741" customFormat="false" ht="12" hidden="false" customHeight="false" outlineLevel="0" collapsed="false">
      <c r="A741" s="0" t="n">
        <v>724</v>
      </c>
      <c r="B741" s="0" t="n">
        <v>0</v>
      </c>
      <c r="C741" s="0" t="n">
        <v>1.17613185252331</v>
      </c>
      <c r="D741" s="0" t="n">
        <v>783.325273777232</v>
      </c>
      <c r="E741" s="0" t="n">
        <v>14</v>
      </c>
      <c r="F741" s="0" t="n">
        <v>8</v>
      </c>
      <c r="G741" s="0" t="n">
        <v>0.5</v>
      </c>
      <c r="H741" s="0" t="n">
        <v>1</v>
      </c>
      <c r="I741" s="0" t="n">
        <v>0</v>
      </c>
      <c r="J741" s="0" t="n">
        <v>794.746236646936</v>
      </c>
      <c r="K741" s="0" t="n">
        <v>0</v>
      </c>
      <c r="L741" s="0" t="n">
        <v>2.13755898045866</v>
      </c>
      <c r="M741" s="0" t="n">
        <v>790.719178668564</v>
      </c>
      <c r="N741" s="0" t="n">
        <v>7.39390489133189</v>
      </c>
      <c r="O741" s="0" t="n">
        <v>724</v>
      </c>
      <c r="P741" s="0" t="n">
        <v>365</v>
      </c>
      <c r="Q741" s="0" t="n">
        <v>359</v>
      </c>
      <c r="R741" s="0" t="n">
        <v>703.649862372479</v>
      </c>
      <c r="S741" s="0" t="n">
        <v>917.09989569589</v>
      </c>
      <c r="T741" s="0" t="n">
        <v>19</v>
      </c>
      <c r="U741" s="0" t="n">
        <v>29</v>
      </c>
      <c r="V741" s="0" t="n">
        <v>37.0341837910864</v>
      </c>
      <c r="W741" s="0" t="n">
        <v>31.624025285978</v>
      </c>
      <c r="X741" s="0" t="n">
        <v>0</v>
      </c>
      <c r="Y741" s="0" t="n">
        <v>0</v>
      </c>
      <c r="Z741" s="0" t="n">
        <v>0</v>
      </c>
      <c r="AA741" s="0" t="n">
        <v>7.39390489133189</v>
      </c>
      <c r="AB741" s="0" t="n">
        <v>0</v>
      </c>
      <c r="AC741" s="0" t="n">
        <v>0</v>
      </c>
      <c r="AD741" s="0" t="n">
        <v>0</v>
      </c>
      <c r="AE741" s="0" t="n">
        <v>1</v>
      </c>
      <c r="AF741" s="0" t="n">
        <v>0</v>
      </c>
      <c r="AG741" s="0" t="n">
        <v>0</v>
      </c>
      <c r="AH741" s="0" t="n">
        <v>0</v>
      </c>
      <c r="AI741" s="0" t="n">
        <v>0.113903462752481</v>
      </c>
      <c r="AK741" s="0" t="n">
        <f aca="false">A741</f>
        <v>724</v>
      </c>
      <c r="AL741" s="0" t="n">
        <v>3</v>
      </c>
      <c r="AM741" s="0" t="n">
        <v>1</v>
      </c>
      <c r="AO741" s="0" t="n">
        <v>724</v>
      </c>
      <c r="AP741" s="0" t="n">
        <v>1</v>
      </c>
      <c r="AQ741" s="0" t="n">
        <v>0.818574892651558</v>
      </c>
      <c r="AR741" s="0" t="n">
        <v>638.486385342478</v>
      </c>
      <c r="AS741" s="0" t="n">
        <v>94</v>
      </c>
      <c r="AT741" s="0" t="n">
        <v>92</v>
      </c>
    </row>
    <row r="742" customFormat="false" ht="12" hidden="false" customHeight="false" outlineLevel="0" collapsed="false">
      <c r="A742" s="0" t="n">
        <v>725</v>
      </c>
      <c r="B742" s="0" t="n">
        <v>1</v>
      </c>
      <c r="C742" s="0" t="n">
        <v>1.05975882731395</v>
      </c>
      <c r="D742" s="0" t="n">
        <v>784.385032604546</v>
      </c>
      <c r="E742" s="0" t="n">
        <v>14</v>
      </c>
      <c r="F742" s="0" t="n">
        <v>10</v>
      </c>
      <c r="G742" s="0" t="n">
        <v>0.5</v>
      </c>
      <c r="H742" s="0" t="n">
        <v>1</v>
      </c>
      <c r="I742" s="0" t="n">
        <v>0</v>
      </c>
      <c r="J742" s="0" t="n">
        <v>794.746236646936</v>
      </c>
      <c r="K742" s="0" t="n">
        <v>0</v>
      </c>
      <c r="L742" s="0" t="n">
        <v>1.99338023022537</v>
      </c>
      <c r="M742" s="0" t="n">
        <v>792.712558898789</v>
      </c>
      <c r="N742" s="0" t="n">
        <v>8.32752629424329</v>
      </c>
      <c r="O742" s="0" t="n">
        <v>725</v>
      </c>
      <c r="P742" s="0" t="n">
        <v>365</v>
      </c>
      <c r="Q742" s="0" t="n">
        <v>360</v>
      </c>
      <c r="R742" s="0" t="n">
        <v>912.844489768044</v>
      </c>
      <c r="S742" s="0" t="n">
        <v>701.40706876488</v>
      </c>
      <c r="T742" s="0" t="n">
        <v>24</v>
      </c>
      <c r="U742" s="0" t="n">
        <v>24</v>
      </c>
      <c r="V742" s="0" t="n">
        <v>38.0351712256805</v>
      </c>
      <c r="W742" s="0" t="n">
        <v>29.2251727603168</v>
      </c>
      <c r="X742" s="0" t="n">
        <v>0</v>
      </c>
      <c r="Y742" s="0" t="n">
        <v>0</v>
      </c>
      <c r="Z742" s="0" t="n">
        <v>8.32752629424329</v>
      </c>
      <c r="AA742" s="0" t="n">
        <v>0</v>
      </c>
      <c r="AB742" s="0" t="n">
        <v>0</v>
      </c>
      <c r="AC742" s="0" t="n">
        <v>0</v>
      </c>
      <c r="AD742" s="0" t="n">
        <v>1</v>
      </c>
      <c r="AE742" s="0" t="n">
        <v>0</v>
      </c>
      <c r="AF742" s="0" t="n">
        <v>0</v>
      </c>
      <c r="AG742" s="0" t="n">
        <v>0</v>
      </c>
      <c r="AH742" s="0" t="n">
        <v>0.315420411779349</v>
      </c>
      <c r="AI742" s="0" t="n">
        <v>0</v>
      </c>
      <c r="AK742" s="0" t="n">
        <f aca="false">A742</f>
        <v>725</v>
      </c>
      <c r="AL742" s="0" t="n">
        <v>2</v>
      </c>
      <c r="AM742" s="0" t="n">
        <v>1</v>
      </c>
      <c r="AO742" s="0" t="n">
        <v>725</v>
      </c>
      <c r="AP742" s="0" t="n">
        <v>1</v>
      </c>
      <c r="AQ742" s="0" t="n">
        <v>1.12847954558447</v>
      </c>
      <c r="AR742" s="0" t="n">
        <v>639.614864888063</v>
      </c>
      <c r="AS742" s="0" t="n">
        <v>92</v>
      </c>
      <c r="AT742" s="0" t="n">
        <v>94</v>
      </c>
    </row>
    <row r="743" customFormat="false" ht="12" hidden="false" customHeight="false" outlineLevel="0" collapsed="false">
      <c r="A743" s="0" t="n">
        <v>726</v>
      </c>
      <c r="B743" s="0" t="n">
        <v>0</v>
      </c>
      <c r="C743" s="0" t="n">
        <v>11.0333551911401</v>
      </c>
      <c r="D743" s="0" t="n">
        <v>795.418387795686</v>
      </c>
      <c r="E743" s="0" t="n">
        <v>2</v>
      </c>
      <c r="F743" s="0" t="n">
        <v>2</v>
      </c>
      <c r="G743" s="0" t="n">
        <v>0.5</v>
      </c>
      <c r="H743" s="0" t="n">
        <v>0</v>
      </c>
      <c r="I743" s="0" t="n">
        <v>2.16601445173825</v>
      </c>
      <c r="J743" s="0" t="n">
        <v>797.584402247424</v>
      </c>
      <c r="K743" s="0" t="n">
        <v>2.16601445173831</v>
      </c>
      <c r="L743" s="0" t="n">
        <v>0</v>
      </c>
      <c r="M743" s="0" t="n">
        <v>795.418387795686</v>
      </c>
      <c r="N743" s="0" t="n">
        <v>0</v>
      </c>
      <c r="O743" s="0" t="n">
        <v>726</v>
      </c>
      <c r="P743" s="0" t="n">
        <v>366</v>
      </c>
      <c r="Q743" s="0" t="n">
        <v>360</v>
      </c>
      <c r="R743" s="0" t="n">
        <v>593.824334734689</v>
      </c>
      <c r="S743" s="0" t="n">
        <v>1033.80249770289</v>
      </c>
      <c r="T743" s="0" t="n">
        <v>17</v>
      </c>
      <c r="U743" s="0" t="n">
        <v>31</v>
      </c>
      <c r="V743" s="0" t="n">
        <v>34.9308226721448</v>
      </c>
      <c r="W743" s="0" t="n">
        <v>33.34836009248</v>
      </c>
      <c r="X743" s="0" t="n">
        <v>0</v>
      </c>
      <c r="Y743" s="0" t="n">
        <v>2.16601445173831</v>
      </c>
      <c r="Z743" s="0" t="n">
        <v>0</v>
      </c>
      <c r="AA743" s="0" t="n">
        <v>0</v>
      </c>
      <c r="AB743" s="0" t="n">
        <v>0</v>
      </c>
      <c r="AC743" s="0" t="n">
        <v>1</v>
      </c>
      <c r="AD743" s="0" t="n">
        <v>0</v>
      </c>
      <c r="AE743" s="0" t="n">
        <v>0</v>
      </c>
      <c r="AF743" s="0" t="n">
        <v>0</v>
      </c>
      <c r="AG743" s="0" t="n">
        <v>37.1202937326621</v>
      </c>
      <c r="AH743" s="0" t="n">
        <v>0</v>
      </c>
      <c r="AI743" s="0" t="n">
        <v>0</v>
      </c>
      <c r="AK743" s="0" t="n">
        <f aca="false">A743</f>
        <v>726</v>
      </c>
      <c r="AL743" s="0" t="n">
        <v>0</v>
      </c>
      <c r="AM743" s="0" t="n">
        <v>0</v>
      </c>
      <c r="AO743" s="0" t="n">
        <v>726</v>
      </c>
      <c r="AP743" s="0" t="n">
        <v>0</v>
      </c>
      <c r="AQ743" s="0" t="n">
        <v>0.273786474923031</v>
      </c>
      <c r="AR743" s="0" t="n">
        <v>639.888651362986</v>
      </c>
      <c r="AS743" s="0" t="n">
        <v>94</v>
      </c>
      <c r="AT743" s="0" t="n">
        <v>94</v>
      </c>
    </row>
    <row r="744" customFormat="false" ht="12" hidden="false" customHeight="false" outlineLevel="0" collapsed="false">
      <c r="A744" s="0" t="n">
        <v>727</v>
      </c>
      <c r="B744" s="0" t="n">
        <v>0</v>
      </c>
      <c r="C744" s="0" t="n">
        <v>0.233706839236634</v>
      </c>
      <c r="D744" s="0" t="n">
        <v>795.652094634923</v>
      </c>
      <c r="E744" s="0" t="n">
        <v>4</v>
      </c>
      <c r="F744" s="0" t="n">
        <v>2</v>
      </c>
      <c r="G744" s="0" t="n">
        <v>0.5</v>
      </c>
      <c r="H744" s="0" t="n">
        <v>0</v>
      </c>
      <c r="I744" s="0" t="n">
        <v>1.76309161425822</v>
      </c>
      <c r="J744" s="0" t="n">
        <v>799.347493861682</v>
      </c>
      <c r="K744" s="0" t="n">
        <v>3.69539922675983</v>
      </c>
      <c r="L744" s="0" t="n">
        <v>0</v>
      </c>
      <c r="M744" s="0" t="n">
        <v>795.652094634923</v>
      </c>
      <c r="N744" s="0" t="n">
        <v>0</v>
      </c>
      <c r="O744" s="0" t="n">
        <v>727</v>
      </c>
      <c r="P744" s="0" t="n">
        <v>367</v>
      </c>
      <c r="Q744" s="0" t="n">
        <v>360</v>
      </c>
      <c r="R744" s="0" t="n">
        <v>1124.29303517762</v>
      </c>
      <c r="S744" s="0" t="n">
        <v>488.991095465803</v>
      </c>
      <c r="T744" s="0" t="n">
        <v>33</v>
      </c>
      <c r="U744" s="0" t="n">
        <v>15</v>
      </c>
      <c r="V744" s="0" t="n">
        <v>34.0694755903899</v>
      </c>
      <c r="W744" s="0" t="n">
        <v>32.59918903646</v>
      </c>
      <c r="X744" s="0" t="n">
        <v>0</v>
      </c>
      <c r="Y744" s="0" t="n">
        <v>3.69539922675983</v>
      </c>
      <c r="Z744" s="0" t="n">
        <v>0</v>
      </c>
      <c r="AA744" s="0" t="n">
        <v>0</v>
      </c>
      <c r="AB744" s="0" t="n">
        <v>0</v>
      </c>
      <c r="AC744" s="0" t="n">
        <v>1</v>
      </c>
      <c r="AD744" s="0" t="n">
        <v>0</v>
      </c>
      <c r="AE744" s="0" t="n">
        <v>0</v>
      </c>
      <c r="AF744" s="0" t="n">
        <v>0</v>
      </c>
      <c r="AG744" s="0" t="n">
        <v>20.823321888344</v>
      </c>
      <c r="AH744" s="0" t="n">
        <v>0</v>
      </c>
      <c r="AI744" s="0" t="n">
        <v>0</v>
      </c>
      <c r="AK744" s="0" t="n">
        <f aca="false">A744</f>
        <v>727</v>
      </c>
      <c r="AL744" s="0" t="n">
        <v>1</v>
      </c>
      <c r="AM744" s="0" t="n">
        <v>1</v>
      </c>
      <c r="AO744" s="0" t="n">
        <v>727</v>
      </c>
      <c r="AP744" s="0" t="n">
        <v>0</v>
      </c>
      <c r="AQ744" s="0" t="n">
        <v>4.85673885366617</v>
      </c>
      <c r="AR744" s="0" t="n">
        <v>644.745390216652</v>
      </c>
      <c r="AS744" s="0" t="n">
        <v>90</v>
      </c>
      <c r="AT744" s="0" t="n">
        <v>88</v>
      </c>
    </row>
    <row r="745" customFormat="false" ht="12" hidden="false" customHeight="false" outlineLevel="0" collapsed="false">
      <c r="A745" s="0" t="n">
        <v>728</v>
      </c>
      <c r="B745" s="0" t="n">
        <v>0</v>
      </c>
      <c r="C745" s="0" t="n">
        <v>4.94160824283118</v>
      </c>
      <c r="D745" s="0" t="n">
        <v>800.593702877754</v>
      </c>
      <c r="E745" s="0" t="n">
        <v>2</v>
      </c>
      <c r="F745" s="0" t="n">
        <v>2</v>
      </c>
      <c r="G745" s="0" t="n">
        <v>0.5</v>
      </c>
      <c r="H745" s="0" t="n">
        <v>1</v>
      </c>
      <c r="I745" s="0" t="n">
        <v>0</v>
      </c>
      <c r="J745" s="0" t="n">
        <v>800.593702877754</v>
      </c>
      <c r="K745" s="0" t="n">
        <v>0</v>
      </c>
      <c r="L745" s="0" t="n">
        <v>2.06076303883377</v>
      </c>
      <c r="M745" s="0" t="n">
        <v>802.654465916588</v>
      </c>
      <c r="N745" s="0" t="n">
        <v>2.06076303883378</v>
      </c>
      <c r="O745" s="0" t="n">
        <v>728</v>
      </c>
      <c r="P745" s="0" t="n">
        <v>367</v>
      </c>
      <c r="Q745" s="0" t="n">
        <v>361</v>
      </c>
      <c r="R745" s="0" t="n">
        <v>801.103123880916</v>
      </c>
      <c r="S745" s="0" t="n">
        <v>811.755051862651</v>
      </c>
      <c r="T745" s="0" t="n">
        <v>25</v>
      </c>
      <c r="U745" s="0" t="n">
        <v>23</v>
      </c>
      <c r="V745" s="0" t="n">
        <v>32.0441121375918</v>
      </c>
      <c r="W745" s="0" t="n">
        <v>35.2935444568785</v>
      </c>
      <c r="X745" s="0" t="n">
        <v>0</v>
      </c>
      <c r="Y745" s="0" t="n">
        <v>0</v>
      </c>
      <c r="Z745" s="0" t="n">
        <v>0</v>
      </c>
      <c r="AA745" s="0" t="n">
        <v>2.06076303883378</v>
      </c>
      <c r="AB745" s="0" t="n">
        <v>0</v>
      </c>
      <c r="AC745" s="0" t="n">
        <v>0</v>
      </c>
      <c r="AD745" s="0" t="n">
        <v>0</v>
      </c>
      <c r="AE745" s="0" t="n">
        <v>1</v>
      </c>
      <c r="AF745" s="0" t="n">
        <v>0</v>
      </c>
      <c r="AG745" s="0" t="n">
        <v>0</v>
      </c>
      <c r="AH745" s="0" t="n">
        <v>0</v>
      </c>
      <c r="AI745" s="0" t="n">
        <v>32.1561321879746</v>
      </c>
      <c r="AK745" s="0" t="n">
        <f aca="false">A745</f>
        <v>728</v>
      </c>
      <c r="AL745" s="0" t="n">
        <v>0</v>
      </c>
      <c r="AM745" s="0" t="n">
        <v>2</v>
      </c>
      <c r="AO745" s="0" t="n">
        <v>728</v>
      </c>
      <c r="AP745" s="0" t="n">
        <v>0</v>
      </c>
      <c r="AQ745" s="0" t="n">
        <v>1.39479213882841</v>
      </c>
      <c r="AR745" s="0" t="n">
        <v>646.14018235548</v>
      </c>
      <c r="AS745" s="0" t="n">
        <v>92</v>
      </c>
      <c r="AT745" s="0" t="n">
        <v>88</v>
      </c>
    </row>
    <row r="746" customFormat="false" ht="12" hidden="false" customHeight="false" outlineLevel="0" collapsed="false">
      <c r="A746" s="0" t="n">
        <v>729</v>
      </c>
      <c r="B746" s="0" t="n">
        <v>1</v>
      </c>
      <c r="C746" s="0" t="n">
        <v>1.2929764296461</v>
      </c>
      <c r="D746" s="0" t="n">
        <v>801.8866793074</v>
      </c>
      <c r="E746" s="0" t="n">
        <v>2</v>
      </c>
      <c r="F746" s="0" t="n">
        <v>4</v>
      </c>
      <c r="G746" s="0" t="n">
        <v>0.5</v>
      </c>
      <c r="H746" s="0" t="n">
        <v>0</v>
      </c>
      <c r="I746" s="0" t="n">
        <v>2.15301955976481</v>
      </c>
      <c r="J746" s="0" t="n">
        <v>804.039698867165</v>
      </c>
      <c r="K746" s="0" t="n">
        <v>2.15301955976486</v>
      </c>
      <c r="L746" s="0" t="n">
        <v>0</v>
      </c>
      <c r="M746" s="0" t="n">
        <v>802.654465916588</v>
      </c>
      <c r="N746" s="0" t="n">
        <v>0</v>
      </c>
      <c r="O746" s="0" t="n">
        <v>729</v>
      </c>
      <c r="P746" s="0" t="n">
        <v>368</v>
      </c>
      <c r="Q746" s="0" t="n">
        <v>361</v>
      </c>
      <c r="R746" s="0" t="n">
        <v>780.554546850773</v>
      </c>
      <c r="S746" s="0" t="n">
        <v>845.185812534234</v>
      </c>
      <c r="T746" s="0" t="n">
        <v>20</v>
      </c>
      <c r="U746" s="0" t="n">
        <v>28</v>
      </c>
      <c r="V746" s="0" t="n">
        <v>39.0277078286848</v>
      </c>
      <c r="W746" s="0" t="n">
        <v>30.1850997865805</v>
      </c>
      <c r="X746" s="0" t="n">
        <v>2.15301955976486</v>
      </c>
      <c r="Y746" s="0" t="n">
        <v>0</v>
      </c>
      <c r="Z746" s="0" t="n">
        <v>0</v>
      </c>
      <c r="AA746" s="0" t="n">
        <v>0</v>
      </c>
      <c r="AB746" s="0" t="n">
        <v>1</v>
      </c>
      <c r="AC746" s="0" t="n">
        <v>0</v>
      </c>
      <c r="AD746" s="0" t="n">
        <v>0</v>
      </c>
      <c r="AE746" s="0" t="n">
        <v>0</v>
      </c>
      <c r="AF746" s="0" t="n">
        <v>27.8207783343004</v>
      </c>
      <c r="AG746" s="0" t="n">
        <v>0</v>
      </c>
      <c r="AH746" s="0" t="n">
        <v>0</v>
      </c>
      <c r="AI746" s="0" t="n">
        <v>0</v>
      </c>
      <c r="AK746" s="0" t="n">
        <f aca="false">A746</f>
        <v>729</v>
      </c>
      <c r="AL746" s="0" t="n">
        <v>1</v>
      </c>
      <c r="AM746" s="0" t="n">
        <v>1</v>
      </c>
      <c r="AO746" s="0" t="n">
        <v>729</v>
      </c>
      <c r="AP746" s="0" t="n">
        <v>1</v>
      </c>
      <c r="AQ746" s="0" t="n">
        <v>0.0252459429800808</v>
      </c>
      <c r="AR746" s="0" t="n">
        <v>646.16542829846</v>
      </c>
      <c r="AS746" s="0" t="n">
        <v>92</v>
      </c>
      <c r="AT746" s="0" t="n">
        <v>90</v>
      </c>
    </row>
    <row r="747" customFormat="false" ht="12" hidden="false" customHeight="false" outlineLevel="0" collapsed="false">
      <c r="A747" s="0" t="n">
        <v>730</v>
      </c>
      <c r="B747" s="0" t="n">
        <v>1</v>
      </c>
      <c r="C747" s="0" t="n">
        <v>1.01974713033933</v>
      </c>
      <c r="D747" s="0" t="n">
        <v>802.906426437739</v>
      </c>
      <c r="E747" s="0" t="n">
        <v>4</v>
      </c>
      <c r="F747" s="0" t="n">
        <v>2</v>
      </c>
      <c r="G747" s="0" t="n">
        <v>0.5</v>
      </c>
      <c r="H747" s="0" t="n">
        <v>1</v>
      </c>
      <c r="I747" s="0" t="n">
        <v>0</v>
      </c>
      <c r="J747" s="0" t="n">
        <v>804.039698867165</v>
      </c>
      <c r="K747" s="0" t="n">
        <v>0</v>
      </c>
      <c r="L747" s="0" t="n">
        <v>1.88577334707855</v>
      </c>
      <c r="M747" s="0" t="n">
        <v>804.792199784818</v>
      </c>
      <c r="N747" s="0" t="n">
        <v>1.8857733470785</v>
      </c>
      <c r="O747" s="0" t="n">
        <v>730</v>
      </c>
      <c r="P747" s="0" t="n">
        <v>368</v>
      </c>
      <c r="Q747" s="0" t="n">
        <v>362</v>
      </c>
      <c r="R747" s="0" t="n">
        <v>812.680624281337</v>
      </c>
      <c r="S747" s="0" t="n">
        <v>816.885877239167</v>
      </c>
      <c r="T747" s="0" t="n">
        <v>24</v>
      </c>
      <c r="U747" s="0" t="n">
        <v>24</v>
      </c>
      <c r="V747" s="0" t="n">
        <v>33.8616785693563</v>
      </c>
      <c r="W747" s="0" t="n">
        <v>34.0367697317581</v>
      </c>
      <c r="X747" s="0" t="n">
        <v>0</v>
      </c>
      <c r="Y747" s="0" t="n">
        <v>0</v>
      </c>
      <c r="Z747" s="0" t="n">
        <v>1.8857733470785</v>
      </c>
      <c r="AA747" s="0" t="n">
        <v>0</v>
      </c>
      <c r="AB747" s="0" t="n">
        <v>0</v>
      </c>
      <c r="AC747" s="0" t="n">
        <v>0</v>
      </c>
      <c r="AD747" s="0" t="n">
        <v>1</v>
      </c>
      <c r="AE747" s="0" t="n">
        <v>0</v>
      </c>
      <c r="AF747" s="0" t="n">
        <v>0</v>
      </c>
      <c r="AG747" s="0" t="n">
        <v>0</v>
      </c>
      <c r="AH747" s="0" t="n">
        <v>34.575928010747</v>
      </c>
      <c r="AI747" s="0" t="n">
        <v>0</v>
      </c>
      <c r="AK747" s="0" t="n">
        <f aca="false">A747</f>
        <v>730</v>
      </c>
      <c r="AL747" s="0" t="n">
        <v>1</v>
      </c>
      <c r="AM747" s="0" t="n">
        <v>0</v>
      </c>
      <c r="AO747" s="0" t="n">
        <v>730</v>
      </c>
      <c r="AP747" s="0" t="n">
        <v>1</v>
      </c>
      <c r="AQ747" s="0" t="n">
        <v>1.29671571791916</v>
      </c>
      <c r="AR747" s="0" t="n">
        <v>647.462144016379</v>
      </c>
      <c r="AS747" s="0" t="n">
        <v>90</v>
      </c>
      <c r="AT747" s="0" t="n">
        <v>90</v>
      </c>
    </row>
    <row r="748" customFormat="false" ht="12" hidden="false" customHeight="false" outlineLevel="0" collapsed="false">
      <c r="A748" s="0" t="n">
        <v>731</v>
      </c>
      <c r="B748" s="0" t="n">
        <v>1</v>
      </c>
      <c r="C748" s="0" t="n">
        <v>0.160881752462746</v>
      </c>
      <c r="D748" s="0" t="n">
        <v>803.067308190202</v>
      </c>
      <c r="E748" s="0" t="n">
        <v>4</v>
      </c>
      <c r="F748" s="0" t="n">
        <v>4</v>
      </c>
      <c r="G748" s="0" t="n">
        <v>0.5</v>
      </c>
      <c r="H748" s="0" t="n">
        <v>1</v>
      </c>
      <c r="I748" s="0" t="n">
        <v>0</v>
      </c>
      <c r="J748" s="0" t="n">
        <v>804.039698867165</v>
      </c>
      <c r="K748" s="0" t="n">
        <v>0</v>
      </c>
      <c r="L748" s="0" t="n">
        <v>2.02309938070924</v>
      </c>
      <c r="M748" s="0" t="n">
        <v>806.815299165527</v>
      </c>
      <c r="N748" s="0" t="n">
        <v>3.74799097532502</v>
      </c>
      <c r="O748" s="0" t="n">
        <v>731</v>
      </c>
      <c r="P748" s="0" t="n">
        <v>368</v>
      </c>
      <c r="Q748" s="0" t="n">
        <v>363</v>
      </c>
      <c r="R748" s="0" t="n">
        <v>639.398236997862</v>
      </c>
      <c r="S748" s="0" t="n">
        <v>971.200365726611</v>
      </c>
      <c r="T748" s="0" t="n">
        <v>22</v>
      </c>
      <c r="U748" s="0" t="n">
        <v>26</v>
      </c>
      <c r="V748" s="0" t="n">
        <v>29.0635430164742</v>
      </c>
      <c r="W748" s="0" t="n">
        <v>37.3537165521137</v>
      </c>
      <c r="X748" s="0" t="n">
        <v>0</v>
      </c>
      <c r="Y748" s="0" t="n">
        <v>0</v>
      </c>
      <c r="Z748" s="0" t="n">
        <v>3.74799097532502</v>
      </c>
      <c r="AA748" s="0" t="n">
        <v>0</v>
      </c>
      <c r="AB748" s="0" t="n">
        <v>0</v>
      </c>
      <c r="AC748" s="0" t="n">
        <v>0</v>
      </c>
      <c r="AD748" s="0" t="n">
        <v>1</v>
      </c>
      <c r="AE748" s="0" t="n">
        <v>0</v>
      </c>
      <c r="AF748" s="0" t="n">
        <v>0</v>
      </c>
      <c r="AG748" s="0" t="n">
        <v>0</v>
      </c>
      <c r="AH748" s="0" t="n">
        <v>16.1436192762426</v>
      </c>
      <c r="AI748" s="0" t="n">
        <v>0</v>
      </c>
      <c r="AK748" s="0" t="n">
        <f aca="false">A748</f>
        <v>731</v>
      </c>
      <c r="AL748" s="0" t="n">
        <v>0</v>
      </c>
      <c r="AM748" s="0" t="n">
        <v>1</v>
      </c>
      <c r="AO748" s="0" t="n">
        <v>731</v>
      </c>
      <c r="AP748" s="0" t="n">
        <v>0</v>
      </c>
      <c r="AQ748" s="0" t="n">
        <v>1.44051910467298</v>
      </c>
      <c r="AR748" s="0" t="n">
        <v>648.902663121052</v>
      </c>
      <c r="AS748" s="0" t="n">
        <v>88</v>
      </c>
      <c r="AT748" s="0" t="n">
        <v>90</v>
      </c>
    </row>
    <row r="749" customFormat="false" ht="12" hidden="false" customHeight="false" outlineLevel="0" collapsed="false">
      <c r="A749" s="0" t="n">
        <v>732</v>
      </c>
      <c r="B749" s="0" t="n">
        <v>0</v>
      </c>
      <c r="C749" s="0" t="n">
        <v>0.80243608907814</v>
      </c>
      <c r="D749" s="0" t="n">
        <v>803.86974427928</v>
      </c>
      <c r="E749" s="0" t="n">
        <v>4</v>
      </c>
      <c r="F749" s="0" t="n">
        <v>6</v>
      </c>
      <c r="G749" s="0" t="n">
        <v>0.5</v>
      </c>
      <c r="H749" s="0" t="n">
        <v>1</v>
      </c>
      <c r="I749" s="0" t="n">
        <v>0</v>
      </c>
      <c r="J749" s="0" t="n">
        <v>804.039698867165</v>
      </c>
      <c r="K749" s="0" t="n">
        <v>0</v>
      </c>
      <c r="L749" s="0" t="n">
        <v>1.76519770097914</v>
      </c>
      <c r="M749" s="0" t="n">
        <v>808.580496866506</v>
      </c>
      <c r="N749" s="0" t="n">
        <v>4.71075258722601</v>
      </c>
      <c r="O749" s="0" t="n">
        <v>732</v>
      </c>
      <c r="P749" s="0" t="n">
        <v>368</v>
      </c>
      <c r="Q749" s="0" t="n">
        <v>364</v>
      </c>
      <c r="R749" s="0" t="n">
        <v>868.202640284034</v>
      </c>
      <c r="S749" s="0" t="n">
        <v>736.678694482623</v>
      </c>
      <c r="T749" s="0" t="n">
        <v>27</v>
      </c>
      <c r="U749" s="0" t="n">
        <v>21</v>
      </c>
      <c r="V749" s="0" t="n">
        <v>32.1556414343563</v>
      </c>
      <c r="W749" s="0" t="n">
        <v>35.0797707859783</v>
      </c>
      <c r="X749" s="0" t="n">
        <v>0</v>
      </c>
      <c r="Y749" s="0" t="n">
        <v>0</v>
      </c>
      <c r="Z749" s="0" t="n">
        <v>0</v>
      </c>
      <c r="AA749" s="0" t="n">
        <v>4.71075258722601</v>
      </c>
      <c r="AB749" s="0" t="n">
        <v>0</v>
      </c>
      <c r="AC749" s="0" t="n">
        <v>0</v>
      </c>
      <c r="AD749" s="0" t="n">
        <v>0</v>
      </c>
      <c r="AE749" s="0" t="n">
        <v>1</v>
      </c>
      <c r="AF749" s="0" t="n">
        <v>0</v>
      </c>
      <c r="AG749" s="0" t="n">
        <v>0</v>
      </c>
      <c r="AH749" s="0" t="n">
        <v>0</v>
      </c>
      <c r="AI749" s="0" t="n">
        <v>9.12431539607378</v>
      </c>
      <c r="AK749" s="0" t="n">
        <f aca="false">A749</f>
        <v>732</v>
      </c>
      <c r="AL749" s="0" t="n">
        <v>1</v>
      </c>
      <c r="AM749" s="0" t="n">
        <v>0</v>
      </c>
      <c r="AO749" s="0" t="n">
        <v>732</v>
      </c>
      <c r="AP749" s="0" t="n">
        <v>0</v>
      </c>
      <c r="AQ749" s="0" t="n">
        <v>0.473867721085504</v>
      </c>
      <c r="AR749" s="0" t="n">
        <v>649.376530842138</v>
      </c>
      <c r="AS749" s="0" t="n">
        <v>90</v>
      </c>
      <c r="AT749" s="0" t="n">
        <v>90</v>
      </c>
    </row>
    <row r="750" customFormat="false" ht="12" hidden="false" customHeight="false" outlineLevel="0" collapsed="false">
      <c r="A750" s="0" t="n">
        <v>733</v>
      </c>
      <c r="B750" s="0" t="n">
        <v>0</v>
      </c>
      <c r="C750" s="0" t="n">
        <v>0.222631134103554</v>
      </c>
      <c r="D750" s="0" t="n">
        <v>804.092375413384</v>
      </c>
      <c r="E750" s="0" t="n">
        <v>2</v>
      </c>
      <c r="F750" s="0" t="n">
        <v>8</v>
      </c>
      <c r="G750" s="0" t="n">
        <v>0.5</v>
      </c>
      <c r="H750" s="0" t="n">
        <v>0</v>
      </c>
      <c r="I750" s="0" t="n">
        <v>1.76631554570217</v>
      </c>
      <c r="J750" s="0" t="n">
        <v>805.858690959086</v>
      </c>
      <c r="K750" s="0" t="n">
        <v>1.76631554570213</v>
      </c>
      <c r="L750" s="0" t="n">
        <v>0</v>
      </c>
      <c r="M750" s="0" t="n">
        <v>808.580496866506</v>
      </c>
      <c r="N750" s="0" t="n">
        <v>0</v>
      </c>
      <c r="O750" s="0" t="n">
        <v>733</v>
      </c>
      <c r="P750" s="0" t="n">
        <v>369</v>
      </c>
      <c r="Q750" s="0" t="n">
        <v>364</v>
      </c>
      <c r="R750" s="0" t="n">
        <v>1016.54664777788</v>
      </c>
      <c r="S750" s="0" t="n">
        <v>594.894686848212</v>
      </c>
      <c r="T750" s="0" t="n">
        <v>25</v>
      </c>
      <c r="U750" s="0" t="n">
        <v>23</v>
      </c>
      <c r="V750" s="0" t="n">
        <v>40.6618496463755</v>
      </c>
      <c r="W750" s="0" t="n">
        <v>25.8648739287313</v>
      </c>
      <c r="X750" s="0" t="n">
        <v>0</v>
      </c>
      <c r="Y750" s="0" t="n">
        <v>1.76631554570213</v>
      </c>
      <c r="Z750" s="0" t="n">
        <v>0</v>
      </c>
      <c r="AA750" s="0" t="n">
        <v>0</v>
      </c>
      <c r="AB750" s="0" t="n">
        <v>0</v>
      </c>
      <c r="AC750" s="0" t="n">
        <v>1</v>
      </c>
      <c r="AD750" s="0" t="n">
        <v>0</v>
      </c>
      <c r="AE750" s="0" t="n">
        <v>0</v>
      </c>
      <c r="AF750" s="0" t="n">
        <v>0</v>
      </c>
      <c r="AG750" s="0" t="n">
        <v>42.1504981045421</v>
      </c>
      <c r="AH750" s="0" t="n">
        <v>0</v>
      </c>
      <c r="AI750" s="0" t="n">
        <v>0</v>
      </c>
      <c r="AK750" s="0" t="n">
        <f aca="false">A750</f>
        <v>733</v>
      </c>
      <c r="AL750" s="0" t="n">
        <v>3</v>
      </c>
      <c r="AM750" s="0" t="n">
        <v>1</v>
      </c>
      <c r="AO750" s="0" t="n">
        <v>733</v>
      </c>
      <c r="AP750" s="0" t="n">
        <v>1</v>
      </c>
      <c r="AQ750" s="0" t="n">
        <v>0.804451835663768</v>
      </c>
      <c r="AR750" s="0" t="n">
        <v>650.180982677802</v>
      </c>
      <c r="AS750" s="0" t="n">
        <v>92</v>
      </c>
      <c r="AT750" s="0" t="n">
        <v>90</v>
      </c>
    </row>
    <row r="751" customFormat="false" ht="12" hidden="false" customHeight="false" outlineLevel="0" collapsed="false">
      <c r="A751" s="0" t="n">
        <v>734</v>
      </c>
      <c r="B751" s="0" t="n">
        <v>1</v>
      </c>
      <c r="C751" s="0" t="n">
        <v>0.65569061882656</v>
      </c>
      <c r="D751" s="0" t="n">
        <v>804.74806603221</v>
      </c>
      <c r="E751" s="0" t="n">
        <v>4</v>
      </c>
      <c r="F751" s="0" t="n">
        <v>8</v>
      </c>
      <c r="G751" s="0" t="n">
        <v>0.5</v>
      </c>
      <c r="H751" s="0" t="n">
        <v>0</v>
      </c>
      <c r="I751" s="0" t="n">
        <v>2.08700772801635</v>
      </c>
      <c r="J751" s="0" t="n">
        <v>807.945698687102</v>
      </c>
      <c r="K751" s="0" t="n">
        <v>3.19763265489189</v>
      </c>
      <c r="L751" s="0" t="n">
        <v>0</v>
      </c>
      <c r="M751" s="0" t="n">
        <v>808.580496866506</v>
      </c>
      <c r="N751" s="0" t="n">
        <v>0</v>
      </c>
      <c r="O751" s="0" t="n">
        <v>734</v>
      </c>
      <c r="P751" s="0" t="n">
        <v>370</v>
      </c>
      <c r="Q751" s="0" t="n">
        <v>364</v>
      </c>
      <c r="R751" s="0" t="n">
        <v>859.006135374086</v>
      </c>
      <c r="S751" s="0" t="n">
        <v>755.150536191758</v>
      </c>
      <c r="T751" s="0" t="n">
        <v>28</v>
      </c>
      <c r="U751" s="0" t="n">
        <v>20</v>
      </c>
      <c r="V751" s="0" t="n">
        <v>30.6787795923675</v>
      </c>
      <c r="W751" s="0" t="n">
        <v>37.7573380228978</v>
      </c>
      <c r="X751" s="0" t="n">
        <v>3.19763265489189</v>
      </c>
      <c r="Y751" s="0" t="n">
        <v>0</v>
      </c>
      <c r="Z751" s="0" t="n">
        <v>0</v>
      </c>
      <c r="AA751" s="0" t="n">
        <v>0</v>
      </c>
      <c r="AB751" s="0" t="n">
        <v>1</v>
      </c>
      <c r="AC751" s="0" t="n">
        <v>0</v>
      </c>
      <c r="AD751" s="0" t="n">
        <v>0</v>
      </c>
      <c r="AE751" s="0" t="n">
        <v>0</v>
      </c>
      <c r="AF751" s="0" t="n">
        <v>17.8922865306789</v>
      </c>
      <c r="AG751" s="0" t="n">
        <v>0</v>
      </c>
      <c r="AH751" s="0" t="n">
        <v>0</v>
      </c>
      <c r="AI751" s="0" t="n">
        <v>0</v>
      </c>
      <c r="AK751" s="0" t="n">
        <f aca="false">A751</f>
        <v>734</v>
      </c>
      <c r="AL751" s="0" t="n">
        <v>2</v>
      </c>
      <c r="AM751" s="0" t="n">
        <v>1</v>
      </c>
      <c r="AO751" s="0" t="n">
        <v>734</v>
      </c>
      <c r="AP751" s="0" t="n">
        <v>0</v>
      </c>
      <c r="AQ751" s="0" t="n">
        <v>0.529991140840369</v>
      </c>
      <c r="AR751" s="0" t="n">
        <v>650.710973818642</v>
      </c>
      <c r="AS751" s="0" t="n">
        <v>92</v>
      </c>
      <c r="AT751" s="0" t="n">
        <v>90</v>
      </c>
    </row>
    <row r="752" customFormat="false" ht="12" hidden="false" customHeight="false" outlineLevel="0" collapsed="false">
      <c r="A752" s="0" t="n">
        <v>735</v>
      </c>
      <c r="B752" s="0" t="n">
        <v>0</v>
      </c>
      <c r="C752" s="0" t="n">
        <v>4.12846096592899</v>
      </c>
      <c r="D752" s="0" t="n">
        <v>808.876526998139</v>
      </c>
      <c r="E752" s="0" t="n">
        <v>2</v>
      </c>
      <c r="F752" s="0" t="n">
        <v>2</v>
      </c>
      <c r="G752" s="0" t="n">
        <v>0.5</v>
      </c>
      <c r="H752" s="0" t="n">
        <v>0</v>
      </c>
      <c r="I752" s="0" t="n">
        <v>1.83079371322946</v>
      </c>
      <c r="J752" s="0" t="n">
        <v>810.707320711369</v>
      </c>
      <c r="K752" s="0" t="n">
        <v>1.83079371322947</v>
      </c>
      <c r="L752" s="0" t="n">
        <v>0</v>
      </c>
      <c r="M752" s="0" t="n">
        <v>808.876526998139</v>
      </c>
      <c r="N752" s="0" t="n">
        <v>0</v>
      </c>
      <c r="O752" s="0" t="n">
        <v>735</v>
      </c>
      <c r="P752" s="0" t="n">
        <v>371</v>
      </c>
      <c r="Q752" s="0" t="n">
        <v>364</v>
      </c>
      <c r="R752" s="0" t="n">
        <v>712.532593852286</v>
      </c>
      <c r="S752" s="0" t="n">
        <v>894.802614702453</v>
      </c>
      <c r="T752" s="0" t="n">
        <v>23</v>
      </c>
      <c r="U752" s="0" t="n">
        <v>25</v>
      </c>
      <c r="V752" s="0" t="n">
        <v>30.9796645241583</v>
      </c>
      <c r="W752" s="0" t="n">
        <v>35.7919614202524</v>
      </c>
      <c r="X752" s="0" t="n">
        <v>0</v>
      </c>
      <c r="Y752" s="0" t="n">
        <v>1.83079371322947</v>
      </c>
      <c r="Z752" s="0" t="n">
        <v>0</v>
      </c>
      <c r="AA752" s="0" t="n">
        <v>0</v>
      </c>
      <c r="AB752" s="0" t="n">
        <v>0</v>
      </c>
      <c r="AC752" s="0" t="n">
        <v>1</v>
      </c>
      <c r="AD752" s="0" t="n">
        <v>0</v>
      </c>
      <c r="AE752" s="0" t="n">
        <v>0</v>
      </c>
      <c r="AF752" s="0" t="n">
        <v>0</v>
      </c>
      <c r="AG752" s="0" t="n">
        <v>41.3174269733439</v>
      </c>
      <c r="AH752" s="0" t="n">
        <v>0</v>
      </c>
      <c r="AI752" s="0" t="n">
        <v>0</v>
      </c>
      <c r="AK752" s="0" t="n">
        <f aca="false">A752</f>
        <v>735</v>
      </c>
      <c r="AL752" s="0" t="n">
        <v>0</v>
      </c>
      <c r="AM752" s="0" t="n">
        <v>2</v>
      </c>
      <c r="AO752" s="0" t="n">
        <v>735</v>
      </c>
      <c r="AP752" s="0" t="n">
        <v>0</v>
      </c>
      <c r="AQ752" s="0" t="n">
        <v>1.79766289396812</v>
      </c>
      <c r="AR752" s="0" t="n">
        <v>652.50863671261</v>
      </c>
      <c r="AS752" s="0" t="n">
        <v>92</v>
      </c>
      <c r="AT752" s="0" t="n">
        <v>88</v>
      </c>
    </row>
    <row r="753" customFormat="false" ht="12" hidden="false" customHeight="false" outlineLevel="0" collapsed="false">
      <c r="A753" s="0" t="n">
        <v>736</v>
      </c>
      <c r="B753" s="0" t="n">
        <v>1</v>
      </c>
      <c r="C753" s="0" t="n">
        <v>0.673600596703524</v>
      </c>
      <c r="D753" s="0" t="n">
        <v>809.550127594843</v>
      </c>
      <c r="E753" s="0" t="n">
        <v>4</v>
      </c>
      <c r="F753" s="0" t="n">
        <v>2</v>
      </c>
      <c r="G753" s="0" t="n">
        <v>0.5</v>
      </c>
      <c r="H753" s="0" t="n">
        <v>1</v>
      </c>
      <c r="I753" s="0" t="n">
        <v>0</v>
      </c>
      <c r="J753" s="0" t="n">
        <v>810.707320711369</v>
      </c>
      <c r="K753" s="0" t="n">
        <v>0</v>
      </c>
      <c r="L753" s="0" t="n">
        <v>1.98163019047428</v>
      </c>
      <c r="M753" s="0" t="n">
        <v>811.531757785317</v>
      </c>
      <c r="N753" s="0" t="n">
        <v>1.98163019047433</v>
      </c>
      <c r="O753" s="0" t="n">
        <v>736</v>
      </c>
      <c r="P753" s="0" t="n">
        <v>371</v>
      </c>
      <c r="Q753" s="0" t="n">
        <v>365</v>
      </c>
      <c r="R753" s="0" t="n">
        <v>898.60829992922</v>
      </c>
      <c r="S753" s="0" t="n">
        <v>708.781315859268</v>
      </c>
      <c r="T753" s="0" t="n">
        <v>26</v>
      </c>
      <c r="U753" s="0" t="n">
        <v>22</v>
      </c>
      <c r="V753" s="0" t="n">
        <v>34.5618443965683</v>
      </c>
      <c r="W753" s="0" t="n">
        <v>32.2171860973027</v>
      </c>
      <c r="X753" s="0" t="n">
        <v>0</v>
      </c>
      <c r="Y753" s="0" t="n">
        <v>0</v>
      </c>
      <c r="Z753" s="0" t="n">
        <v>1.98163019047433</v>
      </c>
      <c r="AA753" s="0" t="n">
        <v>0</v>
      </c>
      <c r="AB753" s="0" t="n">
        <v>0</v>
      </c>
      <c r="AC753" s="0" t="n">
        <v>0</v>
      </c>
      <c r="AD753" s="0" t="n">
        <v>1</v>
      </c>
      <c r="AE753" s="0" t="n">
        <v>0</v>
      </c>
      <c r="AF753" s="0" t="n">
        <v>0</v>
      </c>
      <c r="AG753" s="0" t="n">
        <v>0</v>
      </c>
      <c r="AH753" s="0" t="n">
        <v>33.4578151572003</v>
      </c>
      <c r="AI753" s="0" t="n">
        <v>0</v>
      </c>
      <c r="AK753" s="0" t="n">
        <f aca="false">A753</f>
        <v>736</v>
      </c>
      <c r="AL753" s="0" t="n">
        <v>1</v>
      </c>
      <c r="AM753" s="0" t="n">
        <v>2</v>
      </c>
      <c r="AO753" s="0" t="n">
        <v>736</v>
      </c>
      <c r="AP753" s="0" t="n">
        <v>0</v>
      </c>
      <c r="AQ753" s="0" t="n">
        <v>1.48796230820293</v>
      </c>
      <c r="AR753" s="0" t="n">
        <v>653.996599020813</v>
      </c>
      <c r="AS753" s="0" t="n">
        <v>92</v>
      </c>
      <c r="AT753" s="0" t="n">
        <v>88</v>
      </c>
    </row>
    <row r="754" customFormat="false" ht="12" hidden="false" customHeight="false" outlineLevel="0" collapsed="false">
      <c r="A754" s="0" t="n">
        <v>737</v>
      </c>
      <c r="B754" s="0" t="n">
        <v>1</v>
      </c>
      <c r="C754" s="0" t="n">
        <v>0.323095628539969</v>
      </c>
      <c r="D754" s="0" t="n">
        <v>809.873223223383</v>
      </c>
      <c r="E754" s="0" t="n">
        <v>4</v>
      </c>
      <c r="F754" s="0" t="n">
        <v>4</v>
      </c>
      <c r="G754" s="0" t="n">
        <v>0.5</v>
      </c>
      <c r="H754" s="0" t="n">
        <v>0</v>
      </c>
      <c r="I754" s="0" t="n">
        <v>1.86327015408139</v>
      </c>
      <c r="J754" s="0" t="n">
        <v>812.57059086545</v>
      </c>
      <c r="K754" s="0" t="n">
        <v>2.69736764206743</v>
      </c>
      <c r="L754" s="0" t="n">
        <v>0</v>
      </c>
      <c r="M754" s="0" t="n">
        <v>811.531757785317</v>
      </c>
      <c r="N754" s="0" t="n">
        <v>0</v>
      </c>
      <c r="O754" s="0" t="n">
        <v>737</v>
      </c>
      <c r="P754" s="0" t="n">
        <v>372</v>
      </c>
      <c r="Q754" s="0" t="n">
        <v>365</v>
      </c>
      <c r="R754" s="0" t="n">
        <v>841.668224526515</v>
      </c>
      <c r="S754" s="0" t="n">
        <v>782.817509184295</v>
      </c>
      <c r="T754" s="0" t="n">
        <v>21</v>
      </c>
      <c r="U754" s="0" t="n">
        <v>27</v>
      </c>
      <c r="V754" s="0" t="n">
        <v>40.0794201777292</v>
      </c>
      <c r="W754" s="0" t="n">
        <v>28.9931336989231</v>
      </c>
      <c r="X754" s="0" t="n">
        <v>2.69736764206743</v>
      </c>
      <c r="Y754" s="0" t="n">
        <v>0</v>
      </c>
      <c r="Z754" s="0" t="n">
        <v>0</v>
      </c>
      <c r="AA754" s="0" t="n">
        <v>0</v>
      </c>
      <c r="AB754" s="0" t="n">
        <v>1</v>
      </c>
      <c r="AC754" s="0" t="n">
        <v>0</v>
      </c>
      <c r="AD754" s="0" t="n">
        <v>0</v>
      </c>
      <c r="AE754" s="0" t="n">
        <v>0</v>
      </c>
      <c r="AF754" s="0" t="n">
        <v>22.3747210690697</v>
      </c>
      <c r="AG754" s="0" t="n">
        <v>0</v>
      </c>
      <c r="AH754" s="0" t="n">
        <v>0</v>
      </c>
      <c r="AI754" s="0" t="n">
        <v>0</v>
      </c>
      <c r="AK754" s="0" t="n">
        <f aca="false">A754</f>
        <v>737</v>
      </c>
      <c r="AL754" s="0" t="n">
        <v>0</v>
      </c>
      <c r="AM754" s="0" t="n">
        <v>3</v>
      </c>
      <c r="AO754" s="0" t="n">
        <v>737</v>
      </c>
      <c r="AP754" s="0" t="n">
        <v>1</v>
      </c>
      <c r="AQ754" s="0" t="n">
        <v>0.238516987106027</v>
      </c>
      <c r="AR754" s="0" t="n">
        <v>654.235116007919</v>
      </c>
      <c r="AS754" s="0" t="n">
        <v>94</v>
      </c>
      <c r="AT754" s="0" t="n">
        <v>88</v>
      </c>
    </row>
    <row r="755" customFormat="false" ht="12" hidden="false" customHeight="false" outlineLevel="0" collapsed="false">
      <c r="A755" s="0" t="n">
        <v>738</v>
      </c>
      <c r="B755" s="0" t="n">
        <v>0</v>
      </c>
      <c r="C755" s="0" t="n">
        <v>0.971610325403664</v>
      </c>
      <c r="D755" s="0" t="n">
        <v>810.844833548786</v>
      </c>
      <c r="E755" s="0" t="n">
        <v>4</v>
      </c>
      <c r="F755" s="0" t="n">
        <v>4</v>
      </c>
      <c r="G755" s="0" t="n">
        <v>0.5</v>
      </c>
      <c r="H755" s="0" t="n">
        <v>1</v>
      </c>
      <c r="I755" s="0" t="n">
        <v>0</v>
      </c>
      <c r="J755" s="0" t="n">
        <v>812.57059086545</v>
      </c>
      <c r="K755" s="0" t="n">
        <v>0</v>
      </c>
      <c r="L755" s="0" t="n">
        <v>2.16923566585375</v>
      </c>
      <c r="M755" s="0" t="n">
        <v>813.700993451171</v>
      </c>
      <c r="N755" s="0" t="n">
        <v>2.85615990238455</v>
      </c>
      <c r="O755" s="0" t="n">
        <v>738</v>
      </c>
      <c r="P755" s="0" t="n">
        <v>372</v>
      </c>
      <c r="Q755" s="0" t="n">
        <v>366</v>
      </c>
      <c r="R755" s="0" t="n">
        <v>388.850228805063</v>
      </c>
      <c r="S755" s="0" t="n">
        <v>1243.0138416362</v>
      </c>
      <c r="T755" s="0" t="n">
        <v>16</v>
      </c>
      <c r="U755" s="0" t="n">
        <v>32</v>
      </c>
      <c r="V755" s="0" t="n">
        <v>24.3031241108639</v>
      </c>
      <c r="W755" s="0" t="n">
        <v>38.8440611634403</v>
      </c>
      <c r="X755" s="0" t="n">
        <v>0</v>
      </c>
      <c r="Y755" s="0" t="n">
        <v>0</v>
      </c>
      <c r="Z755" s="0" t="n">
        <v>0</v>
      </c>
      <c r="AA755" s="0" t="n">
        <v>2.85615990238455</v>
      </c>
      <c r="AB755" s="0" t="n">
        <v>0</v>
      </c>
      <c r="AC755" s="0" t="n">
        <v>0</v>
      </c>
      <c r="AD755" s="0" t="n">
        <v>0</v>
      </c>
      <c r="AE755" s="0" t="n">
        <v>1</v>
      </c>
      <c r="AF755" s="0" t="n">
        <v>0</v>
      </c>
      <c r="AG755" s="0" t="n">
        <v>0</v>
      </c>
      <c r="AH755" s="0" t="n">
        <v>0</v>
      </c>
      <c r="AI755" s="0" t="n">
        <v>23.7679734397617</v>
      </c>
      <c r="AK755" s="0" t="n">
        <f aca="false">A755</f>
        <v>738</v>
      </c>
      <c r="AL755" s="0" t="n">
        <v>0</v>
      </c>
      <c r="AM755" s="0" t="n">
        <v>3</v>
      </c>
      <c r="AO755" s="0" t="n">
        <v>738</v>
      </c>
      <c r="AP755" s="0" t="n">
        <v>0</v>
      </c>
      <c r="AQ755" s="0" t="n">
        <v>0.654240811369731</v>
      </c>
      <c r="AR755" s="0" t="n">
        <v>654.889356819289</v>
      </c>
      <c r="AS755" s="0" t="n">
        <v>94</v>
      </c>
      <c r="AT755" s="0" t="n">
        <v>88</v>
      </c>
    </row>
    <row r="756" customFormat="false" ht="12" hidden="false" customHeight="false" outlineLevel="0" collapsed="false">
      <c r="A756" s="0" t="n">
        <v>739</v>
      </c>
      <c r="B756" s="0" t="n">
        <v>0</v>
      </c>
      <c r="C756" s="0" t="n">
        <v>0.708801153386878</v>
      </c>
      <c r="D756" s="0" t="n">
        <v>811.553634702173</v>
      </c>
      <c r="E756" s="0" t="n">
        <v>4</v>
      </c>
      <c r="F756" s="0" t="n">
        <v>4</v>
      </c>
      <c r="G756" s="0" t="n">
        <v>0.5</v>
      </c>
      <c r="H756" s="0" t="n">
        <v>0</v>
      </c>
      <c r="I756" s="0" t="n">
        <v>2.0198503197425</v>
      </c>
      <c r="J756" s="0" t="n">
        <v>814.590441185193</v>
      </c>
      <c r="K756" s="0" t="n">
        <v>3.03680648301952</v>
      </c>
      <c r="L756" s="0" t="n">
        <v>0</v>
      </c>
      <c r="M756" s="0" t="n">
        <v>813.700993451171</v>
      </c>
      <c r="N756" s="0" t="n">
        <v>0</v>
      </c>
      <c r="O756" s="0" t="n">
        <v>739</v>
      </c>
      <c r="P756" s="0" t="n">
        <v>373</v>
      </c>
      <c r="Q756" s="0" t="n">
        <v>366</v>
      </c>
      <c r="R756" s="0" t="n">
        <v>810.261289987507</v>
      </c>
      <c r="S756" s="0" t="n">
        <v>817.444376108697</v>
      </c>
      <c r="T756" s="0" t="n">
        <v>26</v>
      </c>
      <c r="U756" s="0" t="n">
        <v>22</v>
      </c>
      <c r="V756" s="0" t="n">
        <v>31.1638837826411</v>
      </c>
      <c r="W756" s="0" t="n">
        <v>37.1563936576969</v>
      </c>
      <c r="X756" s="0" t="n">
        <v>0</v>
      </c>
      <c r="Y756" s="0" t="n">
        <v>3.03680648301952</v>
      </c>
      <c r="Z756" s="0" t="n">
        <v>0</v>
      </c>
      <c r="AA756" s="0" t="n">
        <v>0</v>
      </c>
      <c r="AB756" s="0" t="n">
        <v>0</v>
      </c>
      <c r="AC756" s="0" t="n">
        <v>1</v>
      </c>
      <c r="AD756" s="0" t="n">
        <v>0</v>
      </c>
      <c r="AE756" s="0" t="n">
        <v>0</v>
      </c>
      <c r="AF756" s="0" t="n">
        <v>0</v>
      </c>
      <c r="AG756" s="0" t="n">
        <v>27.2677232603174</v>
      </c>
      <c r="AH756" s="0" t="n">
        <v>0</v>
      </c>
      <c r="AI756" s="0" t="n">
        <v>0</v>
      </c>
      <c r="AK756" s="0" t="n">
        <f aca="false">A756</f>
        <v>739</v>
      </c>
      <c r="AL756" s="0" t="n">
        <v>0</v>
      </c>
      <c r="AM756" s="0" t="n">
        <v>1</v>
      </c>
      <c r="AO756" s="0" t="n">
        <v>739</v>
      </c>
      <c r="AP756" s="0" t="n">
        <v>0</v>
      </c>
      <c r="AQ756" s="0" t="n">
        <v>2.78562719664338</v>
      </c>
      <c r="AR756" s="0" t="n">
        <v>657.674984015932</v>
      </c>
      <c r="AS756" s="0" t="n">
        <v>90</v>
      </c>
      <c r="AT756" s="0" t="n">
        <v>88</v>
      </c>
    </row>
    <row r="757" customFormat="false" ht="12" hidden="false" customHeight="false" outlineLevel="0" collapsed="false">
      <c r="A757" s="0" t="n">
        <v>740</v>
      </c>
      <c r="B757" s="0" t="n">
        <v>0</v>
      </c>
      <c r="C757" s="0" t="n">
        <v>0.25483355522757</v>
      </c>
      <c r="D757" s="0" t="n">
        <v>811.808468257401</v>
      </c>
      <c r="E757" s="0" t="n">
        <v>6</v>
      </c>
      <c r="F757" s="0" t="n">
        <v>4</v>
      </c>
      <c r="G757" s="0" t="n">
        <v>0.5</v>
      </c>
      <c r="H757" s="0" t="n">
        <v>0</v>
      </c>
      <c r="I757" s="0" t="n">
        <v>2.13334566698489</v>
      </c>
      <c r="J757" s="0" t="n">
        <v>816.723786852178</v>
      </c>
      <c r="K757" s="0" t="n">
        <v>4.91531859477675</v>
      </c>
      <c r="L757" s="0" t="n">
        <v>0</v>
      </c>
      <c r="M757" s="0" t="n">
        <v>813.700993451171</v>
      </c>
      <c r="N757" s="0" t="n">
        <v>0</v>
      </c>
      <c r="O757" s="0" t="n">
        <v>740</v>
      </c>
      <c r="P757" s="0" t="n">
        <v>374</v>
      </c>
      <c r="Q757" s="0" t="n">
        <v>366</v>
      </c>
      <c r="R757" s="0" t="n">
        <v>811.111759510706</v>
      </c>
      <c r="S757" s="0" t="n">
        <v>838.163155905554</v>
      </c>
      <c r="T757" s="0" t="n">
        <v>24</v>
      </c>
      <c r="U757" s="0" t="n">
        <v>24</v>
      </c>
      <c r="V757" s="0" t="n">
        <v>33.7963092311506</v>
      </c>
      <c r="W757" s="0" t="n">
        <v>34.9233193155676</v>
      </c>
      <c r="X757" s="0" t="n">
        <v>0</v>
      </c>
      <c r="Y757" s="0" t="n">
        <v>4.91531859477675</v>
      </c>
      <c r="Z757" s="0" t="n">
        <v>0</v>
      </c>
      <c r="AA757" s="0" t="n">
        <v>0</v>
      </c>
      <c r="AB757" s="0" t="n">
        <v>0</v>
      </c>
      <c r="AC757" s="0" t="n">
        <v>1</v>
      </c>
      <c r="AD757" s="0" t="n">
        <v>0</v>
      </c>
      <c r="AE757" s="0" t="n">
        <v>0</v>
      </c>
      <c r="AF757" s="0" t="n">
        <v>0</v>
      </c>
      <c r="AG757" s="0" t="n">
        <v>11.1779119726765</v>
      </c>
      <c r="AH757" s="0" t="n">
        <v>0</v>
      </c>
      <c r="AI757" s="0" t="n">
        <v>0</v>
      </c>
      <c r="AK757" s="0" t="n">
        <f aca="false">A757</f>
        <v>740</v>
      </c>
      <c r="AL757" s="0" t="n">
        <v>1</v>
      </c>
      <c r="AM757" s="0" t="n">
        <v>1</v>
      </c>
      <c r="AO757" s="0" t="n">
        <v>740</v>
      </c>
      <c r="AP757" s="0" t="n">
        <v>1</v>
      </c>
      <c r="AQ757" s="0" t="n">
        <v>1.34371156807915</v>
      </c>
      <c r="AR757" s="0" t="n">
        <v>659.018695584011</v>
      </c>
      <c r="AS757" s="0" t="n">
        <v>90</v>
      </c>
      <c r="AT757" s="0" t="n">
        <v>88</v>
      </c>
    </row>
    <row r="758" customFormat="false" ht="12" hidden="false" customHeight="false" outlineLevel="0" collapsed="false">
      <c r="A758" s="0" t="n">
        <v>741</v>
      </c>
      <c r="B758" s="0" t="n">
        <v>0</v>
      </c>
      <c r="C758" s="0" t="n">
        <v>1.14463893797273</v>
      </c>
      <c r="D758" s="0" t="n">
        <v>812.953107195374</v>
      </c>
      <c r="E758" s="0" t="n">
        <v>6</v>
      </c>
      <c r="F758" s="0" t="n">
        <v>4</v>
      </c>
      <c r="G758" s="0" t="n">
        <v>0.5</v>
      </c>
      <c r="H758" s="0" t="n">
        <v>0</v>
      </c>
      <c r="I758" s="0" t="n">
        <v>2.01540812034779</v>
      </c>
      <c r="J758" s="0" t="n">
        <v>818.739194972525</v>
      </c>
      <c r="K758" s="0" t="n">
        <v>5.78608777715181</v>
      </c>
      <c r="L758" s="0" t="n">
        <v>0</v>
      </c>
      <c r="M758" s="0" t="n">
        <v>813.700993451171</v>
      </c>
      <c r="N758" s="0" t="n">
        <v>0</v>
      </c>
      <c r="O758" s="0" t="n">
        <v>741</v>
      </c>
      <c r="P758" s="0" t="n">
        <v>375</v>
      </c>
      <c r="Q758" s="0" t="n">
        <v>366</v>
      </c>
      <c r="R758" s="0" t="n">
        <v>957.505248363065</v>
      </c>
      <c r="S758" s="0" t="n">
        <v>685.728813999258</v>
      </c>
      <c r="T758" s="0" t="n">
        <v>26</v>
      </c>
      <c r="U758" s="0" t="n">
        <v>22</v>
      </c>
      <c r="V758" s="0" t="n">
        <v>36.8271107727676</v>
      </c>
      <c r="W758" s="0" t="n">
        <v>31.1693498665578</v>
      </c>
      <c r="X758" s="0" t="n">
        <v>0</v>
      </c>
      <c r="Y758" s="0" t="n">
        <v>5.78608777715181</v>
      </c>
      <c r="Z758" s="0" t="n">
        <v>0</v>
      </c>
      <c r="AA758" s="0" t="n">
        <v>0</v>
      </c>
      <c r="AB758" s="0" t="n">
        <v>0</v>
      </c>
      <c r="AC758" s="0" t="n">
        <v>1</v>
      </c>
      <c r="AD758" s="0" t="n">
        <v>0</v>
      </c>
      <c r="AE758" s="0" t="n">
        <v>0</v>
      </c>
      <c r="AF758" s="0" t="n">
        <v>0</v>
      </c>
      <c r="AG758" s="0" t="n">
        <v>6.11359876946845</v>
      </c>
      <c r="AH758" s="0" t="n">
        <v>0</v>
      </c>
      <c r="AI758" s="0" t="n">
        <v>0</v>
      </c>
      <c r="AK758" s="0" t="n">
        <f aca="false">A758</f>
        <v>741</v>
      </c>
      <c r="AL758" s="0" t="n">
        <v>1</v>
      </c>
      <c r="AM758" s="0" t="n">
        <v>1</v>
      </c>
      <c r="AO758" s="0" t="n">
        <v>741</v>
      </c>
      <c r="AP758" s="0" t="n">
        <v>0</v>
      </c>
      <c r="AQ758" s="0" t="n">
        <v>0.56034484734031</v>
      </c>
      <c r="AR758" s="0" t="n">
        <v>659.579040431352</v>
      </c>
      <c r="AS758" s="0" t="n">
        <v>88</v>
      </c>
      <c r="AT758" s="0" t="n">
        <v>90</v>
      </c>
    </row>
    <row r="759" customFormat="false" ht="12" hidden="false" customHeight="false" outlineLevel="0" collapsed="false">
      <c r="A759" s="0" t="n">
        <v>742</v>
      </c>
      <c r="B759" s="0" t="n">
        <v>0</v>
      </c>
      <c r="C759" s="0" t="n">
        <v>0.0342801719253507</v>
      </c>
      <c r="D759" s="0" t="n">
        <v>812.987387367299</v>
      </c>
      <c r="E759" s="0" t="n">
        <v>8</v>
      </c>
      <c r="F759" s="0" t="n">
        <v>4</v>
      </c>
      <c r="G759" s="0" t="n">
        <v>0.5</v>
      </c>
      <c r="H759" s="0" t="n">
        <v>1</v>
      </c>
      <c r="I759" s="0" t="n">
        <v>0</v>
      </c>
      <c r="J759" s="0" t="n">
        <v>818.739194972525</v>
      </c>
      <c r="K759" s="0" t="n">
        <v>0</v>
      </c>
      <c r="L759" s="0" t="n">
        <v>2.1776154530834</v>
      </c>
      <c r="M759" s="0" t="n">
        <v>815.878608904254</v>
      </c>
      <c r="N759" s="0" t="n">
        <v>2.8912215369553</v>
      </c>
      <c r="O759" s="0" t="n">
        <v>742</v>
      </c>
      <c r="P759" s="0" t="n">
        <v>375</v>
      </c>
      <c r="Q759" s="0" t="n">
        <v>367</v>
      </c>
      <c r="R759" s="0" t="n">
        <v>880.913866554011</v>
      </c>
      <c r="S759" s="0" t="n">
        <v>771.412249756995</v>
      </c>
      <c r="T759" s="0" t="n">
        <v>22</v>
      </c>
      <c r="U759" s="0" t="n">
        <v>26</v>
      </c>
      <c r="V759" s="0" t="n">
        <v>40.0415211881272</v>
      </c>
      <c r="W759" s="0" t="n">
        <v>29.6695877999313</v>
      </c>
      <c r="X759" s="0" t="n">
        <v>0</v>
      </c>
      <c r="Y759" s="0" t="n">
        <v>0</v>
      </c>
      <c r="Z759" s="0" t="n">
        <v>0</v>
      </c>
      <c r="AA759" s="0" t="n">
        <v>2.8912215369553</v>
      </c>
      <c r="AB759" s="0" t="n">
        <v>0</v>
      </c>
      <c r="AC759" s="0" t="n">
        <v>0</v>
      </c>
      <c r="AD759" s="0" t="n">
        <v>0</v>
      </c>
      <c r="AE759" s="0" t="n">
        <v>1</v>
      </c>
      <c r="AF759" s="0" t="n">
        <v>0</v>
      </c>
      <c r="AG759" s="0" t="n">
        <v>0</v>
      </c>
      <c r="AH759" s="0" t="n">
        <v>0</v>
      </c>
      <c r="AI759" s="0" t="n">
        <v>23.4273349310484</v>
      </c>
      <c r="AK759" s="0" t="n">
        <f aca="false">A759</f>
        <v>742</v>
      </c>
      <c r="AL759" s="0" t="n">
        <v>2</v>
      </c>
      <c r="AM759" s="0" t="n">
        <v>1</v>
      </c>
      <c r="AO759" s="0" t="n">
        <v>742</v>
      </c>
      <c r="AP759" s="0" t="n">
        <v>1</v>
      </c>
      <c r="AQ759" s="0" t="n">
        <v>0.873846148701813</v>
      </c>
      <c r="AR759" s="0" t="n">
        <v>660.452886580053</v>
      </c>
      <c r="AS759" s="0" t="n">
        <v>90</v>
      </c>
      <c r="AT759" s="0" t="n">
        <v>88</v>
      </c>
    </row>
    <row r="760" customFormat="false" ht="12" hidden="false" customHeight="false" outlineLevel="0" collapsed="false">
      <c r="A760" s="0" t="n">
        <v>743</v>
      </c>
      <c r="B760" s="0" t="n">
        <v>1</v>
      </c>
      <c r="C760" s="0" t="n">
        <v>1.23520080722062</v>
      </c>
      <c r="D760" s="0" t="n">
        <v>814.22258817452</v>
      </c>
      <c r="E760" s="0" t="n">
        <v>8</v>
      </c>
      <c r="F760" s="0" t="n">
        <v>4</v>
      </c>
      <c r="G760" s="0" t="n">
        <v>0.5</v>
      </c>
      <c r="H760" s="0" t="n">
        <v>1</v>
      </c>
      <c r="I760" s="0" t="n">
        <v>0</v>
      </c>
      <c r="J760" s="0" t="n">
        <v>818.739194972525</v>
      </c>
      <c r="K760" s="0" t="n">
        <v>0</v>
      </c>
      <c r="L760" s="0" t="n">
        <v>2.01784347076155</v>
      </c>
      <c r="M760" s="0" t="n">
        <v>817.896452375016</v>
      </c>
      <c r="N760" s="0" t="n">
        <v>3.67386420049627</v>
      </c>
      <c r="O760" s="0" t="n">
        <v>743</v>
      </c>
      <c r="P760" s="0" t="n">
        <v>375</v>
      </c>
      <c r="Q760" s="0" t="n">
        <v>368</v>
      </c>
      <c r="R760" s="0" t="n">
        <v>744.837582838419</v>
      </c>
      <c r="S760" s="0" t="n">
        <v>909.59091735094</v>
      </c>
      <c r="T760" s="0" t="n">
        <v>24</v>
      </c>
      <c r="U760" s="0" t="n">
        <v>24</v>
      </c>
      <c r="V760" s="0" t="n">
        <v>31.0348863537315</v>
      </c>
      <c r="W760" s="0" t="n">
        <v>37.8994636418573</v>
      </c>
      <c r="X760" s="0" t="n">
        <v>0</v>
      </c>
      <c r="Y760" s="0" t="n">
        <v>0</v>
      </c>
      <c r="Z760" s="0" t="n">
        <v>3.67386420049627</v>
      </c>
      <c r="AA760" s="0" t="n">
        <v>0</v>
      </c>
      <c r="AB760" s="0" t="n">
        <v>0</v>
      </c>
      <c r="AC760" s="0" t="n">
        <v>0</v>
      </c>
      <c r="AD760" s="0" t="n">
        <v>1</v>
      </c>
      <c r="AE760" s="0" t="n">
        <v>0</v>
      </c>
      <c r="AF760" s="0" t="n">
        <v>0</v>
      </c>
      <c r="AG760" s="0" t="n">
        <v>0</v>
      </c>
      <c r="AH760" s="0" t="n">
        <v>16.7447838161518</v>
      </c>
      <c r="AI760" s="0" t="n">
        <v>0</v>
      </c>
      <c r="AK760" s="0" t="n">
        <f aca="false">A760</f>
        <v>743</v>
      </c>
      <c r="AL760" s="0" t="n">
        <v>2</v>
      </c>
      <c r="AM760" s="0" t="n">
        <v>0</v>
      </c>
      <c r="AO760" s="0" t="n">
        <v>743</v>
      </c>
      <c r="AP760" s="0" t="n">
        <v>0</v>
      </c>
      <c r="AQ760" s="0" t="n">
        <v>0.122606834940883</v>
      </c>
      <c r="AR760" s="0" t="n">
        <v>660.575493414994</v>
      </c>
      <c r="AS760" s="0" t="n">
        <v>90</v>
      </c>
      <c r="AT760" s="0" t="n">
        <v>90</v>
      </c>
    </row>
    <row r="761" customFormat="false" ht="12" hidden="false" customHeight="false" outlineLevel="0" collapsed="false">
      <c r="A761" s="0" t="n">
        <v>744</v>
      </c>
      <c r="B761" s="0" t="n">
        <v>1</v>
      </c>
      <c r="C761" s="0" t="n">
        <v>2.66047954731843</v>
      </c>
      <c r="D761" s="0" t="n">
        <v>816.883067721838</v>
      </c>
      <c r="E761" s="0" t="n">
        <v>4</v>
      </c>
      <c r="F761" s="0" t="n">
        <v>4</v>
      </c>
      <c r="G761" s="0" t="n">
        <v>0.5</v>
      </c>
      <c r="H761" s="0" t="n">
        <v>1</v>
      </c>
      <c r="I761" s="0" t="n">
        <v>0</v>
      </c>
      <c r="J761" s="0" t="n">
        <v>818.739194972525</v>
      </c>
      <c r="K761" s="0" t="n">
        <v>0</v>
      </c>
      <c r="L761" s="0" t="n">
        <v>2.13246837507276</v>
      </c>
      <c r="M761" s="0" t="n">
        <v>820.028920750089</v>
      </c>
      <c r="N761" s="0" t="n">
        <v>3.1458530282506</v>
      </c>
      <c r="O761" s="0" t="n">
        <v>744</v>
      </c>
      <c r="P761" s="0" t="n">
        <v>375</v>
      </c>
      <c r="Q761" s="0" t="n">
        <v>369</v>
      </c>
      <c r="R761" s="0" t="n">
        <v>670.856355729282</v>
      </c>
      <c r="S761" s="0" t="n">
        <v>986.786870542225</v>
      </c>
      <c r="T761" s="0" t="n">
        <v>22</v>
      </c>
      <c r="U761" s="0" t="n">
        <v>26</v>
      </c>
      <c r="V761" s="0" t="n">
        <v>30.4934568543052</v>
      </c>
      <c r="W761" s="0" t="n">
        <v>37.9531952008733</v>
      </c>
      <c r="X761" s="0" t="n">
        <v>0</v>
      </c>
      <c r="Y761" s="0" t="n">
        <v>0</v>
      </c>
      <c r="Z761" s="0" t="n">
        <v>3.1458530282506</v>
      </c>
      <c r="AA761" s="0" t="n">
        <v>0</v>
      </c>
      <c r="AB761" s="0" t="n">
        <v>0</v>
      </c>
      <c r="AC761" s="0" t="n">
        <v>0</v>
      </c>
      <c r="AD761" s="0" t="n">
        <v>1</v>
      </c>
      <c r="AE761" s="0" t="n">
        <v>0</v>
      </c>
      <c r="AF761" s="0" t="n">
        <v>0</v>
      </c>
      <c r="AG761" s="0" t="n">
        <v>0</v>
      </c>
      <c r="AH761" s="0" t="n">
        <v>21.3448643151029</v>
      </c>
      <c r="AI761" s="0" t="n">
        <v>0</v>
      </c>
      <c r="AK761" s="0" t="n">
        <f aca="false">A761</f>
        <v>744</v>
      </c>
      <c r="AL761" s="0" t="n">
        <v>0</v>
      </c>
      <c r="AM761" s="0" t="n">
        <v>2</v>
      </c>
      <c r="AO761" s="0" t="n">
        <v>744</v>
      </c>
      <c r="AP761" s="0" t="n">
        <v>1</v>
      </c>
      <c r="AQ761" s="0" t="n">
        <v>0.984809548797268</v>
      </c>
      <c r="AR761" s="0" t="n">
        <v>661.560302963791</v>
      </c>
      <c r="AS761" s="0" t="n">
        <v>88</v>
      </c>
      <c r="AT761" s="0" t="n">
        <v>92</v>
      </c>
    </row>
    <row r="762" customFormat="false" ht="12" hidden="false" customHeight="false" outlineLevel="0" collapsed="false">
      <c r="A762" s="0" t="n">
        <v>745</v>
      </c>
      <c r="B762" s="0" t="n">
        <v>0</v>
      </c>
      <c r="C762" s="0" t="n">
        <v>4.07007511004926</v>
      </c>
      <c r="D762" s="0" t="n">
        <v>820.953142831887</v>
      </c>
      <c r="E762" s="0" t="n">
        <v>2</v>
      </c>
      <c r="F762" s="0" t="n">
        <v>2</v>
      </c>
      <c r="G762" s="0" t="n">
        <v>0.5</v>
      </c>
      <c r="H762" s="0" t="n">
        <v>0</v>
      </c>
      <c r="I762" s="0" t="n">
        <v>1.78551249774211</v>
      </c>
      <c r="J762" s="0" t="n">
        <v>822.738655329629</v>
      </c>
      <c r="K762" s="0" t="n">
        <v>1.78551249774216</v>
      </c>
      <c r="L762" s="0" t="n">
        <v>0</v>
      </c>
      <c r="M762" s="0" t="n">
        <v>820.953142831887</v>
      </c>
      <c r="N762" s="0" t="n">
        <v>0</v>
      </c>
      <c r="O762" s="0" t="n">
        <v>745</v>
      </c>
      <c r="P762" s="0" t="n">
        <v>376</v>
      </c>
      <c r="Q762" s="0" t="n">
        <v>369</v>
      </c>
      <c r="R762" s="0" t="n">
        <v>1000.70001651064</v>
      </c>
      <c r="S762" s="0" t="n">
        <v>650.212758225815</v>
      </c>
      <c r="T762" s="0" t="n">
        <v>24</v>
      </c>
      <c r="U762" s="0" t="n">
        <v>24</v>
      </c>
      <c r="V762" s="0" t="n">
        <v>41.6958166480197</v>
      </c>
      <c r="W762" s="0" t="n">
        <v>27.0920853757199</v>
      </c>
      <c r="X762" s="0" t="n">
        <v>0</v>
      </c>
      <c r="Y762" s="0" t="n">
        <v>1.78551249774216</v>
      </c>
      <c r="Z762" s="0" t="n">
        <v>0</v>
      </c>
      <c r="AA762" s="0" t="n">
        <v>0</v>
      </c>
      <c r="AB762" s="0" t="n">
        <v>0</v>
      </c>
      <c r="AC762" s="0" t="n">
        <v>1</v>
      </c>
      <c r="AD762" s="0" t="n">
        <v>0</v>
      </c>
      <c r="AE762" s="0" t="n">
        <v>0</v>
      </c>
      <c r="AF762" s="0" t="n">
        <v>0</v>
      </c>
      <c r="AG762" s="0" t="n">
        <v>41.9016002908459</v>
      </c>
      <c r="AH762" s="0" t="n">
        <v>0</v>
      </c>
      <c r="AI762" s="0" t="n">
        <v>0</v>
      </c>
      <c r="AK762" s="0" t="n">
        <f aca="false">A762</f>
        <v>745</v>
      </c>
      <c r="AL762" s="0" t="n">
        <v>0</v>
      </c>
      <c r="AM762" s="0" t="n">
        <v>0</v>
      </c>
      <c r="AO762" s="0" t="n">
        <v>745</v>
      </c>
      <c r="AP762" s="0" t="n">
        <v>0</v>
      </c>
      <c r="AQ762" s="0" t="n">
        <v>1.18493316843299</v>
      </c>
      <c r="AR762" s="0" t="n">
        <v>662.745236132224</v>
      </c>
      <c r="AS762" s="0" t="n">
        <v>90</v>
      </c>
      <c r="AT762" s="0" t="n">
        <v>90</v>
      </c>
    </row>
    <row r="763" customFormat="false" ht="12" hidden="false" customHeight="false" outlineLevel="0" collapsed="false">
      <c r="A763" s="0" t="n">
        <v>746</v>
      </c>
      <c r="B763" s="0" t="n">
        <v>1</v>
      </c>
      <c r="C763" s="0" t="n">
        <v>0.562791651294544</v>
      </c>
      <c r="D763" s="0" t="n">
        <v>821.515934483182</v>
      </c>
      <c r="E763" s="0" t="n">
        <v>4</v>
      </c>
      <c r="F763" s="0" t="n">
        <v>2</v>
      </c>
      <c r="G763" s="0" t="n">
        <v>0.5</v>
      </c>
      <c r="H763" s="0" t="n">
        <v>1</v>
      </c>
      <c r="I763" s="0" t="n">
        <v>0</v>
      </c>
      <c r="J763" s="0" t="n">
        <v>822.738655329629</v>
      </c>
      <c r="K763" s="0" t="n">
        <v>0</v>
      </c>
      <c r="L763" s="0" t="n">
        <v>2.15943436251125</v>
      </c>
      <c r="M763" s="0" t="n">
        <v>823.675368845693</v>
      </c>
      <c r="N763" s="0" t="n">
        <v>2.15943436251121</v>
      </c>
      <c r="O763" s="0" t="n">
        <v>746</v>
      </c>
      <c r="P763" s="0" t="n">
        <v>376</v>
      </c>
      <c r="Q763" s="0" t="n">
        <v>370</v>
      </c>
      <c r="R763" s="0" t="n">
        <v>871.080188668044</v>
      </c>
      <c r="S763" s="0" t="n">
        <v>783.728404523833</v>
      </c>
      <c r="T763" s="0" t="n">
        <v>26</v>
      </c>
      <c r="U763" s="0" t="n">
        <v>22</v>
      </c>
      <c r="V763" s="0" t="n">
        <v>33.5030712937435</v>
      </c>
      <c r="W763" s="0" t="n">
        <v>35.6238564608267</v>
      </c>
      <c r="X763" s="0" t="n">
        <v>0</v>
      </c>
      <c r="Y763" s="0" t="n">
        <v>0</v>
      </c>
      <c r="Z763" s="0" t="n">
        <v>2.15943436251121</v>
      </c>
      <c r="AA763" s="0" t="n">
        <v>0</v>
      </c>
      <c r="AB763" s="0" t="n">
        <v>0</v>
      </c>
      <c r="AC763" s="0" t="n">
        <v>0</v>
      </c>
      <c r="AD763" s="0" t="n">
        <v>1</v>
      </c>
      <c r="AE763" s="0" t="n">
        <v>0</v>
      </c>
      <c r="AF763" s="0" t="n">
        <v>0</v>
      </c>
      <c r="AG763" s="0" t="n">
        <v>0</v>
      </c>
      <c r="AH763" s="0" t="n">
        <v>31.4324937062803</v>
      </c>
      <c r="AI763" s="0" t="n">
        <v>0</v>
      </c>
      <c r="AK763" s="0" t="n">
        <f aca="false">A763</f>
        <v>746</v>
      </c>
      <c r="AL763" s="0" t="n">
        <v>1</v>
      </c>
      <c r="AM763" s="0" t="n">
        <v>1</v>
      </c>
      <c r="AO763" s="0" t="n">
        <v>746</v>
      </c>
      <c r="AP763" s="0" t="n">
        <v>1</v>
      </c>
      <c r="AQ763" s="0" t="n">
        <v>1.20530149055902</v>
      </c>
      <c r="AR763" s="0" t="n">
        <v>663.950537622783</v>
      </c>
      <c r="AS763" s="0" t="n">
        <v>90</v>
      </c>
      <c r="AT763" s="0" t="n">
        <v>88</v>
      </c>
    </row>
    <row r="764" customFormat="false" ht="12" hidden="false" customHeight="false" outlineLevel="0" collapsed="false">
      <c r="A764" s="0" t="n">
        <v>747</v>
      </c>
      <c r="B764" s="0" t="n">
        <v>0</v>
      </c>
      <c r="C764" s="0" t="n">
        <v>0.887747266153983</v>
      </c>
      <c r="D764" s="0" t="n">
        <v>822.403681749336</v>
      </c>
      <c r="E764" s="0" t="n">
        <v>4</v>
      </c>
      <c r="F764" s="0" t="n">
        <v>4</v>
      </c>
      <c r="G764" s="0" t="n">
        <v>0.5</v>
      </c>
      <c r="H764" s="0" t="n">
        <v>1</v>
      </c>
      <c r="I764" s="0" t="n">
        <v>0</v>
      </c>
      <c r="J764" s="0" t="n">
        <v>822.738655329629</v>
      </c>
      <c r="K764" s="0" t="n">
        <v>0</v>
      </c>
      <c r="L764" s="0" t="n">
        <v>2.05664902560262</v>
      </c>
      <c r="M764" s="0" t="n">
        <v>825.732017871296</v>
      </c>
      <c r="N764" s="0" t="n">
        <v>3.32833612195986</v>
      </c>
      <c r="O764" s="0" t="n">
        <v>747</v>
      </c>
      <c r="P764" s="0" t="n">
        <v>376</v>
      </c>
      <c r="Q764" s="0" t="n">
        <v>371</v>
      </c>
      <c r="R764" s="0" t="n">
        <v>636.383427066464</v>
      </c>
      <c r="S764" s="0" t="n">
        <v>1004.5057491753</v>
      </c>
      <c r="T764" s="0" t="n">
        <v>19</v>
      </c>
      <c r="U764" s="0" t="n">
        <v>29</v>
      </c>
      <c r="V764" s="0" t="n">
        <v>33.493846954105</v>
      </c>
      <c r="W764" s="0" t="n">
        <v>34.6380098404938</v>
      </c>
      <c r="X764" s="0" t="n">
        <v>0</v>
      </c>
      <c r="Y764" s="0" t="n">
        <v>0</v>
      </c>
      <c r="Z764" s="0" t="n">
        <v>0</v>
      </c>
      <c r="AA764" s="0" t="n">
        <v>3.32833612195986</v>
      </c>
      <c r="AB764" s="0" t="n">
        <v>0</v>
      </c>
      <c r="AC764" s="0" t="n">
        <v>0</v>
      </c>
      <c r="AD764" s="0" t="n">
        <v>0</v>
      </c>
      <c r="AE764" s="0" t="n">
        <v>1</v>
      </c>
      <c r="AF764" s="0" t="n">
        <v>0</v>
      </c>
      <c r="AG764" s="0" t="n">
        <v>0</v>
      </c>
      <c r="AH764" s="0" t="n">
        <v>0</v>
      </c>
      <c r="AI764" s="0" t="n">
        <v>19.3869782248212</v>
      </c>
      <c r="AK764" s="0" t="n">
        <f aca="false">A764</f>
        <v>747</v>
      </c>
      <c r="AL764" s="0" t="n">
        <v>0</v>
      </c>
      <c r="AM764" s="0" t="n">
        <v>0</v>
      </c>
      <c r="AO764" s="0" t="n">
        <v>747</v>
      </c>
      <c r="AP764" s="0" t="n">
        <v>0</v>
      </c>
      <c r="AQ764" s="0" t="n">
        <v>0.499085560753194</v>
      </c>
      <c r="AR764" s="0" t="n">
        <v>664.449623183537</v>
      </c>
      <c r="AS764" s="0" t="n">
        <v>90</v>
      </c>
      <c r="AT764" s="0" t="n">
        <v>90</v>
      </c>
    </row>
    <row r="765" customFormat="false" ht="12" hidden="false" customHeight="false" outlineLevel="0" collapsed="false">
      <c r="A765" s="0" t="n">
        <v>748</v>
      </c>
      <c r="B765" s="0" t="n">
        <v>1</v>
      </c>
      <c r="C765" s="0" t="n">
        <v>0.31523604018411</v>
      </c>
      <c r="D765" s="0" t="n">
        <v>822.71891778952</v>
      </c>
      <c r="E765" s="0" t="n">
        <v>4</v>
      </c>
      <c r="F765" s="0" t="n">
        <v>6</v>
      </c>
      <c r="G765" s="0" t="n">
        <v>0.5</v>
      </c>
      <c r="H765" s="0" t="n">
        <v>0</v>
      </c>
      <c r="I765" s="0" t="n">
        <v>1.83685071321714</v>
      </c>
      <c r="J765" s="0" t="n">
        <v>824.575506042847</v>
      </c>
      <c r="K765" s="0" t="n">
        <v>1.85658825332666</v>
      </c>
      <c r="L765" s="0" t="n">
        <v>0</v>
      </c>
      <c r="M765" s="0" t="n">
        <v>825.732017871296</v>
      </c>
      <c r="N765" s="0" t="n">
        <v>0</v>
      </c>
      <c r="O765" s="0" t="n">
        <v>748</v>
      </c>
      <c r="P765" s="0" t="n">
        <v>377</v>
      </c>
      <c r="Q765" s="0" t="n">
        <v>371</v>
      </c>
      <c r="R765" s="0" t="n">
        <v>929.105758472406</v>
      </c>
      <c r="S765" s="0" t="n">
        <v>715.449624800174</v>
      </c>
      <c r="T765" s="0" t="n">
        <v>28</v>
      </c>
      <c r="U765" s="0" t="n">
        <v>20</v>
      </c>
      <c r="V765" s="0" t="n">
        <v>33.1823366660371</v>
      </c>
      <c r="W765" s="0" t="n">
        <v>35.7723023784968</v>
      </c>
      <c r="X765" s="0" t="n">
        <v>1.85658825332666</v>
      </c>
      <c r="Y765" s="0" t="n">
        <v>0</v>
      </c>
      <c r="Z765" s="0" t="n">
        <v>0</v>
      </c>
      <c r="AA765" s="0" t="n">
        <v>0</v>
      </c>
      <c r="AB765" s="0" t="n">
        <v>1</v>
      </c>
      <c r="AC765" s="0" t="n">
        <v>0</v>
      </c>
      <c r="AD765" s="0" t="n">
        <v>0</v>
      </c>
      <c r="AE765" s="0" t="n">
        <v>0</v>
      </c>
      <c r="AF765" s="0" t="n">
        <v>31.0357277639563</v>
      </c>
      <c r="AG765" s="0" t="n">
        <v>0</v>
      </c>
      <c r="AH765" s="0" t="n">
        <v>0</v>
      </c>
      <c r="AI765" s="0" t="n">
        <v>0</v>
      </c>
      <c r="AK765" s="0" t="n">
        <f aca="false">A765</f>
        <v>748</v>
      </c>
      <c r="AL765" s="0" t="n">
        <v>1</v>
      </c>
      <c r="AM765" s="0" t="n">
        <v>1</v>
      </c>
      <c r="AO765" s="0" t="n">
        <v>748</v>
      </c>
      <c r="AP765" s="0" t="n">
        <v>1</v>
      </c>
      <c r="AQ765" s="0" t="n">
        <v>0.373429511142827</v>
      </c>
      <c r="AR765" s="0" t="n">
        <v>664.823052694679</v>
      </c>
      <c r="AS765" s="0" t="n">
        <v>92</v>
      </c>
      <c r="AT765" s="0" t="n">
        <v>90</v>
      </c>
    </row>
    <row r="766" customFormat="false" ht="12" hidden="false" customHeight="false" outlineLevel="0" collapsed="false">
      <c r="A766" s="0" t="n">
        <v>749</v>
      </c>
      <c r="B766" s="0" t="n">
        <v>1</v>
      </c>
      <c r="C766" s="0" t="n">
        <v>0.878976743071885</v>
      </c>
      <c r="D766" s="0" t="n">
        <v>823.597894532592</v>
      </c>
      <c r="E766" s="0" t="n">
        <v>4</v>
      </c>
      <c r="F766" s="0" t="n">
        <v>6</v>
      </c>
      <c r="G766" s="0" t="n">
        <v>0.5</v>
      </c>
      <c r="H766" s="0" t="n">
        <v>0</v>
      </c>
      <c r="I766" s="0" t="n">
        <v>1.9691764128819</v>
      </c>
      <c r="J766" s="0" t="n">
        <v>826.544682455728</v>
      </c>
      <c r="K766" s="0" t="n">
        <v>2.94678792313664</v>
      </c>
      <c r="L766" s="0" t="n">
        <v>0</v>
      </c>
      <c r="M766" s="0" t="n">
        <v>825.732017871296</v>
      </c>
      <c r="N766" s="0" t="n">
        <v>0</v>
      </c>
      <c r="O766" s="0" t="n">
        <v>749</v>
      </c>
      <c r="P766" s="0" t="n">
        <v>378</v>
      </c>
      <c r="Q766" s="0" t="n">
        <v>371</v>
      </c>
      <c r="R766" s="0" t="n">
        <v>698.43949697949</v>
      </c>
      <c r="S766" s="0" t="n">
        <v>947.690289952559</v>
      </c>
      <c r="T766" s="0" t="n">
        <v>19</v>
      </c>
      <c r="U766" s="0" t="n">
        <v>29</v>
      </c>
      <c r="V766" s="0" t="n">
        <v>36.759954177892</v>
      </c>
      <c r="W766" s="0" t="n">
        <v>32.6788628298716</v>
      </c>
      <c r="X766" s="0" t="n">
        <v>2.94678792313664</v>
      </c>
      <c r="Y766" s="0" t="n">
        <v>0</v>
      </c>
      <c r="Z766" s="0" t="n">
        <v>0</v>
      </c>
      <c r="AA766" s="0" t="n">
        <v>0</v>
      </c>
      <c r="AB766" s="0" t="n">
        <v>1</v>
      </c>
      <c r="AC766" s="0" t="n">
        <v>0</v>
      </c>
      <c r="AD766" s="0" t="n">
        <v>0</v>
      </c>
      <c r="AE766" s="0" t="n">
        <v>0</v>
      </c>
      <c r="AF766" s="0" t="n">
        <v>20.0773196609039</v>
      </c>
      <c r="AG766" s="0" t="n">
        <v>0</v>
      </c>
      <c r="AH766" s="0" t="n">
        <v>0</v>
      </c>
      <c r="AI766" s="0" t="n">
        <v>0</v>
      </c>
      <c r="AK766" s="0" t="n">
        <f aca="false">A766</f>
        <v>749</v>
      </c>
      <c r="AL766" s="0" t="n">
        <v>1</v>
      </c>
      <c r="AM766" s="0" t="n">
        <v>0</v>
      </c>
      <c r="AO766" s="0" t="n">
        <v>749</v>
      </c>
      <c r="AP766" s="0" t="n">
        <v>1</v>
      </c>
      <c r="AQ766" s="0" t="n">
        <v>3.8303988357224</v>
      </c>
      <c r="AR766" s="0" t="n">
        <v>668.653451530402</v>
      </c>
      <c r="AS766" s="0" t="n">
        <v>88</v>
      </c>
      <c r="AT766" s="0" t="n">
        <v>88</v>
      </c>
    </row>
    <row r="767" customFormat="false" ht="12" hidden="false" customHeight="false" outlineLevel="0" collapsed="false">
      <c r="A767" s="0" t="n">
        <v>750</v>
      </c>
      <c r="B767" s="0" t="n">
        <v>1</v>
      </c>
      <c r="C767" s="0" t="n">
        <v>0.291667488456285</v>
      </c>
      <c r="D767" s="0" t="n">
        <v>823.889562021048</v>
      </c>
      <c r="E767" s="0" t="n">
        <v>6</v>
      </c>
      <c r="F767" s="0" t="n">
        <v>4</v>
      </c>
      <c r="G767" s="0" t="n">
        <v>0.5</v>
      </c>
      <c r="H767" s="0" t="n">
        <v>1</v>
      </c>
      <c r="I767" s="0" t="n">
        <v>0</v>
      </c>
      <c r="J767" s="0" t="n">
        <v>826.544682455728</v>
      </c>
      <c r="K767" s="0" t="n">
        <v>0</v>
      </c>
      <c r="L767" s="0" t="n">
        <v>1.7818402297903</v>
      </c>
      <c r="M767" s="0" t="n">
        <v>827.513858101086</v>
      </c>
      <c r="N767" s="0" t="n">
        <v>3.62429608003788</v>
      </c>
      <c r="O767" s="0" t="n">
        <v>750</v>
      </c>
      <c r="P767" s="0" t="n">
        <v>378</v>
      </c>
      <c r="Q767" s="0" t="n">
        <v>372</v>
      </c>
      <c r="R767" s="0" t="n">
        <v>855.267850264288</v>
      </c>
      <c r="S767" s="0" t="n">
        <v>781.032132318951</v>
      </c>
      <c r="T767" s="0" t="n">
        <v>30</v>
      </c>
      <c r="U767" s="0" t="n">
        <v>18</v>
      </c>
      <c r="V767" s="0" t="n">
        <v>28.50891883917</v>
      </c>
      <c r="W767" s="0" t="n">
        <v>43.3904329597586</v>
      </c>
      <c r="X767" s="0" t="n">
        <v>0</v>
      </c>
      <c r="Y767" s="0" t="n">
        <v>0</v>
      </c>
      <c r="Z767" s="0" t="n">
        <v>3.62429608003788</v>
      </c>
      <c r="AA767" s="0" t="n">
        <v>0</v>
      </c>
      <c r="AB767" s="0" t="n">
        <v>0</v>
      </c>
      <c r="AC767" s="0" t="n">
        <v>0</v>
      </c>
      <c r="AD767" s="0" t="n">
        <v>1</v>
      </c>
      <c r="AE767" s="0" t="n">
        <v>0</v>
      </c>
      <c r="AF767" s="0" t="n">
        <v>0</v>
      </c>
      <c r="AG767" s="0" t="n">
        <v>0</v>
      </c>
      <c r="AH767" s="0" t="n">
        <v>17.1529101865983</v>
      </c>
      <c r="AI767" s="0" t="n">
        <v>0</v>
      </c>
      <c r="AK767" s="0" t="n">
        <f aca="false">A767</f>
        <v>750</v>
      </c>
      <c r="AL767" s="0" t="n">
        <v>1</v>
      </c>
      <c r="AM767" s="0" t="n">
        <v>1</v>
      </c>
      <c r="AO767" s="0" t="n">
        <v>750</v>
      </c>
      <c r="AP767" s="0" t="n">
        <v>1</v>
      </c>
      <c r="AQ767" s="0" t="n">
        <v>1.75968413352086</v>
      </c>
      <c r="AR767" s="0" t="n">
        <v>670.413135663923</v>
      </c>
      <c r="AS767" s="0" t="n">
        <v>86</v>
      </c>
      <c r="AT767" s="0" t="n">
        <v>88</v>
      </c>
    </row>
    <row r="768" customFormat="false" ht="12" hidden="false" customHeight="false" outlineLevel="0" collapsed="false">
      <c r="A768" s="0" t="n">
        <v>751</v>
      </c>
      <c r="B768" s="0" t="n">
        <v>1</v>
      </c>
      <c r="C768" s="0" t="n">
        <v>1.02732609605863</v>
      </c>
      <c r="D768" s="0" t="n">
        <v>824.916888117107</v>
      </c>
      <c r="E768" s="0" t="n">
        <v>4</v>
      </c>
      <c r="F768" s="0" t="n">
        <v>6</v>
      </c>
      <c r="G768" s="0" t="n">
        <v>0.5</v>
      </c>
      <c r="H768" s="0" t="n">
        <v>0</v>
      </c>
      <c r="I768" s="0" t="n">
        <v>1.93826029992992</v>
      </c>
      <c r="J768" s="0" t="n">
        <v>828.482942755658</v>
      </c>
      <c r="K768" s="0" t="n">
        <v>3.56605463855158</v>
      </c>
      <c r="L768" s="0" t="n">
        <v>0</v>
      </c>
      <c r="M768" s="0" t="n">
        <v>827.513858101086</v>
      </c>
      <c r="N768" s="0" t="n">
        <v>0</v>
      </c>
      <c r="O768" s="0" t="n">
        <v>751</v>
      </c>
      <c r="P768" s="0" t="n">
        <v>379</v>
      </c>
      <c r="Q768" s="0" t="n">
        <v>372</v>
      </c>
      <c r="R768" s="0" t="n">
        <v>876.365912288782</v>
      </c>
      <c r="S768" s="0" t="n">
        <v>764.267486212942</v>
      </c>
      <c r="T768" s="0" t="n">
        <v>23</v>
      </c>
      <c r="U768" s="0" t="n">
        <v>25</v>
      </c>
      <c r="V768" s="0" t="n">
        <v>38.10284918523</v>
      </c>
      <c r="W768" s="0" t="n">
        <v>30.570577166209</v>
      </c>
      <c r="X768" s="0" t="n">
        <v>3.56605463855158</v>
      </c>
      <c r="Y768" s="0" t="n">
        <v>0</v>
      </c>
      <c r="Z768" s="0" t="n">
        <v>0</v>
      </c>
      <c r="AA768" s="0" t="n">
        <v>0</v>
      </c>
      <c r="AB768" s="0" t="n">
        <v>1</v>
      </c>
      <c r="AC768" s="0" t="n">
        <v>0</v>
      </c>
      <c r="AD768" s="0" t="n">
        <v>0</v>
      </c>
      <c r="AE768" s="0" t="n">
        <v>0</v>
      </c>
      <c r="AF768" s="0" t="n">
        <v>14.9112247389999</v>
      </c>
      <c r="AG768" s="0" t="n">
        <v>0</v>
      </c>
      <c r="AH768" s="0" t="n">
        <v>0</v>
      </c>
      <c r="AI768" s="0" t="n">
        <v>0</v>
      </c>
      <c r="AK768" s="0" t="n">
        <f aca="false">A768</f>
        <v>751</v>
      </c>
      <c r="AL768" s="0" t="n">
        <v>1</v>
      </c>
      <c r="AM768" s="0" t="n">
        <v>0</v>
      </c>
      <c r="AO768" s="0" t="n">
        <v>751</v>
      </c>
      <c r="AP768" s="0" t="n">
        <v>1</v>
      </c>
      <c r="AQ768" s="0" t="n">
        <v>0.00811813860274062</v>
      </c>
      <c r="AR768" s="0" t="n">
        <v>670.421253802525</v>
      </c>
      <c r="AS768" s="0" t="n">
        <v>88</v>
      </c>
      <c r="AT768" s="0" t="n">
        <v>88</v>
      </c>
    </row>
    <row r="769" customFormat="false" ht="12" hidden="false" customHeight="false" outlineLevel="0" collapsed="false">
      <c r="A769" s="0" t="n">
        <v>752</v>
      </c>
      <c r="B769" s="0" t="n">
        <v>0</v>
      </c>
      <c r="C769" s="0" t="n">
        <v>0.0516021000032366</v>
      </c>
      <c r="D769" s="0" t="n">
        <v>824.96849021711</v>
      </c>
      <c r="E769" s="0" t="n">
        <v>6</v>
      </c>
      <c r="F769" s="0" t="n">
        <v>6</v>
      </c>
      <c r="G769" s="0" t="n">
        <v>0.5</v>
      </c>
      <c r="H769" s="0" t="n">
        <v>1</v>
      </c>
      <c r="I769" s="0" t="n">
        <v>0</v>
      </c>
      <c r="J769" s="0" t="n">
        <v>828.482942755658</v>
      </c>
      <c r="K769" s="0" t="n">
        <v>0</v>
      </c>
      <c r="L769" s="0" t="n">
        <v>2.24068065553453</v>
      </c>
      <c r="M769" s="0" t="n">
        <v>829.754538756621</v>
      </c>
      <c r="N769" s="0" t="n">
        <v>4.78604853951049</v>
      </c>
      <c r="O769" s="0" t="n">
        <v>752</v>
      </c>
      <c r="P769" s="0" t="n">
        <v>379</v>
      </c>
      <c r="Q769" s="0" t="n">
        <v>373</v>
      </c>
      <c r="R769" s="0" t="n">
        <v>792.395208634036</v>
      </c>
      <c r="S769" s="0" t="n">
        <v>856.354594910329</v>
      </c>
      <c r="T769" s="0" t="n">
        <v>25</v>
      </c>
      <c r="U769" s="0" t="n">
        <v>23</v>
      </c>
      <c r="V769" s="0" t="n">
        <v>31.6957956670432</v>
      </c>
      <c r="W769" s="0" t="n">
        <v>37.23264659329</v>
      </c>
      <c r="X769" s="0" t="n">
        <v>0</v>
      </c>
      <c r="Y769" s="0" t="n">
        <v>0</v>
      </c>
      <c r="Z769" s="0" t="n">
        <v>0</v>
      </c>
      <c r="AA769" s="0" t="n">
        <v>4.78604853951049</v>
      </c>
      <c r="AB769" s="0" t="n">
        <v>0</v>
      </c>
      <c r="AC769" s="0" t="n">
        <v>0</v>
      </c>
      <c r="AD769" s="0" t="n">
        <v>0</v>
      </c>
      <c r="AE769" s="0" t="n">
        <v>1</v>
      </c>
      <c r="AF769" s="0" t="n">
        <v>0</v>
      </c>
      <c r="AG769" s="0" t="n">
        <v>0</v>
      </c>
      <c r="AH769" s="0" t="n">
        <v>0</v>
      </c>
      <c r="AI769" s="0" t="n">
        <v>8.67509971482457</v>
      </c>
      <c r="AK769" s="0" t="n">
        <f aca="false">A769</f>
        <v>752</v>
      </c>
      <c r="AL769" s="0" t="n">
        <v>0</v>
      </c>
      <c r="AM769" s="0" t="n">
        <v>1</v>
      </c>
      <c r="AO769" s="0" t="n">
        <v>752</v>
      </c>
      <c r="AP769" s="0" t="n">
        <v>1</v>
      </c>
      <c r="AQ769" s="0" t="n">
        <v>0.121307102664972</v>
      </c>
      <c r="AR769" s="0" t="n">
        <v>670.54256090519</v>
      </c>
      <c r="AS769" s="0" t="n">
        <v>88</v>
      </c>
      <c r="AT769" s="0" t="n">
        <v>90</v>
      </c>
    </row>
    <row r="770" customFormat="false" ht="12" hidden="false" customHeight="false" outlineLevel="0" collapsed="false">
      <c r="A770" s="0" t="n">
        <v>753</v>
      </c>
      <c r="B770" s="0" t="n">
        <v>0</v>
      </c>
      <c r="C770" s="0" t="n">
        <v>0.921626634225457</v>
      </c>
      <c r="D770" s="0" t="n">
        <v>825.890116851336</v>
      </c>
      <c r="E770" s="0" t="n">
        <v>6</v>
      </c>
      <c r="F770" s="0" t="n">
        <v>6</v>
      </c>
      <c r="G770" s="0" t="n">
        <v>0.5</v>
      </c>
      <c r="H770" s="0" t="n">
        <v>1</v>
      </c>
      <c r="I770" s="0" t="n">
        <v>0</v>
      </c>
      <c r="J770" s="0" t="n">
        <v>828.482942755658</v>
      </c>
      <c r="K770" s="0" t="n">
        <v>0</v>
      </c>
      <c r="L770" s="0" t="n">
        <v>1.9047438637784</v>
      </c>
      <c r="M770" s="0" t="n">
        <v>831.659282620399</v>
      </c>
      <c r="N770" s="0" t="n">
        <v>5.76916576906342</v>
      </c>
      <c r="O770" s="0" t="n">
        <v>753</v>
      </c>
      <c r="P770" s="0" t="n">
        <v>379</v>
      </c>
      <c r="Q770" s="0" t="n">
        <v>374</v>
      </c>
      <c r="R770" s="0" t="n">
        <v>918.675094176264</v>
      </c>
      <c r="S770" s="0" t="n">
        <v>753.590002306531</v>
      </c>
      <c r="T770" s="0" t="n">
        <v>27</v>
      </c>
      <c r="U770" s="0" t="n">
        <v>21</v>
      </c>
      <c r="V770" s="0" t="n">
        <v>34.0249908861613</v>
      </c>
      <c r="W770" s="0" t="n">
        <v>35.8850673238</v>
      </c>
      <c r="X770" s="0" t="n">
        <v>0</v>
      </c>
      <c r="Y770" s="0" t="n">
        <v>0</v>
      </c>
      <c r="Z770" s="0" t="n">
        <v>0</v>
      </c>
      <c r="AA770" s="0" t="n">
        <v>5.76916576906342</v>
      </c>
      <c r="AB770" s="0" t="n">
        <v>0</v>
      </c>
      <c r="AC770" s="0" t="n">
        <v>0</v>
      </c>
      <c r="AD770" s="0" t="n">
        <v>0</v>
      </c>
      <c r="AE770" s="0" t="n">
        <v>1</v>
      </c>
      <c r="AF770" s="0" t="n">
        <v>0</v>
      </c>
      <c r="AG770" s="0" t="n">
        <v>0</v>
      </c>
      <c r="AH770" s="0" t="n">
        <v>0</v>
      </c>
      <c r="AI770" s="0" t="n">
        <v>3.85036616770513</v>
      </c>
      <c r="AK770" s="0" t="n">
        <f aca="false">A770</f>
        <v>753</v>
      </c>
      <c r="AL770" s="0" t="n">
        <v>0</v>
      </c>
      <c r="AM770" s="0" t="n">
        <v>0</v>
      </c>
      <c r="AO770" s="0" t="n">
        <v>753</v>
      </c>
      <c r="AP770" s="0" t="n">
        <v>1</v>
      </c>
      <c r="AQ770" s="0" t="n">
        <v>0.190039472816009</v>
      </c>
      <c r="AR770" s="0" t="n">
        <v>670.732600378006</v>
      </c>
      <c r="AS770" s="0" t="n">
        <v>90</v>
      </c>
      <c r="AT770" s="0" t="n">
        <v>90</v>
      </c>
    </row>
    <row r="771" customFormat="false" ht="12" hidden="false" customHeight="false" outlineLevel="0" collapsed="false">
      <c r="A771" s="0" t="n">
        <v>754</v>
      </c>
      <c r="B771" s="0" t="n">
        <v>1</v>
      </c>
      <c r="C771" s="0" t="n">
        <v>4.62702817553754</v>
      </c>
      <c r="D771" s="0" t="n">
        <v>830.517145026873</v>
      </c>
      <c r="E771" s="0" t="n">
        <v>2</v>
      </c>
      <c r="F771" s="0" t="n">
        <v>4</v>
      </c>
      <c r="G771" s="0" t="n">
        <v>0.5</v>
      </c>
      <c r="H771" s="0" t="n">
        <v>0</v>
      </c>
      <c r="I771" s="0" t="n">
        <v>1.97562642261712</v>
      </c>
      <c r="J771" s="0" t="n">
        <v>832.49277144949</v>
      </c>
      <c r="K771" s="0" t="n">
        <v>1.9756264226171</v>
      </c>
      <c r="L771" s="0" t="n">
        <v>0</v>
      </c>
      <c r="M771" s="0" t="n">
        <v>831.659282620399</v>
      </c>
      <c r="N771" s="0" t="n">
        <v>0</v>
      </c>
      <c r="O771" s="0" t="n">
        <v>754</v>
      </c>
      <c r="P771" s="0" t="n">
        <v>380</v>
      </c>
      <c r="Q771" s="0" t="n">
        <v>374</v>
      </c>
      <c r="R771" s="0" t="n">
        <v>980.218770575127</v>
      </c>
      <c r="S771" s="0" t="n">
        <v>667.577693763989</v>
      </c>
      <c r="T771" s="0" t="n">
        <v>27</v>
      </c>
      <c r="U771" s="0" t="n">
        <v>21</v>
      </c>
      <c r="V771" s="0" t="n">
        <v>36.3043854641212</v>
      </c>
      <c r="W771" s="0" t="n">
        <v>31.7892626113204</v>
      </c>
      <c r="X771" s="0" t="n">
        <v>1.9756264226171</v>
      </c>
      <c r="Y771" s="0" t="n">
        <v>0</v>
      </c>
      <c r="Z771" s="0" t="n">
        <v>0</v>
      </c>
      <c r="AA771" s="0" t="n">
        <v>0</v>
      </c>
      <c r="AB771" s="0" t="n">
        <v>1</v>
      </c>
      <c r="AC771" s="0" t="n">
        <v>0</v>
      </c>
      <c r="AD771" s="0" t="n">
        <v>0</v>
      </c>
      <c r="AE771" s="0" t="n">
        <v>0</v>
      </c>
      <c r="AF771" s="0" t="n">
        <v>29.7235812605486</v>
      </c>
      <c r="AG771" s="0" t="n">
        <v>0</v>
      </c>
      <c r="AH771" s="0" t="n">
        <v>0</v>
      </c>
      <c r="AI771" s="0" t="n">
        <v>0</v>
      </c>
      <c r="AK771" s="0" t="n">
        <f aca="false">A771</f>
        <v>754</v>
      </c>
      <c r="AL771" s="0" t="n">
        <v>1</v>
      </c>
      <c r="AM771" s="0" t="n">
        <v>1</v>
      </c>
      <c r="AO771" s="0" t="n">
        <v>754</v>
      </c>
      <c r="AP771" s="0" t="n">
        <v>0</v>
      </c>
      <c r="AQ771" s="0" t="n">
        <v>0.253538286305347</v>
      </c>
      <c r="AR771" s="0" t="n">
        <v>670.986138664312</v>
      </c>
      <c r="AS771" s="0" t="n">
        <v>90</v>
      </c>
      <c r="AT771" s="0" t="n">
        <v>92</v>
      </c>
    </row>
    <row r="772" customFormat="false" ht="12" hidden="false" customHeight="false" outlineLevel="0" collapsed="false">
      <c r="A772" s="0" t="n">
        <v>755</v>
      </c>
      <c r="B772" s="0" t="n">
        <v>0</v>
      </c>
      <c r="C772" s="0" t="n">
        <v>0.467968770656605</v>
      </c>
      <c r="D772" s="0" t="n">
        <v>830.98511379753</v>
      </c>
      <c r="E772" s="0" t="n">
        <v>4</v>
      </c>
      <c r="F772" s="0" t="n">
        <v>4</v>
      </c>
      <c r="G772" s="0" t="n">
        <v>0.5</v>
      </c>
      <c r="H772" s="0" t="n">
        <v>0</v>
      </c>
      <c r="I772" s="0" t="n">
        <v>1.83123007788782</v>
      </c>
      <c r="J772" s="0" t="n">
        <v>834.324001527378</v>
      </c>
      <c r="K772" s="0" t="n">
        <v>3.33888772984824</v>
      </c>
      <c r="L772" s="0" t="n">
        <v>0</v>
      </c>
      <c r="M772" s="0" t="n">
        <v>831.659282620399</v>
      </c>
      <c r="N772" s="0" t="n">
        <v>0</v>
      </c>
      <c r="O772" s="0" t="n">
        <v>755</v>
      </c>
      <c r="P772" s="0" t="n">
        <v>381</v>
      </c>
      <c r="Q772" s="0" t="n">
        <v>374</v>
      </c>
      <c r="R772" s="0" t="n">
        <v>667.501506478319</v>
      </c>
      <c r="S772" s="0" t="n">
        <v>992.610371449067</v>
      </c>
      <c r="T772" s="0" t="n">
        <v>23</v>
      </c>
      <c r="U772" s="0" t="n">
        <v>25</v>
      </c>
      <c r="V772" s="0" t="n">
        <v>29.0217920113217</v>
      </c>
      <c r="W772" s="0" t="n">
        <v>39.7042560409385</v>
      </c>
      <c r="X772" s="0" t="n">
        <v>0</v>
      </c>
      <c r="Y772" s="0" t="n">
        <v>3.33888772984824</v>
      </c>
      <c r="Z772" s="0" t="n">
        <v>0</v>
      </c>
      <c r="AA772" s="0" t="n">
        <v>0</v>
      </c>
      <c r="AB772" s="0" t="n">
        <v>0</v>
      </c>
      <c r="AC772" s="0" t="n">
        <v>1</v>
      </c>
      <c r="AD772" s="0" t="n">
        <v>0</v>
      </c>
      <c r="AE772" s="0" t="n">
        <v>0</v>
      </c>
      <c r="AF772" s="0" t="n">
        <v>0</v>
      </c>
      <c r="AG772" s="0" t="n">
        <v>24.2041300847833</v>
      </c>
      <c r="AH772" s="0" t="n">
        <v>0</v>
      </c>
      <c r="AI772" s="0" t="n">
        <v>0</v>
      </c>
      <c r="AK772" s="0" t="n">
        <f aca="false">A772</f>
        <v>755</v>
      </c>
      <c r="AL772" s="0" t="n">
        <v>0</v>
      </c>
      <c r="AM772" s="0" t="n">
        <v>0</v>
      </c>
      <c r="AO772" s="0" t="n">
        <v>755</v>
      </c>
      <c r="AP772" s="0" t="n">
        <v>1</v>
      </c>
      <c r="AQ772" s="0" t="n">
        <v>1.70375948216021</v>
      </c>
      <c r="AR772" s="0" t="n">
        <v>672.689898146472</v>
      </c>
      <c r="AS772" s="0" t="n">
        <v>90</v>
      </c>
      <c r="AT772" s="0" t="n">
        <v>90</v>
      </c>
    </row>
    <row r="773" customFormat="false" ht="12" hidden="false" customHeight="false" outlineLevel="0" collapsed="false">
      <c r="A773" s="0" t="n">
        <v>756</v>
      </c>
      <c r="B773" s="0" t="n">
        <v>0</v>
      </c>
      <c r="C773" s="0" t="n">
        <v>0.433156073243739</v>
      </c>
      <c r="D773" s="0" t="n">
        <v>831.418269870773</v>
      </c>
      <c r="E773" s="0" t="n">
        <v>6</v>
      </c>
      <c r="F773" s="0" t="n">
        <v>4</v>
      </c>
      <c r="G773" s="0" t="n">
        <v>0.5</v>
      </c>
      <c r="H773" s="0" t="n">
        <v>0</v>
      </c>
      <c r="I773" s="0" t="n">
        <v>2.22955076884365</v>
      </c>
      <c r="J773" s="0" t="n">
        <v>836.553552296222</v>
      </c>
      <c r="K773" s="0" t="n">
        <v>5.13528242544817</v>
      </c>
      <c r="L773" s="0" t="n">
        <v>0</v>
      </c>
      <c r="M773" s="0" t="n">
        <v>831.659282620399</v>
      </c>
      <c r="N773" s="0" t="n">
        <v>0</v>
      </c>
      <c r="O773" s="0" t="n">
        <v>756</v>
      </c>
      <c r="P773" s="0" t="n">
        <v>382</v>
      </c>
      <c r="Q773" s="0" t="n">
        <v>374</v>
      </c>
      <c r="R773" s="0" t="n">
        <v>835.097954214008</v>
      </c>
      <c r="S773" s="0" t="n">
        <v>828.81877202525</v>
      </c>
      <c r="T773" s="0" t="n">
        <v>27</v>
      </c>
      <c r="U773" s="0" t="n">
        <v>21</v>
      </c>
      <c r="V773" s="0" t="n">
        <v>30.929542404392</v>
      </c>
      <c r="W773" s="0" t="n">
        <v>39.4673726327613</v>
      </c>
      <c r="X773" s="0" t="n">
        <v>0</v>
      </c>
      <c r="Y773" s="0" t="n">
        <v>5.13528242544817</v>
      </c>
      <c r="Z773" s="0" t="n">
        <v>0</v>
      </c>
      <c r="AA773" s="0" t="n">
        <v>0</v>
      </c>
      <c r="AB773" s="0" t="n">
        <v>0</v>
      </c>
      <c r="AC773" s="0" t="n">
        <v>1</v>
      </c>
      <c r="AD773" s="0" t="n">
        <v>0</v>
      </c>
      <c r="AE773" s="0" t="n">
        <v>0</v>
      </c>
      <c r="AF773" s="0" t="n">
        <v>0</v>
      </c>
      <c r="AG773" s="0" t="n">
        <v>9.7554689953159</v>
      </c>
      <c r="AH773" s="0" t="n">
        <v>0</v>
      </c>
      <c r="AI773" s="0" t="n">
        <v>0</v>
      </c>
      <c r="AK773" s="0" t="n">
        <f aca="false">A773</f>
        <v>756</v>
      </c>
      <c r="AL773" s="0" t="n">
        <v>1</v>
      </c>
      <c r="AM773" s="0" t="n">
        <v>1</v>
      </c>
      <c r="AO773" s="0" t="n">
        <v>756</v>
      </c>
      <c r="AP773" s="0" t="n">
        <v>0</v>
      </c>
      <c r="AQ773" s="0" t="n">
        <v>0.228469075756398</v>
      </c>
      <c r="AR773" s="0" t="n">
        <v>672.918367222228</v>
      </c>
      <c r="AS773" s="0" t="n">
        <v>92</v>
      </c>
      <c r="AT773" s="0" t="n">
        <v>90</v>
      </c>
    </row>
    <row r="774" customFormat="false" ht="12" hidden="false" customHeight="false" outlineLevel="0" collapsed="false">
      <c r="A774" s="0" t="n">
        <v>757</v>
      </c>
      <c r="B774" s="0" t="n">
        <v>1</v>
      </c>
      <c r="C774" s="0" t="n">
        <v>2.70653524907105</v>
      </c>
      <c r="D774" s="0" t="n">
        <v>834.124805119845</v>
      </c>
      <c r="E774" s="0" t="n">
        <v>6</v>
      </c>
      <c r="F774" s="0" t="n">
        <v>2</v>
      </c>
      <c r="G774" s="0" t="n">
        <v>0.5</v>
      </c>
      <c r="H774" s="0" t="n">
        <v>1</v>
      </c>
      <c r="I774" s="0" t="n">
        <v>0</v>
      </c>
      <c r="J774" s="0" t="n">
        <v>836.553552296222</v>
      </c>
      <c r="K774" s="0" t="n">
        <v>0</v>
      </c>
      <c r="L774" s="0" t="n">
        <v>1.86648889544956</v>
      </c>
      <c r="M774" s="0" t="n">
        <v>835.991294015294</v>
      </c>
      <c r="N774" s="0" t="n">
        <v>1.86648889544961</v>
      </c>
      <c r="O774" s="0" t="n">
        <v>757</v>
      </c>
      <c r="P774" s="0" t="n">
        <v>382</v>
      </c>
      <c r="Q774" s="0" t="n">
        <v>375</v>
      </c>
      <c r="R774" s="0" t="n">
        <v>1053.25775839403</v>
      </c>
      <c r="S774" s="0" t="n">
        <v>609.925071825538</v>
      </c>
      <c r="T774" s="0" t="n">
        <v>28</v>
      </c>
      <c r="U774" s="0" t="n">
        <v>20</v>
      </c>
      <c r="V774" s="0" t="n">
        <v>37.616335079667</v>
      </c>
      <c r="W774" s="0" t="n">
        <v>30.4961011107713</v>
      </c>
      <c r="X774" s="0" t="n">
        <v>0</v>
      </c>
      <c r="Y774" s="0" t="n">
        <v>0</v>
      </c>
      <c r="Z774" s="0" t="n">
        <v>1.86648889544961</v>
      </c>
      <c r="AA774" s="0" t="n">
        <v>0</v>
      </c>
      <c r="AB774" s="0" t="n">
        <v>0</v>
      </c>
      <c r="AC774" s="0" t="n">
        <v>0</v>
      </c>
      <c r="AD774" s="0" t="n">
        <v>1</v>
      </c>
      <c r="AE774" s="0" t="n">
        <v>0</v>
      </c>
      <c r="AF774" s="0" t="n">
        <v>0</v>
      </c>
      <c r="AG774" s="0" t="n">
        <v>0</v>
      </c>
      <c r="AH774" s="0" t="n">
        <v>34.8030900632909</v>
      </c>
      <c r="AI774" s="0" t="n">
        <v>0</v>
      </c>
      <c r="AK774" s="0" t="n">
        <f aca="false">A774</f>
        <v>757</v>
      </c>
      <c r="AL774" s="0" t="n">
        <v>2</v>
      </c>
      <c r="AM774" s="0" t="n">
        <v>2</v>
      </c>
      <c r="AO774" s="0" t="n">
        <v>757</v>
      </c>
      <c r="AP774" s="0" t="n">
        <v>0</v>
      </c>
      <c r="AQ774" s="0" t="n">
        <v>0.609540265108255</v>
      </c>
      <c r="AR774" s="0" t="n">
        <v>673.527907487337</v>
      </c>
      <c r="AS774" s="0" t="n">
        <v>94</v>
      </c>
      <c r="AT774" s="0" t="n">
        <v>90</v>
      </c>
    </row>
    <row r="775" customFormat="false" ht="12" hidden="false" customHeight="false" outlineLevel="0" collapsed="false">
      <c r="A775" s="0" t="n">
        <v>758</v>
      </c>
      <c r="B775" s="0" t="n">
        <v>0</v>
      </c>
      <c r="C775" s="0" t="n">
        <v>0.750953318673918</v>
      </c>
      <c r="D775" s="0" t="n">
        <v>834.875758438519</v>
      </c>
      <c r="E775" s="0" t="n">
        <v>4</v>
      </c>
      <c r="F775" s="0" t="n">
        <v>4</v>
      </c>
      <c r="G775" s="0" t="n">
        <v>0.5</v>
      </c>
      <c r="H775" s="0" t="n">
        <v>1</v>
      </c>
      <c r="I775" s="0" t="n">
        <v>0</v>
      </c>
      <c r="J775" s="0" t="n">
        <v>836.553552296222</v>
      </c>
      <c r="K775" s="0" t="n">
        <v>0</v>
      </c>
      <c r="L775" s="0" t="n">
        <v>2.16868813001109</v>
      </c>
      <c r="M775" s="0" t="n">
        <v>838.159982145305</v>
      </c>
      <c r="N775" s="0" t="n">
        <v>3.28422370678675</v>
      </c>
      <c r="O775" s="0" t="n">
        <v>758</v>
      </c>
      <c r="P775" s="0" t="n">
        <v>382</v>
      </c>
      <c r="Q775" s="0" t="n">
        <v>376</v>
      </c>
      <c r="R775" s="0" t="n">
        <v>518.205584141389</v>
      </c>
      <c r="S775" s="0" t="n">
        <v>1147.83407598908</v>
      </c>
      <c r="T775" s="0" t="n">
        <v>14</v>
      </c>
      <c r="U775" s="0" t="n">
        <v>34</v>
      </c>
      <c r="V775" s="0" t="n">
        <v>37.0146581424862</v>
      </c>
      <c r="W775" s="0" t="n">
        <v>33.7597264710715</v>
      </c>
      <c r="X775" s="0" t="n">
        <v>0</v>
      </c>
      <c r="Y775" s="0" t="n">
        <v>0</v>
      </c>
      <c r="Z775" s="0" t="n">
        <v>0</v>
      </c>
      <c r="AA775" s="0" t="n">
        <v>3.28422370678675</v>
      </c>
      <c r="AB775" s="0" t="n">
        <v>0</v>
      </c>
      <c r="AC775" s="0" t="n">
        <v>0</v>
      </c>
      <c r="AD775" s="0" t="n">
        <v>0</v>
      </c>
      <c r="AE775" s="0" t="n">
        <v>1</v>
      </c>
      <c r="AF775" s="0" t="n">
        <v>0</v>
      </c>
      <c r="AG775" s="0" t="n">
        <v>0</v>
      </c>
      <c r="AH775" s="0" t="n">
        <v>0</v>
      </c>
      <c r="AI775" s="0" t="n">
        <v>19.7773837608692</v>
      </c>
      <c r="AK775" s="0" t="n">
        <f aca="false">A775</f>
        <v>758</v>
      </c>
      <c r="AL775" s="0" t="n">
        <v>0</v>
      </c>
      <c r="AM775" s="0" t="n">
        <v>0</v>
      </c>
      <c r="AO775" s="0" t="n">
        <v>758</v>
      </c>
      <c r="AP775" s="0" t="n">
        <v>1</v>
      </c>
      <c r="AQ775" s="0" t="n">
        <v>0.556149723434902</v>
      </c>
      <c r="AR775" s="0" t="n">
        <v>674.084057210772</v>
      </c>
      <c r="AS775" s="0" t="n">
        <v>92</v>
      </c>
      <c r="AT775" s="0" t="n">
        <v>92</v>
      </c>
    </row>
    <row r="776" customFormat="false" ht="12" hidden="false" customHeight="false" outlineLevel="0" collapsed="false">
      <c r="A776" s="0" t="n">
        <v>759</v>
      </c>
      <c r="B776" s="0" t="n">
        <v>1</v>
      </c>
      <c r="C776" s="0" t="n">
        <v>1.28016289992439</v>
      </c>
      <c r="D776" s="0" t="n">
        <v>836.155921338443</v>
      </c>
      <c r="E776" s="0" t="n">
        <v>4</v>
      </c>
      <c r="F776" s="0" t="n">
        <v>4</v>
      </c>
      <c r="G776" s="0" t="n">
        <v>0.5</v>
      </c>
      <c r="H776" s="0" t="n">
        <v>1</v>
      </c>
      <c r="I776" s="0" t="n">
        <v>0</v>
      </c>
      <c r="J776" s="0" t="n">
        <v>836.553552296222</v>
      </c>
      <c r="K776" s="0" t="n">
        <v>0</v>
      </c>
      <c r="L776" s="0" t="n">
        <v>1.82341644024682</v>
      </c>
      <c r="M776" s="0" t="n">
        <v>839.983398585552</v>
      </c>
      <c r="N776" s="0" t="n">
        <v>3.82747724710919</v>
      </c>
      <c r="O776" s="0" t="n">
        <v>759</v>
      </c>
      <c r="P776" s="0" t="n">
        <v>382</v>
      </c>
      <c r="Q776" s="0" t="n">
        <v>377</v>
      </c>
      <c r="R776" s="0" t="n">
        <v>818.609270630678</v>
      </c>
      <c r="S776" s="0" t="n">
        <v>854.228835301841</v>
      </c>
      <c r="T776" s="0" t="n">
        <v>23</v>
      </c>
      <c r="U776" s="0" t="n">
        <v>25</v>
      </c>
      <c r="V776" s="0" t="n">
        <v>35.5916919440765</v>
      </c>
      <c r="W776" s="0" t="n">
        <v>34.1690167360067</v>
      </c>
      <c r="X776" s="0" t="n">
        <v>0</v>
      </c>
      <c r="Y776" s="0" t="n">
        <v>0</v>
      </c>
      <c r="Z776" s="0" t="n">
        <v>3.82747724710919</v>
      </c>
      <c r="AA776" s="0" t="n">
        <v>0</v>
      </c>
      <c r="AB776" s="0" t="n">
        <v>0</v>
      </c>
      <c r="AC776" s="0" t="n">
        <v>0</v>
      </c>
      <c r="AD776" s="0" t="n">
        <v>1</v>
      </c>
      <c r="AE776" s="0" t="n">
        <v>0</v>
      </c>
      <c r="AF776" s="0" t="n">
        <v>0</v>
      </c>
      <c r="AG776" s="0" t="n">
        <v>0</v>
      </c>
      <c r="AH776" s="0" t="n">
        <v>15.5111996049698</v>
      </c>
      <c r="AI776" s="0" t="n">
        <v>0</v>
      </c>
      <c r="AK776" s="0" t="n">
        <f aca="false">A776</f>
        <v>759</v>
      </c>
      <c r="AL776" s="0" t="n">
        <v>0</v>
      </c>
      <c r="AM776" s="0" t="n">
        <v>1</v>
      </c>
      <c r="AO776" s="0" t="n">
        <v>759</v>
      </c>
      <c r="AP776" s="0" t="n">
        <v>0</v>
      </c>
      <c r="AQ776" s="0" t="n">
        <v>0.0167744782768297</v>
      </c>
      <c r="AR776" s="0" t="n">
        <v>674.100831689048</v>
      </c>
      <c r="AS776" s="0" t="n">
        <v>94</v>
      </c>
      <c r="AT776" s="0" t="n">
        <v>92</v>
      </c>
    </row>
    <row r="777" customFormat="false" ht="12" hidden="false" customHeight="false" outlineLevel="0" collapsed="false">
      <c r="A777" s="0" t="n">
        <v>760</v>
      </c>
      <c r="B777" s="0" t="n">
        <v>1</v>
      </c>
      <c r="C777" s="0" t="n">
        <v>0.233397101787492</v>
      </c>
      <c r="D777" s="0" t="n">
        <v>836.38931844023</v>
      </c>
      <c r="E777" s="0" t="n">
        <v>4</v>
      </c>
      <c r="F777" s="0" t="n">
        <v>6</v>
      </c>
      <c r="G777" s="0" t="n">
        <v>0.5</v>
      </c>
      <c r="H777" s="0" t="n">
        <v>0</v>
      </c>
      <c r="I777" s="0" t="n">
        <v>2.06593839877134</v>
      </c>
      <c r="J777" s="0" t="n">
        <v>838.619490694993</v>
      </c>
      <c r="K777" s="0" t="n">
        <v>2.23017225476258</v>
      </c>
      <c r="L777" s="0" t="n">
        <v>0</v>
      </c>
      <c r="M777" s="0" t="n">
        <v>839.983398585552</v>
      </c>
      <c r="N777" s="0" t="n">
        <v>0</v>
      </c>
      <c r="O777" s="0" t="n">
        <v>760</v>
      </c>
      <c r="P777" s="0" t="n">
        <v>383</v>
      </c>
      <c r="Q777" s="0" t="n">
        <v>377</v>
      </c>
      <c r="R777" s="0" t="n">
        <v>816.452719660826</v>
      </c>
      <c r="S777" s="0" t="n">
        <v>856.113975067746</v>
      </c>
      <c r="T777" s="0" t="n">
        <v>22</v>
      </c>
      <c r="U777" s="0" t="n">
        <v>26</v>
      </c>
      <c r="V777" s="0" t="n">
        <v>37.1114703884601</v>
      </c>
      <c r="W777" s="0" t="n">
        <v>32.9273339359366</v>
      </c>
      <c r="X777" s="0" t="n">
        <v>2.23017225476258</v>
      </c>
      <c r="Y777" s="0" t="n">
        <v>0</v>
      </c>
      <c r="Z777" s="0" t="n">
        <v>0</v>
      </c>
      <c r="AA777" s="0" t="n">
        <v>0</v>
      </c>
      <c r="AB777" s="0" t="n">
        <v>1</v>
      </c>
      <c r="AC777" s="0" t="n">
        <v>0</v>
      </c>
      <c r="AD777" s="0" t="n">
        <v>0</v>
      </c>
      <c r="AE777" s="0" t="n">
        <v>0</v>
      </c>
      <c r="AF777" s="0" t="n">
        <v>27.0128408313402</v>
      </c>
      <c r="AG777" s="0" t="n">
        <v>0</v>
      </c>
      <c r="AH777" s="0" t="n">
        <v>0</v>
      </c>
      <c r="AI777" s="0" t="n">
        <v>0</v>
      </c>
      <c r="AK777" s="0" t="n">
        <f aca="false">A777</f>
        <v>760</v>
      </c>
      <c r="AL777" s="0" t="n">
        <v>1</v>
      </c>
      <c r="AM777" s="0" t="n">
        <v>2</v>
      </c>
      <c r="AO777" s="0" t="n">
        <v>760</v>
      </c>
      <c r="AP777" s="0" t="n">
        <v>0</v>
      </c>
      <c r="AQ777" s="0" t="n">
        <v>0.105609145847318</v>
      </c>
      <c r="AR777" s="0" t="n">
        <v>674.206440834896</v>
      </c>
      <c r="AS777" s="0" t="n">
        <v>96</v>
      </c>
      <c r="AT777" s="0" t="n">
        <v>92</v>
      </c>
    </row>
    <row r="778" customFormat="false" ht="12" hidden="false" customHeight="false" outlineLevel="0" collapsed="false">
      <c r="A778" s="0" t="n">
        <v>761</v>
      </c>
      <c r="B778" s="0" t="n">
        <v>1</v>
      </c>
      <c r="C778" s="0" t="n">
        <v>0.432110194201038</v>
      </c>
      <c r="D778" s="0" t="n">
        <v>836.821428634431</v>
      </c>
      <c r="E778" s="0" t="n">
        <v>4</v>
      </c>
      <c r="F778" s="0" t="n">
        <v>6</v>
      </c>
      <c r="G778" s="0" t="n">
        <v>0.5</v>
      </c>
      <c r="H778" s="0" t="n">
        <v>0</v>
      </c>
      <c r="I778" s="0" t="n">
        <v>1.85747215312161</v>
      </c>
      <c r="J778" s="0" t="n">
        <v>840.476962848115</v>
      </c>
      <c r="K778" s="0" t="n">
        <v>3.65553421368315</v>
      </c>
      <c r="L778" s="0" t="n">
        <v>0</v>
      </c>
      <c r="M778" s="0" t="n">
        <v>839.983398585552</v>
      </c>
      <c r="N778" s="0" t="n">
        <v>0</v>
      </c>
      <c r="O778" s="0" t="n">
        <v>761</v>
      </c>
      <c r="P778" s="0" t="n">
        <v>384</v>
      </c>
      <c r="Q778" s="0" t="n">
        <v>377</v>
      </c>
      <c r="R778" s="0" t="n">
        <v>901.098432537813</v>
      </c>
      <c r="S778" s="0" t="n">
        <v>777.830627908494</v>
      </c>
      <c r="T778" s="0" t="n">
        <v>26</v>
      </c>
      <c r="U778" s="0" t="n">
        <v>22</v>
      </c>
      <c r="V778" s="0" t="n">
        <v>34.6576186908318</v>
      </c>
      <c r="W778" s="0" t="n">
        <v>35.3557769241273</v>
      </c>
      <c r="X778" s="0" t="n">
        <v>3.65553421368315</v>
      </c>
      <c r="Y778" s="0" t="n">
        <v>0</v>
      </c>
      <c r="Z778" s="0" t="n">
        <v>0</v>
      </c>
      <c r="AA778" s="0" t="n">
        <v>0</v>
      </c>
      <c r="AB778" s="0" t="n">
        <v>1</v>
      </c>
      <c r="AC778" s="0" t="n">
        <v>0</v>
      </c>
      <c r="AD778" s="0" t="n">
        <v>0</v>
      </c>
      <c r="AE778" s="0" t="n">
        <v>0</v>
      </c>
      <c r="AF778" s="0" t="n">
        <v>14.2281795900602</v>
      </c>
      <c r="AG778" s="0" t="n">
        <v>0</v>
      </c>
      <c r="AH778" s="0" t="n">
        <v>0</v>
      </c>
      <c r="AI778" s="0" t="n">
        <v>0</v>
      </c>
      <c r="AK778" s="0" t="n">
        <f aca="false">A778</f>
        <v>761</v>
      </c>
      <c r="AL778" s="0" t="n">
        <v>1</v>
      </c>
      <c r="AM778" s="0" t="n">
        <v>2</v>
      </c>
      <c r="AO778" s="0" t="n">
        <v>761</v>
      </c>
      <c r="AP778" s="0" t="n">
        <v>1</v>
      </c>
      <c r="AQ778" s="0" t="n">
        <v>1.09011424320661</v>
      </c>
      <c r="AR778" s="0" t="n">
        <v>675.296555078102</v>
      </c>
      <c r="AS778" s="0" t="n">
        <v>96</v>
      </c>
      <c r="AT778" s="0" t="n">
        <v>92</v>
      </c>
    </row>
    <row r="779" customFormat="false" ht="12" hidden="false" customHeight="false" outlineLevel="0" collapsed="false">
      <c r="A779" s="0" t="n">
        <v>762</v>
      </c>
      <c r="B779" s="0" t="n">
        <v>0</v>
      </c>
      <c r="C779" s="0" t="n">
        <v>0.870600581606785</v>
      </c>
      <c r="D779" s="0" t="n">
        <v>837.692029216038</v>
      </c>
      <c r="E779" s="0" t="n">
        <v>6</v>
      </c>
      <c r="F779" s="0" t="n">
        <v>6</v>
      </c>
      <c r="G779" s="0" t="n">
        <v>0.5</v>
      </c>
      <c r="H779" s="0" t="n">
        <v>1</v>
      </c>
      <c r="I779" s="0" t="n">
        <v>0</v>
      </c>
      <c r="J779" s="0" t="n">
        <v>840.476962848115</v>
      </c>
      <c r="K779" s="0" t="n">
        <v>0</v>
      </c>
      <c r="L779" s="0" t="n">
        <v>2.17512516376736</v>
      </c>
      <c r="M779" s="0" t="n">
        <v>842.158523749319</v>
      </c>
      <c r="N779" s="0" t="n">
        <v>4.46649453328109</v>
      </c>
      <c r="O779" s="0" t="n">
        <v>762</v>
      </c>
      <c r="P779" s="0" t="n">
        <v>384</v>
      </c>
      <c r="Q779" s="0" t="n">
        <v>378</v>
      </c>
      <c r="R779" s="0" t="n">
        <v>864.240675655629</v>
      </c>
      <c r="S779" s="0" t="n">
        <v>813.039219463731</v>
      </c>
      <c r="T779" s="0" t="n">
        <v>23</v>
      </c>
      <c r="U779" s="0" t="n">
        <v>25</v>
      </c>
      <c r="V779" s="0" t="n">
        <v>37.575665212999</v>
      </c>
      <c r="W779" s="0" t="n">
        <v>32.5214386927945</v>
      </c>
      <c r="X779" s="0" t="n">
        <v>0</v>
      </c>
      <c r="Y779" s="0" t="n">
        <v>0</v>
      </c>
      <c r="Z779" s="0" t="n">
        <v>0</v>
      </c>
      <c r="AA779" s="0" t="n">
        <v>4.46649453328109</v>
      </c>
      <c r="AB779" s="0" t="n">
        <v>0</v>
      </c>
      <c r="AC779" s="0" t="n">
        <v>0</v>
      </c>
      <c r="AD779" s="0" t="n">
        <v>0</v>
      </c>
      <c r="AE779" s="0" t="n">
        <v>1</v>
      </c>
      <c r="AF779" s="0" t="n">
        <v>0</v>
      </c>
      <c r="AG779" s="0" t="n">
        <v>0</v>
      </c>
      <c r="AH779" s="0" t="n">
        <v>0</v>
      </c>
      <c r="AI779" s="0" t="n">
        <v>10.6596126826608</v>
      </c>
      <c r="AK779" s="0" t="n">
        <f aca="false">A779</f>
        <v>762</v>
      </c>
      <c r="AL779" s="0" t="n">
        <v>0</v>
      </c>
      <c r="AM779" s="0" t="n">
        <v>0</v>
      </c>
      <c r="AO779" s="0" t="n">
        <v>762</v>
      </c>
      <c r="AP779" s="0" t="n">
        <v>1</v>
      </c>
      <c r="AQ779" s="0" t="n">
        <v>0.94831814850238</v>
      </c>
      <c r="AR779" s="0" t="n">
        <v>676.244873226605</v>
      </c>
      <c r="AS779" s="0" t="n">
        <v>94</v>
      </c>
      <c r="AT779" s="0" t="n">
        <v>94</v>
      </c>
    </row>
    <row r="780" customFormat="false" ht="12" hidden="false" customHeight="false" outlineLevel="0" collapsed="false">
      <c r="A780" s="0" t="n">
        <v>763</v>
      </c>
      <c r="B780" s="0" t="n">
        <v>0</v>
      </c>
      <c r="C780" s="0" t="n">
        <v>2.3153628719976</v>
      </c>
      <c r="D780" s="0" t="n">
        <v>840.007392088036</v>
      </c>
      <c r="E780" s="0" t="n">
        <v>4</v>
      </c>
      <c r="F780" s="0" t="n">
        <v>4</v>
      </c>
      <c r="G780" s="0" t="n">
        <v>0.5</v>
      </c>
      <c r="H780" s="0" t="n">
        <v>0</v>
      </c>
      <c r="I780" s="0" t="n">
        <v>1.8410844059678</v>
      </c>
      <c r="J780" s="0" t="n">
        <v>842.318047254082</v>
      </c>
      <c r="K780" s="0" t="n">
        <v>2.31065516604644</v>
      </c>
      <c r="L780" s="0" t="n">
        <v>0</v>
      </c>
      <c r="M780" s="0" t="n">
        <v>842.158523749319</v>
      </c>
      <c r="N780" s="0" t="n">
        <v>0</v>
      </c>
      <c r="O780" s="0" t="n">
        <v>763</v>
      </c>
      <c r="P780" s="0" t="n">
        <v>385</v>
      </c>
      <c r="Q780" s="0" t="n">
        <v>378</v>
      </c>
      <c r="R780" s="0" t="n">
        <v>723.161489519486</v>
      </c>
      <c r="S780" s="0" t="n">
        <v>972.71838956978</v>
      </c>
      <c r="T780" s="0" t="n">
        <v>27</v>
      </c>
      <c r="U780" s="0" t="n">
        <v>21</v>
      </c>
      <c r="V780" s="0" t="n">
        <v>26.7837489511851</v>
      </c>
      <c r="W780" s="0" t="n">
        <v>46.3197027428336</v>
      </c>
      <c r="X780" s="0" t="n">
        <v>0</v>
      </c>
      <c r="Y780" s="0" t="n">
        <v>2.31065516604644</v>
      </c>
      <c r="Z780" s="0" t="n">
        <v>0</v>
      </c>
      <c r="AA780" s="0" t="n">
        <v>0</v>
      </c>
      <c r="AB780" s="0" t="n">
        <v>0</v>
      </c>
      <c r="AC780" s="0" t="n">
        <v>1</v>
      </c>
      <c r="AD780" s="0" t="n">
        <v>0</v>
      </c>
      <c r="AE780" s="0" t="n">
        <v>0</v>
      </c>
      <c r="AF780" s="0" t="n">
        <v>0</v>
      </c>
      <c r="AG780" s="0" t="n">
        <v>35.3787263163386</v>
      </c>
      <c r="AH780" s="0" t="n">
        <v>0</v>
      </c>
      <c r="AI780" s="0" t="n">
        <v>0</v>
      </c>
      <c r="AK780" s="0" t="n">
        <f aca="false">A780</f>
        <v>763</v>
      </c>
      <c r="AL780" s="0" t="n">
        <v>0</v>
      </c>
      <c r="AM780" s="0" t="n">
        <v>1</v>
      </c>
      <c r="AO780" s="0" t="n">
        <v>763</v>
      </c>
      <c r="AP780" s="0" t="n">
        <v>0</v>
      </c>
      <c r="AQ780" s="0" t="n">
        <v>0.102960561662897</v>
      </c>
      <c r="AR780" s="0" t="n">
        <v>676.347833788268</v>
      </c>
      <c r="AS780" s="0" t="n">
        <v>94</v>
      </c>
      <c r="AT780" s="0" t="n">
        <v>96</v>
      </c>
    </row>
    <row r="781" customFormat="false" ht="12" hidden="false" customHeight="false" outlineLevel="0" collapsed="false">
      <c r="A781" s="0" t="n">
        <v>764</v>
      </c>
      <c r="B781" s="0" t="n">
        <v>1</v>
      </c>
      <c r="C781" s="0" t="n">
        <v>0.364439195482317</v>
      </c>
      <c r="D781" s="0" t="n">
        <v>840.371831283518</v>
      </c>
      <c r="E781" s="0" t="n">
        <v>6</v>
      </c>
      <c r="F781" s="0" t="n">
        <v>4</v>
      </c>
      <c r="G781" s="0" t="n">
        <v>0.5</v>
      </c>
      <c r="H781" s="0" t="n">
        <v>1</v>
      </c>
      <c r="I781" s="0" t="n">
        <v>0</v>
      </c>
      <c r="J781" s="0" t="n">
        <v>842.318047254082</v>
      </c>
      <c r="K781" s="0" t="n">
        <v>0</v>
      </c>
      <c r="L781" s="0" t="n">
        <v>2.23966188706691</v>
      </c>
      <c r="M781" s="0" t="n">
        <v>844.398185636386</v>
      </c>
      <c r="N781" s="0" t="n">
        <v>4.026354352868</v>
      </c>
      <c r="O781" s="0" t="n">
        <v>764</v>
      </c>
      <c r="P781" s="0" t="n">
        <v>385</v>
      </c>
      <c r="Q781" s="0" t="n">
        <v>379</v>
      </c>
      <c r="R781" s="0" t="n">
        <v>957.494165159144</v>
      </c>
      <c r="S781" s="0" t="n">
        <v>732.671752158793</v>
      </c>
      <c r="T781" s="0" t="n">
        <v>23</v>
      </c>
      <c r="U781" s="0" t="n">
        <v>25</v>
      </c>
      <c r="V781" s="0" t="n">
        <v>41.630162993805</v>
      </c>
      <c r="W781" s="0" t="n">
        <v>29.3067528593403</v>
      </c>
      <c r="X781" s="0" t="n">
        <v>0</v>
      </c>
      <c r="Y781" s="0" t="n">
        <v>0</v>
      </c>
      <c r="Z781" s="0" t="n">
        <v>4.026354352868</v>
      </c>
      <c r="AA781" s="0" t="n">
        <v>0</v>
      </c>
      <c r="AB781" s="0" t="n">
        <v>0</v>
      </c>
      <c r="AC781" s="0" t="n">
        <v>0</v>
      </c>
      <c r="AD781" s="0" t="n">
        <v>1</v>
      </c>
      <c r="AE781" s="0" t="n">
        <v>0</v>
      </c>
      <c r="AF781" s="0" t="n">
        <v>0</v>
      </c>
      <c r="AG781" s="0" t="n">
        <v>0</v>
      </c>
      <c r="AH781" s="0" t="n">
        <v>13.9842261674167</v>
      </c>
      <c r="AI781" s="0" t="n">
        <v>0</v>
      </c>
      <c r="AK781" s="0" t="n">
        <f aca="false">A781</f>
        <v>764</v>
      </c>
      <c r="AL781" s="0" t="n">
        <v>1</v>
      </c>
      <c r="AM781" s="0" t="n">
        <v>2</v>
      </c>
      <c r="AO781" s="0" t="n">
        <v>764</v>
      </c>
      <c r="AP781" s="0" t="n">
        <v>0</v>
      </c>
      <c r="AQ781" s="0" t="n">
        <v>0.0664426840331387</v>
      </c>
      <c r="AR781" s="0" t="n">
        <v>676.414276472301</v>
      </c>
      <c r="AS781" s="0" t="n">
        <v>94</v>
      </c>
      <c r="AT781" s="0" t="n">
        <v>98</v>
      </c>
    </row>
    <row r="782" customFormat="false" ht="12" hidden="false" customHeight="false" outlineLevel="0" collapsed="false">
      <c r="A782" s="0" t="n">
        <v>765</v>
      </c>
      <c r="B782" s="0" t="n">
        <v>1</v>
      </c>
      <c r="C782" s="0" t="n">
        <v>1.04224565756781</v>
      </c>
      <c r="D782" s="0" t="n">
        <v>841.414076941086</v>
      </c>
      <c r="E782" s="0" t="n">
        <v>4</v>
      </c>
      <c r="F782" s="0" t="n">
        <v>6</v>
      </c>
      <c r="G782" s="0" t="n">
        <v>0.5</v>
      </c>
      <c r="H782" s="0" t="n">
        <v>0</v>
      </c>
      <c r="I782" s="0" t="n">
        <v>2.01222872298627</v>
      </c>
      <c r="J782" s="0" t="n">
        <v>844.330275977069</v>
      </c>
      <c r="K782" s="0" t="n">
        <v>2.91619903598257</v>
      </c>
      <c r="L782" s="0" t="n">
        <v>0</v>
      </c>
      <c r="M782" s="0" t="n">
        <v>844.398185636386</v>
      </c>
      <c r="N782" s="0" t="n">
        <v>0</v>
      </c>
      <c r="O782" s="0" t="n">
        <v>765</v>
      </c>
      <c r="P782" s="0" t="n">
        <v>386</v>
      </c>
      <c r="Q782" s="0" t="n">
        <v>379</v>
      </c>
      <c r="R782" s="0" t="n">
        <v>996.65268957846</v>
      </c>
      <c r="S782" s="0" t="n">
        <v>679.606546425112</v>
      </c>
      <c r="T782" s="0" t="n">
        <v>29</v>
      </c>
      <c r="U782" s="0" t="n">
        <v>19</v>
      </c>
      <c r="V782" s="0" t="n">
        <v>34.3673222725944</v>
      </c>
      <c r="W782" s="0" t="n">
        <v>35.7685773456514</v>
      </c>
      <c r="X782" s="0" t="n">
        <v>2.91619903598257</v>
      </c>
      <c r="Y782" s="0" t="n">
        <v>0</v>
      </c>
      <c r="Z782" s="0" t="n">
        <v>0</v>
      </c>
      <c r="AA782" s="0" t="n">
        <v>0</v>
      </c>
      <c r="AB782" s="0" t="n">
        <v>1</v>
      </c>
      <c r="AC782" s="0" t="n">
        <v>0</v>
      </c>
      <c r="AD782" s="0" t="n">
        <v>0</v>
      </c>
      <c r="AE782" s="0" t="n">
        <v>0</v>
      </c>
      <c r="AF782" s="0" t="n">
        <v>20.3523790123408</v>
      </c>
      <c r="AG782" s="0" t="n">
        <v>0</v>
      </c>
      <c r="AH782" s="0" t="n">
        <v>0</v>
      </c>
      <c r="AI782" s="0" t="n">
        <v>0</v>
      </c>
      <c r="AK782" s="0" t="n">
        <f aca="false">A782</f>
        <v>765</v>
      </c>
      <c r="AL782" s="0" t="n">
        <v>1</v>
      </c>
      <c r="AM782" s="0" t="n">
        <v>2</v>
      </c>
      <c r="AO782" s="0" t="n">
        <v>765</v>
      </c>
      <c r="AP782" s="0" t="n">
        <v>0</v>
      </c>
      <c r="AQ782" s="0" t="n">
        <v>0.110791868508032</v>
      </c>
      <c r="AR782" s="0" t="n">
        <v>676.525068340809</v>
      </c>
      <c r="AS782" s="0" t="n">
        <v>94</v>
      </c>
      <c r="AT782" s="0" t="n">
        <v>98</v>
      </c>
    </row>
    <row r="783" customFormat="false" ht="12" hidden="false" customHeight="false" outlineLevel="0" collapsed="false">
      <c r="A783" s="0" t="n">
        <v>766</v>
      </c>
      <c r="B783" s="0" t="n">
        <v>1</v>
      </c>
      <c r="C783" s="0" t="n">
        <v>0.797399419930686</v>
      </c>
      <c r="D783" s="0" t="n">
        <v>842.211476361017</v>
      </c>
      <c r="E783" s="0" t="n">
        <v>6</v>
      </c>
      <c r="F783" s="0" t="n">
        <v>4</v>
      </c>
      <c r="G783" s="0" t="n">
        <v>0.5</v>
      </c>
      <c r="H783" s="0" t="n">
        <v>1</v>
      </c>
      <c r="I783" s="0" t="n">
        <v>0</v>
      </c>
      <c r="J783" s="0" t="n">
        <v>844.330275977069</v>
      </c>
      <c r="K783" s="0" t="n">
        <v>0</v>
      </c>
      <c r="L783" s="0" t="n">
        <v>1.98956146893908</v>
      </c>
      <c r="M783" s="0" t="n">
        <v>846.387747105325</v>
      </c>
      <c r="N783" s="0" t="n">
        <v>4.17627074430857</v>
      </c>
      <c r="O783" s="0" t="n">
        <v>766</v>
      </c>
      <c r="P783" s="0" t="n">
        <v>386</v>
      </c>
      <c r="Q783" s="0" t="n">
        <v>380</v>
      </c>
      <c r="R783" s="0" t="n">
        <v>690.863853212434</v>
      </c>
      <c r="S783" s="0" t="n">
        <v>997.792322848555</v>
      </c>
      <c r="T783" s="0" t="n">
        <v>20</v>
      </c>
      <c r="U783" s="0" t="n">
        <v>28</v>
      </c>
      <c r="V783" s="0" t="n">
        <v>34.543175389034</v>
      </c>
      <c r="W783" s="0" t="n">
        <v>35.6353128327597</v>
      </c>
      <c r="X783" s="0" t="n">
        <v>0</v>
      </c>
      <c r="Y783" s="0" t="n">
        <v>0</v>
      </c>
      <c r="Z783" s="0" t="n">
        <v>4.17627074430857</v>
      </c>
      <c r="AA783" s="0" t="n">
        <v>0</v>
      </c>
      <c r="AB783" s="0" t="n">
        <v>0</v>
      </c>
      <c r="AC783" s="0" t="n">
        <v>0</v>
      </c>
      <c r="AD783" s="0" t="n">
        <v>1</v>
      </c>
      <c r="AE783" s="0" t="n">
        <v>0</v>
      </c>
      <c r="AF783" s="0" t="n">
        <v>0</v>
      </c>
      <c r="AG783" s="0" t="n">
        <v>0</v>
      </c>
      <c r="AH783" s="0" t="n">
        <v>12.885461730738</v>
      </c>
      <c r="AI783" s="0" t="n">
        <v>0</v>
      </c>
      <c r="AK783" s="0" t="n">
        <f aca="false">A783</f>
        <v>766</v>
      </c>
      <c r="AL783" s="0" t="n">
        <v>1</v>
      </c>
      <c r="AM783" s="0" t="n">
        <v>4</v>
      </c>
      <c r="AO783" s="0" t="n">
        <v>766</v>
      </c>
      <c r="AP783" s="0" t="n">
        <v>1</v>
      </c>
      <c r="AQ783" s="0" t="n">
        <v>1.70907957101599</v>
      </c>
      <c r="AR783" s="0" t="n">
        <v>678.234147911825</v>
      </c>
      <c r="AS783" s="0" t="n">
        <v>92</v>
      </c>
      <c r="AT783" s="0" t="n">
        <v>100</v>
      </c>
    </row>
    <row r="784" customFormat="false" ht="12" hidden="false" customHeight="false" outlineLevel="0" collapsed="false">
      <c r="A784" s="0" t="n">
        <v>767</v>
      </c>
      <c r="B784" s="0" t="n">
        <v>0</v>
      </c>
      <c r="C784" s="0" t="n">
        <v>0.323384732999361</v>
      </c>
      <c r="D784" s="0" t="n">
        <v>842.534861094016</v>
      </c>
      <c r="E784" s="0" t="n">
        <v>4</v>
      </c>
      <c r="F784" s="0" t="n">
        <v>6</v>
      </c>
      <c r="G784" s="0" t="n">
        <v>0.5</v>
      </c>
      <c r="H784" s="0" t="n">
        <v>0</v>
      </c>
      <c r="I784" s="0" t="n">
        <v>1.84294521803867</v>
      </c>
      <c r="J784" s="0" t="n">
        <v>846.173221195107</v>
      </c>
      <c r="K784" s="0" t="n">
        <v>3.63836010109128</v>
      </c>
      <c r="L784" s="0" t="n">
        <v>0</v>
      </c>
      <c r="M784" s="0" t="n">
        <v>846.387747105325</v>
      </c>
      <c r="N784" s="0" t="n">
        <v>0</v>
      </c>
      <c r="O784" s="0" t="n">
        <v>767</v>
      </c>
      <c r="P784" s="0" t="n">
        <v>387</v>
      </c>
      <c r="Q784" s="0" t="n">
        <v>380</v>
      </c>
      <c r="R784" s="0" t="n">
        <v>901.005931879741</v>
      </c>
      <c r="S784" s="0" t="n">
        <v>809.515407344073</v>
      </c>
      <c r="T784" s="0" t="n">
        <v>26</v>
      </c>
      <c r="U784" s="0" t="n">
        <v>22</v>
      </c>
      <c r="V784" s="0" t="n">
        <v>34.654060974582</v>
      </c>
      <c r="W784" s="0" t="n">
        <v>36.7959876247869</v>
      </c>
      <c r="X784" s="0" t="n">
        <v>0</v>
      </c>
      <c r="Y784" s="0" t="n">
        <v>3.63836010109128</v>
      </c>
      <c r="Z784" s="0" t="n">
        <v>0</v>
      </c>
      <c r="AA784" s="0" t="n">
        <v>0</v>
      </c>
      <c r="AB784" s="0" t="n">
        <v>0</v>
      </c>
      <c r="AC784" s="0" t="n">
        <v>1</v>
      </c>
      <c r="AD784" s="0" t="n">
        <v>0</v>
      </c>
      <c r="AE784" s="0" t="n">
        <v>0</v>
      </c>
      <c r="AF784" s="0" t="n">
        <v>0</v>
      </c>
      <c r="AG784" s="0" t="n">
        <v>21.347143822164</v>
      </c>
      <c r="AH784" s="0" t="n">
        <v>0</v>
      </c>
      <c r="AI784" s="0" t="n">
        <v>0</v>
      </c>
      <c r="AK784" s="0" t="n">
        <f aca="false">A784</f>
        <v>767</v>
      </c>
      <c r="AL784" s="0" t="n">
        <v>1</v>
      </c>
      <c r="AM784" s="0" t="n">
        <v>2</v>
      </c>
      <c r="AO784" s="0" t="n">
        <v>767</v>
      </c>
      <c r="AP784" s="0" t="n">
        <v>1</v>
      </c>
      <c r="AQ784" s="0" t="n">
        <v>0.705606567592221</v>
      </c>
      <c r="AR784" s="0" t="n">
        <v>678.939754479417</v>
      </c>
      <c r="AS784" s="0" t="n">
        <v>94</v>
      </c>
      <c r="AT784" s="0" t="n">
        <v>98</v>
      </c>
    </row>
    <row r="785" customFormat="false" ht="12" hidden="false" customHeight="false" outlineLevel="0" collapsed="false">
      <c r="A785" s="0" t="n">
        <v>768</v>
      </c>
      <c r="B785" s="0" t="n">
        <v>0</v>
      </c>
      <c r="C785" s="0" t="n">
        <v>1.14418778295166</v>
      </c>
      <c r="D785" s="0" t="n">
        <v>843.679048876968</v>
      </c>
      <c r="E785" s="0" t="n">
        <v>6</v>
      </c>
      <c r="F785" s="0" t="n">
        <v>6</v>
      </c>
      <c r="G785" s="0" t="n">
        <v>0.5</v>
      </c>
      <c r="H785" s="0" t="n">
        <v>0</v>
      </c>
      <c r="I785" s="0" t="n">
        <v>2.20887377412478</v>
      </c>
      <c r="J785" s="0" t="n">
        <v>848.382094969232</v>
      </c>
      <c r="K785" s="0" t="n">
        <v>4.70304609226434</v>
      </c>
      <c r="L785" s="0" t="n">
        <v>0</v>
      </c>
      <c r="M785" s="0" t="n">
        <v>846.387747105325</v>
      </c>
      <c r="N785" s="0" t="n">
        <v>0</v>
      </c>
      <c r="O785" s="0" t="n">
        <v>768</v>
      </c>
      <c r="P785" s="0" t="n">
        <v>388</v>
      </c>
      <c r="Q785" s="0" t="n">
        <v>380</v>
      </c>
      <c r="R785" s="0" t="n">
        <v>901.121474357208</v>
      </c>
      <c r="S785" s="0" t="n">
        <v>803.064068370892</v>
      </c>
      <c r="T785" s="0" t="n">
        <v>23</v>
      </c>
      <c r="U785" s="0" t="n">
        <v>25</v>
      </c>
      <c r="V785" s="0" t="n">
        <v>39.1791775028449</v>
      </c>
      <c r="W785" s="0" t="n">
        <v>32.1224342450987</v>
      </c>
      <c r="X785" s="0" t="n">
        <v>0</v>
      </c>
      <c r="Y785" s="0" t="n">
        <v>4.70304609226434</v>
      </c>
      <c r="Z785" s="0" t="n">
        <v>0</v>
      </c>
      <c r="AA785" s="0" t="n">
        <v>0</v>
      </c>
      <c r="AB785" s="0" t="n">
        <v>0</v>
      </c>
      <c r="AC785" s="0" t="n">
        <v>1</v>
      </c>
      <c r="AD785" s="0" t="n">
        <v>0</v>
      </c>
      <c r="AE785" s="0" t="n">
        <v>0</v>
      </c>
      <c r="AF785" s="0" t="n">
        <v>0</v>
      </c>
      <c r="AG785" s="0" t="n">
        <v>12.6423692258751</v>
      </c>
      <c r="AH785" s="0" t="n">
        <v>0</v>
      </c>
      <c r="AI785" s="0" t="n">
        <v>0</v>
      </c>
      <c r="AK785" s="0" t="n">
        <f aca="false">A785</f>
        <v>768</v>
      </c>
      <c r="AL785" s="0" t="n">
        <v>0</v>
      </c>
      <c r="AM785" s="0" t="n">
        <v>2</v>
      </c>
      <c r="AO785" s="0" t="n">
        <v>768</v>
      </c>
      <c r="AP785" s="0" t="n">
        <v>0</v>
      </c>
      <c r="AQ785" s="0" t="n">
        <v>1.08240134169047</v>
      </c>
      <c r="AR785" s="0" t="n">
        <v>680.022155821108</v>
      </c>
      <c r="AS785" s="0" t="n">
        <v>94</v>
      </c>
      <c r="AT785" s="0" t="n">
        <v>98</v>
      </c>
    </row>
    <row r="786" customFormat="false" ht="12" hidden="false" customHeight="false" outlineLevel="0" collapsed="false">
      <c r="A786" s="0" t="n">
        <v>769</v>
      </c>
      <c r="B786" s="0" t="n">
        <v>0</v>
      </c>
      <c r="C786" s="0" t="n">
        <v>1.22243529101835</v>
      </c>
      <c r="D786" s="0" t="n">
        <v>844.901484167986</v>
      </c>
      <c r="E786" s="0" t="n">
        <v>6</v>
      </c>
      <c r="F786" s="0" t="n">
        <v>4</v>
      </c>
      <c r="G786" s="0" t="n">
        <v>0.5</v>
      </c>
      <c r="H786" s="0" t="n">
        <v>1</v>
      </c>
      <c r="I786" s="0" t="n">
        <v>0</v>
      </c>
      <c r="J786" s="0" t="n">
        <v>848.382094969232</v>
      </c>
      <c r="K786" s="0" t="n">
        <v>0</v>
      </c>
      <c r="L786" s="0" t="n">
        <v>1.86748430121943</v>
      </c>
      <c r="M786" s="0" t="n">
        <v>848.255231406545</v>
      </c>
      <c r="N786" s="0" t="n">
        <v>3.35374723855864</v>
      </c>
      <c r="O786" s="0" t="n">
        <v>769</v>
      </c>
      <c r="P786" s="0" t="n">
        <v>388</v>
      </c>
      <c r="Q786" s="0" t="n">
        <v>381</v>
      </c>
      <c r="R786" s="0" t="n">
        <v>1011.78062603917</v>
      </c>
      <c r="S786" s="0" t="n">
        <v>704.840383860772</v>
      </c>
      <c r="T786" s="0" t="n">
        <v>27</v>
      </c>
      <c r="U786" s="0" t="n">
        <v>21</v>
      </c>
      <c r="V786" s="0" t="n">
        <v>37.4733426409534</v>
      </c>
      <c r="W786" s="0" t="n">
        <v>33.5636679759035</v>
      </c>
      <c r="X786" s="0" t="n">
        <v>0</v>
      </c>
      <c r="Y786" s="0" t="n">
        <v>0</v>
      </c>
      <c r="Z786" s="0" t="n">
        <v>0</v>
      </c>
      <c r="AA786" s="0" t="n">
        <v>3.35374723855864</v>
      </c>
      <c r="AB786" s="0" t="n">
        <v>0</v>
      </c>
      <c r="AC786" s="0" t="n">
        <v>0</v>
      </c>
      <c r="AD786" s="0" t="n">
        <v>0</v>
      </c>
      <c r="AE786" s="0" t="n">
        <v>1</v>
      </c>
      <c r="AF786" s="0" t="n">
        <v>0</v>
      </c>
      <c r="AG786" s="0" t="n">
        <v>0</v>
      </c>
      <c r="AH786" s="0" t="n">
        <v>0</v>
      </c>
      <c r="AI786" s="0" t="n">
        <v>19.1638503717454</v>
      </c>
      <c r="AK786" s="0" t="n">
        <f aca="false">A786</f>
        <v>769</v>
      </c>
      <c r="AL786" s="0" t="n">
        <v>1</v>
      </c>
      <c r="AM786" s="0" t="n">
        <v>0</v>
      </c>
      <c r="AO786" s="0" t="n">
        <v>769</v>
      </c>
      <c r="AP786" s="0" t="n">
        <v>1</v>
      </c>
      <c r="AQ786" s="0" t="n">
        <v>0.81184579379443</v>
      </c>
      <c r="AR786" s="0" t="n">
        <v>680.834001614902</v>
      </c>
      <c r="AS786" s="0" t="n">
        <v>96</v>
      </c>
      <c r="AT786" s="0" t="n">
        <v>96</v>
      </c>
    </row>
    <row r="787" customFormat="false" ht="12" hidden="false" customHeight="false" outlineLevel="0" collapsed="false">
      <c r="A787" s="0" t="n">
        <v>770</v>
      </c>
      <c r="B787" s="0" t="n">
        <v>0</v>
      </c>
      <c r="C787" s="0" t="n">
        <v>1.80490590958159</v>
      </c>
      <c r="D787" s="0" t="n">
        <v>846.706390077568</v>
      </c>
      <c r="E787" s="0" t="n">
        <v>4</v>
      </c>
      <c r="F787" s="0" t="n">
        <v>4</v>
      </c>
      <c r="G787" s="0" t="n">
        <v>0.5</v>
      </c>
      <c r="H787" s="0" t="n">
        <v>0</v>
      </c>
      <c r="I787" s="0" t="n">
        <v>1.81709672120427</v>
      </c>
      <c r="J787" s="0" t="n">
        <v>850.199191690436</v>
      </c>
      <c r="K787" s="0" t="n">
        <v>3.49280161286868</v>
      </c>
      <c r="L787" s="0" t="n">
        <v>0</v>
      </c>
      <c r="M787" s="0" t="n">
        <v>848.255231406545</v>
      </c>
      <c r="N787" s="0" t="n">
        <v>0</v>
      </c>
      <c r="O787" s="0" t="n">
        <v>770</v>
      </c>
      <c r="P787" s="0" t="n">
        <v>389</v>
      </c>
      <c r="Q787" s="0" t="n">
        <v>381</v>
      </c>
      <c r="R787" s="0" t="n">
        <v>687.948722974201</v>
      </c>
      <c r="S787" s="0" t="n">
        <v>1033.31620154333</v>
      </c>
      <c r="T787" s="0" t="n">
        <v>21</v>
      </c>
      <c r="U787" s="0" t="n">
        <v>27</v>
      </c>
      <c r="V787" s="0" t="n">
        <v>32.7594473990346</v>
      </c>
      <c r="W787" s="0" t="n">
        <v>38.2708286837208</v>
      </c>
      <c r="X787" s="0" t="n">
        <v>0</v>
      </c>
      <c r="Y787" s="0" t="n">
        <v>3.49280161286868</v>
      </c>
      <c r="Z787" s="0" t="n">
        <v>0</v>
      </c>
      <c r="AA787" s="0" t="n">
        <v>0</v>
      </c>
      <c r="AB787" s="0" t="n">
        <v>0</v>
      </c>
      <c r="AC787" s="0" t="n">
        <v>1</v>
      </c>
      <c r="AD787" s="0" t="n">
        <v>0</v>
      </c>
      <c r="AE787" s="0" t="n">
        <v>0</v>
      </c>
      <c r="AF787" s="0" t="n">
        <v>0</v>
      </c>
      <c r="AG787" s="0" t="n">
        <v>22.7133779713738</v>
      </c>
      <c r="AH787" s="0" t="n">
        <v>0</v>
      </c>
      <c r="AI787" s="0" t="n">
        <v>0</v>
      </c>
      <c r="AK787" s="0" t="n">
        <f aca="false">A787</f>
        <v>770</v>
      </c>
      <c r="AL787" s="0" t="n">
        <v>0</v>
      </c>
      <c r="AM787" s="0" t="n">
        <v>1</v>
      </c>
      <c r="AO787" s="0" t="n">
        <v>770</v>
      </c>
      <c r="AP787" s="0" t="n">
        <v>0</v>
      </c>
      <c r="AQ787" s="0" t="n">
        <v>2.5256619779573</v>
      </c>
      <c r="AR787" s="0" t="n">
        <v>683.359663592859</v>
      </c>
      <c r="AS787" s="0" t="n">
        <v>96</v>
      </c>
      <c r="AT787" s="0" t="n">
        <v>94</v>
      </c>
    </row>
    <row r="788" customFormat="false" ht="12" hidden="false" customHeight="false" outlineLevel="0" collapsed="false">
      <c r="A788" s="0" t="n">
        <v>771</v>
      </c>
      <c r="B788" s="0" t="n">
        <v>0</v>
      </c>
      <c r="C788" s="0" t="n">
        <v>1.96614641812389</v>
      </c>
      <c r="D788" s="0" t="n">
        <v>848.672536495692</v>
      </c>
      <c r="E788" s="0" t="n">
        <v>4</v>
      </c>
      <c r="F788" s="0" t="n">
        <v>2</v>
      </c>
      <c r="G788" s="0" t="n">
        <v>0.5</v>
      </c>
      <c r="H788" s="0" t="n">
        <v>1</v>
      </c>
      <c r="I788" s="0" t="n">
        <v>0</v>
      </c>
      <c r="J788" s="0" t="n">
        <v>850.199191690436</v>
      </c>
      <c r="K788" s="0" t="n">
        <v>0</v>
      </c>
      <c r="L788" s="0" t="n">
        <v>1.78959829865604</v>
      </c>
      <c r="M788" s="0" t="n">
        <v>850.462134794348</v>
      </c>
      <c r="N788" s="0" t="n">
        <v>1.78959829865607</v>
      </c>
      <c r="O788" s="0" t="n">
        <v>771</v>
      </c>
      <c r="P788" s="0" t="n">
        <v>389</v>
      </c>
      <c r="Q788" s="0" t="n">
        <v>382</v>
      </c>
      <c r="R788" s="0" t="n">
        <v>634.361934074399</v>
      </c>
      <c r="S788" s="0" t="n">
        <v>1096.91807402253</v>
      </c>
      <c r="T788" s="0" t="n">
        <v>20</v>
      </c>
      <c r="U788" s="0" t="n">
        <v>28</v>
      </c>
      <c r="V788" s="0" t="n">
        <v>31.7180808446795</v>
      </c>
      <c r="W788" s="0" t="n">
        <v>39.1755055882845</v>
      </c>
      <c r="X788" s="0" t="n">
        <v>0</v>
      </c>
      <c r="Y788" s="0" t="n">
        <v>0</v>
      </c>
      <c r="Z788" s="0" t="n">
        <v>0</v>
      </c>
      <c r="AA788" s="0" t="n">
        <v>1.78959829865607</v>
      </c>
      <c r="AB788" s="0" t="n">
        <v>0</v>
      </c>
      <c r="AC788" s="0" t="n">
        <v>0</v>
      </c>
      <c r="AD788" s="0" t="n">
        <v>0</v>
      </c>
      <c r="AE788" s="0" t="n">
        <v>1</v>
      </c>
      <c r="AF788" s="0" t="n">
        <v>0</v>
      </c>
      <c r="AG788" s="0" t="n">
        <v>0</v>
      </c>
      <c r="AH788" s="0" t="n">
        <v>0</v>
      </c>
      <c r="AI788" s="0" t="n">
        <v>35.3050165140065</v>
      </c>
      <c r="AK788" s="0" t="n">
        <f aca="false">A788</f>
        <v>771</v>
      </c>
      <c r="AL788" s="0" t="n">
        <v>1</v>
      </c>
      <c r="AM788" s="0" t="n">
        <v>1</v>
      </c>
      <c r="AO788" s="0" t="n">
        <v>771</v>
      </c>
      <c r="AP788" s="0" t="n">
        <v>1</v>
      </c>
      <c r="AQ788" s="0" t="n">
        <v>0.658556342381619</v>
      </c>
      <c r="AR788" s="0" t="n">
        <v>684.018219935241</v>
      </c>
      <c r="AS788" s="0" t="n">
        <v>96</v>
      </c>
      <c r="AT788" s="0" t="n">
        <v>94</v>
      </c>
    </row>
    <row r="789" customFormat="false" ht="12" hidden="false" customHeight="false" outlineLevel="0" collapsed="false">
      <c r="A789" s="0" t="n">
        <v>772</v>
      </c>
      <c r="B789" s="0" t="n">
        <v>1</v>
      </c>
      <c r="C789" s="0" t="n">
        <v>2.56982243225894</v>
      </c>
      <c r="D789" s="0" t="n">
        <v>851.242358927951</v>
      </c>
      <c r="E789" s="0" t="n">
        <v>2</v>
      </c>
      <c r="F789" s="0" t="n">
        <v>2</v>
      </c>
      <c r="G789" s="0" t="n">
        <v>0.5</v>
      </c>
      <c r="H789" s="0" t="n">
        <v>1</v>
      </c>
      <c r="I789" s="0" t="n">
        <v>0</v>
      </c>
      <c r="J789" s="0" t="n">
        <v>851.242358927951</v>
      </c>
      <c r="K789" s="0" t="n">
        <v>0</v>
      </c>
      <c r="L789" s="0" t="n">
        <v>1.79294905128723</v>
      </c>
      <c r="M789" s="0" t="n">
        <v>853.035307979238</v>
      </c>
      <c r="N789" s="0" t="n">
        <v>1.79294905128722</v>
      </c>
      <c r="O789" s="0" t="n">
        <v>772</v>
      </c>
      <c r="P789" s="0" t="n">
        <v>389</v>
      </c>
      <c r="Q789" s="0" t="n">
        <v>383</v>
      </c>
      <c r="R789" s="0" t="n">
        <v>989.950699588019</v>
      </c>
      <c r="S789" s="0" t="n">
        <v>736.204152611958</v>
      </c>
      <c r="T789" s="0" t="n">
        <v>27</v>
      </c>
      <c r="U789" s="0" t="n">
        <v>21</v>
      </c>
      <c r="V789" s="0" t="n">
        <v>36.6648271459166</v>
      </c>
      <c r="W789" s="0" t="n">
        <v>35.0571736616472</v>
      </c>
      <c r="X789" s="0" t="n">
        <v>0</v>
      </c>
      <c r="Y789" s="0" t="n">
        <v>0</v>
      </c>
      <c r="Z789" s="0" t="n">
        <v>1.79294905128722</v>
      </c>
      <c r="AA789" s="0" t="n">
        <v>0</v>
      </c>
      <c r="AB789" s="0" t="n">
        <v>0</v>
      </c>
      <c r="AC789" s="0" t="n">
        <v>0</v>
      </c>
      <c r="AD789" s="0" t="n">
        <v>1</v>
      </c>
      <c r="AE789" s="0" t="n">
        <v>0</v>
      </c>
      <c r="AF789" s="0" t="n">
        <v>0</v>
      </c>
      <c r="AG789" s="0" t="n">
        <v>0</v>
      </c>
      <c r="AH789" s="0" t="n">
        <v>35.6761822007324</v>
      </c>
      <c r="AI789" s="0" t="n">
        <v>0</v>
      </c>
      <c r="AK789" s="0" t="n">
        <f aca="false">A789</f>
        <v>772</v>
      </c>
      <c r="AL789" s="0" t="n">
        <v>0</v>
      </c>
      <c r="AM789" s="0" t="n">
        <v>0</v>
      </c>
      <c r="AO789" s="0" t="n">
        <v>772</v>
      </c>
      <c r="AP789" s="0" t="n">
        <v>0</v>
      </c>
      <c r="AQ789" s="0" t="n">
        <v>0.515101731050979</v>
      </c>
      <c r="AR789" s="0" t="n">
        <v>684.533321666292</v>
      </c>
      <c r="AS789" s="0" t="n">
        <v>96</v>
      </c>
      <c r="AT789" s="0" t="n">
        <v>96</v>
      </c>
    </row>
    <row r="790" customFormat="false" ht="12" hidden="false" customHeight="false" outlineLevel="0" collapsed="false">
      <c r="A790" s="0" t="n">
        <v>773</v>
      </c>
      <c r="B790" s="0" t="n">
        <v>1</v>
      </c>
      <c r="C790" s="0" t="n">
        <v>0.844011753056244</v>
      </c>
      <c r="D790" s="0" t="n">
        <v>852.086370681007</v>
      </c>
      <c r="E790" s="0" t="n">
        <v>2</v>
      </c>
      <c r="F790" s="0" t="n">
        <v>4</v>
      </c>
      <c r="G790" s="0" t="n">
        <v>0.5</v>
      </c>
      <c r="H790" s="0" t="n">
        <v>0</v>
      </c>
      <c r="I790" s="0" t="n">
        <v>2.12073574512979</v>
      </c>
      <c r="J790" s="0" t="n">
        <v>854.207106426137</v>
      </c>
      <c r="K790" s="0" t="n">
        <v>2.12073574512976</v>
      </c>
      <c r="L790" s="0" t="n">
        <v>0</v>
      </c>
      <c r="M790" s="0" t="n">
        <v>853.035307979238</v>
      </c>
      <c r="N790" s="0" t="n">
        <v>0</v>
      </c>
      <c r="O790" s="0" t="n">
        <v>773</v>
      </c>
      <c r="P790" s="0" t="n">
        <v>390</v>
      </c>
      <c r="Q790" s="0" t="n">
        <v>383</v>
      </c>
      <c r="R790" s="0" t="n">
        <v>1061.6891666604</v>
      </c>
      <c r="S790" s="0" t="n">
        <v>674.75555772692</v>
      </c>
      <c r="T790" s="0" t="n">
        <v>25</v>
      </c>
      <c r="U790" s="0" t="n">
        <v>23</v>
      </c>
      <c r="V790" s="0" t="n">
        <v>42.4675496793963</v>
      </c>
      <c r="W790" s="0" t="n">
        <v>29.3370706095591</v>
      </c>
      <c r="X790" s="0" t="n">
        <v>2.12073574512976</v>
      </c>
      <c r="Y790" s="0" t="n">
        <v>0</v>
      </c>
      <c r="Z790" s="0" t="n">
        <v>0</v>
      </c>
      <c r="AA790" s="0" t="n">
        <v>0</v>
      </c>
      <c r="AB790" s="0" t="n">
        <v>1</v>
      </c>
      <c r="AC790" s="0" t="n">
        <v>0</v>
      </c>
      <c r="AD790" s="0" t="n">
        <v>0</v>
      </c>
      <c r="AE790" s="0" t="n">
        <v>0</v>
      </c>
      <c r="AF790" s="0" t="n">
        <v>28.1623851597537</v>
      </c>
      <c r="AG790" s="0" t="n">
        <v>0</v>
      </c>
      <c r="AH790" s="0" t="n">
        <v>0</v>
      </c>
      <c r="AI790" s="0" t="n">
        <v>0</v>
      </c>
      <c r="AK790" s="0" t="n">
        <f aca="false">A790</f>
        <v>773</v>
      </c>
      <c r="AL790" s="0" t="n">
        <v>1</v>
      </c>
      <c r="AM790" s="0" t="n">
        <v>1</v>
      </c>
      <c r="AO790" s="0" t="n">
        <v>773</v>
      </c>
      <c r="AP790" s="0" t="n">
        <v>0</v>
      </c>
      <c r="AQ790" s="0" t="n">
        <v>1.5447252044312</v>
      </c>
      <c r="AR790" s="0" t="n">
        <v>686.078046870723</v>
      </c>
      <c r="AS790" s="0" t="n">
        <v>94</v>
      </c>
      <c r="AT790" s="0" t="n">
        <v>96</v>
      </c>
    </row>
    <row r="791" customFormat="false" ht="12" hidden="false" customHeight="false" outlineLevel="0" collapsed="false">
      <c r="A791" s="0" t="n">
        <v>774</v>
      </c>
      <c r="B791" s="0" t="n">
        <v>0</v>
      </c>
      <c r="C791" s="0" t="n">
        <v>0.037361783136262</v>
      </c>
      <c r="D791" s="0" t="n">
        <v>852.123732464143</v>
      </c>
      <c r="E791" s="0" t="n">
        <v>4</v>
      </c>
      <c r="F791" s="0" t="n">
        <v>4</v>
      </c>
      <c r="G791" s="0" t="n">
        <v>0.5</v>
      </c>
      <c r="H791" s="0" t="n">
        <v>1</v>
      </c>
      <c r="I791" s="0" t="n">
        <v>0</v>
      </c>
      <c r="J791" s="0" t="n">
        <v>854.207106426137</v>
      </c>
      <c r="K791" s="0" t="n">
        <v>0</v>
      </c>
      <c r="L791" s="0" t="n">
        <v>2.08305216724068</v>
      </c>
      <c r="M791" s="0" t="n">
        <v>855.118360146478</v>
      </c>
      <c r="N791" s="0" t="n">
        <v>2.99462768233536</v>
      </c>
      <c r="O791" s="0" t="n">
        <v>774</v>
      </c>
      <c r="P791" s="0" t="n">
        <v>390</v>
      </c>
      <c r="Q791" s="0" t="n">
        <v>384</v>
      </c>
      <c r="R791" s="0" t="n">
        <v>686.680444763529</v>
      </c>
      <c r="S791" s="0" t="n">
        <v>1052.49749358592</v>
      </c>
      <c r="T791" s="0" t="n">
        <v>23</v>
      </c>
      <c r="U791" s="0" t="n">
        <v>25</v>
      </c>
      <c r="V791" s="0" t="n">
        <v>29.8556585307367</v>
      </c>
      <c r="W791" s="0" t="n">
        <v>42.0997313445114</v>
      </c>
      <c r="X791" s="0" t="n">
        <v>0</v>
      </c>
      <c r="Y791" s="0" t="n">
        <v>0</v>
      </c>
      <c r="Z791" s="0" t="n">
        <v>0</v>
      </c>
      <c r="AA791" s="0" t="n">
        <v>2.99462768233536</v>
      </c>
      <c r="AB791" s="0" t="n">
        <v>0</v>
      </c>
      <c r="AC791" s="0" t="n">
        <v>0</v>
      </c>
      <c r="AD791" s="0" t="n">
        <v>0</v>
      </c>
      <c r="AE791" s="0" t="n">
        <v>1</v>
      </c>
      <c r="AF791" s="0" t="n">
        <v>0</v>
      </c>
      <c r="AG791" s="0" t="n">
        <v>0</v>
      </c>
      <c r="AH791" s="0" t="n">
        <v>0</v>
      </c>
      <c r="AI791" s="0" t="n">
        <v>22.4370192087192</v>
      </c>
      <c r="AK791" s="0" t="n">
        <f aca="false">A791</f>
        <v>774</v>
      </c>
      <c r="AL791" s="0" t="n">
        <v>0</v>
      </c>
      <c r="AM791" s="0" t="n">
        <v>0</v>
      </c>
      <c r="AO791" s="0" t="n">
        <v>774</v>
      </c>
      <c r="AP791" s="0" t="n">
        <v>0</v>
      </c>
      <c r="AQ791" s="0" t="n">
        <v>0.338751303017031</v>
      </c>
      <c r="AR791" s="0" t="n">
        <v>686.41679817374</v>
      </c>
      <c r="AS791" s="0" t="n">
        <v>96</v>
      </c>
      <c r="AT791" s="0" t="n">
        <v>96</v>
      </c>
    </row>
    <row r="792" customFormat="false" ht="12" hidden="false" customHeight="false" outlineLevel="0" collapsed="false">
      <c r="A792" s="0" t="n">
        <v>775</v>
      </c>
      <c r="B792" s="0" t="n">
        <v>1</v>
      </c>
      <c r="C792" s="0" t="n">
        <v>0.0135428990950454</v>
      </c>
      <c r="D792" s="0" t="n">
        <v>852.137275363238</v>
      </c>
      <c r="E792" s="0" t="n">
        <v>4</v>
      </c>
      <c r="F792" s="0" t="n">
        <v>6</v>
      </c>
      <c r="G792" s="0" t="n">
        <v>0.5</v>
      </c>
      <c r="H792" s="0" t="n">
        <v>0</v>
      </c>
      <c r="I792" s="0" t="n">
        <v>1.80193891568697</v>
      </c>
      <c r="J792" s="0" t="n">
        <v>856.009045341824</v>
      </c>
      <c r="K792" s="0" t="n">
        <v>3.87176997858546</v>
      </c>
      <c r="L792" s="0" t="n">
        <v>0</v>
      </c>
      <c r="M792" s="0" t="n">
        <v>855.118360146478</v>
      </c>
      <c r="N792" s="0" t="n">
        <v>0</v>
      </c>
      <c r="O792" s="0" t="n">
        <v>775</v>
      </c>
      <c r="P792" s="0" t="n">
        <v>391</v>
      </c>
      <c r="Q792" s="0" t="n">
        <v>384</v>
      </c>
      <c r="R792" s="0" t="n">
        <v>728.711508903347</v>
      </c>
      <c r="S792" s="0" t="n">
        <v>995.861008857289</v>
      </c>
      <c r="T792" s="0" t="n">
        <v>21</v>
      </c>
      <c r="U792" s="0" t="n">
        <v>27</v>
      </c>
      <c r="V792" s="0" t="n">
        <v>34.7005315189539</v>
      </c>
      <c r="W792" s="0" t="n">
        <v>36.883604462846</v>
      </c>
      <c r="X792" s="0" t="n">
        <v>3.87176997858546</v>
      </c>
      <c r="Y792" s="0" t="n">
        <v>0</v>
      </c>
      <c r="Z792" s="0" t="n">
        <v>0</v>
      </c>
      <c r="AA792" s="0" t="n">
        <v>0</v>
      </c>
      <c r="AB792" s="0" t="n">
        <v>1</v>
      </c>
      <c r="AC792" s="0" t="n">
        <v>0</v>
      </c>
      <c r="AD792" s="0" t="n">
        <v>0</v>
      </c>
      <c r="AE792" s="0" t="n">
        <v>0</v>
      </c>
      <c r="AF792" s="0" t="n">
        <v>12.6436436731943</v>
      </c>
      <c r="AG792" s="0" t="n">
        <v>0</v>
      </c>
      <c r="AH792" s="0" t="n">
        <v>0</v>
      </c>
      <c r="AI792" s="0" t="n">
        <v>0</v>
      </c>
      <c r="AK792" s="0" t="n">
        <f aca="false">A792</f>
        <v>775</v>
      </c>
      <c r="AL792" s="0" t="n">
        <v>1</v>
      </c>
      <c r="AM792" s="0" t="n">
        <v>1</v>
      </c>
      <c r="AO792" s="0" t="n">
        <v>775</v>
      </c>
      <c r="AP792" s="0" t="n">
        <v>1</v>
      </c>
      <c r="AQ792" s="0" t="n">
        <v>1.65615201043262</v>
      </c>
      <c r="AR792" s="0" t="n">
        <v>688.072950184173</v>
      </c>
      <c r="AS792" s="0" t="n">
        <v>96</v>
      </c>
      <c r="AT792" s="0" t="n">
        <v>94</v>
      </c>
    </row>
    <row r="793" customFormat="false" ht="12" hidden="false" customHeight="false" outlineLevel="0" collapsed="false">
      <c r="A793" s="0" t="n">
        <v>776</v>
      </c>
      <c r="B793" s="0" t="n">
        <v>1</v>
      </c>
      <c r="C793" s="0" t="n">
        <v>1.53127242846734</v>
      </c>
      <c r="D793" s="0" t="n">
        <v>853.668547791705</v>
      </c>
      <c r="E793" s="0" t="n">
        <v>6</v>
      </c>
      <c r="F793" s="0" t="n">
        <v>4</v>
      </c>
      <c r="G793" s="0" t="n">
        <v>0.5</v>
      </c>
      <c r="H793" s="0" t="n">
        <v>1</v>
      </c>
      <c r="I793" s="0" t="n">
        <v>0</v>
      </c>
      <c r="J793" s="0" t="n">
        <v>856.009045341824</v>
      </c>
      <c r="K793" s="0" t="n">
        <v>0</v>
      </c>
      <c r="L793" s="0" t="n">
        <v>2.0256948189322</v>
      </c>
      <c r="M793" s="0" t="n">
        <v>857.144054965411</v>
      </c>
      <c r="N793" s="0" t="n">
        <v>3.47550717370518</v>
      </c>
      <c r="O793" s="0" t="n">
        <v>776</v>
      </c>
      <c r="P793" s="0" t="n">
        <v>391</v>
      </c>
      <c r="Q793" s="0" t="n">
        <v>385</v>
      </c>
      <c r="R793" s="0" t="n">
        <v>1110.35564675987</v>
      </c>
      <c r="S793" s="0" t="n">
        <v>611.06466037248</v>
      </c>
      <c r="T793" s="0" t="n">
        <v>28</v>
      </c>
      <c r="U793" s="0" t="n">
        <v>20</v>
      </c>
      <c r="V793" s="0" t="n">
        <v>39.6555446501582</v>
      </c>
      <c r="W793" s="0" t="n">
        <v>30.5530802532227</v>
      </c>
      <c r="X793" s="0" t="n">
        <v>0</v>
      </c>
      <c r="Y793" s="0" t="n">
        <v>0</v>
      </c>
      <c r="Z793" s="0" t="n">
        <v>3.47550717370518</v>
      </c>
      <c r="AA793" s="0" t="n">
        <v>0</v>
      </c>
      <c r="AB793" s="0" t="n">
        <v>0</v>
      </c>
      <c r="AC793" s="0" t="n">
        <v>0</v>
      </c>
      <c r="AD793" s="0" t="n">
        <v>1</v>
      </c>
      <c r="AE793" s="0" t="n">
        <v>0</v>
      </c>
      <c r="AF793" s="0" t="n">
        <v>0</v>
      </c>
      <c r="AG793" s="0" t="n">
        <v>0</v>
      </c>
      <c r="AH793" s="0" t="n">
        <v>18.4074987362924</v>
      </c>
      <c r="AI793" s="0" t="n">
        <v>0</v>
      </c>
      <c r="AK793" s="0" t="n">
        <f aca="false">A793</f>
        <v>776</v>
      </c>
      <c r="AL793" s="0" t="n">
        <v>1</v>
      </c>
      <c r="AM793" s="0" t="n">
        <v>1</v>
      </c>
      <c r="AO793" s="0" t="n">
        <v>776</v>
      </c>
      <c r="AP793" s="0" t="n">
        <v>0</v>
      </c>
      <c r="AQ793" s="0" t="n">
        <v>1.25515643219382</v>
      </c>
      <c r="AR793" s="0" t="n">
        <v>689.328106616367</v>
      </c>
      <c r="AS793" s="0" t="n">
        <v>96</v>
      </c>
      <c r="AT793" s="0" t="n">
        <v>94</v>
      </c>
    </row>
    <row r="794" customFormat="false" ht="12" hidden="false" customHeight="false" outlineLevel="0" collapsed="false">
      <c r="A794" s="0" t="n">
        <v>777</v>
      </c>
      <c r="B794" s="0" t="n">
        <v>1</v>
      </c>
      <c r="C794" s="0" t="n">
        <v>0.720272607801585</v>
      </c>
      <c r="D794" s="0" t="n">
        <v>854.388820399507</v>
      </c>
      <c r="E794" s="0" t="n">
        <v>4</v>
      </c>
      <c r="F794" s="0" t="n">
        <v>6</v>
      </c>
      <c r="G794" s="0" t="n">
        <v>0.5</v>
      </c>
      <c r="H794" s="0" t="n">
        <v>0</v>
      </c>
      <c r="I794" s="0" t="n">
        <v>1.90466551028641</v>
      </c>
      <c r="J794" s="0" t="n">
        <v>857.91371085211</v>
      </c>
      <c r="K794" s="0" t="n">
        <v>3.5248904526029</v>
      </c>
      <c r="L794" s="0" t="n">
        <v>0</v>
      </c>
      <c r="M794" s="0" t="n">
        <v>857.144054965411</v>
      </c>
      <c r="N794" s="0" t="n">
        <v>0</v>
      </c>
      <c r="O794" s="0" t="n">
        <v>777</v>
      </c>
      <c r="P794" s="0" t="n">
        <v>392</v>
      </c>
      <c r="Q794" s="0" t="n">
        <v>385</v>
      </c>
      <c r="R794" s="0" t="n">
        <v>753.688731450428</v>
      </c>
      <c r="S794" s="0" t="n">
        <v>986.322636005775</v>
      </c>
      <c r="T794" s="0" t="n">
        <v>21</v>
      </c>
      <c r="U794" s="0" t="n">
        <v>27</v>
      </c>
      <c r="V794" s="0" t="n">
        <v>35.8899225024382</v>
      </c>
      <c r="W794" s="0" t="n">
        <v>36.5303327026853</v>
      </c>
      <c r="X794" s="0" t="n">
        <v>3.5248904526029</v>
      </c>
      <c r="Y794" s="0" t="n">
        <v>0</v>
      </c>
      <c r="Z794" s="0" t="n">
        <v>0</v>
      </c>
      <c r="AA794" s="0" t="n">
        <v>0</v>
      </c>
      <c r="AB794" s="0" t="n">
        <v>1</v>
      </c>
      <c r="AC794" s="0" t="n">
        <v>0</v>
      </c>
      <c r="AD794" s="0" t="n">
        <v>0</v>
      </c>
      <c r="AE794" s="0" t="n">
        <v>0</v>
      </c>
      <c r="AF794" s="0" t="n">
        <v>15.2308306902253</v>
      </c>
      <c r="AG794" s="0" t="n">
        <v>0</v>
      </c>
      <c r="AH794" s="0" t="n">
        <v>0</v>
      </c>
      <c r="AI794" s="0" t="n">
        <v>0</v>
      </c>
      <c r="AK794" s="0" t="n">
        <f aca="false">A794</f>
        <v>777</v>
      </c>
      <c r="AL794" s="0" t="n">
        <v>1</v>
      </c>
      <c r="AM794" s="0" t="n">
        <v>1</v>
      </c>
      <c r="AO794" s="0" t="n">
        <v>777</v>
      </c>
      <c r="AP794" s="0" t="n">
        <v>0</v>
      </c>
      <c r="AQ794" s="0" t="n">
        <v>1.5648095969665</v>
      </c>
      <c r="AR794" s="0" t="n">
        <v>690.892916213333</v>
      </c>
      <c r="AS794" s="0" t="n">
        <v>96</v>
      </c>
      <c r="AT794" s="0" t="n">
        <v>94</v>
      </c>
    </row>
    <row r="795" customFormat="false" ht="12" hidden="false" customHeight="false" outlineLevel="0" collapsed="false">
      <c r="A795" s="0" t="n">
        <v>778</v>
      </c>
      <c r="B795" s="0" t="n">
        <v>1</v>
      </c>
      <c r="C795" s="0" t="n">
        <v>0.516753181198913</v>
      </c>
      <c r="D795" s="0" t="n">
        <v>854.905573580706</v>
      </c>
      <c r="E795" s="0" t="n">
        <v>6</v>
      </c>
      <c r="F795" s="0" t="n">
        <v>6</v>
      </c>
      <c r="G795" s="0" t="n">
        <v>0.5</v>
      </c>
      <c r="H795" s="0" t="n">
        <v>1</v>
      </c>
      <c r="I795" s="0" t="n">
        <v>0</v>
      </c>
      <c r="J795" s="0" t="n">
        <v>857.91371085211</v>
      </c>
      <c r="K795" s="0" t="n">
        <v>0</v>
      </c>
      <c r="L795" s="0" t="n">
        <v>1.97556672640219</v>
      </c>
      <c r="M795" s="0" t="n">
        <v>859.119621691813</v>
      </c>
      <c r="N795" s="0" t="n">
        <v>4.21404811110688</v>
      </c>
      <c r="O795" s="0" t="n">
        <v>778</v>
      </c>
      <c r="P795" s="0" t="n">
        <v>392</v>
      </c>
      <c r="Q795" s="0" t="n">
        <v>386</v>
      </c>
      <c r="R795" s="0" t="n">
        <v>926.365131591689</v>
      </c>
      <c r="S795" s="0" t="n">
        <v>816.450096318464</v>
      </c>
      <c r="T795" s="0" t="n">
        <v>25</v>
      </c>
      <c r="U795" s="0" t="n">
        <v>23</v>
      </c>
      <c r="V795" s="0" t="n">
        <v>37.0545904418314</v>
      </c>
      <c r="W795" s="0" t="n">
        <v>35.4976759369944</v>
      </c>
      <c r="X795" s="0" t="n">
        <v>0</v>
      </c>
      <c r="Y795" s="0" t="n">
        <v>0</v>
      </c>
      <c r="Z795" s="0" t="n">
        <v>4.21404811110688</v>
      </c>
      <c r="AA795" s="0" t="n">
        <v>0</v>
      </c>
      <c r="AB795" s="0" t="n">
        <v>0</v>
      </c>
      <c r="AC795" s="0" t="n">
        <v>0</v>
      </c>
      <c r="AD795" s="0" t="n">
        <v>1</v>
      </c>
      <c r="AE795" s="0" t="n">
        <v>0</v>
      </c>
      <c r="AF795" s="0" t="n">
        <v>0</v>
      </c>
      <c r="AG795" s="0" t="n">
        <v>0</v>
      </c>
      <c r="AH795" s="0" t="n">
        <v>12.6156751303474</v>
      </c>
      <c r="AI795" s="0" t="n">
        <v>0</v>
      </c>
      <c r="AK795" s="0" t="n">
        <f aca="false">A795</f>
        <v>778</v>
      </c>
      <c r="AL795" s="0" t="n">
        <v>0</v>
      </c>
      <c r="AM795" s="0" t="n">
        <v>1</v>
      </c>
      <c r="AO795" s="0" t="n">
        <v>778</v>
      </c>
      <c r="AP795" s="0" t="n">
        <v>1</v>
      </c>
      <c r="AQ795" s="0" t="n">
        <v>1.1606946517584</v>
      </c>
      <c r="AR795" s="0" t="n">
        <v>692.053610865091</v>
      </c>
      <c r="AS795" s="0" t="n">
        <v>96</v>
      </c>
      <c r="AT795" s="0" t="n">
        <v>94</v>
      </c>
    </row>
    <row r="796" customFormat="false" ht="12" hidden="false" customHeight="false" outlineLevel="0" collapsed="false">
      <c r="A796" s="0" t="n">
        <v>779</v>
      </c>
      <c r="B796" s="0" t="n">
        <v>0</v>
      </c>
      <c r="C796" s="0" t="n">
        <v>0.219666221387535</v>
      </c>
      <c r="D796" s="0" t="n">
        <v>855.125239802094</v>
      </c>
      <c r="E796" s="0" t="n">
        <v>6</v>
      </c>
      <c r="F796" s="0" t="n">
        <v>6</v>
      </c>
      <c r="G796" s="0" t="n">
        <v>0.5</v>
      </c>
      <c r="H796" s="0" t="n">
        <v>0</v>
      </c>
      <c r="I796" s="0" t="n">
        <v>1.92061057636235</v>
      </c>
      <c r="J796" s="0" t="n">
        <v>859.834321428472</v>
      </c>
      <c r="K796" s="0" t="n">
        <v>4.70908162637875</v>
      </c>
      <c r="L796" s="0" t="n">
        <v>0</v>
      </c>
      <c r="M796" s="0" t="n">
        <v>859.119621691813</v>
      </c>
      <c r="N796" s="0" t="n">
        <v>0</v>
      </c>
      <c r="O796" s="0" t="n">
        <v>779</v>
      </c>
      <c r="P796" s="0" t="n">
        <v>393</v>
      </c>
      <c r="Q796" s="0" t="n">
        <v>386</v>
      </c>
      <c r="R796" s="0" t="n">
        <v>798.753073667098</v>
      </c>
      <c r="S796" s="0" t="n">
        <v>943.040316013394</v>
      </c>
      <c r="T796" s="0" t="n">
        <v>24</v>
      </c>
      <c r="U796" s="0" t="n">
        <v>24</v>
      </c>
      <c r="V796" s="0" t="n">
        <v>33.2813642022273</v>
      </c>
      <c r="W796" s="0" t="n">
        <v>39.2931827789632</v>
      </c>
      <c r="X796" s="0" t="n">
        <v>0</v>
      </c>
      <c r="Y796" s="0" t="n">
        <v>4.70908162637875</v>
      </c>
      <c r="Z796" s="0" t="n">
        <v>0</v>
      </c>
      <c r="AA796" s="0" t="n">
        <v>0</v>
      </c>
      <c r="AB796" s="0" t="n">
        <v>0</v>
      </c>
      <c r="AC796" s="0" t="n">
        <v>1</v>
      </c>
      <c r="AD796" s="0" t="n">
        <v>0</v>
      </c>
      <c r="AE796" s="0" t="n">
        <v>0</v>
      </c>
      <c r="AF796" s="0" t="n">
        <v>0</v>
      </c>
      <c r="AG796" s="0" t="n">
        <v>12.5994856311778</v>
      </c>
      <c r="AH796" s="0" t="n">
        <v>0</v>
      </c>
      <c r="AI796" s="0" t="n">
        <v>0</v>
      </c>
      <c r="AK796" s="0" t="n">
        <f aca="false">A796</f>
        <v>779</v>
      </c>
      <c r="AL796" s="0" t="n">
        <v>0</v>
      </c>
      <c r="AM796" s="0" t="n">
        <v>1</v>
      </c>
      <c r="AO796" s="0" t="n">
        <v>779</v>
      </c>
      <c r="AP796" s="0" t="n">
        <v>1</v>
      </c>
      <c r="AQ796" s="0" t="n">
        <v>0.901815798534412</v>
      </c>
      <c r="AR796" s="0" t="n">
        <v>692.955426663626</v>
      </c>
      <c r="AS796" s="0" t="n">
        <v>94</v>
      </c>
      <c r="AT796" s="0" t="n">
        <v>96</v>
      </c>
    </row>
    <row r="797" customFormat="false" ht="12" hidden="false" customHeight="false" outlineLevel="0" collapsed="false">
      <c r="A797" s="0" t="n">
        <v>780</v>
      </c>
      <c r="B797" s="0" t="n">
        <v>0</v>
      </c>
      <c r="C797" s="0" t="n">
        <v>0.826414887017996</v>
      </c>
      <c r="D797" s="0" t="n">
        <v>855.951654689112</v>
      </c>
      <c r="E797" s="0" t="n">
        <v>8</v>
      </c>
      <c r="F797" s="0" t="n">
        <v>6</v>
      </c>
      <c r="G797" s="0" t="n">
        <v>0.5</v>
      </c>
      <c r="H797" s="0" t="n">
        <v>1</v>
      </c>
      <c r="I797" s="0" t="n">
        <v>0</v>
      </c>
      <c r="J797" s="0" t="n">
        <v>859.834321428472</v>
      </c>
      <c r="K797" s="0" t="n">
        <v>0</v>
      </c>
      <c r="L797" s="0" t="n">
        <v>1.78216232141121</v>
      </c>
      <c r="M797" s="0" t="n">
        <v>860.901784013224</v>
      </c>
      <c r="N797" s="0" t="n">
        <v>4.95012932411248</v>
      </c>
      <c r="O797" s="0" t="n">
        <v>780</v>
      </c>
      <c r="P797" s="0" t="n">
        <v>393</v>
      </c>
      <c r="Q797" s="0" t="n">
        <v>387</v>
      </c>
      <c r="R797" s="0" t="n">
        <v>1010.66495679715</v>
      </c>
      <c r="S797" s="0" t="n">
        <v>721.680561278786</v>
      </c>
      <c r="T797" s="0" t="n">
        <v>26</v>
      </c>
      <c r="U797" s="0" t="n">
        <v>22</v>
      </c>
      <c r="V797" s="0" t="n">
        <v>38.8717141569234</v>
      </c>
      <c r="W797" s="0" t="n">
        <v>32.8035127694322</v>
      </c>
      <c r="X797" s="0" t="n">
        <v>0</v>
      </c>
      <c r="Y797" s="0" t="n">
        <v>0</v>
      </c>
      <c r="Z797" s="0" t="n">
        <v>0</v>
      </c>
      <c r="AA797" s="0" t="n">
        <v>4.95012932411248</v>
      </c>
      <c r="AB797" s="0" t="n">
        <v>0</v>
      </c>
      <c r="AC797" s="0" t="n">
        <v>0</v>
      </c>
      <c r="AD797" s="0" t="n">
        <v>0</v>
      </c>
      <c r="AE797" s="0" t="n">
        <v>1</v>
      </c>
      <c r="AF797" s="0" t="n">
        <v>0</v>
      </c>
      <c r="AG797" s="0" t="n">
        <v>0</v>
      </c>
      <c r="AH797" s="0" t="n">
        <v>0</v>
      </c>
      <c r="AI797" s="0" t="n">
        <v>7.73547081149282</v>
      </c>
      <c r="AK797" s="0" t="n">
        <f aca="false">A797</f>
        <v>780</v>
      </c>
      <c r="AL797" s="0" t="n">
        <v>1</v>
      </c>
      <c r="AM797" s="0" t="n">
        <v>1</v>
      </c>
      <c r="AO797" s="0" t="n">
        <v>780</v>
      </c>
      <c r="AP797" s="0" t="n">
        <v>0</v>
      </c>
      <c r="AQ797" s="0" t="n">
        <v>1.00686300529307</v>
      </c>
      <c r="AR797" s="0" t="n">
        <v>693.962289668919</v>
      </c>
      <c r="AS797" s="0" t="n">
        <v>96</v>
      </c>
      <c r="AT797" s="0" t="n">
        <v>94</v>
      </c>
    </row>
    <row r="798" customFormat="false" ht="12" hidden="false" customHeight="false" outlineLevel="0" collapsed="false">
      <c r="A798" s="0" t="n">
        <v>781</v>
      </c>
      <c r="B798" s="0" t="n">
        <v>1</v>
      </c>
      <c r="C798" s="0" t="n">
        <v>2.00363258013078</v>
      </c>
      <c r="D798" s="0" t="n">
        <v>857.955287269242</v>
      </c>
      <c r="E798" s="0" t="n">
        <v>4</v>
      </c>
      <c r="F798" s="0" t="n">
        <v>6</v>
      </c>
      <c r="G798" s="0" t="n">
        <v>0.5</v>
      </c>
      <c r="H798" s="0" t="n">
        <v>0</v>
      </c>
      <c r="I798" s="0" t="n">
        <v>2.13343046037114</v>
      </c>
      <c r="J798" s="0" t="n">
        <v>861.967751888843</v>
      </c>
      <c r="K798" s="0" t="n">
        <v>4.01246461960113</v>
      </c>
      <c r="L798" s="0" t="n">
        <v>0</v>
      </c>
      <c r="M798" s="0" t="n">
        <v>860.901784013224</v>
      </c>
      <c r="N798" s="0" t="n">
        <v>0</v>
      </c>
      <c r="O798" s="0" t="n">
        <v>781</v>
      </c>
      <c r="P798" s="0" t="n">
        <v>394</v>
      </c>
      <c r="Q798" s="0" t="n">
        <v>387</v>
      </c>
      <c r="R798" s="0" t="n">
        <v>618.819363515086</v>
      </c>
      <c r="S798" s="0" t="n">
        <v>1100.64255451956</v>
      </c>
      <c r="T798" s="0" t="n">
        <v>17</v>
      </c>
      <c r="U798" s="0" t="n">
        <v>31</v>
      </c>
      <c r="V798" s="0" t="n">
        <v>36.4011176178771</v>
      </c>
      <c r="W798" s="0" t="n">
        <v>35.5044840022954</v>
      </c>
      <c r="X798" s="0" t="n">
        <v>4.01246461960113</v>
      </c>
      <c r="Y798" s="0" t="n">
        <v>0</v>
      </c>
      <c r="Z798" s="0" t="n">
        <v>0</v>
      </c>
      <c r="AA798" s="0" t="n">
        <v>0</v>
      </c>
      <c r="AB798" s="0" t="n">
        <v>1</v>
      </c>
      <c r="AC798" s="0" t="n">
        <v>0</v>
      </c>
      <c r="AD798" s="0" t="n">
        <v>0</v>
      </c>
      <c r="AE798" s="0" t="n">
        <v>0</v>
      </c>
      <c r="AF798" s="0" t="n">
        <v>11.6628774145835</v>
      </c>
      <c r="AG798" s="0" t="n">
        <v>0</v>
      </c>
      <c r="AH798" s="0" t="n">
        <v>0</v>
      </c>
      <c r="AI798" s="0" t="n">
        <v>0</v>
      </c>
      <c r="AK798" s="0" t="n">
        <f aca="false">A798</f>
        <v>781</v>
      </c>
      <c r="AL798" s="0" t="n">
        <v>1</v>
      </c>
      <c r="AM798" s="0" t="n">
        <v>1</v>
      </c>
      <c r="AO798" s="0" t="n">
        <v>781</v>
      </c>
      <c r="AP798" s="0" t="n">
        <v>0</v>
      </c>
      <c r="AQ798" s="0" t="n">
        <v>0.293115241451303</v>
      </c>
      <c r="AR798" s="0" t="n">
        <v>694.25540491037</v>
      </c>
      <c r="AS798" s="0" t="n">
        <v>94</v>
      </c>
      <c r="AT798" s="0" t="n">
        <v>96</v>
      </c>
    </row>
    <row r="799" customFormat="false" ht="12" hidden="false" customHeight="false" outlineLevel="0" collapsed="false">
      <c r="A799" s="0" t="n">
        <v>782</v>
      </c>
      <c r="B799" s="0" t="n">
        <v>0</v>
      </c>
      <c r="C799" s="0" t="n">
        <v>0.316081798811087</v>
      </c>
      <c r="D799" s="0" t="n">
        <v>858.271369068053</v>
      </c>
      <c r="E799" s="0" t="n">
        <v>6</v>
      </c>
      <c r="F799" s="0" t="n">
        <v>6</v>
      </c>
      <c r="G799" s="0" t="n">
        <v>0.5</v>
      </c>
      <c r="H799" s="0" t="n">
        <v>0</v>
      </c>
      <c r="I799" s="0" t="n">
        <v>2.16776532544297</v>
      </c>
      <c r="J799" s="0" t="n">
        <v>864.135517214286</v>
      </c>
      <c r="K799" s="0" t="n">
        <v>5.86414814623299</v>
      </c>
      <c r="L799" s="0" t="n">
        <v>0</v>
      </c>
      <c r="M799" s="0" t="n">
        <v>860.901784013224</v>
      </c>
      <c r="N799" s="0" t="n">
        <v>0</v>
      </c>
      <c r="O799" s="0" t="n">
        <v>782</v>
      </c>
      <c r="P799" s="0" t="n">
        <v>395</v>
      </c>
      <c r="Q799" s="0" t="n">
        <v>387</v>
      </c>
      <c r="R799" s="0" t="n">
        <v>898.090596140582</v>
      </c>
      <c r="S799" s="0" t="n">
        <v>829.371666808805</v>
      </c>
      <c r="T799" s="0" t="n">
        <v>25</v>
      </c>
      <c r="U799" s="0" t="n">
        <v>23</v>
      </c>
      <c r="V799" s="0" t="n">
        <v>35.9236094761795</v>
      </c>
      <c r="W799" s="0" t="n">
        <v>36.0594809069876</v>
      </c>
      <c r="X799" s="0" t="n">
        <v>0</v>
      </c>
      <c r="Y799" s="0" t="n">
        <v>5.86414814623299</v>
      </c>
      <c r="Z799" s="0" t="n">
        <v>0</v>
      </c>
      <c r="AA799" s="0" t="n">
        <v>0</v>
      </c>
      <c r="AB799" s="0" t="n">
        <v>0</v>
      </c>
      <c r="AC799" s="0" t="n">
        <v>1</v>
      </c>
      <c r="AD799" s="0" t="n">
        <v>0</v>
      </c>
      <c r="AE799" s="0" t="n">
        <v>0</v>
      </c>
      <c r="AF799" s="0" t="n">
        <v>0</v>
      </c>
      <c r="AG799" s="0" t="n">
        <v>5.73367285190396</v>
      </c>
      <c r="AH799" s="0" t="n">
        <v>0</v>
      </c>
      <c r="AI799" s="0" t="n">
        <v>0</v>
      </c>
      <c r="AK799" s="0" t="n">
        <f aca="false">A799</f>
        <v>782</v>
      </c>
      <c r="AL799" s="0" t="n">
        <v>0</v>
      </c>
      <c r="AM799" s="0" t="n">
        <v>1</v>
      </c>
      <c r="AO799" s="0" t="n">
        <v>782</v>
      </c>
      <c r="AP799" s="0" t="n">
        <v>1</v>
      </c>
      <c r="AQ799" s="0" t="n">
        <v>0.961231975010842</v>
      </c>
      <c r="AR799" s="0" t="n">
        <v>695.216636885381</v>
      </c>
      <c r="AS799" s="0" t="n">
        <v>94</v>
      </c>
      <c r="AT799" s="0" t="n">
        <v>96</v>
      </c>
    </row>
    <row r="800" customFormat="false" ht="12" hidden="false" customHeight="false" outlineLevel="0" collapsed="false">
      <c r="A800" s="0" t="n">
        <v>783</v>
      </c>
      <c r="B800" s="0" t="n">
        <v>0</v>
      </c>
      <c r="C800" s="0" t="n">
        <v>3.58906317085619</v>
      </c>
      <c r="D800" s="0" t="n">
        <v>861.86043223891</v>
      </c>
      <c r="E800" s="0" t="n">
        <v>6</v>
      </c>
      <c r="F800" s="0" t="n">
        <v>2</v>
      </c>
      <c r="G800" s="0" t="n">
        <v>0.5</v>
      </c>
      <c r="H800" s="0" t="n">
        <v>0</v>
      </c>
      <c r="I800" s="0" t="n">
        <v>1.83677172598618</v>
      </c>
      <c r="J800" s="0" t="n">
        <v>865.972288940273</v>
      </c>
      <c r="K800" s="0" t="n">
        <v>4.11185670136297</v>
      </c>
      <c r="L800" s="0" t="n">
        <v>0</v>
      </c>
      <c r="M800" s="0" t="n">
        <v>861.86043223891</v>
      </c>
      <c r="N800" s="0" t="n">
        <v>0</v>
      </c>
      <c r="O800" s="0" t="n">
        <v>783</v>
      </c>
      <c r="P800" s="0" t="n">
        <v>396</v>
      </c>
      <c r="Q800" s="0" t="n">
        <v>387</v>
      </c>
      <c r="R800" s="0" t="n">
        <v>896.332605290931</v>
      </c>
      <c r="S800" s="0" t="n">
        <v>811.116828080195</v>
      </c>
      <c r="T800" s="0" t="n">
        <v>26</v>
      </c>
      <c r="U800" s="0" t="n">
        <v>22</v>
      </c>
      <c r="V800" s="0" t="n">
        <v>34.4743177133752</v>
      </c>
      <c r="W800" s="0" t="n">
        <v>36.8687791455582</v>
      </c>
      <c r="X800" s="0" t="n">
        <v>0</v>
      </c>
      <c r="Y800" s="0" t="n">
        <v>4.11185670136297</v>
      </c>
      <c r="Z800" s="0" t="n">
        <v>0</v>
      </c>
      <c r="AA800" s="0" t="n">
        <v>0</v>
      </c>
      <c r="AB800" s="0" t="n">
        <v>0</v>
      </c>
      <c r="AC800" s="0" t="n">
        <v>1</v>
      </c>
      <c r="AD800" s="0" t="n">
        <v>0</v>
      </c>
      <c r="AE800" s="0" t="n">
        <v>0</v>
      </c>
      <c r="AF800" s="0" t="n">
        <v>0</v>
      </c>
      <c r="AG800" s="0" t="n">
        <v>17.1959530651016</v>
      </c>
      <c r="AH800" s="0" t="n">
        <v>0</v>
      </c>
      <c r="AI800" s="0" t="n">
        <v>0</v>
      </c>
      <c r="AK800" s="0" t="n">
        <f aca="false">A800</f>
        <v>783</v>
      </c>
      <c r="AL800" s="0" t="n">
        <v>2</v>
      </c>
      <c r="AM800" s="0" t="n">
        <v>0</v>
      </c>
      <c r="AO800" s="0" t="n">
        <v>783</v>
      </c>
      <c r="AP800" s="0" t="n">
        <v>0</v>
      </c>
      <c r="AQ800" s="0" t="n">
        <v>0.257176630262041</v>
      </c>
      <c r="AR800" s="0" t="n">
        <v>695.473813515643</v>
      </c>
      <c r="AS800" s="0" t="n">
        <v>96</v>
      </c>
      <c r="AT800" s="0" t="n">
        <v>96</v>
      </c>
    </row>
    <row r="801" customFormat="false" ht="12" hidden="false" customHeight="false" outlineLevel="0" collapsed="false">
      <c r="A801" s="0" t="n">
        <v>784</v>
      </c>
      <c r="B801" s="0" t="n">
        <v>1</v>
      </c>
      <c r="C801" s="0" t="n">
        <v>0.699941249607505</v>
      </c>
      <c r="D801" s="0" t="n">
        <v>862.560373488517</v>
      </c>
      <c r="E801" s="0" t="n">
        <v>6</v>
      </c>
      <c r="F801" s="0" t="n">
        <v>2</v>
      </c>
      <c r="G801" s="0" t="n">
        <v>0.5</v>
      </c>
      <c r="H801" s="0" t="n">
        <v>1</v>
      </c>
      <c r="I801" s="0" t="n">
        <v>0</v>
      </c>
      <c r="J801" s="0" t="n">
        <v>865.972288940273</v>
      </c>
      <c r="K801" s="0" t="n">
        <v>0</v>
      </c>
      <c r="L801" s="0" t="n">
        <v>1.94024993717912</v>
      </c>
      <c r="M801" s="0" t="n">
        <v>864.500623425696</v>
      </c>
      <c r="N801" s="0" t="n">
        <v>1.94024993717915</v>
      </c>
      <c r="O801" s="0" t="n">
        <v>784</v>
      </c>
      <c r="P801" s="0" t="n">
        <v>396</v>
      </c>
      <c r="Q801" s="0" t="n">
        <v>388</v>
      </c>
      <c r="R801" s="0" t="n">
        <v>1019.15056414927</v>
      </c>
      <c r="S801" s="0" t="n">
        <v>700.129924058658</v>
      </c>
      <c r="T801" s="0" t="n">
        <v>30</v>
      </c>
      <c r="U801" s="0" t="n">
        <v>18</v>
      </c>
      <c r="V801" s="0" t="n">
        <v>33.971674147751</v>
      </c>
      <c r="W801" s="0" t="n">
        <v>38.8958908038654</v>
      </c>
      <c r="X801" s="0" t="n">
        <v>0</v>
      </c>
      <c r="Y801" s="0" t="n">
        <v>0</v>
      </c>
      <c r="Z801" s="0" t="n">
        <v>1.94024993717915</v>
      </c>
      <c r="AA801" s="0" t="n">
        <v>0</v>
      </c>
      <c r="AB801" s="0" t="n">
        <v>0</v>
      </c>
      <c r="AC801" s="0" t="n">
        <v>0</v>
      </c>
      <c r="AD801" s="0" t="n">
        <v>1</v>
      </c>
      <c r="AE801" s="0" t="n">
        <v>0</v>
      </c>
      <c r="AF801" s="0" t="n">
        <v>0</v>
      </c>
      <c r="AG801" s="0" t="n">
        <v>0</v>
      </c>
      <c r="AH801" s="0" t="n">
        <v>33.9382368535876</v>
      </c>
      <c r="AI801" s="0" t="n">
        <v>0</v>
      </c>
      <c r="AK801" s="0" t="n">
        <f aca="false">A801</f>
        <v>784</v>
      </c>
      <c r="AL801" s="0" t="n">
        <v>2</v>
      </c>
      <c r="AM801" s="0" t="n">
        <v>0</v>
      </c>
      <c r="AO801" s="0" t="n">
        <v>784</v>
      </c>
      <c r="AP801" s="0" t="n">
        <v>1</v>
      </c>
      <c r="AQ801" s="0" t="n">
        <v>1.72482439237216</v>
      </c>
      <c r="AR801" s="0" t="n">
        <v>697.198637908015</v>
      </c>
      <c r="AS801" s="0" t="n">
        <v>96</v>
      </c>
      <c r="AT801" s="0" t="n">
        <v>96</v>
      </c>
    </row>
    <row r="802" customFormat="false" ht="12" hidden="false" customHeight="false" outlineLevel="0" collapsed="false">
      <c r="A802" s="0" t="n">
        <v>785</v>
      </c>
      <c r="B802" s="0" t="n">
        <v>0</v>
      </c>
      <c r="C802" s="0" t="n">
        <v>0.236581552531593</v>
      </c>
      <c r="D802" s="0" t="n">
        <v>862.796955041049</v>
      </c>
      <c r="E802" s="0" t="n">
        <v>6</v>
      </c>
      <c r="F802" s="0" t="n">
        <v>4</v>
      </c>
      <c r="G802" s="0" t="n">
        <v>0.5</v>
      </c>
      <c r="H802" s="0" t="n">
        <v>1</v>
      </c>
      <c r="I802" s="0" t="n">
        <v>0</v>
      </c>
      <c r="J802" s="0" t="n">
        <v>865.972288940273</v>
      </c>
      <c r="K802" s="0" t="n">
        <v>0</v>
      </c>
      <c r="L802" s="0" t="n">
        <v>2.0278509045782</v>
      </c>
      <c r="M802" s="0" t="n">
        <v>866.528474330274</v>
      </c>
      <c r="N802" s="0" t="n">
        <v>3.73151928922584</v>
      </c>
      <c r="O802" s="0" t="n">
        <v>785</v>
      </c>
      <c r="P802" s="0" t="n">
        <v>396</v>
      </c>
      <c r="Q802" s="0" t="n">
        <v>389</v>
      </c>
      <c r="R802" s="0" t="n">
        <v>980.124560688963</v>
      </c>
      <c r="S802" s="0" t="n">
        <v>761.315887941427</v>
      </c>
      <c r="T802" s="0" t="n">
        <v>26</v>
      </c>
      <c r="U802" s="0" t="n">
        <v>22</v>
      </c>
      <c r="V802" s="0" t="n">
        <v>37.6970839891586</v>
      </c>
      <c r="W802" s="0" t="n">
        <v>34.6051103377451</v>
      </c>
      <c r="X802" s="0" t="n">
        <v>0</v>
      </c>
      <c r="Y802" s="0" t="n">
        <v>0</v>
      </c>
      <c r="Z802" s="0" t="n">
        <v>0</v>
      </c>
      <c r="AA802" s="0" t="n">
        <v>3.73151928922584</v>
      </c>
      <c r="AB802" s="0" t="n">
        <v>0</v>
      </c>
      <c r="AC802" s="0" t="n">
        <v>0</v>
      </c>
      <c r="AD802" s="0" t="n">
        <v>0</v>
      </c>
      <c r="AE802" s="0" t="n">
        <v>1</v>
      </c>
      <c r="AF802" s="0" t="n">
        <v>0</v>
      </c>
      <c r="AG802" s="0" t="n">
        <v>0</v>
      </c>
      <c r="AH802" s="0" t="n">
        <v>0</v>
      </c>
      <c r="AI802" s="0" t="n">
        <v>15.9990517966503</v>
      </c>
      <c r="AK802" s="0" t="n">
        <f aca="false">A802</f>
        <v>785</v>
      </c>
      <c r="AL802" s="0" t="n">
        <v>1</v>
      </c>
      <c r="AM802" s="0" t="n">
        <v>1</v>
      </c>
      <c r="AO802" s="0" t="n">
        <v>785</v>
      </c>
      <c r="AP802" s="0" t="n">
        <v>0</v>
      </c>
      <c r="AQ802" s="0" t="n">
        <v>1.09210845595502</v>
      </c>
      <c r="AR802" s="0" t="n">
        <v>698.29074636397</v>
      </c>
      <c r="AS802" s="0" t="n">
        <v>96</v>
      </c>
      <c r="AT802" s="0" t="n">
        <v>94</v>
      </c>
    </row>
    <row r="803" customFormat="false" ht="12" hidden="false" customHeight="false" outlineLevel="0" collapsed="false">
      <c r="A803" s="0" t="n">
        <v>786</v>
      </c>
      <c r="B803" s="0" t="n">
        <v>1</v>
      </c>
      <c r="C803" s="0" t="n">
        <v>0.265397783749646</v>
      </c>
      <c r="D803" s="0" t="n">
        <v>863.062352824798</v>
      </c>
      <c r="E803" s="0" t="n">
        <v>6</v>
      </c>
      <c r="F803" s="0" t="n">
        <v>6</v>
      </c>
      <c r="G803" s="0" t="n">
        <v>0.5</v>
      </c>
      <c r="H803" s="0" t="n">
        <v>0</v>
      </c>
      <c r="I803" s="0" t="n">
        <v>1.75859541929081</v>
      </c>
      <c r="J803" s="0" t="n">
        <v>867.730884359563</v>
      </c>
      <c r="K803" s="0" t="n">
        <v>4.66853153476507</v>
      </c>
      <c r="L803" s="0" t="n">
        <v>0</v>
      </c>
      <c r="M803" s="0" t="n">
        <v>866.528474330274</v>
      </c>
      <c r="N803" s="0" t="n">
        <v>0</v>
      </c>
      <c r="O803" s="0" t="n">
        <v>786</v>
      </c>
      <c r="P803" s="0" t="n">
        <v>397</v>
      </c>
      <c r="Q803" s="0" t="n">
        <v>389</v>
      </c>
      <c r="R803" s="0" t="n">
        <v>687.599331516479</v>
      </c>
      <c r="S803" s="0" t="n">
        <v>1050.51411538586</v>
      </c>
      <c r="T803" s="0" t="n">
        <v>18</v>
      </c>
      <c r="U803" s="0" t="n">
        <v>30</v>
      </c>
      <c r="V803" s="0" t="n">
        <v>38.1999416398368</v>
      </c>
      <c r="W803" s="0" t="n">
        <v>35.0170204561272</v>
      </c>
      <c r="X803" s="0" t="n">
        <v>4.66853153476507</v>
      </c>
      <c r="Y803" s="0" t="n">
        <v>0</v>
      </c>
      <c r="Z803" s="0" t="n">
        <v>0</v>
      </c>
      <c r="AA803" s="0" t="n">
        <v>0</v>
      </c>
      <c r="AB803" s="0" t="n">
        <v>1</v>
      </c>
      <c r="AC803" s="0" t="n">
        <v>0</v>
      </c>
      <c r="AD803" s="0" t="n">
        <v>0</v>
      </c>
      <c r="AE803" s="0" t="n">
        <v>0</v>
      </c>
      <c r="AF803" s="0" t="n">
        <v>7.61223884542166</v>
      </c>
      <c r="AG803" s="0" t="n">
        <v>0</v>
      </c>
      <c r="AH803" s="0" t="n">
        <v>0</v>
      </c>
      <c r="AI803" s="0" t="n">
        <v>0</v>
      </c>
      <c r="AK803" s="0" t="n">
        <f aca="false">A803</f>
        <v>786</v>
      </c>
      <c r="AL803" s="0" t="n">
        <v>0</v>
      </c>
      <c r="AM803" s="0" t="n">
        <v>0</v>
      </c>
      <c r="AO803" s="0" t="n">
        <v>786</v>
      </c>
      <c r="AP803" s="0" t="n">
        <v>0</v>
      </c>
      <c r="AQ803" s="0" t="n">
        <v>0.211442636411102</v>
      </c>
      <c r="AR803" s="0" t="n">
        <v>698.502189000381</v>
      </c>
      <c r="AS803" s="0" t="n">
        <v>96</v>
      </c>
      <c r="AT803" s="0" t="n">
        <v>96</v>
      </c>
    </row>
    <row r="804" customFormat="false" ht="12" hidden="false" customHeight="false" outlineLevel="0" collapsed="false">
      <c r="A804" s="0" t="n">
        <v>787</v>
      </c>
      <c r="B804" s="0" t="n">
        <v>1</v>
      </c>
      <c r="C804" s="0" t="n">
        <v>0.562435672985212</v>
      </c>
      <c r="D804" s="0" t="n">
        <v>863.624788497784</v>
      </c>
      <c r="E804" s="0" t="n">
        <v>8</v>
      </c>
      <c r="F804" s="0" t="n">
        <v>6</v>
      </c>
      <c r="G804" s="0" t="n">
        <v>0.5</v>
      </c>
      <c r="H804" s="0" t="n">
        <v>1</v>
      </c>
      <c r="I804" s="0" t="n">
        <v>0</v>
      </c>
      <c r="J804" s="0" t="n">
        <v>867.730884359563</v>
      </c>
      <c r="K804" s="0" t="n">
        <v>0</v>
      </c>
      <c r="L804" s="0" t="n">
        <v>1.94159315007433</v>
      </c>
      <c r="M804" s="0" t="n">
        <v>868.470067480349</v>
      </c>
      <c r="N804" s="0" t="n">
        <v>4.84527898256533</v>
      </c>
      <c r="O804" s="0" t="n">
        <v>787</v>
      </c>
      <c r="P804" s="0" t="n">
        <v>397</v>
      </c>
      <c r="Q804" s="0" t="n">
        <v>390</v>
      </c>
      <c r="R804" s="0" t="n">
        <v>578.577999469894</v>
      </c>
      <c r="S804" s="0" t="n">
        <v>1172.34420172741</v>
      </c>
      <c r="T804" s="0" t="n">
        <v>19</v>
      </c>
      <c r="U804" s="0" t="n">
        <v>29</v>
      </c>
      <c r="V804" s="0" t="n">
        <v>30.4514576292272</v>
      </c>
      <c r="W804" s="0" t="n">
        <v>40.4255227301771</v>
      </c>
      <c r="X804" s="0" t="n">
        <v>0</v>
      </c>
      <c r="Y804" s="0" t="n">
        <v>0</v>
      </c>
      <c r="Z804" s="0" t="n">
        <v>4.84527898256533</v>
      </c>
      <c r="AA804" s="0" t="n">
        <v>0</v>
      </c>
      <c r="AB804" s="0" t="n">
        <v>0</v>
      </c>
      <c r="AC804" s="0" t="n">
        <v>0</v>
      </c>
      <c r="AD804" s="0" t="n">
        <v>1</v>
      </c>
      <c r="AE804" s="0" t="n">
        <v>0</v>
      </c>
      <c r="AF804" s="0" t="n">
        <v>0</v>
      </c>
      <c r="AG804" s="0" t="n">
        <v>0</v>
      </c>
      <c r="AH804" s="0" t="n">
        <v>8.5300462781767</v>
      </c>
      <c r="AI804" s="0" t="n">
        <v>0</v>
      </c>
      <c r="AK804" s="0" t="n">
        <f aca="false">A804</f>
        <v>787</v>
      </c>
      <c r="AL804" s="0" t="n">
        <v>1</v>
      </c>
      <c r="AM804" s="0" t="n">
        <v>1</v>
      </c>
      <c r="AO804" s="0" t="n">
        <v>787</v>
      </c>
      <c r="AP804" s="0" t="n">
        <v>1</v>
      </c>
      <c r="AQ804" s="0" t="n">
        <v>0.838517821872519</v>
      </c>
      <c r="AR804" s="0" t="n">
        <v>699.340706822254</v>
      </c>
      <c r="AS804" s="0" t="n">
        <v>96</v>
      </c>
      <c r="AT804" s="0" t="n">
        <v>98</v>
      </c>
    </row>
    <row r="805" customFormat="false" ht="12" hidden="false" customHeight="false" outlineLevel="0" collapsed="false">
      <c r="A805" s="0" t="n">
        <v>788</v>
      </c>
      <c r="B805" s="0" t="n">
        <v>1</v>
      </c>
      <c r="C805" s="0" t="n">
        <v>2.21885027476048</v>
      </c>
      <c r="D805" s="0" t="n">
        <v>865.843638772544</v>
      </c>
      <c r="E805" s="0" t="n">
        <v>6</v>
      </c>
      <c r="F805" s="0" t="n">
        <v>6</v>
      </c>
      <c r="G805" s="0" t="n">
        <v>0.5</v>
      </c>
      <c r="H805" s="0" t="n">
        <v>1</v>
      </c>
      <c r="I805" s="0" t="n">
        <v>0</v>
      </c>
      <c r="J805" s="0" t="n">
        <v>867.730884359563</v>
      </c>
      <c r="K805" s="0" t="n">
        <v>0</v>
      </c>
      <c r="L805" s="0" t="n">
        <v>1.97664633554668</v>
      </c>
      <c r="M805" s="0" t="n">
        <v>870.446713815896</v>
      </c>
      <c r="N805" s="0" t="n">
        <v>4.60307504335151</v>
      </c>
      <c r="O805" s="0" t="n">
        <v>788</v>
      </c>
      <c r="P805" s="0" t="n">
        <v>397</v>
      </c>
      <c r="Q805" s="0" t="n">
        <v>391</v>
      </c>
      <c r="R805" s="0" t="n">
        <v>1026.29345089328</v>
      </c>
      <c r="S805" s="0" t="n">
        <v>708.207705307431</v>
      </c>
      <c r="T805" s="0" t="n">
        <v>28</v>
      </c>
      <c r="U805" s="0" t="n">
        <v>20</v>
      </c>
      <c r="V805" s="0" t="n">
        <v>36.6533244414299</v>
      </c>
      <c r="W805" s="0" t="n">
        <v>35.4102082143305</v>
      </c>
      <c r="X805" s="0" t="n">
        <v>0</v>
      </c>
      <c r="Y805" s="0" t="n">
        <v>0</v>
      </c>
      <c r="Z805" s="0" t="n">
        <v>4.60307504335151</v>
      </c>
      <c r="AA805" s="0" t="n">
        <v>0</v>
      </c>
      <c r="AB805" s="0" t="n">
        <v>0</v>
      </c>
      <c r="AC805" s="0" t="n">
        <v>0</v>
      </c>
      <c r="AD805" s="0" t="n">
        <v>1</v>
      </c>
      <c r="AE805" s="0" t="n">
        <v>0</v>
      </c>
      <c r="AF805" s="0" t="n">
        <v>0</v>
      </c>
      <c r="AG805" s="0" t="n">
        <v>0</v>
      </c>
      <c r="AH805" s="0" t="n">
        <v>10.0034824452397</v>
      </c>
      <c r="AI805" s="0" t="n">
        <v>0</v>
      </c>
      <c r="AK805" s="0" t="n">
        <f aca="false">A805</f>
        <v>788</v>
      </c>
      <c r="AL805" s="0" t="n">
        <v>0</v>
      </c>
      <c r="AM805" s="0" t="n">
        <v>0</v>
      </c>
      <c r="AO805" s="0" t="n">
        <v>788</v>
      </c>
      <c r="AP805" s="0" t="n">
        <v>0</v>
      </c>
      <c r="AQ805" s="0" t="n">
        <v>1.93580845060254</v>
      </c>
      <c r="AR805" s="0" t="n">
        <v>701.276515272856</v>
      </c>
      <c r="AS805" s="0" t="n">
        <v>96</v>
      </c>
      <c r="AT805" s="0" t="n">
        <v>96</v>
      </c>
    </row>
    <row r="806" customFormat="false" ht="12" hidden="false" customHeight="false" outlineLevel="0" collapsed="false">
      <c r="A806" s="0" t="n">
        <v>789</v>
      </c>
      <c r="B806" s="0" t="n">
        <v>1</v>
      </c>
      <c r="C806" s="0" t="n">
        <v>0.279993945555107</v>
      </c>
      <c r="D806" s="0" t="n">
        <v>866.123632718099</v>
      </c>
      <c r="E806" s="0" t="n">
        <v>4</v>
      </c>
      <c r="F806" s="0" t="n">
        <v>8</v>
      </c>
      <c r="G806" s="0" t="n">
        <v>0.5</v>
      </c>
      <c r="H806" s="0" t="n">
        <v>0</v>
      </c>
      <c r="I806" s="0" t="n">
        <v>2.18141247338947</v>
      </c>
      <c r="J806" s="0" t="n">
        <v>869.912296832953</v>
      </c>
      <c r="K806" s="0" t="n">
        <v>3.78866411485376</v>
      </c>
      <c r="L806" s="0" t="n">
        <v>0</v>
      </c>
      <c r="M806" s="0" t="n">
        <v>870.446713815896</v>
      </c>
      <c r="N806" s="0" t="n">
        <v>0</v>
      </c>
      <c r="O806" s="0" t="n">
        <v>789</v>
      </c>
      <c r="P806" s="0" t="n">
        <v>398</v>
      </c>
      <c r="Q806" s="0" t="n">
        <v>391</v>
      </c>
      <c r="R806" s="0" t="n">
        <v>1009.86143138535</v>
      </c>
      <c r="S806" s="0" t="n">
        <v>714.953042782215</v>
      </c>
      <c r="T806" s="0" t="n">
        <v>28</v>
      </c>
      <c r="U806" s="0" t="n">
        <v>20</v>
      </c>
      <c r="V806" s="0" t="n">
        <v>36.0664668114531</v>
      </c>
      <c r="W806" s="0" t="n">
        <v>35.7474734017437</v>
      </c>
      <c r="X806" s="0" t="n">
        <v>3.78866411485376</v>
      </c>
      <c r="Y806" s="0" t="n">
        <v>0</v>
      </c>
      <c r="Z806" s="0" t="n">
        <v>0</v>
      </c>
      <c r="AA806" s="0" t="n">
        <v>0</v>
      </c>
      <c r="AB806" s="0" t="n">
        <v>1</v>
      </c>
      <c r="AC806" s="0" t="n">
        <v>0</v>
      </c>
      <c r="AD806" s="0" t="n">
        <v>0</v>
      </c>
      <c r="AE806" s="0" t="n">
        <v>0</v>
      </c>
      <c r="AF806" s="0" t="n">
        <v>13.2415642830346</v>
      </c>
      <c r="AG806" s="0" t="n">
        <v>0</v>
      </c>
      <c r="AH806" s="0" t="n">
        <v>0</v>
      </c>
      <c r="AI806" s="0" t="n">
        <v>0</v>
      </c>
      <c r="AK806" s="0" t="n">
        <f aca="false">A806</f>
        <v>789</v>
      </c>
      <c r="AL806" s="0" t="n">
        <v>2</v>
      </c>
      <c r="AM806" s="0" t="n">
        <v>1</v>
      </c>
      <c r="AO806" s="0" t="n">
        <v>789</v>
      </c>
      <c r="AP806" s="0" t="n">
        <v>1</v>
      </c>
      <c r="AQ806" s="0" t="n">
        <v>0.542999543257701</v>
      </c>
      <c r="AR806" s="0" t="n">
        <v>701.819514816114</v>
      </c>
      <c r="AS806" s="0" t="n">
        <v>94</v>
      </c>
      <c r="AT806" s="0" t="n">
        <v>96</v>
      </c>
    </row>
    <row r="807" customFormat="false" ht="12" hidden="false" customHeight="false" outlineLevel="0" collapsed="false">
      <c r="A807" s="0" t="n">
        <v>790</v>
      </c>
      <c r="B807" s="0" t="n">
        <v>0</v>
      </c>
      <c r="C807" s="0" t="n">
        <v>0.0527862598316397</v>
      </c>
      <c r="D807" s="0" t="n">
        <v>866.176418977931</v>
      </c>
      <c r="E807" s="0" t="n">
        <v>6</v>
      </c>
      <c r="F807" s="0" t="n">
        <v>8</v>
      </c>
      <c r="G807" s="0" t="n">
        <v>0.5</v>
      </c>
      <c r="H807" s="0" t="n">
        <v>1</v>
      </c>
      <c r="I807" s="0" t="n">
        <v>0</v>
      </c>
      <c r="J807" s="0" t="n">
        <v>869.912296832953</v>
      </c>
      <c r="K807" s="0" t="n">
        <v>0</v>
      </c>
      <c r="L807" s="0" t="n">
        <v>1.85937897142821</v>
      </c>
      <c r="M807" s="0" t="n">
        <v>872.306092787324</v>
      </c>
      <c r="N807" s="0" t="n">
        <v>6.1296738093929</v>
      </c>
      <c r="O807" s="0" t="n">
        <v>790</v>
      </c>
      <c r="P807" s="0" t="n">
        <v>398</v>
      </c>
      <c r="Q807" s="0" t="n">
        <v>392</v>
      </c>
      <c r="R807" s="0" t="n">
        <v>945.348497304419</v>
      </c>
      <c r="S807" s="0" t="n">
        <v>786.599827233248</v>
      </c>
      <c r="T807" s="0" t="n">
        <v>26</v>
      </c>
      <c r="U807" s="0" t="n">
        <v>22</v>
      </c>
      <c r="V807" s="0" t="n">
        <v>36.3595436041917</v>
      </c>
      <c r="W807" s="0" t="n">
        <v>35.7543750816245</v>
      </c>
      <c r="X807" s="0" t="n">
        <v>0</v>
      </c>
      <c r="Y807" s="0" t="n">
        <v>0</v>
      </c>
      <c r="Z807" s="0" t="n">
        <v>0</v>
      </c>
      <c r="AA807" s="0" t="n">
        <v>6.1296738093929</v>
      </c>
      <c r="AB807" s="0" t="n">
        <v>0</v>
      </c>
      <c r="AC807" s="0" t="n">
        <v>0</v>
      </c>
      <c r="AD807" s="0" t="n">
        <v>0</v>
      </c>
      <c r="AE807" s="0" t="n">
        <v>1</v>
      </c>
      <c r="AF807" s="0" t="n">
        <v>0</v>
      </c>
      <c r="AG807" s="0" t="n">
        <v>0</v>
      </c>
      <c r="AH807" s="0" t="n">
        <v>0</v>
      </c>
      <c r="AI807" s="0" t="n">
        <v>2.56552923087154</v>
      </c>
      <c r="AK807" s="0" t="n">
        <f aca="false">A807</f>
        <v>790</v>
      </c>
      <c r="AL807" s="0" t="n">
        <v>1</v>
      </c>
      <c r="AM807" s="0" t="n">
        <v>0</v>
      </c>
      <c r="AO807" s="0" t="n">
        <v>790</v>
      </c>
      <c r="AP807" s="0" t="n">
        <v>1</v>
      </c>
      <c r="AQ807" s="0" t="n">
        <v>2.60700543779145</v>
      </c>
      <c r="AR807" s="0" t="n">
        <v>704.426520253906</v>
      </c>
      <c r="AS807" s="0" t="n">
        <v>94</v>
      </c>
      <c r="AT807" s="0" t="n">
        <v>94</v>
      </c>
    </row>
    <row r="808" customFormat="false" ht="12" hidden="false" customHeight="false" outlineLevel="0" collapsed="false">
      <c r="A808" s="0" t="n">
        <v>791</v>
      </c>
      <c r="B808" s="0" t="n">
        <v>0</v>
      </c>
      <c r="C808" s="0" t="n">
        <v>3.13648130720851</v>
      </c>
      <c r="D808" s="0" t="n">
        <v>869.312900285139</v>
      </c>
      <c r="E808" s="0" t="n">
        <v>4</v>
      </c>
      <c r="F808" s="0" t="n">
        <v>6</v>
      </c>
      <c r="G808" s="0" t="n">
        <v>0.5</v>
      </c>
      <c r="H808" s="0" t="n">
        <v>0</v>
      </c>
      <c r="I808" s="0" t="n">
        <v>2.21017919727445</v>
      </c>
      <c r="J808" s="0" t="n">
        <v>872.122476030227</v>
      </c>
      <c r="K808" s="0" t="n">
        <v>2.80957574508795</v>
      </c>
      <c r="L808" s="0" t="n">
        <v>0</v>
      </c>
      <c r="M808" s="0" t="n">
        <v>872.306092787324</v>
      </c>
      <c r="N808" s="0" t="n">
        <v>0</v>
      </c>
      <c r="O808" s="0" t="n">
        <v>791</v>
      </c>
      <c r="P808" s="0" t="n">
        <v>399</v>
      </c>
      <c r="Q808" s="0" t="n">
        <v>392</v>
      </c>
      <c r="R808" s="0" t="n">
        <v>956.080576038207</v>
      </c>
      <c r="S808" s="0" t="n">
        <v>765.766651878848</v>
      </c>
      <c r="T808" s="0" t="n">
        <v>24</v>
      </c>
      <c r="U808" s="0" t="n">
        <v>24</v>
      </c>
      <c r="V808" s="0" t="n">
        <v>39.8366740696444</v>
      </c>
      <c r="W808" s="0" t="n">
        <v>31.90681088324</v>
      </c>
      <c r="X808" s="0" t="n">
        <v>0</v>
      </c>
      <c r="Y808" s="0" t="n">
        <v>2.80957574508795</v>
      </c>
      <c r="Z808" s="0" t="n">
        <v>0</v>
      </c>
      <c r="AA808" s="0" t="n">
        <v>0</v>
      </c>
      <c r="AB808" s="0" t="n">
        <v>0</v>
      </c>
      <c r="AC808" s="0" t="n">
        <v>1</v>
      </c>
      <c r="AD808" s="0" t="n">
        <v>0</v>
      </c>
      <c r="AE808" s="0" t="n">
        <v>0</v>
      </c>
      <c r="AF808" s="0" t="n">
        <v>0</v>
      </c>
      <c r="AG808" s="0" t="n">
        <v>29.692486980349</v>
      </c>
      <c r="AH808" s="0" t="n">
        <v>0</v>
      </c>
      <c r="AI808" s="0" t="n">
        <v>0</v>
      </c>
      <c r="AK808" s="0" t="n">
        <f aca="false">A808</f>
        <v>791</v>
      </c>
      <c r="AL808" s="0" t="n">
        <v>1</v>
      </c>
      <c r="AM808" s="0" t="n">
        <v>1</v>
      </c>
      <c r="AO808" s="0" t="n">
        <v>791</v>
      </c>
      <c r="AP808" s="0" t="n">
        <v>0</v>
      </c>
      <c r="AQ808" s="0" t="n">
        <v>0.88451129261094</v>
      </c>
      <c r="AR808" s="0" t="n">
        <v>705.311031546517</v>
      </c>
      <c r="AS808" s="0" t="n">
        <v>96</v>
      </c>
      <c r="AT808" s="0" t="n">
        <v>94</v>
      </c>
    </row>
    <row r="809" customFormat="false" ht="12" hidden="false" customHeight="false" outlineLevel="0" collapsed="false">
      <c r="A809" s="0" t="n">
        <v>792</v>
      </c>
      <c r="B809" s="0" t="n">
        <v>0</v>
      </c>
      <c r="C809" s="0" t="n">
        <v>0.538406480278745</v>
      </c>
      <c r="D809" s="0" t="n">
        <v>869.851306765418</v>
      </c>
      <c r="E809" s="0" t="n">
        <v>6</v>
      </c>
      <c r="F809" s="0" t="n">
        <v>6</v>
      </c>
      <c r="G809" s="0" t="n">
        <v>0.5</v>
      </c>
      <c r="H809" s="0" t="n">
        <v>1</v>
      </c>
      <c r="I809" s="0" t="n">
        <v>0</v>
      </c>
      <c r="J809" s="0" t="n">
        <v>872.122476030227</v>
      </c>
      <c r="K809" s="0" t="n">
        <v>0</v>
      </c>
      <c r="L809" s="0" t="n">
        <v>1.81453115586402</v>
      </c>
      <c r="M809" s="0" t="n">
        <v>874.120623943188</v>
      </c>
      <c r="N809" s="0" t="n">
        <v>4.26931717776972</v>
      </c>
      <c r="O809" s="0" t="n">
        <v>792</v>
      </c>
      <c r="P809" s="0" t="n">
        <v>399</v>
      </c>
      <c r="Q809" s="0" t="n">
        <v>393</v>
      </c>
      <c r="R809" s="0" t="n">
        <v>842.434791700805</v>
      </c>
      <c r="S809" s="0" t="n">
        <v>896.803901530874</v>
      </c>
      <c r="T809" s="0" t="n">
        <v>25</v>
      </c>
      <c r="U809" s="0" t="n">
        <v>23</v>
      </c>
      <c r="V809" s="0" t="n">
        <v>33.6973781890809</v>
      </c>
      <c r="W809" s="0" t="n">
        <v>38.9913044521926</v>
      </c>
      <c r="X809" s="0" t="n">
        <v>0</v>
      </c>
      <c r="Y809" s="0" t="n">
        <v>0</v>
      </c>
      <c r="Z809" s="0" t="n">
        <v>0</v>
      </c>
      <c r="AA809" s="0" t="n">
        <v>4.26931717776972</v>
      </c>
      <c r="AB809" s="0" t="n">
        <v>0</v>
      </c>
      <c r="AC809" s="0" t="n">
        <v>0</v>
      </c>
      <c r="AD809" s="0" t="n">
        <v>0</v>
      </c>
      <c r="AE809" s="0" t="n">
        <v>1</v>
      </c>
      <c r="AF809" s="0" t="n">
        <v>0</v>
      </c>
      <c r="AG809" s="0" t="n">
        <v>0</v>
      </c>
      <c r="AH809" s="0" t="n">
        <v>0</v>
      </c>
      <c r="AI809" s="0" t="n">
        <v>11.9860227445502</v>
      </c>
      <c r="AK809" s="0" t="n">
        <f aca="false">A809</f>
        <v>792</v>
      </c>
      <c r="AL809" s="0" t="n">
        <v>0</v>
      </c>
      <c r="AM809" s="0" t="n">
        <v>0</v>
      </c>
      <c r="AO809" s="0" t="n">
        <v>792</v>
      </c>
      <c r="AP809" s="0" t="n">
        <v>1</v>
      </c>
      <c r="AQ809" s="0" t="n">
        <v>3.77108434799833</v>
      </c>
      <c r="AR809" s="0" t="n">
        <v>709.082115894515</v>
      </c>
      <c r="AS809" s="0" t="n">
        <v>92</v>
      </c>
      <c r="AT809" s="0" t="n">
        <v>92</v>
      </c>
    </row>
    <row r="810" customFormat="false" ht="12" hidden="false" customHeight="false" outlineLevel="0" collapsed="false">
      <c r="A810" s="0" t="n">
        <v>793</v>
      </c>
      <c r="B810" s="0" t="n">
        <v>1</v>
      </c>
      <c r="C810" s="0" t="n">
        <v>0.0598798005533133</v>
      </c>
      <c r="D810" s="0" t="n">
        <v>869.911186565971</v>
      </c>
      <c r="E810" s="0" t="n">
        <v>6</v>
      </c>
      <c r="F810" s="0" t="n">
        <v>8</v>
      </c>
      <c r="G810" s="0" t="n">
        <v>0.5</v>
      </c>
      <c r="H810" s="0" t="n">
        <v>0</v>
      </c>
      <c r="I810" s="0" t="n">
        <v>1.83074582807756</v>
      </c>
      <c r="J810" s="0" t="n">
        <v>873.953221858305</v>
      </c>
      <c r="K810" s="0" t="n">
        <v>4.04203529233348</v>
      </c>
      <c r="L810" s="0" t="n">
        <v>0</v>
      </c>
      <c r="M810" s="0" t="n">
        <v>874.120623943188</v>
      </c>
      <c r="N810" s="0" t="n">
        <v>0</v>
      </c>
      <c r="O810" s="0" t="n">
        <v>793</v>
      </c>
      <c r="P810" s="0" t="n">
        <v>400</v>
      </c>
      <c r="Q810" s="0" t="n">
        <v>393</v>
      </c>
      <c r="R810" s="0" t="n">
        <v>653.377712538741</v>
      </c>
      <c r="S810" s="0" t="n">
        <v>1097.80126279758</v>
      </c>
      <c r="T810" s="0" t="n">
        <v>20</v>
      </c>
      <c r="U810" s="0" t="n">
        <v>28</v>
      </c>
      <c r="V810" s="0" t="n">
        <v>32.6688692925024</v>
      </c>
      <c r="W810" s="0" t="n">
        <v>39.2070479318854</v>
      </c>
      <c r="X810" s="0" t="n">
        <v>4.04203529233348</v>
      </c>
      <c r="Y810" s="0" t="n">
        <v>0</v>
      </c>
      <c r="Z810" s="0" t="n">
        <v>0</v>
      </c>
      <c r="AA810" s="0" t="n">
        <v>0</v>
      </c>
      <c r="AB810" s="0" t="n">
        <v>1</v>
      </c>
      <c r="AC810" s="0" t="n">
        <v>0</v>
      </c>
      <c r="AD810" s="0" t="n">
        <v>0</v>
      </c>
      <c r="AE810" s="0" t="n">
        <v>0</v>
      </c>
      <c r="AF810" s="0" t="n">
        <v>11.4617784952927</v>
      </c>
      <c r="AG810" s="0" t="n">
        <v>0</v>
      </c>
      <c r="AH810" s="0" t="n">
        <v>0</v>
      </c>
      <c r="AI810" s="0" t="n">
        <v>0</v>
      </c>
      <c r="AK810" s="0" t="n">
        <f aca="false">A810</f>
        <v>793</v>
      </c>
      <c r="AL810" s="0" t="n">
        <v>1</v>
      </c>
      <c r="AM810" s="0" t="n">
        <v>1</v>
      </c>
      <c r="AO810" s="0" t="n">
        <v>793</v>
      </c>
      <c r="AP810" s="0" t="n">
        <v>0</v>
      </c>
      <c r="AQ810" s="0" t="n">
        <v>0.171270546836653</v>
      </c>
      <c r="AR810" s="0" t="n">
        <v>709.253386441352</v>
      </c>
      <c r="AS810" s="0" t="n">
        <v>94</v>
      </c>
      <c r="AT810" s="0" t="n">
        <v>92</v>
      </c>
    </row>
    <row r="811" customFormat="false" ht="12" hidden="false" customHeight="false" outlineLevel="0" collapsed="false">
      <c r="A811" s="0" t="n">
        <v>794</v>
      </c>
      <c r="B811" s="0" t="n">
        <v>0</v>
      </c>
      <c r="C811" s="0" t="n">
        <v>3.49505350609157</v>
      </c>
      <c r="D811" s="0" t="n">
        <v>873.406240072063</v>
      </c>
      <c r="E811" s="0" t="n">
        <v>4</v>
      </c>
      <c r="F811" s="0" t="n">
        <v>4</v>
      </c>
      <c r="G811" s="0" t="n">
        <v>0.5</v>
      </c>
      <c r="H811" s="0" t="n">
        <v>1</v>
      </c>
      <c r="I811" s="0" t="n">
        <v>0</v>
      </c>
      <c r="J811" s="0" t="n">
        <v>873.953221858305</v>
      </c>
      <c r="K811" s="0" t="n">
        <v>0</v>
      </c>
      <c r="L811" s="0" t="n">
        <v>1.99659736189206</v>
      </c>
      <c r="M811" s="0" t="n">
        <v>876.11722130508</v>
      </c>
      <c r="N811" s="0" t="n">
        <v>2.71098123301692</v>
      </c>
      <c r="O811" s="0" t="n">
        <v>794</v>
      </c>
      <c r="P811" s="0" t="n">
        <v>400</v>
      </c>
      <c r="Q811" s="0" t="n">
        <v>394</v>
      </c>
      <c r="R811" s="0" t="n">
        <v>918.490202579513</v>
      </c>
      <c r="S811" s="0" t="n">
        <v>830.568648570196</v>
      </c>
      <c r="T811" s="0" t="n">
        <v>24</v>
      </c>
      <c r="U811" s="0" t="n">
        <v>24</v>
      </c>
      <c r="V811" s="0" t="n">
        <v>38.2704091614759</v>
      </c>
      <c r="W811" s="0" t="n">
        <v>34.6068828284131</v>
      </c>
      <c r="X811" s="0" t="n">
        <v>0</v>
      </c>
      <c r="Y811" s="0" t="n">
        <v>0</v>
      </c>
      <c r="Z811" s="0" t="n">
        <v>0</v>
      </c>
      <c r="AA811" s="0" t="n">
        <v>2.71098123301692</v>
      </c>
      <c r="AB811" s="0" t="n">
        <v>0</v>
      </c>
      <c r="AC811" s="0" t="n">
        <v>0</v>
      </c>
      <c r="AD811" s="0" t="n">
        <v>0</v>
      </c>
      <c r="AE811" s="0" t="n">
        <v>1</v>
      </c>
      <c r="AF811" s="0" t="n">
        <v>0</v>
      </c>
      <c r="AG811" s="0" t="n">
        <v>0</v>
      </c>
      <c r="AH811" s="0" t="n">
        <v>0</v>
      </c>
      <c r="AI811" s="0" t="n">
        <v>25.2046122475072</v>
      </c>
      <c r="AK811" s="0" t="n">
        <f aca="false">A811</f>
        <v>794</v>
      </c>
      <c r="AL811" s="0" t="n">
        <v>0</v>
      </c>
      <c r="AM811" s="0" t="n">
        <v>0</v>
      </c>
      <c r="AO811" s="0" t="n">
        <v>794</v>
      </c>
      <c r="AP811" s="0" t="n">
        <v>0</v>
      </c>
      <c r="AQ811" s="0" t="n">
        <v>0.984869211550697</v>
      </c>
      <c r="AR811" s="0" t="n">
        <v>710.238255652902</v>
      </c>
      <c r="AS811" s="0" t="n">
        <v>92</v>
      </c>
      <c r="AT811" s="0" t="n">
        <v>92</v>
      </c>
    </row>
    <row r="812" customFormat="false" ht="12" hidden="false" customHeight="false" outlineLevel="0" collapsed="false">
      <c r="A812" s="0" t="n">
        <v>795</v>
      </c>
      <c r="B812" s="0" t="n">
        <v>1</v>
      </c>
      <c r="C812" s="0" t="n">
        <v>0.0393902861192239</v>
      </c>
      <c r="D812" s="0" t="n">
        <v>873.445630358182</v>
      </c>
      <c r="E812" s="0" t="n">
        <v>4</v>
      </c>
      <c r="F812" s="0" t="n">
        <v>6</v>
      </c>
      <c r="G812" s="0" t="n">
        <v>0.5</v>
      </c>
      <c r="H812" s="0" t="n">
        <v>0</v>
      </c>
      <c r="I812" s="0" t="n">
        <v>1.97438946492585</v>
      </c>
      <c r="J812" s="0" t="n">
        <v>875.927611323231</v>
      </c>
      <c r="K812" s="0" t="n">
        <v>2.48198096504848</v>
      </c>
      <c r="L812" s="0" t="n">
        <v>0</v>
      </c>
      <c r="M812" s="0" t="n">
        <v>876.11722130508</v>
      </c>
      <c r="N812" s="0" t="n">
        <v>0</v>
      </c>
      <c r="O812" s="0" t="n">
        <v>795</v>
      </c>
      <c r="P812" s="0" t="n">
        <v>401</v>
      </c>
      <c r="Q812" s="0" t="n">
        <v>394</v>
      </c>
      <c r="R812" s="0" t="n">
        <v>872.568046227513</v>
      </c>
      <c r="S812" s="0" t="n">
        <v>867.307627384994</v>
      </c>
      <c r="T812" s="0" t="n">
        <v>26</v>
      </c>
      <c r="U812" s="0" t="n">
        <v>22</v>
      </c>
      <c r="V812" s="0" t="n">
        <v>33.5602965624826</v>
      </c>
      <c r="W812" s="0" t="n">
        <v>39.4228947770689</v>
      </c>
      <c r="X812" s="0" t="n">
        <v>2.48198096504848</v>
      </c>
      <c r="Y812" s="0" t="n">
        <v>0</v>
      </c>
      <c r="Z812" s="0" t="n">
        <v>0</v>
      </c>
      <c r="AA812" s="0" t="n">
        <v>0</v>
      </c>
      <c r="AB812" s="0" t="n">
        <v>1</v>
      </c>
      <c r="AC812" s="0" t="n">
        <v>0</v>
      </c>
      <c r="AD812" s="0" t="n">
        <v>0</v>
      </c>
      <c r="AE812" s="0" t="n">
        <v>0</v>
      </c>
      <c r="AF812" s="0" t="n">
        <v>24.458753377358</v>
      </c>
      <c r="AG812" s="0" t="n">
        <v>0</v>
      </c>
      <c r="AH812" s="0" t="n">
        <v>0</v>
      </c>
      <c r="AI812" s="0" t="n">
        <v>0</v>
      </c>
      <c r="AK812" s="0" t="n">
        <f aca="false">A812</f>
        <v>795</v>
      </c>
      <c r="AL812" s="0" t="n">
        <v>1</v>
      </c>
      <c r="AM812" s="0" t="n">
        <v>1</v>
      </c>
      <c r="AO812" s="0" t="n">
        <v>795</v>
      </c>
      <c r="AP812" s="0" t="n">
        <v>0</v>
      </c>
      <c r="AQ812" s="0" t="n">
        <v>0.560509655193279</v>
      </c>
      <c r="AR812" s="0" t="n">
        <v>710.798765308096</v>
      </c>
      <c r="AS812" s="0" t="n">
        <v>94</v>
      </c>
      <c r="AT812" s="0" t="n">
        <v>92</v>
      </c>
    </row>
    <row r="813" customFormat="false" ht="12" hidden="false" customHeight="false" outlineLevel="0" collapsed="false">
      <c r="A813" s="0" t="n">
        <v>796</v>
      </c>
      <c r="B813" s="0" t="n">
        <v>0</v>
      </c>
      <c r="C813" s="0" t="n">
        <v>1.0375050819673</v>
      </c>
      <c r="D813" s="0" t="n">
        <v>874.48313544015</v>
      </c>
      <c r="E813" s="0" t="n">
        <v>4</v>
      </c>
      <c r="F813" s="0" t="n">
        <v>4</v>
      </c>
      <c r="G813" s="0" t="n">
        <v>0.5</v>
      </c>
      <c r="H813" s="0" t="n">
        <v>0</v>
      </c>
      <c r="I813" s="0" t="n">
        <v>1.80443633098092</v>
      </c>
      <c r="J813" s="0" t="n">
        <v>877.732047654212</v>
      </c>
      <c r="K813" s="0" t="n">
        <v>3.2489122140621</v>
      </c>
      <c r="L813" s="0" t="n">
        <v>0</v>
      </c>
      <c r="M813" s="0" t="n">
        <v>876.11722130508</v>
      </c>
      <c r="N813" s="0" t="n">
        <v>0</v>
      </c>
      <c r="O813" s="0" t="n">
        <v>796</v>
      </c>
      <c r="P813" s="0" t="n">
        <v>402</v>
      </c>
      <c r="Q813" s="0" t="n">
        <v>394</v>
      </c>
      <c r="R813" s="0" t="n">
        <v>784.446151790205</v>
      </c>
      <c r="S813" s="0" t="n">
        <v>983.074483490559</v>
      </c>
      <c r="T813" s="0" t="n">
        <v>21</v>
      </c>
      <c r="U813" s="0" t="n">
        <v>27</v>
      </c>
      <c r="V813" s="0" t="n">
        <v>37.3545608687903</v>
      </c>
      <c r="W813" s="0" t="n">
        <v>36.4100312032385</v>
      </c>
      <c r="X813" s="0" t="n">
        <v>0</v>
      </c>
      <c r="Y813" s="0" t="n">
        <v>3.2489122140621</v>
      </c>
      <c r="Z813" s="0" t="n">
        <v>0</v>
      </c>
      <c r="AA813" s="0" t="n">
        <v>0</v>
      </c>
      <c r="AB813" s="0" t="n">
        <v>0</v>
      </c>
      <c r="AC813" s="0" t="n">
        <v>1</v>
      </c>
      <c r="AD813" s="0" t="n">
        <v>0</v>
      </c>
      <c r="AE813" s="0" t="n">
        <v>0</v>
      </c>
      <c r="AF813" s="0" t="n">
        <v>0</v>
      </c>
      <c r="AG813" s="0" t="n">
        <v>25.0975432410434</v>
      </c>
      <c r="AH813" s="0" t="n">
        <v>0</v>
      </c>
      <c r="AI813" s="0" t="n">
        <v>0</v>
      </c>
      <c r="AK813" s="0" t="n">
        <f aca="false">A813</f>
        <v>796</v>
      </c>
      <c r="AL813" s="0" t="n">
        <v>0</v>
      </c>
      <c r="AM813" s="0" t="n">
        <v>0</v>
      </c>
      <c r="AO813" s="0" t="n">
        <v>796</v>
      </c>
      <c r="AP813" s="0" t="n">
        <v>0</v>
      </c>
      <c r="AQ813" s="0" t="n">
        <v>0.417289353576119</v>
      </c>
      <c r="AR813" s="0" t="n">
        <v>711.216054661672</v>
      </c>
      <c r="AS813" s="0" t="n">
        <v>94</v>
      </c>
      <c r="AT813" s="0" t="n">
        <v>94</v>
      </c>
    </row>
    <row r="814" customFormat="false" ht="12" hidden="false" customHeight="false" outlineLevel="0" collapsed="false">
      <c r="A814" s="0" t="n">
        <v>797</v>
      </c>
      <c r="B814" s="0" t="n">
        <v>1</v>
      </c>
      <c r="C814" s="0" t="n">
        <v>1.55494770980216</v>
      </c>
      <c r="D814" s="0" t="n">
        <v>876.038083149952</v>
      </c>
      <c r="E814" s="0" t="n">
        <v>4</v>
      </c>
      <c r="F814" s="0" t="n">
        <v>4</v>
      </c>
      <c r="G814" s="0" t="n">
        <v>0.5</v>
      </c>
      <c r="H814" s="0" t="n">
        <v>1</v>
      </c>
      <c r="I814" s="0" t="n">
        <v>0</v>
      </c>
      <c r="J814" s="0" t="n">
        <v>877.732047654212</v>
      </c>
      <c r="K814" s="0" t="n">
        <v>0</v>
      </c>
      <c r="L814" s="0" t="n">
        <v>2.00828692699136</v>
      </c>
      <c r="M814" s="0" t="n">
        <v>878.125508232071</v>
      </c>
      <c r="N814" s="0" t="n">
        <v>2.08742508211958</v>
      </c>
      <c r="O814" s="0" t="n">
        <v>797</v>
      </c>
      <c r="P814" s="0" t="n">
        <v>402</v>
      </c>
      <c r="Q814" s="0" t="n">
        <v>395</v>
      </c>
      <c r="R814" s="0" t="n">
        <v>833.86318437194</v>
      </c>
      <c r="S814" s="0" t="n">
        <v>921.168668089021</v>
      </c>
      <c r="T814" s="0" t="n">
        <v>22</v>
      </c>
      <c r="U814" s="0" t="n">
        <v>26</v>
      </c>
      <c r="V814" s="0" t="n">
        <v>37.902854788336</v>
      </c>
      <c r="W814" s="0" t="n">
        <v>35.4294278902397</v>
      </c>
      <c r="X814" s="0" t="n">
        <v>0</v>
      </c>
      <c r="Y814" s="0" t="n">
        <v>0</v>
      </c>
      <c r="Z814" s="0" t="n">
        <v>2.08742508211958</v>
      </c>
      <c r="AA814" s="0" t="n">
        <v>0</v>
      </c>
      <c r="AB814" s="0" t="n">
        <v>0</v>
      </c>
      <c r="AC814" s="0" t="n">
        <v>0</v>
      </c>
      <c r="AD814" s="0" t="n">
        <v>1</v>
      </c>
      <c r="AE814" s="0" t="n">
        <v>0</v>
      </c>
      <c r="AF814" s="0" t="n">
        <v>0</v>
      </c>
      <c r="AG814" s="0" t="n">
        <v>0</v>
      </c>
      <c r="AH814" s="0" t="n">
        <v>32.2451146271038</v>
      </c>
      <c r="AI814" s="0" t="n">
        <v>0</v>
      </c>
      <c r="AK814" s="0" t="n">
        <f aca="false">A814</f>
        <v>797</v>
      </c>
      <c r="AL814" s="0" t="n">
        <v>0</v>
      </c>
      <c r="AM814" s="0" t="n">
        <v>1</v>
      </c>
      <c r="AO814" s="0" t="n">
        <v>797</v>
      </c>
      <c r="AP814" s="0" t="n">
        <v>0</v>
      </c>
      <c r="AQ814" s="0" t="n">
        <v>2.16190172666686</v>
      </c>
      <c r="AR814" s="0" t="n">
        <v>713.377956388339</v>
      </c>
      <c r="AS814" s="0" t="n">
        <v>94</v>
      </c>
      <c r="AT814" s="0" t="n">
        <v>92</v>
      </c>
    </row>
    <row r="815" customFormat="false" ht="12" hidden="false" customHeight="false" outlineLevel="0" collapsed="false">
      <c r="A815" s="0" t="n">
        <v>798</v>
      </c>
      <c r="B815" s="0" t="n">
        <v>1</v>
      </c>
      <c r="C815" s="0" t="n">
        <v>0.178226889545481</v>
      </c>
      <c r="D815" s="0" t="n">
        <v>876.216310039497</v>
      </c>
      <c r="E815" s="0" t="n">
        <v>4</v>
      </c>
      <c r="F815" s="0" t="n">
        <v>4</v>
      </c>
      <c r="G815" s="0" t="n">
        <v>0.5</v>
      </c>
      <c r="H815" s="0" t="n">
        <v>1</v>
      </c>
      <c r="I815" s="0" t="n">
        <v>0</v>
      </c>
      <c r="J815" s="0" t="n">
        <v>877.732047654212</v>
      </c>
      <c r="K815" s="0" t="n">
        <v>0</v>
      </c>
      <c r="L815" s="0" t="n">
        <v>2.0553790879585</v>
      </c>
      <c r="M815" s="0" t="n">
        <v>880.18088732003</v>
      </c>
      <c r="N815" s="0" t="n">
        <v>3.96457728053258</v>
      </c>
      <c r="O815" s="0" t="n">
        <v>798</v>
      </c>
      <c r="P815" s="0" t="n">
        <v>402</v>
      </c>
      <c r="Q815" s="0" t="n">
        <v>396</v>
      </c>
      <c r="R815" s="0" t="n">
        <v>994.097787027308</v>
      </c>
      <c r="S815" s="0" t="n">
        <v>779.093825257844</v>
      </c>
      <c r="T815" s="0" t="n">
        <v>27</v>
      </c>
      <c r="U815" s="0" t="n">
        <v>21</v>
      </c>
      <c r="V815" s="0" t="n">
        <v>36.818422920114</v>
      </c>
      <c r="W815" s="0" t="n">
        <v>37.099529300234</v>
      </c>
      <c r="X815" s="0" t="n">
        <v>0</v>
      </c>
      <c r="Y815" s="0" t="n">
        <v>0</v>
      </c>
      <c r="Z815" s="0" t="n">
        <v>3.96457728053258</v>
      </c>
      <c r="AA815" s="0" t="n">
        <v>0</v>
      </c>
      <c r="AB815" s="0" t="n">
        <v>0</v>
      </c>
      <c r="AC815" s="0" t="n">
        <v>0</v>
      </c>
      <c r="AD815" s="0" t="n">
        <v>1</v>
      </c>
      <c r="AE815" s="0" t="n">
        <v>0</v>
      </c>
      <c r="AF815" s="0" t="n">
        <v>0</v>
      </c>
      <c r="AG815" s="0" t="n">
        <v>0</v>
      </c>
      <c r="AH815" s="0" t="n">
        <v>14.4500793430479</v>
      </c>
      <c r="AI815" s="0" t="n">
        <v>0</v>
      </c>
      <c r="AK815" s="0" t="n">
        <f aca="false">A815</f>
        <v>798</v>
      </c>
      <c r="AL815" s="0" t="n">
        <v>0</v>
      </c>
      <c r="AM815" s="0" t="n">
        <v>0</v>
      </c>
      <c r="AO815" s="0" t="n">
        <v>798</v>
      </c>
      <c r="AP815" s="0" t="n">
        <v>1</v>
      </c>
      <c r="AQ815" s="0" t="n">
        <v>0.169256591075923</v>
      </c>
      <c r="AR815" s="0" t="n">
        <v>713.547212979415</v>
      </c>
      <c r="AS815" s="0" t="n">
        <v>94</v>
      </c>
      <c r="AT815" s="0" t="n">
        <v>94</v>
      </c>
    </row>
    <row r="816" customFormat="false" ht="12" hidden="false" customHeight="false" outlineLevel="0" collapsed="false">
      <c r="A816" s="0" t="n">
        <v>799</v>
      </c>
      <c r="B816" s="0" t="n">
        <v>1</v>
      </c>
      <c r="C816" s="0" t="n">
        <v>0.798981207994534</v>
      </c>
      <c r="D816" s="0" t="n">
        <v>877.015291247492</v>
      </c>
      <c r="E816" s="0" t="n">
        <v>4</v>
      </c>
      <c r="F816" s="0" t="n">
        <v>6</v>
      </c>
      <c r="G816" s="0" t="n">
        <v>0.5</v>
      </c>
      <c r="H816" s="0" t="n">
        <v>0</v>
      </c>
      <c r="I816" s="0" t="n">
        <v>2.06493682621236</v>
      </c>
      <c r="J816" s="0" t="n">
        <v>879.796984480424</v>
      </c>
      <c r="K816" s="0" t="n">
        <v>2.7816932329323</v>
      </c>
      <c r="L816" s="0" t="n">
        <v>0</v>
      </c>
      <c r="M816" s="0" t="n">
        <v>880.18088732003</v>
      </c>
      <c r="N816" s="0" t="n">
        <v>0</v>
      </c>
      <c r="O816" s="0" t="n">
        <v>799</v>
      </c>
      <c r="P816" s="0" t="n">
        <v>403</v>
      </c>
      <c r="Q816" s="0" t="n">
        <v>396</v>
      </c>
      <c r="R816" s="0" t="n">
        <v>862.474356185744</v>
      </c>
      <c r="S816" s="0" t="n">
        <v>909.830012517754</v>
      </c>
      <c r="T816" s="0" t="n">
        <v>24</v>
      </c>
      <c r="U816" s="0" t="n">
        <v>24</v>
      </c>
      <c r="V816" s="0" t="n">
        <v>35.9364165342325</v>
      </c>
      <c r="W816" s="0" t="n">
        <v>37.9094258989652</v>
      </c>
      <c r="X816" s="0" t="n">
        <v>2.7816932329323</v>
      </c>
      <c r="Y816" s="0" t="n">
        <v>0</v>
      </c>
      <c r="Z816" s="0" t="n">
        <v>0</v>
      </c>
      <c r="AA816" s="0" t="n">
        <v>0</v>
      </c>
      <c r="AB816" s="0" t="n">
        <v>1</v>
      </c>
      <c r="AC816" s="0" t="n">
        <v>0</v>
      </c>
      <c r="AD816" s="0" t="n">
        <v>0</v>
      </c>
      <c r="AE816" s="0" t="n">
        <v>0</v>
      </c>
      <c r="AF816" s="0" t="n">
        <v>21.584079319731</v>
      </c>
      <c r="AG816" s="0" t="n">
        <v>0</v>
      </c>
      <c r="AH816" s="0" t="n">
        <v>0</v>
      </c>
      <c r="AI816" s="0" t="n">
        <v>0</v>
      </c>
      <c r="AK816" s="0" t="n">
        <f aca="false">A816</f>
        <v>799</v>
      </c>
      <c r="AL816" s="0" t="n">
        <v>1</v>
      </c>
      <c r="AM816" s="0" t="n">
        <v>1</v>
      </c>
      <c r="AO816" s="0" t="n">
        <v>799</v>
      </c>
      <c r="AP816" s="0" t="n">
        <v>0</v>
      </c>
      <c r="AQ816" s="0" t="n">
        <v>0.772506381679705</v>
      </c>
      <c r="AR816" s="0" t="n">
        <v>714.319719361094</v>
      </c>
      <c r="AS816" s="0" t="n">
        <v>92</v>
      </c>
      <c r="AT816" s="0" t="n">
        <v>94</v>
      </c>
    </row>
    <row r="817" customFormat="false" ht="12" hidden="false" customHeight="false" outlineLevel="0" collapsed="false">
      <c r="A817" s="0" t="n">
        <v>800</v>
      </c>
      <c r="B817" s="0" t="n">
        <v>1</v>
      </c>
      <c r="C817" s="0" t="n">
        <v>1.34589908853234</v>
      </c>
      <c r="D817" s="0" t="n">
        <v>878.361190336024</v>
      </c>
      <c r="E817" s="0" t="n">
        <v>4</v>
      </c>
      <c r="F817" s="0" t="n">
        <v>4</v>
      </c>
      <c r="G817" s="0" t="n">
        <v>0.5</v>
      </c>
      <c r="H817" s="0" t="n">
        <v>1</v>
      </c>
      <c r="I817" s="0" t="n">
        <v>0</v>
      </c>
      <c r="J817" s="0" t="n">
        <v>879.796984480424</v>
      </c>
      <c r="K817" s="0" t="n">
        <v>0</v>
      </c>
      <c r="L817" s="0" t="n">
        <v>2.09871415980425</v>
      </c>
      <c r="M817" s="0" t="n">
        <v>882.279601479834</v>
      </c>
      <c r="N817" s="0" t="n">
        <v>3.91841114380998</v>
      </c>
      <c r="O817" s="0" t="n">
        <v>800</v>
      </c>
      <c r="P817" s="0" t="n">
        <v>403</v>
      </c>
      <c r="Q817" s="0" t="n">
        <v>397</v>
      </c>
      <c r="R817" s="0" t="n">
        <v>1220.28882057094</v>
      </c>
      <c r="S817" s="0" t="n">
        <v>547.567743583623</v>
      </c>
      <c r="T817" s="0" t="n">
        <v>30</v>
      </c>
      <c r="U817" s="0" t="n">
        <v>18</v>
      </c>
      <c r="V817" s="0" t="n">
        <v>40.6762804602712</v>
      </c>
      <c r="W817" s="0" t="n">
        <v>30.4202611976391</v>
      </c>
      <c r="X817" s="0" t="n">
        <v>0</v>
      </c>
      <c r="Y817" s="0" t="n">
        <v>0</v>
      </c>
      <c r="Z817" s="0" t="n">
        <v>3.91841114380998</v>
      </c>
      <c r="AA817" s="0" t="n">
        <v>0</v>
      </c>
      <c r="AB817" s="0" t="n">
        <v>0</v>
      </c>
      <c r="AC817" s="0" t="n">
        <v>0</v>
      </c>
      <c r="AD817" s="0" t="n">
        <v>1</v>
      </c>
      <c r="AE817" s="0" t="n">
        <v>0</v>
      </c>
      <c r="AF817" s="0" t="n">
        <v>0</v>
      </c>
      <c r="AG817" s="0" t="n">
        <v>0</v>
      </c>
      <c r="AH817" s="0" t="n">
        <v>14.8031957267293</v>
      </c>
      <c r="AI817" s="0" t="n">
        <v>0</v>
      </c>
      <c r="AK817" s="0" t="n">
        <f aca="false">A817</f>
        <v>800</v>
      </c>
      <c r="AL817" s="0" t="n">
        <v>0</v>
      </c>
      <c r="AM817" s="0" t="n">
        <v>2</v>
      </c>
      <c r="AO817" s="0" t="n">
        <v>800</v>
      </c>
      <c r="AP817" s="0" t="n">
        <v>1</v>
      </c>
      <c r="AQ817" s="0" t="n">
        <v>3.59141174922732</v>
      </c>
      <c r="AR817" s="0" t="n">
        <v>717.911131110322</v>
      </c>
      <c r="AS817" s="0" t="n">
        <v>88</v>
      </c>
      <c r="AT817" s="0" t="n">
        <v>92</v>
      </c>
    </row>
    <row r="818" customFormat="false" ht="12" hidden="false" customHeight="false" outlineLevel="0" collapsed="false">
      <c r="A818" s="0" t="n">
        <v>801</v>
      </c>
      <c r="B818" s="0" t="n">
        <v>1</v>
      </c>
      <c r="C818" s="0" t="n">
        <v>0.469600720004549</v>
      </c>
      <c r="D818" s="0" t="n">
        <v>878.830791056029</v>
      </c>
      <c r="E818" s="0" t="n">
        <v>4</v>
      </c>
      <c r="F818" s="0" t="n">
        <v>6</v>
      </c>
      <c r="G818" s="0" t="n">
        <v>0.5</v>
      </c>
      <c r="H818" s="0" t="n">
        <v>0</v>
      </c>
      <c r="I818" s="0" t="n">
        <v>1.98116972282643</v>
      </c>
      <c r="J818" s="0" t="n">
        <v>881.77815420325</v>
      </c>
      <c r="K818" s="0" t="n">
        <v>2.94736314722184</v>
      </c>
      <c r="L818" s="0" t="n">
        <v>0</v>
      </c>
      <c r="M818" s="0" t="n">
        <v>882.279601479834</v>
      </c>
      <c r="N818" s="0" t="n">
        <v>0</v>
      </c>
      <c r="O818" s="0" t="n">
        <v>801</v>
      </c>
      <c r="P818" s="0" t="n">
        <v>404</v>
      </c>
      <c r="Q818" s="0" t="n">
        <v>397</v>
      </c>
      <c r="R818" s="0" t="n">
        <v>709.421760514372</v>
      </c>
      <c r="S818" s="0" t="n">
        <v>1056.95029276588</v>
      </c>
      <c r="T818" s="0" t="n">
        <v>21</v>
      </c>
      <c r="U818" s="0" t="n">
        <v>27</v>
      </c>
      <c r="V818" s="0" t="n">
        <v>33.7819725092689</v>
      </c>
      <c r="W818" s="0" t="n">
        <v>39.1461621536913</v>
      </c>
      <c r="X818" s="0" t="n">
        <v>2.94736314722184</v>
      </c>
      <c r="Y818" s="0" t="n">
        <v>0</v>
      </c>
      <c r="Z818" s="0" t="n">
        <v>0</v>
      </c>
      <c r="AA818" s="0" t="n">
        <v>0</v>
      </c>
      <c r="AB818" s="0" t="n">
        <v>1</v>
      </c>
      <c r="AC818" s="0" t="n">
        <v>0</v>
      </c>
      <c r="AD818" s="0" t="n">
        <v>0</v>
      </c>
      <c r="AE818" s="0" t="n">
        <v>0</v>
      </c>
      <c r="AF818" s="0" t="n">
        <v>20.0721650955876</v>
      </c>
      <c r="AG818" s="0" t="n">
        <v>0</v>
      </c>
      <c r="AH818" s="0" t="n">
        <v>0</v>
      </c>
      <c r="AI818" s="0" t="n">
        <v>0</v>
      </c>
      <c r="AK818" s="0" t="n">
        <f aca="false">A818</f>
        <v>801</v>
      </c>
      <c r="AL818" s="0" t="n">
        <v>1</v>
      </c>
      <c r="AM818" s="0" t="n">
        <v>1</v>
      </c>
      <c r="AO818" s="0" t="n">
        <v>801</v>
      </c>
      <c r="AP818" s="0" t="n">
        <v>1</v>
      </c>
      <c r="AQ818" s="0" t="n">
        <v>0.764905659316341</v>
      </c>
      <c r="AR818" s="0" t="n">
        <v>718.676036769638</v>
      </c>
      <c r="AS818" s="0" t="n">
        <v>90</v>
      </c>
      <c r="AT818" s="0" t="n">
        <v>92</v>
      </c>
    </row>
    <row r="819" customFormat="false" ht="12" hidden="false" customHeight="false" outlineLevel="0" collapsed="false">
      <c r="A819" s="0" t="n">
        <v>802</v>
      </c>
      <c r="B819" s="0" t="n">
        <v>0</v>
      </c>
      <c r="C819" s="0" t="n">
        <v>0.665844539963699</v>
      </c>
      <c r="D819" s="0" t="n">
        <v>879.496635595992</v>
      </c>
      <c r="E819" s="0" t="n">
        <v>6</v>
      </c>
      <c r="F819" s="0" t="n">
        <v>6</v>
      </c>
      <c r="G819" s="0" t="n">
        <v>0.5</v>
      </c>
      <c r="H819" s="0" t="n">
        <v>0</v>
      </c>
      <c r="I819" s="0" t="n">
        <v>1.8971724312031</v>
      </c>
      <c r="J819" s="0" t="n">
        <v>883.675326634453</v>
      </c>
      <c r="K819" s="0" t="n">
        <v>4.17869103846124</v>
      </c>
      <c r="L819" s="0" t="n">
        <v>0</v>
      </c>
      <c r="M819" s="0" t="n">
        <v>882.279601479834</v>
      </c>
      <c r="N819" s="0" t="n">
        <v>0</v>
      </c>
      <c r="O819" s="0" t="n">
        <v>802</v>
      </c>
      <c r="P819" s="0" t="n">
        <v>405</v>
      </c>
      <c r="Q819" s="0" t="n">
        <v>397</v>
      </c>
      <c r="R819" s="0" t="n">
        <v>935.781571988183</v>
      </c>
      <c r="S819" s="0" t="n">
        <v>835.991722424768</v>
      </c>
      <c r="T819" s="0" t="n">
        <v>25</v>
      </c>
      <c r="U819" s="0" t="n">
        <v>23</v>
      </c>
      <c r="V819" s="0" t="n">
        <v>37.4312479070282</v>
      </c>
      <c r="W819" s="0" t="n">
        <v>36.3473081606066</v>
      </c>
      <c r="X819" s="0" t="n">
        <v>0</v>
      </c>
      <c r="Y819" s="0" t="n">
        <v>4.17869103846124</v>
      </c>
      <c r="Z819" s="0" t="n">
        <v>0</v>
      </c>
      <c r="AA819" s="0" t="n">
        <v>0</v>
      </c>
      <c r="AB819" s="0" t="n">
        <v>0</v>
      </c>
      <c r="AC819" s="0" t="n">
        <v>1</v>
      </c>
      <c r="AD819" s="0" t="n">
        <v>0</v>
      </c>
      <c r="AE819" s="0" t="n">
        <v>0</v>
      </c>
      <c r="AF819" s="0" t="n">
        <v>0</v>
      </c>
      <c r="AG819" s="0" t="n">
        <v>16.6461225900263</v>
      </c>
      <c r="AH819" s="0" t="n">
        <v>0</v>
      </c>
      <c r="AI819" s="0" t="n">
        <v>0</v>
      </c>
      <c r="AK819" s="0" t="n">
        <f aca="false">A819</f>
        <v>802</v>
      </c>
      <c r="AL819" s="0" t="n">
        <v>0</v>
      </c>
      <c r="AM819" s="0" t="n">
        <v>0</v>
      </c>
      <c r="AO819" s="0" t="n">
        <v>802</v>
      </c>
      <c r="AP819" s="0" t="n">
        <v>0</v>
      </c>
      <c r="AQ819" s="0" t="n">
        <v>2.12609906232463</v>
      </c>
      <c r="AR819" s="0" t="n">
        <v>720.802135831963</v>
      </c>
      <c r="AS819" s="0" t="n">
        <v>90</v>
      </c>
      <c r="AT819" s="0" t="n">
        <v>90</v>
      </c>
    </row>
    <row r="820" customFormat="false" ht="12" hidden="false" customHeight="false" outlineLevel="0" collapsed="false">
      <c r="A820" s="0" t="n">
        <v>803</v>
      </c>
      <c r="B820" s="0" t="n">
        <v>0</v>
      </c>
      <c r="C820" s="0" t="n">
        <v>1.19493815027931</v>
      </c>
      <c r="D820" s="0" t="n">
        <v>880.691573746272</v>
      </c>
      <c r="E820" s="0" t="n">
        <v>6</v>
      </c>
      <c r="F820" s="0" t="n">
        <v>4</v>
      </c>
      <c r="G820" s="0" t="n">
        <v>0.5</v>
      </c>
      <c r="H820" s="0" t="n">
        <v>0</v>
      </c>
      <c r="I820" s="0" t="n">
        <v>1.86188600340455</v>
      </c>
      <c r="J820" s="0" t="n">
        <v>885.537212637858</v>
      </c>
      <c r="K820" s="0" t="n">
        <v>4.84563889158642</v>
      </c>
      <c r="L820" s="0" t="n">
        <v>0</v>
      </c>
      <c r="M820" s="0" t="n">
        <v>882.279601479834</v>
      </c>
      <c r="N820" s="0" t="n">
        <v>0</v>
      </c>
      <c r="O820" s="0" t="n">
        <v>803</v>
      </c>
      <c r="P820" s="0" t="n">
        <v>406</v>
      </c>
      <c r="Q820" s="0" t="n">
        <v>397</v>
      </c>
      <c r="R820" s="0" t="n">
        <v>900.514555591416</v>
      </c>
      <c r="S820" s="0" t="n">
        <v>880.689155728762</v>
      </c>
      <c r="T820" s="0" t="n">
        <v>24</v>
      </c>
      <c r="U820" s="0" t="n">
        <v>24</v>
      </c>
      <c r="V820" s="0" t="n">
        <v>37.5214241823822</v>
      </c>
      <c r="W820" s="0" t="n">
        <v>36.6952285919126</v>
      </c>
      <c r="X820" s="0" t="n">
        <v>0</v>
      </c>
      <c r="Y820" s="0" t="n">
        <v>4.84563889158642</v>
      </c>
      <c r="Z820" s="0" t="n">
        <v>0</v>
      </c>
      <c r="AA820" s="0" t="n">
        <v>0</v>
      </c>
      <c r="AB820" s="0" t="n">
        <v>0</v>
      </c>
      <c r="AC820" s="0" t="n">
        <v>1</v>
      </c>
      <c r="AD820" s="0" t="n">
        <v>0</v>
      </c>
      <c r="AE820" s="0" t="n">
        <v>0</v>
      </c>
      <c r="AF820" s="0" t="n">
        <v>0</v>
      </c>
      <c r="AG820" s="0" t="n">
        <v>11.6486928950477</v>
      </c>
      <c r="AH820" s="0" t="n">
        <v>0</v>
      </c>
      <c r="AI820" s="0" t="n">
        <v>0</v>
      </c>
      <c r="AK820" s="0" t="n">
        <f aca="false">A820</f>
        <v>803</v>
      </c>
      <c r="AL820" s="0" t="n">
        <v>1</v>
      </c>
      <c r="AM820" s="0" t="n">
        <v>0</v>
      </c>
      <c r="AO820" s="0" t="n">
        <v>803</v>
      </c>
      <c r="AP820" s="0" t="n">
        <v>0</v>
      </c>
      <c r="AQ820" s="0" t="n">
        <v>0.83559202499925</v>
      </c>
      <c r="AR820" s="0" t="n">
        <v>721.637727856962</v>
      </c>
      <c r="AS820" s="0" t="n">
        <v>90</v>
      </c>
      <c r="AT820" s="0" t="n">
        <v>90</v>
      </c>
    </row>
    <row r="821" customFormat="false" ht="12" hidden="false" customHeight="false" outlineLevel="0" collapsed="false">
      <c r="A821" s="0" t="n">
        <v>804</v>
      </c>
      <c r="B821" s="0" t="n">
        <v>1</v>
      </c>
      <c r="C821" s="0" t="n">
        <v>0.496132810577918</v>
      </c>
      <c r="D821" s="0" t="n">
        <v>881.187706556849</v>
      </c>
      <c r="E821" s="0" t="n">
        <v>8</v>
      </c>
      <c r="F821" s="0" t="n">
        <v>4</v>
      </c>
      <c r="G821" s="0" t="n">
        <v>0.5</v>
      </c>
      <c r="H821" s="0" t="n">
        <v>1</v>
      </c>
      <c r="I821" s="0" t="n">
        <v>0</v>
      </c>
      <c r="J821" s="0" t="n">
        <v>885.537212637858</v>
      </c>
      <c r="K821" s="0" t="n">
        <v>0</v>
      </c>
      <c r="L821" s="0" t="n">
        <v>1.92593408338008</v>
      </c>
      <c r="M821" s="0" t="n">
        <v>884.205535563214</v>
      </c>
      <c r="N821" s="0" t="n">
        <v>3.01782900636454</v>
      </c>
      <c r="O821" s="0" t="n">
        <v>804</v>
      </c>
      <c r="P821" s="0" t="n">
        <v>406</v>
      </c>
      <c r="Q821" s="0" t="n">
        <v>398</v>
      </c>
      <c r="R821" s="0" t="n">
        <v>836.494588419546</v>
      </c>
      <c r="S821" s="0" t="n">
        <v>941.302109954673</v>
      </c>
      <c r="T821" s="0" t="n">
        <v>25</v>
      </c>
      <c r="U821" s="0" t="n">
        <v>23</v>
      </c>
      <c r="V821" s="0" t="n">
        <v>33.4597701528738</v>
      </c>
      <c r="W821" s="0" t="n">
        <v>40.9260007545477</v>
      </c>
      <c r="X821" s="0" t="n">
        <v>0</v>
      </c>
      <c r="Y821" s="0" t="n">
        <v>0</v>
      </c>
      <c r="Z821" s="0" t="n">
        <v>3.01782900636454</v>
      </c>
      <c r="AA821" s="0" t="n">
        <v>0</v>
      </c>
      <c r="AB821" s="0" t="n">
        <v>0</v>
      </c>
      <c r="AC821" s="0" t="n">
        <v>0</v>
      </c>
      <c r="AD821" s="0" t="n">
        <v>1</v>
      </c>
      <c r="AE821" s="0" t="n">
        <v>0</v>
      </c>
      <c r="AF821" s="0" t="n">
        <v>0</v>
      </c>
      <c r="AG821" s="0" t="n">
        <v>0</v>
      </c>
      <c r="AH821" s="0" t="n">
        <v>22.5442092939957</v>
      </c>
      <c r="AI821" s="0" t="n">
        <v>0</v>
      </c>
      <c r="AK821" s="0" t="n">
        <f aca="false">A821</f>
        <v>804</v>
      </c>
      <c r="AL821" s="0" t="n">
        <v>2</v>
      </c>
      <c r="AM821" s="0" t="n">
        <v>1</v>
      </c>
      <c r="AO821" s="0" t="n">
        <v>804</v>
      </c>
      <c r="AP821" s="0" t="n">
        <v>0</v>
      </c>
      <c r="AQ821" s="0" t="n">
        <v>0.021268212452674</v>
      </c>
      <c r="AR821" s="0" t="n">
        <v>721.658996069415</v>
      </c>
      <c r="AS821" s="0" t="n">
        <v>92</v>
      </c>
      <c r="AT821" s="0" t="n">
        <v>90</v>
      </c>
    </row>
    <row r="822" customFormat="false" ht="12" hidden="false" customHeight="false" outlineLevel="0" collapsed="false">
      <c r="A822" s="0" t="n">
        <v>805</v>
      </c>
      <c r="B822" s="0" t="n">
        <v>0</v>
      </c>
      <c r="C822" s="0" t="n">
        <v>0.890357911765922</v>
      </c>
      <c r="D822" s="0" t="n">
        <v>882.078064468615</v>
      </c>
      <c r="E822" s="0" t="n">
        <v>6</v>
      </c>
      <c r="F822" s="0" t="n">
        <v>6</v>
      </c>
      <c r="G822" s="0" t="n">
        <v>0.5</v>
      </c>
      <c r="H822" s="0" t="n">
        <v>0</v>
      </c>
      <c r="I822" s="0" t="n">
        <v>1.88353587534894</v>
      </c>
      <c r="J822" s="0" t="n">
        <v>887.420748513207</v>
      </c>
      <c r="K822" s="0" t="n">
        <v>5.34268404459147</v>
      </c>
      <c r="L822" s="0" t="n">
        <v>0</v>
      </c>
      <c r="M822" s="0" t="n">
        <v>884.205535563214</v>
      </c>
      <c r="N822" s="0" t="n">
        <v>0</v>
      </c>
      <c r="O822" s="0" t="n">
        <v>805</v>
      </c>
      <c r="P822" s="0" t="n">
        <v>407</v>
      </c>
      <c r="Q822" s="0" t="n">
        <v>398</v>
      </c>
      <c r="R822" s="0" t="n">
        <v>793.478429145992</v>
      </c>
      <c r="S822" s="0" t="n">
        <v>970.803148258362</v>
      </c>
      <c r="T822" s="0" t="n">
        <v>21</v>
      </c>
      <c r="U822" s="0" t="n">
        <v>27</v>
      </c>
      <c r="V822" s="0" t="n">
        <v>37.7846691094905</v>
      </c>
      <c r="W822" s="0" t="n">
        <v>35.9555389890542</v>
      </c>
      <c r="X822" s="0" t="n">
        <v>0</v>
      </c>
      <c r="Y822" s="0" t="n">
        <v>5.34268404459147</v>
      </c>
      <c r="Z822" s="0" t="n">
        <v>0</v>
      </c>
      <c r="AA822" s="0" t="n">
        <v>0</v>
      </c>
      <c r="AB822" s="0" t="n">
        <v>0</v>
      </c>
      <c r="AC822" s="0" t="n">
        <v>1</v>
      </c>
      <c r="AD822" s="0" t="n">
        <v>0</v>
      </c>
      <c r="AE822" s="0" t="n">
        <v>0</v>
      </c>
      <c r="AF822" s="0" t="n">
        <v>0</v>
      </c>
      <c r="AG822" s="0" t="n">
        <v>8.5028985216116</v>
      </c>
      <c r="AH822" s="0" t="n">
        <v>0</v>
      </c>
      <c r="AI822" s="0" t="n">
        <v>0</v>
      </c>
      <c r="AK822" s="0" t="n">
        <f aca="false">A822</f>
        <v>805</v>
      </c>
      <c r="AL822" s="0" t="n">
        <v>0</v>
      </c>
      <c r="AM822" s="0" t="n">
        <v>1</v>
      </c>
      <c r="AO822" s="0" t="n">
        <v>805</v>
      </c>
      <c r="AP822" s="0" t="n">
        <v>0</v>
      </c>
      <c r="AQ822" s="0" t="n">
        <v>3.19360009615535</v>
      </c>
      <c r="AR822" s="0" t="n">
        <v>724.85259616557</v>
      </c>
      <c r="AS822" s="0" t="n">
        <v>88</v>
      </c>
      <c r="AT822" s="0" t="n">
        <v>90</v>
      </c>
    </row>
    <row r="823" customFormat="false" ht="12" hidden="false" customHeight="false" outlineLevel="0" collapsed="false">
      <c r="A823" s="0" t="n">
        <v>806</v>
      </c>
      <c r="B823" s="0" t="n">
        <v>0</v>
      </c>
      <c r="C823" s="0" t="n">
        <v>0.0311030155904824</v>
      </c>
      <c r="D823" s="0" t="n">
        <v>882.109167484206</v>
      </c>
      <c r="E823" s="0" t="n">
        <v>8</v>
      </c>
      <c r="F823" s="0" t="n">
        <v>6</v>
      </c>
      <c r="G823" s="0" t="n">
        <v>0.5</v>
      </c>
      <c r="H823" s="0" t="n">
        <v>1</v>
      </c>
      <c r="I823" s="0" t="n">
        <v>0</v>
      </c>
      <c r="J823" s="0" t="n">
        <v>887.420748513207</v>
      </c>
      <c r="K823" s="0" t="n">
        <v>0</v>
      </c>
      <c r="L823" s="0" t="n">
        <v>1.87883965425942</v>
      </c>
      <c r="M823" s="0" t="n">
        <v>886.084375217473</v>
      </c>
      <c r="N823" s="0" t="n">
        <v>3.97520773326755</v>
      </c>
      <c r="O823" s="0" t="n">
        <v>806</v>
      </c>
      <c r="P823" s="0" t="n">
        <v>407</v>
      </c>
      <c r="Q823" s="0" t="n">
        <v>399</v>
      </c>
      <c r="R823" s="0" t="n">
        <v>972.233132822553</v>
      </c>
      <c r="S823" s="0" t="n">
        <v>786.437812855153</v>
      </c>
      <c r="T823" s="0" t="n">
        <v>26</v>
      </c>
      <c r="U823" s="0" t="n">
        <v>22</v>
      </c>
      <c r="V823" s="0" t="n">
        <v>37.3935676494953</v>
      </c>
      <c r="W823" s="0" t="n">
        <v>35.747010825185</v>
      </c>
      <c r="X823" s="0" t="n">
        <v>0</v>
      </c>
      <c r="Y823" s="0" t="n">
        <v>0</v>
      </c>
      <c r="Z823" s="0" t="n">
        <v>0</v>
      </c>
      <c r="AA823" s="0" t="n">
        <v>3.97520773326755</v>
      </c>
      <c r="AB823" s="0" t="n">
        <v>0</v>
      </c>
      <c r="AC823" s="0" t="n">
        <v>0</v>
      </c>
      <c r="AD823" s="0" t="n">
        <v>0</v>
      </c>
      <c r="AE823" s="0" t="n">
        <v>1</v>
      </c>
      <c r="AF823" s="0" t="n">
        <v>0</v>
      </c>
      <c r="AG823" s="0" t="n">
        <v>0</v>
      </c>
      <c r="AH823" s="0" t="n">
        <v>0</v>
      </c>
      <c r="AI823" s="0" t="n">
        <v>14.1089860694817</v>
      </c>
      <c r="AK823" s="0" t="n">
        <f aca="false">A823</f>
        <v>806</v>
      </c>
      <c r="AL823" s="0" t="n">
        <v>1</v>
      </c>
      <c r="AM823" s="0" t="n">
        <v>0</v>
      </c>
      <c r="AO823" s="0" t="n">
        <v>806</v>
      </c>
      <c r="AP823" s="0" t="n">
        <v>0</v>
      </c>
      <c r="AQ823" s="0" t="n">
        <v>1.69304347240846</v>
      </c>
      <c r="AR823" s="0" t="n">
        <v>726.545639637978</v>
      </c>
      <c r="AS823" s="0" t="n">
        <v>88</v>
      </c>
      <c r="AT823" s="0" t="n">
        <v>88</v>
      </c>
    </row>
    <row r="824" customFormat="false" ht="12" hidden="false" customHeight="false" outlineLevel="0" collapsed="false">
      <c r="A824" s="0" t="n">
        <v>807</v>
      </c>
      <c r="B824" s="0" t="n">
        <v>1</v>
      </c>
      <c r="C824" s="0" t="n">
        <v>0.905726385587538</v>
      </c>
      <c r="D824" s="0" t="n">
        <v>883.014893869793</v>
      </c>
      <c r="E824" s="0" t="n">
        <v>8</v>
      </c>
      <c r="F824" s="0" t="n">
        <v>6</v>
      </c>
      <c r="G824" s="0" t="n">
        <v>0.5</v>
      </c>
      <c r="H824" s="0" t="n">
        <v>1</v>
      </c>
      <c r="I824" s="0" t="n">
        <v>0</v>
      </c>
      <c r="J824" s="0" t="n">
        <v>887.420748513207</v>
      </c>
      <c r="K824" s="0" t="n">
        <v>0</v>
      </c>
      <c r="L824" s="0" t="n">
        <v>1.77032395024021</v>
      </c>
      <c r="M824" s="0" t="n">
        <v>887.854699167714</v>
      </c>
      <c r="N824" s="0" t="n">
        <v>4.83980529792029</v>
      </c>
      <c r="O824" s="0" t="n">
        <v>807</v>
      </c>
      <c r="P824" s="0" t="n">
        <v>407</v>
      </c>
      <c r="Q824" s="0" t="n">
        <v>400</v>
      </c>
      <c r="R824" s="0" t="n">
        <v>946.957057400772</v>
      </c>
      <c r="S824" s="0" t="n">
        <v>800.571011011086</v>
      </c>
      <c r="T824" s="0" t="n">
        <v>23</v>
      </c>
      <c r="U824" s="0" t="n">
        <v>25</v>
      </c>
      <c r="V824" s="0" t="n">
        <v>41.1720280730648</v>
      </c>
      <c r="W824" s="0" t="n">
        <v>32.022712349594</v>
      </c>
      <c r="X824" s="0" t="n">
        <v>0</v>
      </c>
      <c r="Y824" s="0" t="n">
        <v>0</v>
      </c>
      <c r="Z824" s="0" t="n">
        <v>4.83980529792029</v>
      </c>
      <c r="AA824" s="0" t="n">
        <v>0</v>
      </c>
      <c r="AB824" s="0" t="n">
        <v>0</v>
      </c>
      <c r="AC824" s="0" t="n">
        <v>0</v>
      </c>
      <c r="AD824" s="0" t="n">
        <v>1</v>
      </c>
      <c r="AE824" s="0" t="n">
        <v>0</v>
      </c>
      <c r="AF824" s="0" t="n">
        <v>0</v>
      </c>
      <c r="AG824" s="0" t="n">
        <v>0</v>
      </c>
      <c r="AH824" s="0" t="n">
        <v>8.56204939212579</v>
      </c>
      <c r="AI824" s="0" t="n">
        <v>0</v>
      </c>
      <c r="AK824" s="0" t="n">
        <f aca="false">A824</f>
        <v>807</v>
      </c>
      <c r="AL824" s="0" t="n">
        <v>1</v>
      </c>
      <c r="AM824" s="0" t="n">
        <v>1</v>
      </c>
      <c r="AO824" s="0" t="n">
        <v>807</v>
      </c>
      <c r="AP824" s="0" t="n">
        <v>1</v>
      </c>
      <c r="AQ824" s="0" t="n">
        <v>0.314747897822068</v>
      </c>
      <c r="AR824" s="0" t="n">
        <v>726.8603875358</v>
      </c>
      <c r="AS824" s="0" t="n">
        <v>90</v>
      </c>
      <c r="AT824" s="0" t="n">
        <v>88</v>
      </c>
    </row>
    <row r="825" customFormat="false" ht="12" hidden="false" customHeight="false" outlineLevel="0" collapsed="false">
      <c r="A825" s="0" t="n">
        <v>808</v>
      </c>
      <c r="B825" s="0" t="n">
        <v>0</v>
      </c>
      <c r="C825" s="0" t="n">
        <v>0.129900928615643</v>
      </c>
      <c r="D825" s="0" t="n">
        <v>883.144794798409</v>
      </c>
      <c r="E825" s="0" t="n">
        <v>8</v>
      </c>
      <c r="F825" s="0" t="n">
        <v>8</v>
      </c>
      <c r="G825" s="0" t="n">
        <v>0.5</v>
      </c>
      <c r="H825" s="0" t="n">
        <v>1</v>
      </c>
      <c r="I825" s="0" t="n">
        <v>0</v>
      </c>
      <c r="J825" s="0" t="n">
        <v>887.420748513207</v>
      </c>
      <c r="K825" s="0" t="n">
        <v>0</v>
      </c>
      <c r="L825" s="0" t="n">
        <v>2.01384032834891</v>
      </c>
      <c r="M825" s="0" t="n">
        <v>889.868539496063</v>
      </c>
      <c r="N825" s="0" t="n">
        <v>6.72374469765362</v>
      </c>
      <c r="O825" s="0" t="n">
        <v>808</v>
      </c>
      <c r="P825" s="0" t="n">
        <v>407</v>
      </c>
      <c r="Q825" s="0" t="n">
        <v>401</v>
      </c>
      <c r="R825" s="0" t="n">
        <v>839.033889566252</v>
      </c>
      <c r="S825" s="0" t="n">
        <v>917.040415998955</v>
      </c>
      <c r="T825" s="0" t="n">
        <v>24</v>
      </c>
      <c r="U825" s="0" t="n">
        <v>24</v>
      </c>
      <c r="V825" s="0" t="n">
        <v>34.9597308320393</v>
      </c>
      <c r="W825" s="0" t="n">
        <v>38.2098581255476</v>
      </c>
      <c r="X825" s="0" t="n">
        <v>0</v>
      </c>
      <c r="Y825" s="0" t="n">
        <v>0</v>
      </c>
      <c r="Z825" s="0" t="n">
        <v>0</v>
      </c>
      <c r="AA825" s="0" t="n">
        <v>6.72374469765362</v>
      </c>
      <c r="AB825" s="0" t="n">
        <v>0</v>
      </c>
      <c r="AC825" s="0" t="n">
        <v>0</v>
      </c>
      <c r="AD825" s="0" t="n">
        <v>0</v>
      </c>
      <c r="AE825" s="0" t="n">
        <v>1</v>
      </c>
      <c r="AF825" s="0" t="n">
        <v>0</v>
      </c>
      <c r="AG825" s="0" t="n">
        <v>0</v>
      </c>
      <c r="AH825" s="0" t="n">
        <v>0</v>
      </c>
      <c r="AI825" s="0" t="n">
        <v>1.01537074411691</v>
      </c>
      <c r="AK825" s="0" t="n">
        <f aca="false">A825</f>
        <v>808</v>
      </c>
      <c r="AL825" s="0" t="n">
        <v>0</v>
      </c>
      <c r="AM825" s="0" t="n">
        <v>0</v>
      </c>
      <c r="AO825" s="0" t="n">
        <v>808</v>
      </c>
      <c r="AP825" s="0" t="n">
        <v>1</v>
      </c>
      <c r="AQ825" s="0" t="n">
        <v>0.490121403671509</v>
      </c>
      <c r="AR825" s="0" t="n">
        <v>727.350508939472</v>
      </c>
      <c r="AS825" s="0" t="n">
        <v>90</v>
      </c>
      <c r="AT825" s="0" t="n">
        <v>90</v>
      </c>
    </row>
    <row r="826" customFormat="false" ht="12" hidden="false" customHeight="false" outlineLevel="0" collapsed="false">
      <c r="A826" s="0" t="n">
        <v>809</v>
      </c>
      <c r="B826" s="0" t="n">
        <v>0</v>
      </c>
      <c r="C826" s="0" t="n">
        <v>0.47365558837898</v>
      </c>
      <c r="D826" s="0" t="n">
        <v>883.618450386788</v>
      </c>
      <c r="E826" s="0" t="n">
        <v>8</v>
      </c>
      <c r="F826" s="0" t="n">
        <v>10</v>
      </c>
      <c r="G826" s="0" t="n">
        <v>0.5</v>
      </c>
      <c r="H826" s="0" t="n">
        <v>0</v>
      </c>
      <c r="I826" s="0" t="n">
        <v>2.08516312697086</v>
      </c>
      <c r="J826" s="0" t="n">
        <v>889.505911640178</v>
      </c>
      <c r="K826" s="0" t="n">
        <v>5.8874612533898</v>
      </c>
      <c r="L826" s="0" t="n">
        <v>0</v>
      </c>
      <c r="M826" s="0" t="n">
        <v>889.868539496063</v>
      </c>
      <c r="N826" s="0" t="n">
        <v>0</v>
      </c>
      <c r="O826" s="0" t="n">
        <v>809</v>
      </c>
      <c r="P826" s="0" t="n">
        <v>408</v>
      </c>
      <c r="Q826" s="0" t="n">
        <v>401</v>
      </c>
      <c r="R826" s="0" t="n">
        <v>1066.41762932993</v>
      </c>
      <c r="S826" s="0" t="n">
        <v>687.718814424219</v>
      </c>
      <c r="T826" s="0" t="n">
        <v>27</v>
      </c>
      <c r="U826" s="0" t="n">
        <v>21</v>
      </c>
      <c r="V826" s="0" t="n">
        <v>39.4969346059474</v>
      </c>
      <c r="W826" s="0" t="n">
        <v>32.7483590280151</v>
      </c>
      <c r="X826" s="0" t="n">
        <v>0</v>
      </c>
      <c r="Y826" s="0" t="n">
        <v>5.8874612533898</v>
      </c>
      <c r="Z826" s="0" t="n">
        <v>0</v>
      </c>
      <c r="AA826" s="0" t="n">
        <v>0</v>
      </c>
      <c r="AB826" s="0" t="n">
        <v>0</v>
      </c>
      <c r="AC826" s="0" t="n">
        <v>1</v>
      </c>
      <c r="AD826" s="0" t="n">
        <v>0</v>
      </c>
      <c r="AE826" s="0" t="n">
        <v>0</v>
      </c>
      <c r="AF826" s="0" t="n">
        <v>0</v>
      </c>
      <c r="AG826" s="0" t="n">
        <v>5.62256946791939</v>
      </c>
      <c r="AH826" s="0" t="n">
        <v>0</v>
      </c>
      <c r="AI826" s="0" t="n">
        <v>0</v>
      </c>
      <c r="AK826" s="0" t="n">
        <f aca="false">A826</f>
        <v>809</v>
      </c>
      <c r="AL826" s="0" t="n">
        <v>1</v>
      </c>
      <c r="AM826" s="0" t="n">
        <v>1</v>
      </c>
      <c r="AO826" s="0" t="n">
        <v>809</v>
      </c>
      <c r="AP826" s="0" t="n">
        <v>0</v>
      </c>
      <c r="AQ826" s="0" t="n">
        <v>1.31427663846426</v>
      </c>
      <c r="AR826" s="0" t="n">
        <v>728.664785577936</v>
      </c>
      <c r="AS826" s="0" t="n">
        <v>88</v>
      </c>
      <c r="AT826" s="0" t="n">
        <v>90</v>
      </c>
    </row>
    <row r="827" customFormat="false" ht="12" hidden="false" customHeight="false" outlineLevel="0" collapsed="false">
      <c r="A827" s="0" t="n">
        <v>810</v>
      </c>
      <c r="B827" s="0" t="n">
        <v>0</v>
      </c>
      <c r="C827" s="0" t="n">
        <v>0.818844574543575</v>
      </c>
      <c r="D827" s="0" t="n">
        <v>884.437294961332</v>
      </c>
      <c r="E827" s="0" t="n">
        <v>8</v>
      </c>
      <c r="F827" s="0" t="n">
        <v>8</v>
      </c>
      <c r="G827" s="0" t="n">
        <v>0.5</v>
      </c>
      <c r="H827" s="0" t="n">
        <v>1</v>
      </c>
      <c r="I827" s="0" t="n">
        <v>0</v>
      </c>
      <c r="J827" s="0" t="n">
        <v>889.505911640178</v>
      </c>
      <c r="K827" s="0" t="n">
        <v>0</v>
      </c>
      <c r="L827" s="0" t="n">
        <v>1.94556206640082</v>
      </c>
      <c r="M827" s="0" t="n">
        <v>891.814101562463</v>
      </c>
      <c r="N827" s="0" t="n">
        <v>7.37680660113188</v>
      </c>
      <c r="O827" s="0" t="n">
        <v>810</v>
      </c>
      <c r="P827" s="0" t="n">
        <v>408</v>
      </c>
      <c r="Q827" s="0" t="n">
        <v>402</v>
      </c>
      <c r="R827" s="0" t="n">
        <v>607.178386177448</v>
      </c>
      <c r="S827" s="0" t="n">
        <v>1154.22419956111</v>
      </c>
      <c r="T827" s="0" t="n">
        <v>21</v>
      </c>
      <c r="U827" s="0" t="n">
        <v>27</v>
      </c>
      <c r="V827" s="0" t="n">
        <v>28.9132427164296</v>
      </c>
      <c r="W827" s="0" t="n">
        <v>42.7488860989814</v>
      </c>
      <c r="X827" s="0" t="n">
        <v>0</v>
      </c>
      <c r="Y827" s="0" t="n">
        <v>0</v>
      </c>
      <c r="Z827" s="0" t="n">
        <v>0</v>
      </c>
      <c r="AA827" s="0" t="n">
        <v>7.37680660113188</v>
      </c>
      <c r="AB827" s="0" t="n">
        <v>0</v>
      </c>
      <c r="AC827" s="0" t="n">
        <v>0</v>
      </c>
      <c r="AD827" s="0" t="n">
        <v>0</v>
      </c>
      <c r="AE827" s="0" t="n">
        <v>1</v>
      </c>
      <c r="AF827" s="0" t="n">
        <v>0</v>
      </c>
      <c r="AG827" s="0" t="n">
        <v>0</v>
      </c>
      <c r="AH827" s="0" t="n">
        <v>0</v>
      </c>
      <c r="AI827" s="0" t="n">
        <v>0.125737018957967</v>
      </c>
      <c r="AK827" s="0" t="n">
        <f aca="false">A827</f>
        <v>810</v>
      </c>
      <c r="AL827" s="0" t="n">
        <v>0</v>
      </c>
      <c r="AM827" s="0" t="n">
        <v>0</v>
      </c>
      <c r="AO827" s="0" t="n">
        <v>810</v>
      </c>
      <c r="AP827" s="0" t="n">
        <v>0</v>
      </c>
      <c r="AQ827" s="0" t="n">
        <v>0.0307083045993285</v>
      </c>
      <c r="AR827" s="0" t="n">
        <v>728.695493882536</v>
      </c>
      <c r="AS827" s="0" t="n">
        <v>90</v>
      </c>
      <c r="AT827" s="0" t="n">
        <v>90</v>
      </c>
    </row>
    <row r="828" customFormat="false" ht="12" hidden="false" customHeight="false" outlineLevel="0" collapsed="false">
      <c r="A828" s="0" t="n">
        <v>811</v>
      </c>
      <c r="B828" s="0" t="n">
        <v>0</v>
      </c>
      <c r="C828" s="0" t="n">
        <v>0.0737830644158197</v>
      </c>
      <c r="D828" s="0" t="n">
        <v>884.511078025747</v>
      </c>
      <c r="E828" s="0" t="n">
        <v>8</v>
      </c>
      <c r="F828" s="0" t="n">
        <v>10</v>
      </c>
      <c r="G828" s="0" t="n">
        <v>0.5</v>
      </c>
      <c r="H828" s="0" t="n">
        <v>1</v>
      </c>
      <c r="I828" s="0" t="n">
        <v>0</v>
      </c>
      <c r="J828" s="0" t="n">
        <v>889.505911640178</v>
      </c>
      <c r="K828" s="0" t="n">
        <v>0</v>
      </c>
      <c r="L828" s="0" t="n">
        <v>1.89614681364659</v>
      </c>
      <c r="M828" s="0" t="n">
        <v>893.71024837611</v>
      </c>
      <c r="N828" s="0" t="n">
        <v>9.19917035036269</v>
      </c>
      <c r="O828" s="0" t="n">
        <v>811</v>
      </c>
      <c r="P828" s="0" t="n">
        <v>408</v>
      </c>
      <c r="Q828" s="0" t="n">
        <v>403</v>
      </c>
      <c r="R828" s="0" t="n">
        <v>755.40212891808</v>
      </c>
      <c r="S828" s="0" t="n">
        <v>999.932388539694</v>
      </c>
      <c r="T828" s="0" t="n">
        <v>19</v>
      </c>
      <c r="U828" s="0" t="n">
        <v>29</v>
      </c>
      <c r="V828" s="0" t="n">
        <v>39.7579858599064</v>
      </c>
      <c r="W828" s="0" t="n">
        <v>34.4803082934091</v>
      </c>
      <c r="X828" s="0" t="n">
        <v>0</v>
      </c>
      <c r="Y828" s="0" t="n">
        <v>0</v>
      </c>
      <c r="Z828" s="0" t="n">
        <v>0</v>
      </c>
      <c r="AA828" s="0" t="n">
        <v>9.19917035036269</v>
      </c>
      <c r="AB828" s="0" t="n">
        <v>0</v>
      </c>
      <c r="AC828" s="0" t="n">
        <v>0</v>
      </c>
      <c r="AD828" s="0" t="n">
        <v>0</v>
      </c>
      <c r="AE828" s="0" t="n">
        <v>1</v>
      </c>
      <c r="AF828" s="0" t="n">
        <v>0</v>
      </c>
      <c r="AG828" s="0" t="n">
        <v>0</v>
      </c>
      <c r="AH828" s="0" t="n">
        <v>0</v>
      </c>
      <c r="AI828" s="0" t="n">
        <v>2.15434756437256</v>
      </c>
      <c r="AK828" s="0" t="n">
        <f aca="false">A828</f>
        <v>811</v>
      </c>
      <c r="AL828" s="0" t="n">
        <v>1</v>
      </c>
      <c r="AM828" s="0" t="n">
        <v>2</v>
      </c>
      <c r="AO828" s="0" t="n">
        <v>811</v>
      </c>
      <c r="AP828" s="0" t="n">
        <v>0</v>
      </c>
      <c r="AQ828" s="0" t="n">
        <v>0.828374116775947</v>
      </c>
      <c r="AR828" s="0" t="n">
        <v>729.523867999312</v>
      </c>
      <c r="AS828" s="0" t="n">
        <v>88</v>
      </c>
      <c r="AT828" s="0" t="n">
        <v>92</v>
      </c>
    </row>
    <row r="829" customFormat="false" ht="12" hidden="false" customHeight="false" outlineLevel="0" collapsed="false">
      <c r="A829" s="0" t="n">
        <v>812</v>
      </c>
      <c r="B829" s="0" t="n">
        <v>0</v>
      </c>
      <c r="C829" s="0" t="n">
        <v>0.0055795320220177</v>
      </c>
      <c r="D829" s="0" t="n">
        <v>884.516657557769</v>
      </c>
      <c r="E829" s="0" t="n">
        <v>8</v>
      </c>
      <c r="F829" s="0" t="n">
        <v>12</v>
      </c>
      <c r="G829" s="0" t="n">
        <v>0.5</v>
      </c>
      <c r="H829" s="0" t="n">
        <v>0</v>
      </c>
      <c r="I829" s="0" t="n">
        <v>1.91811480726915</v>
      </c>
      <c r="J829" s="0" t="n">
        <v>891.424026447447</v>
      </c>
      <c r="K829" s="0" t="n">
        <v>6.90736888967751</v>
      </c>
      <c r="L829" s="0" t="n">
        <v>0</v>
      </c>
      <c r="M829" s="0" t="n">
        <v>893.71024837611</v>
      </c>
      <c r="N829" s="0" t="n">
        <v>0</v>
      </c>
      <c r="O829" s="0" t="n">
        <v>812</v>
      </c>
      <c r="P829" s="0" t="n">
        <v>409</v>
      </c>
      <c r="Q829" s="0" t="n">
        <v>403</v>
      </c>
      <c r="R829" s="0" t="n">
        <v>998.797467292659</v>
      </c>
      <c r="S829" s="0" t="n">
        <v>754.189807788644</v>
      </c>
      <c r="T829" s="0" t="n">
        <v>26</v>
      </c>
      <c r="U829" s="0" t="n">
        <v>22</v>
      </c>
      <c r="V829" s="0" t="n">
        <v>38.415272428459</v>
      </c>
      <c r="W829" s="0" t="n">
        <v>34.2811990758516</v>
      </c>
      <c r="X829" s="0" t="n">
        <v>0</v>
      </c>
      <c r="Y829" s="0" t="n">
        <v>6.90736888967751</v>
      </c>
      <c r="Z829" s="0" t="n">
        <v>0</v>
      </c>
      <c r="AA829" s="0" t="n">
        <v>0</v>
      </c>
      <c r="AB829" s="0" t="n">
        <v>0</v>
      </c>
      <c r="AC829" s="0" t="n">
        <v>1</v>
      </c>
      <c r="AD829" s="0" t="n">
        <v>0</v>
      </c>
      <c r="AE829" s="0" t="n">
        <v>0</v>
      </c>
      <c r="AF829" s="0" t="n">
        <v>0</v>
      </c>
      <c r="AG829" s="0" t="n">
        <v>1.82597967060521</v>
      </c>
      <c r="AH829" s="0" t="n">
        <v>0</v>
      </c>
      <c r="AI829" s="0" t="n">
        <v>0</v>
      </c>
      <c r="AK829" s="0" t="n">
        <f aca="false">A829</f>
        <v>812</v>
      </c>
      <c r="AL829" s="0" t="n">
        <v>2</v>
      </c>
      <c r="AM829" s="0" t="n">
        <v>2</v>
      </c>
      <c r="AO829" s="0" t="n">
        <v>812</v>
      </c>
      <c r="AP829" s="0" t="n">
        <v>0</v>
      </c>
      <c r="AQ829" s="0" t="n">
        <v>0.513665279932042</v>
      </c>
      <c r="AR829" s="0" t="n">
        <v>730.037533279244</v>
      </c>
      <c r="AS829" s="0" t="n">
        <v>88</v>
      </c>
      <c r="AT829" s="0" t="n">
        <v>92</v>
      </c>
    </row>
    <row r="830" customFormat="false" ht="12" hidden="false" customHeight="false" outlineLevel="0" collapsed="false">
      <c r="A830" s="0" t="n">
        <v>813</v>
      </c>
      <c r="B830" s="0" t="n">
        <v>0</v>
      </c>
      <c r="C830" s="0" t="n">
        <v>0.0161877035301534</v>
      </c>
      <c r="D830" s="0" t="n">
        <v>884.5328452613</v>
      </c>
      <c r="E830" s="0" t="n">
        <v>10</v>
      </c>
      <c r="F830" s="0" t="n">
        <v>12</v>
      </c>
      <c r="G830" s="0" t="n">
        <v>0.5</v>
      </c>
      <c r="H830" s="0" t="n">
        <v>1</v>
      </c>
      <c r="I830" s="0" t="n">
        <v>0</v>
      </c>
      <c r="J830" s="0" t="n">
        <v>891.424026447447</v>
      </c>
      <c r="K830" s="0" t="n">
        <v>0</v>
      </c>
      <c r="L830" s="0" t="n">
        <v>1.81501271308369</v>
      </c>
      <c r="M830" s="0" t="n">
        <v>895.525261089194</v>
      </c>
      <c r="N830" s="0" t="n">
        <v>10.9924158278942</v>
      </c>
      <c r="O830" s="0" t="n">
        <v>813</v>
      </c>
      <c r="P830" s="0" t="n">
        <v>409</v>
      </c>
      <c r="Q830" s="0" t="n">
        <v>404</v>
      </c>
      <c r="R830" s="0" t="n">
        <v>1133.08036484217</v>
      </c>
      <c r="S830" s="0" t="n">
        <v>629.941152237268</v>
      </c>
      <c r="T830" s="0" t="n">
        <v>28</v>
      </c>
      <c r="U830" s="0" t="n">
        <v>20</v>
      </c>
      <c r="V830" s="0" t="n">
        <v>40.46714143467</v>
      </c>
      <c r="W830" s="0" t="n">
        <v>31.4969001273628</v>
      </c>
      <c r="X830" s="0" t="n">
        <v>0</v>
      </c>
      <c r="Y830" s="0" t="n">
        <v>0</v>
      </c>
      <c r="Z830" s="0" t="n">
        <v>0</v>
      </c>
      <c r="AA830" s="0" t="n">
        <v>10.9924158278942</v>
      </c>
      <c r="AB830" s="0" t="n">
        <v>0</v>
      </c>
      <c r="AC830" s="0" t="n">
        <v>0</v>
      </c>
      <c r="AD830" s="0" t="n">
        <v>0</v>
      </c>
      <c r="AE830" s="0" t="n">
        <v>1</v>
      </c>
      <c r="AF830" s="0" t="n">
        <v>0</v>
      </c>
      <c r="AG830" s="0" t="n">
        <v>0</v>
      </c>
      <c r="AH830" s="0" t="n">
        <v>0</v>
      </c>
      <c r="AI830" s="0" t="n">
        <v>10.6342192596561</v>
      </c>
      <c r="AK830" s="0" t="n">
        <f aca="false">A830</f>
        <v>813</v>
      </c>
      <c r="AL830" s="0" t="n">
        <v>1</v>
      </c>
      <c r="AM830" s="0" t="n">
        <v>3</v>
      </c>
      <c r="AO830" s="0" t="n">
        <v>813</v>
      </c>
      <c r="AP830" s="0" t="n">
        <v>1</v>
      </c>
      <c r="AQ830" s="0" t="n">
        <v>0.437308093925763</v>
      </c>
      <c r="AR830" s="0" t="n">
        <v>730.474841373169</v>
      </c>
      <c r="AS830" s="0" t="n">
        <v>88</v>
      </c>
      <c r="AT830" s="0" t="n">
        <v>94</v>
      </c>
    </row>
    <row r="831" customFormat="false" ht="12" hidden="false" customHeight="false" outlineLevel="0" collapsed="false">
      <c r="A831" s="0" t="n">
        <v>814</v>
      </c>
      <c r="B831" s="0" t="n">
        <v>1</v>
      </c>
      <c r="C831" s="0" t="n">
        <v>1.32739229653004</v>
      </c>
      <c r="D831" s="0" t="n">
        <v>885.86023755783</v>
      </c>
      <c r="E831" s="0" t="n">
        <v>8</v>
      </c>
      <c r="F831" s="0" t="n">
        <v>14</v>
      </c>
      <c r="G831" s="0" t="n">
        <v>0.5</v>
      </c>
      <c r="H831" s="0" t="n">
        <v>0</v>
      </c>
      <c r="I831" s="0" t="n">
        <v>2.15906039384701</v>
      </c>
      <c r="J831" s="0" t="n">
        <v>893.583086841294</v>
      </c>
      <c r="K831" s="0" t="n">
        <v>7.72284928346426</v>
      </c>
      <c r="L831" s="0" t="n">
        <v>0</v>
      </c>
      <c r="M831" s="0" t="n">
        <v>895.525261089194</v>
      </c>
      <c r="N831" s="0" t="n">
        <v>0</v>
      </c>
      <c r="O831" s="0" t="n">
        <v>814</v>
      </c>
      <c r="P831" s="0" t="n">
        <v>410</v>
      </c>
      <c r="Q831" s="0" t="n">
        <v>404</v>
      </c>
      <c r="R831" s="0" t="n">
        <v>637.905651764715</v>
      </c>
      <c r="S831" s="0" t="n">
        <v>1127.49889480232</v>
      </c>
      <c r="T831" s="0" t="n">
        <v>19</v>
      </c>
      <c r="U831" s="0" t="n">
        <v>29</v>
      </c>
      <c r="V831" s="0" t="n">
        <v>33.5739640013197</v>
      </c>
      <c r="W831" s="0" t="n">
        <v>38.879138168569</v>
      </c>
      <c r="X831" s="0" t="n">
        <v>7.72284928346426</v>
      </c>
      <c r="Y831" s="0" t="n">
        <v>0</v>
      </c>
      <c r="Z831" s="0" t="n">
        <v>0</v>
      </c>
      <c r="AA831" s="0" t="n">
        <v>0</v>
      </c>
      <c r="AB831" s="0" t="n">
        <v>1</v>
      </c>
      <c r="AC831" s="0" t="n">
        <v>0</v>
      </c>
      <c r="AD831" s="0" t="n">
        <v>0</v>
      </c>
      <c r="AE831" s="0" t="n">
        <v>0</v>
      </c>
      <c r="AF831" s="0" t="n">
        <v>0.087195678149708</v>
      </c>
      <c r="AG831" s="0" t="n">
        <v>0</v>
      </c>
      <c r="AH831" s="0" t="n">
        <v>0</v>
      </c>
      <c r="AI831" s="0" t="n">
        <v>0</v>
      </c>
      <c r="AK831" s="0" t="n">
        <f aca="false">A831</f>
        <v>814</v>
      </c>
      <c r="AL831" s="0" t="n">
        <v>3</v>
      </c>
      <c r="AM831" s="0" t="n">
        <v>2</v>
      </c>
      <c r="AO831" s="0" t="n">
        <v>814</v>
      </c>
      <c r="AP831" s="0" t="n">
        <v>1</v>
      </c>
      <c r="AQ831" s="0" t="n">
        <v>0.397872612689071</v>
      </c>
      <c r="AR831" s="0" t="n">
        <v>730.872713985858</v>
      </c>
      <c r="AS831" s="0" t="n">
        <v>90</v>
      </c>
      <c r="AT831" s="0" t="n">
        <v>94</v>
      </c>
    </row>
    <row r="832" customFormat="false" ht="12" hidden="false" customHeight="false" outlineLevel="0" collapsed="false">
      <c r="A832" s="0" t="n">
        <v>815</v>
      </c>
      <c r="B832" s="0" t="n">
        <v>1</v>
      </c>
      <c r="C832" s="0" t="n">
        <v>0.992427217452857</v>
      </c>
      <c r="D832" s="0" t="n">
        <v>886.852664775282</v>
      </c>
      <c r="E832" s="0" t="n">
        <v>10</v>
      </c>
      <c r="F832" s="0" t="n">
        <v>12</v>
      </c>
      <c r="G832" s="0" t="n">
        <v>0.5</v>
      </c>
      <c r="H832" s="0" t="n">
        <v>0</v>
      </c>
      <c r="I832" s="0" t="n">
        <v>2.08802025453784</v>
      </c>
      <c r="J832" s="0" t="n">
        <v>895.671107095832</v>
      </c>
      <c r="K832" s="0" t="n">
        <v>8.81844232054925</v>
      </c>
      <c r="L832" s="0" t="n">
        <v>0</v>
      </c>
      <c r="M832" s="0" t="n">
        <v>895.525261089194</v>
      </c>
      <c r="N832" s="0" t="n">
        <v>0</v>
      </c>
      <c r="O832" s="0" t="n">
        <v>815</v>
      </c>
      <c r="P832" s="0" t="n">
        <v>411</v>
      </c>
      <c r="Q832" s="0" t="n">
        <v>404</v>
      </c>
      <c r="R832" s="0" t="n">
        <v>968.860994766984</v>
      </c>
      <c r="S832" s="0" t="n">
        <v>803.845970148858</v>
      </c>
      <c r="T832" s="0" t="n">
        <v>28</v>
      </c>
      <c r="U832" s="0" t="n">
        <v>20</v>
      </c>
      <c r="V832" s="0" t="n">
        <v>34.6021660266187</v>
      </c>
      <c r="W832" s="0" t="n">
        <v>40.1920975469552</v>
      </c>
      <c r="X832" s="0" t="n">
        <v>8.81844232054925</v>
      </c>
      <c r="Y832" s="0" t="n">
        <v>0</v>
      </c>
      <c r="Z832" s="0" t="n">
        <v>0</v>
      </c>
      <c r="AA832" s="0" t="n">
        <v>0</v>
      </c>
      <c r="AB832" s="0" t="n">
        <v>1</v>
      </c>
      <c r="AC832" s="0" t="n">
        <v>0</v>
      </c>
      <c r="AD832" s="0" t="n">
        <v>0</v>
      </c>
      <c r="AE832" s="0" t="n">
        <v>0</v>
      </c>
      <c r="AF832" s="0" t="n">
        <v>1.93455323970715</v>
      </c>
      <c r="AG832" s="0" t="n">
        <v>0</v>
      </c>
      <c r="AH832" s="0" t="n">
        <v>0</v>
      </c>
      <c r="AI832" s="0" t="n">
        <v>0</v>
      </c>
      <c r="AK832" s="0" t="n">
        <f aca="false">A832</f>
        <v>815</v>
      </c>
      <c r="AL832" s="0" t="n">
        <v>1</v>
      </c>
      <c r="AM832" s="0" t="n">
        <v>1</v>
      </c>
      <c r="AO832" s="0" t="n">
        <v>815</v>
      </c>
      <c r="AP832" s="0" t="n">
        <v>0</v>
      </c>
      <c r="AQ832" s="0" t="n">
        <v>0.284885223583852</v>
      </c>
      <c r="AR832" s="0" t="n">
        <v>731.157599209442</v>
      </c>
      <c r="AS832" s="0" t="n">
        <v>92</v>
      </c>
      <c r="AT832" s="0" t="n">
        <v>94</v>
      </c>
    </row>
    <row r="833" customFormat="false" ht="12" hidden="false" customHeight="false" outlineLevel="0" collapsed="false">
      <c r="A833" s="0" t="n">
        <v>816</v>
      </c>
      <c r="B833" s="0" t="n">
        <v>0</v>
      </c>
      <c r="C833" s="0" t="n">
        <v>0.934908670233155</v>
      </c>
      <c r="D833" s="0" t="n">
        <v>887.787573445516</v>
      </c>
      <c r="E833" s="0" t="n">
        <v>10</v>
      </c>
      <c r="F833" s="0" t="n">
        <v>12</v>
      </c>
      <c r="G833" s="0" t="n">
        <v>0.5</v>
      </c>
      <c r="H833" s="0" t="n">
        <v>0</v>
      </c>
      <c r="I833" s="0" t="n">
        <v>1.97191849128983</v>
      </c>
      <c r="J833" s="0" t="n">
        <v>897.643025587121</v>
      </c>
      <c r="K833" s="0" t="n">
        <v>9.85545214160584</v>
      </c>
      <c r="L833" s="0" t="n">
        <v>0</v>
      </c>
      <c r="M833" s="0" t="n">
        <v>895.525261089194</v>
      </c>
      <c r="N833" s="0" t="n">
        <v>0</v>
      </c>
      <c r="O833" s="0" t="n">
        <v>816</v>
      </c>
      <c r="P833" s="0" t="n">
        <v>412</v>
      </c>
      <c r="Q833" s="0" t="n">
        <v>404</v>
      </c>
      <c r="R833" s="0" t="n">
        <v>996.403744615996</v>
      </c>
      <c r="S833" s="0" t="n">
        <v>776.363009964956</v>
      </c>
      <c r="T833" s="0" t="n">
        <v>28</v>
      </c>
      <c r="U833" s="0" t="n">
        <v>20</v>
      </c>
      <c r="V833" s="0" t="n">
        <v>35.585835312773</v>
      </c>
      <c r="W833" s="0" t="n">
        <v>38.8179564084658</v>
      </c>
      <c r="X833" s="0" t="n">
        <v>0</v>
      </c>
      <c r="Y833" s="0" t="n">
        <v>9.85545214160584</v>
      </c>
      <c r="Z833" s="0" t="n">
        <v>0</v>
      </c>
      <c r="AA833" s="0" t="n">
        <v>0</v>
      </c>
      <c r="AB833" s="0" t="n">
        <v>0</v>
      </c>
      <c r="AC833" s="0" t="n">
        <v>1</v>
      </c>
      <c r="AD833" s="0" t="n">
        <v>0</v>
      </c>
      <c r="AE833" s="0" t="n">
        <v>0</v>
      </c>
      <c r="AF833" s="0" t="n">
        <v>0</v>
      </c>
      <c r="AG833" s="0" t="n">
        <v>2.54975459012747</v>
      </c>
      <c r="AH833" s="0" t="n">
        <v>0</v>
      </c>
      <c r="AI833" s="0" t="n">
        <v>0</v>
      </c>
      <c r="AK833" s="0" t="n">
        <f aca="false">A833</f>
        <v>816</v>
      </c>
      <c r="AL833" s="0" t="n">
        <v>1</v>
      </c>
      <c r="AM833" s="0" t="n">
        <v>2</v>
      </c>
      <c r="AO833" s="0" t="n">
        <v>816</v>
      </c>
      <c r="AP833" s="0" t="n">
        <v>1</v>
      </c>
      <c r="AQ833" s="0" t="n">
        <v>0.654050861896258</v>
      </c>
      <c r="AR833" s="0" t="n">
        <v>731.811650071339</v>
      </c>
      <c r="AS833" s="0" t="n">
        <v>90</v>
      </c>
      <c r="AT833" s="0" t="n">
        <v>94</v>
      </c>
    </row>
    <row r="834" customFormat="false" ht="12" hidden="false" customHeight="false" outlineLevel="0" collapsed="false">
      <c r="A834" s="0" t="n">
        <v>817</v>
      </c>
      <c r="B834" s="0" t="n">
        <v>0</v>
      </c>
      <c r="C834" s="0" t="n">
        <v>0.789900214414473</v>
      </c>
      <c r="D834" s="0" t="n">
        <v>888.57747365993</v>
      </c>
      <c r="E834" s="0" t="n">
        <v>12</v>
      </c>
      <c r="F834" s="0" t="n">
        <v>10</v>
      </c>
      <c r="G834" s="0" t="n">
        <v>0.5</v>
      </c>
      <c r="H834" s="0" t="n">
        <v>1</v>
      </c>
      <c r="I834" s="0" t="n">
        <v>0</v>
      </c>
      <c r="J834" s="0" t="n">
        <v>897.643025587121</v>
      </c>
      <c r="K834" s="0" t="n">
        <v>0</v>
      </c>
      <c r="L834" s="0" t="n">
        <v>2.03252356021496</v>
      </c>
      <c r="M834" s="0" t="n">
        <v>897.557784649409</v>
      </c>
      <c r="N834" s="0" t="n">
        <v>8.98031098947854</v>
      </c>
      <c r="O834" s="0" t="n">
        <v>817</v>
      </c>
      <c r="P834" s="0" t="n">
        <v>412</v>
      </c>
      <c r="Q834" s="0" t="n">
        <v>405</v>
      </c>
      <c r="R834" s="0" t="n">
        <v>613.795001437342</v>
      </c>
      <c r="S834" s="0" t="n">
        <v>1145.49963125994</v>
      </c>
      <c r="T834" s="0" t="n">
        <v>17</v>
      </c>
      <c r="U834" s="0" t="n">
        <v>31</v>
      </c>
      <c r="V834" s="0" t="n">
        <v>36.1055670812748</v>
      </c>
      <c r="W834" s="0" t="n">
        <v>36.9514818100566</v>
      </c>
      <c r="X834" s="0" t="n">
        <v>0</v>
      </c>
      <c r="Y834" s="0" t="n">
        <v>0</v>
      </c>
      <c r="Z834" s="0" t="n">
        <v>0</v>
      </c>
      <c r="AA834" s="0" t="n">
        <v>8.98031098947854</v>
      </c>
      <c r="AB834" s="0" t="n">
        <v>0</v>
      </c>
      <c r="AC834" s="0" t="n">
        <v>0</v>
      </c>
      <c r="AD834" s="0" t="n">
        <v>0</v>
      </c>
      <c r="AE834" s="0" t="n">
        <v>1</v>
      </c>
      <c r="AF834" s="0" t="n">
        <v>0</v>
      </c>
      <c r="AG834" s="0" t="n">
        <v>0</v>
      </c>
      <c r="AH834" s="0" t="n">
        <v>0</v>
      </c>
      <c r="AI834" s="0" t="n">
        <v>1.55977675617301</v>
      </c>
      <c r="AK834" s="0" t="n">
        <f aca="false">A834</f>
        <v>817</v>
      </c>
      <c r="AL834" s="0" t="n">
        <v>1</v>
      </c>
      <c r="AM834" s="0" t="n">
        <v>1</v>
      </c>
      <c r="AO834" s="0" t="n">
        <v>817</v>
      </c>
      <c r="AP834" s="0" t="n">
        <v>1</v>
      </c>
      <c r="AQ834" s="0" t="n">
        <v>0.103392813675927</v>
      </c>
      <c r="AR834" s="0" t="n">
        <v>731.915042885014</v>
      </c>
      <c r="AS834" s="0" t="n">
        <v>92</v>
      </c>
      <c r="AT834" s="0" t="n">
        <v>94</v>
      </c>
    </row>
    <row r="835" customFormat="false" ht="12" hidden="false" customHeight="false" outlineLevel="0" collapsed="false">
      <c r="A835" s="0" t="n">
        <v>818</v>
      </c>
      <c r="B835" s="0" t="n">
        <v>1</v>
      </c>
      <c r="C835" s="0" t="n">
        <v>0.817703137870214</v>
      </c>
      <c r="D835" s="0" t="n">
        <v>889.3951767978</v>
      </c>
      <c r="E835" s="0" t="n">
        <v>12</v>
      </c>
      <c r="F835" s="0" t="n">
        <v>12</v>
      </c>
      <c r="G835" s="0" t="n">
        <v>0.5</v>
      </c>
      <c r="H835" s="0" t="n">
        <v>0</v>
      </c>
      <c r="I835" s="0" t="n">
        <v>1.7817232296658</v>
      </c>
      <c r="J835" s="0" t="n">
        <v>899.424748816787</v>
      </c>
      <c r="K835" s="0" t="n">
        <v>10.0295720189869</v>
      </c>
      <c r="L835" s="0" t="n">
        <v>0</v>
      </c>
      <c r="M835" s="0" t="n">
        <v>897.557784649409</v>
      </c>
      <c r="N835" s="0" t="n">
        <v>0</v>
      </c>
      <c r="O835" s="0" t="n">
        <v>818</v>
      </c>
      <c r="P835" s="0" t="n">
        <v>413</v>
      </c>
      <c r="Q835" s="0" t="n">
        <v>405</v>
      </c>
      <c r="R835" s="0" t="n">
        <v>1149.38149004737</v>
      </c>
      <c r="S835" s="0" t="n">
        <v>611.216566315117</v>
      </c>
      <c r="T835" s="0" t="n">
        <v>30</v>
      </c>
      <c r="U835" s="0" t="n">
        <v>18</v>
      </c>
      <c r="V835" s="0" t="n">
        <v>38.3127035640113</v>
      </c>
      <c r="W835" s="0" t="n">
        <v>33.956287260355</v>
      </c>
      <c r="X835" s="0" t="n">
        <v>10.0295720189869</v>
      </c>
      <c r="Y835" s="0" t="n">
        <v>0</v>
      </c>
      <c r="Z835" s="0" t="n">
        <v>0</v>
      </c>
      <c r="AA835" s="0" t="n">
        <v>0</v>
      </c>
      <c r="AB835" s="0" t="n">
        <v>1</v>
      </c>
      <c r="AC835" s="0" t="n">
        <v>0</v>
      </c>
      <c r="AD835" s="0" t="n">
        <v>0</v>
      </c>
      <c r="AE835" s="0" t="n">
        <v>0</v>
      </c>
      <c r="AF835" s="0" t="n">
        <v>6.77046581752394</v>
      </c>
      <c r="AG835" s="0" t="n">
        <v>0</v>
      </c>
      <c r="AH835" s="0" t="n">
        <v>0</v>
      </c>
      <c r="AI835" s="0" t="n">
        <v>0</v>
      </c>
      <c r="AK835" s="0" t="n">
        <f aca="false">A835</f>
        <v>818</v>
      </c>
      <c r="AL835" s="0" t="n">
        <v>0</v>
      </c>
      <c r="AM835" s="0" t="n">
        <v>1</v>
      </c>
      <c r="AO835" s="0" t="n">
        <v>818</v>
      </c>
      <c r="AP835" s="0" t="n">
        <v>0</v>
      </c>
      <c r="AQ835" s="0" t="n">
        <v>1.65240192819935</v>
      </c>
      <c r="AR835" s="0" t="n">
        <v>733.567444813214</v>
      </c>
      <c r="AS835" s="0" t="n">
        <v>92</v>
      </c>
      <c r="AT835" s="0" t="n">
        <v>94</v>
      </c>
    </row>
    <row r="836" customFormat="false" ht="12" hidden="false" customHeight="false" outlineLevel="0" collapsed="false">
      <c r="A836" s="0" t="n">
        <v>819</v>
      </c>
      <c r="B836" s="0" t="n">
        <v>0</v>
      </c>
      <c r="C836" s="0" t="n">
        <v>0.330463999232283</v>
      </c>
      <c r="D836" s="0" t="n">
        <v>889.725640797033</v>
      </c>
      <c r="E836" s="0" t="n">
        <v>12</v>
      </c>
      <c r="F836" s="0" t="n">
        <v>12</v>
      </c>
      <c r="G836" s="0" t="n">
        <v>0.5</v>
      </c>
      <c r="H836" s="0" t="n">
        <v>1</v>
      </c>
      <c r="I836" s="0" t="n">
        <v>0</v>
      </c>
      <c r="J836" s="0" t="n">
        <v>899.424748816787</v>
      </c>
      <c r="K836" s="0" t="n">
        <v>0</v>
      </c>
      <c r="L836" s="0" t="n">
        <v>1.82034569572181</v>
      </c>
      <c r="M836" s="0" t="n">
        <v>899.37813034513</v>
      </c>
      <c r="N836" s="0" t="n">
        <v>9.65248954809783</v>
      </c>
      <c r="O836" s="0" t="n">
        <v>819</v>
      </c>
      <c r="P836" s="0" t="n">
        <v>413</v>
      </c>
      <c r="Q836" s="0" t="n">
        <v>406</v>
      </c>
      <c r="R836" s="0" t="n">
        <v>829.19405534866</v>
      </c>
      <c r="S836" s="0" t="n">
        <v>945.518063883938</v>
      </c>
      <c r="T836" s="0" t="n">
        <v>26</v>
      </c>
      <c r="U836" s="0" t="n">
        <v>22</v>
      </c>
      <c r="V836" s="0" t="n">
        <v>31.892066785692</v>
      </c>
      <c r="W836" s="0" t="n">
        <v>42.9778984588224</v>
      </c>
      <c r="X836" s="0" t="n">
        <v>0</v>
      </c>
      <c r="Y836" s="0" t="n">
        <v>0</v>
      </c>
      <c r="Z836" s="0" t="n">
        <v>0</v>
      </c>
      <c r="AA836" s="0" t="n">
        <v>9.65248954809783</v>
      </c>
      <c r="AB836" s="0" t="n">
        <v>0</v>
      </c>
      <c r="AC836" s="0" t="n">
        <v>0</v>
      </c>
      <c r="AD836" s="0" t="n">
        <v>0</v>
      </c>
      <c r="AE836" s="0" t="n">
        <v>1</v>
      </c>
      <c r="AF836" s="0" t="n">
        <v>0</v>
      </c>
      <c r="AG836" s="0" t="n">
        <v>0</v>
      </c>
      <c r="AH836" s="0" t="n">
        <v>0</v>
      </c>
      <c r="AI836" s="0" t="n">
        <v>3.69058212387474</v>
      </c>
      <c r="AK836" s="0" t="n">
        <f aca="false">A836</f>
        <v>819</v>
      </c>
      <c r="AL836" s="0" t="n">
        <v>0</v>
      </c>
      <c r="AM836" s="0" t="n">
        <v>1</v>
      </c>
      <c r="AO836" s="0" t="n">
        <v>819</v>
      </c>
      <c r="AP836" s="0" t="n">
        <v>0</v>
      </c>
      <c r="AQ836" s="0" t="n">
        <v>1.46682592536242</v>
      </c>
      <c r="AR836" s="0" t="n">
        <v>735.034270738576</v>
      </c>
      <c r="AS836" s="0" t="n">
        <v>92</v>
      </c>
      <c r="AT836" s="0" t="n">
        <v>94</v>
      </c>
    </row>
    <row r="837" customFormat="false" ht="12" hidden="false" customHeight="false" outlineLevel="0" collapsed="false">
      <c r="A837" s="0" t="n">
        <v>820</v>
      </c>
      <c r="B837" s="0" t="n">
        <v>1</v>
      </c>
      <c r="C837" s="0" t="n">
        <v>0.291992433450721</v>
      </c>
      <c r="D837" s="0" t="n">
        <v>890.017633230483</v>
      </c>
      <c r="E837" s="0" t="n">
        <v>12</v>
      </c>
      <c r="F837" s="0" t="n">
        <v>12</v>
      </c>
      <c r="G837" s="0" t="n">
        <v>0.5</v>
      </c>
      <c r="H837" s="0" t="n">
        <v>0</v>
      </c>
      <c r="I837" s="0" t="n">
        <v>1.97702046505558</v>
      </c>
      <c r="J837" s="0" t="n">
        <v>901.401769281843</v>
      </c>
      <c r="K837" s="0" t="n">
        <v>11.3841360513595</v>
      </c>
      <c r="L837" s="0" t="n">
        <v>0</v>
      </c>
      <c r="M837" s="0" t="n">
        <v>899.37813034513</v>
      </c>
      <c r="N837" s="0" t="n">
        <v>0</v>
      </c>
      <c r="O837" s="0" t="n">
        <v>820</v>
      </c>
      <c r="P837" s="0" t="n">
        <v>414</v>
      </c>
      <c r="Q837" s="0" t="n">
        <v>406</v>
      </c>
      <c r="R837" s="0" t="n">
        <v>904.624934114697</v>
      </c>
      <c r="S837" s="0" t="n">
        <v>868.468174830944</v>
      </c>
      <c r="T837" s="0" t="n">
        <v>24</v>
      </c>
      <c r="U837" s="0" t="n">
        <v>24</v>
      </c>
      <c r="V837" s="0" t="n">
        <v>37.6926898828249</v>
      </c>
      <c r="W837" s="0" t="n">
        <v>36.1860231761928</v>
      </c>
      <c r="X837" s="0" t="n">
        <v>11.3841360513595</v>
      </c>
      <c r="Y837" s="0" t="n">
        <v>0</v>
      </c>
      <c r="Z837" s="0" t="n">
        <v>0</v>
      </c>
      <c r="AA837" s="0" t="n">
        <v>0</v>
      </c>
      <c r="AB837" s="0" t="n">
        <v>1</v>
      </c>
      <c r="AC837" s="0" t="n">
        <v>0</v>
      </c>
      <c r="AD837" s="0" t="n">
        <v>0</v>
      </c>
      <c r="AE837" s="0" t="n">
        <v>0</v>
      </c>
      <c r="AF837" s="0" t="n">
        <v>15.6544929410353</v>
      </c>
      <c r="AG837" s="0" t="n">
        <v>0</v>
      </c>
      <c r="AH837" s="0" t="n">
        <v>0</v>
      </c>
      <c r="AI837" s="0" t="n">
        <v>0</v>
      </c>
      <c r="AK837" s="0" t="n">
        <f aca="false">A837</f>
        <v>820</v>
      </c>
      <c r="AL837" s="0" t="n">
        <v>0</v>
      </c>
      <c r="AM837" s="0" t="n">
        <v>3</v>
      </c>
      <c r="AO837" s="0" t="n">
        <v>820</v>
      </c>
      <c r="AP837" s="0" t="n">
        <v>1</v>
      </c>
      <c r="AQ837" s="0" t="n">
        <v>0.43292639462963</v>
      </c>
      <c r="AR837" s="0" t="n">
        <v>735.467197133206</v>
      </c>
      <c r="AS837" s="0" t="n">
        <v>90</v>
      </c>
      <c r="AT837" s="0" t="n">
        <v>96</v>
      </c>
    </row>
    <row r="838" customFormat="false" ht="12" hidden="false" customHeight="false" outlineLevel="0" collapsed="false">
      <c r="A838" s="0" t="n">
        <v>821</v>
      </c>
      <c r="B838" s="0" t="n">
        <v>0</v>
      </c>
      <c r="C838" s="0" t="n">
        <v>0.566753786772416</v>
      </c>
      <c r="D838" s="0" t="n">
        <v>890.584387017256</v>
      </c>
      <c r="E838" s="0" t="n">
        <v>14</v>
      </c>
      <c r="F838" s="0" t="n">
        <v>12</v>
      </c>
      <c r="G838" s="0" t="n">
        <v>0.5</v>
      </c>
      <c r="H838" s="0" t="n">
        <v>1</v>
      </c>
      <c r="I838" s="0" t="n">
        <v>0</v>
      </c>
      <c r="J838" s="0" t="n">
        <v>901.401769281843</v>
      </c>
      <c r="K838" s="0" t="n">
        <v>0</v>
      </c>
      <c r="L838" s="0" t="n">
        <v>1.97037715287132</v>
      </c>
      <c r="M838" s="0" t="n">
        <v>901.348507498002</v>
      </c>
      <c r="N838" s="0" t="n">
        <v>10.7641204807461</v>
      </c>
      <c r="O838" s="0" t="n">
        <v>821</v>
      </c>
      <c r="P838" s="0" t="n">
        <v>414</v>
      </c>
      <c r="Q838" s="0" t="n">
        <v>407</v>
      </c>
      <c r="R838" s="0" t="n">
        <v>935.418166803188</v>
      </c>
      <c r="S838" s="0" t="n">
        <v>842.853747188351</v>
      </c>
      <c r="T838" s="0" t="n">
        <v>22</v>
      </c>
      <c r="U838" s="0" t="n">
        <v>26</v>
      </c>
      <c r="V838" s="0" t="n">
        <v>42.5189882551502</v>
      </c>
      <c r="W838" s="0" t="n">
        <v>32.4173271329092</v>
      </c>
      <c r="X838" s="0" t="n">
        <v>0</v>
      </c>
      <c r="Y838" s="0" t="n">
        <v>0</v>
      </c>
      <c r="Z838" s="0" t="n">
        <v>0</v>
      </c>
      <c r="AA838" s="0" t="n">
        <v>10.7641204807461</v>
      </c>
      <c r="AB838" s="0" t="n">
        <v>0</v>
      </c>
      <c r="AC838" s="0" t="n">
        <v>0</v>
      </c>
      <c r="AD838" s="0" t="n">
        <v>0</v>
      </c>
      <c r="AE838" s="0" t="n">
        <v>1</v>
      </c>
      <c r="AF838" s="0" t="n">
        <v>0</v>
      </c>
      <c r="AG838" s="0" t="n">
        <v>0</v>
      </c>
      <c r="AH838" s="0" t="n">
        <v>0</v>
      </c>
      <c r="AI838" s="0" t="n">
        <v>9.19738889216185</v>
      </c>
      <c r="AK838" s="0" t="n">
        <f aca="false">A838</f>
        <v>821</v>
      </c>
      <c r="AL838" s="0" t="n">
        <v>1</v>
      </c>
      <c r="AM838" s="0" t="n">
        <v>2</v>
      </c>
      <c r="AO838" s="0" t="n">
        <v>821</v>
      </c>
      <c r="AP838" s="0" t="n">
        <v>0</v>
      </c>
      <c r="AQ838" s="0" t="n">
        <v>0.118101714154849</v>
      </c>
      <c r="AR838" s="0" t="n">
        <v>735.585298847361</v>
      </c>
      <c r="AS838" s="0" t="n">
        <v>92</v>
      </c>
      <c r="AT838" s="0" t="n">
        <v>96</v>
      </c>
    </row>
    <row r="839" customFormat="false" ht="12" hidden="false" customHeight="false" outlineLevel="0" collapsed="false">
      <c r="A839" s="0" t="n">
        <v>822</v>
      </c>
      <c r="B839" s="0" t="n">
        <v>1</v>
      </c>
      <c r="C839" s="0" t="n">
        <v>0.109914314979489</v>
      </c>
      <c r="D839" s="0" t="n">
        <v>890.694301332235</v>
      </c>
      <c r="E839" s="0" t="n">
        <v>14</v>
      </c>
      <c r="F839" s="0" t="n">
        <v>14</v>
      </c>
      <c r="G839" s="0" t="n">
        <v>0.5</v>
      </c>
      <c r="H839" s="0" t="n">
        <v>0</v>
      </c>
      <c r="I839" s="0" t="n">
        <v>2.06650507211268</v>
      </c>
      <c r="J839" s="0" t="n">
        <v>903.468274353956</v>
      </c>
      <c r="K839" s="0" t="n">
        <v>12.7739730217203</v>
      </c>
      <c r="L839" s="0" t="n">
        <v>0</v>
      </c>
      <c r="M839" s="0" t="n">
        <v>901.348507498002</v>
      </c>
      <c r="N839" s="0" t="n">
        <v>0</v>
      </c>
      <c r="O839" s="0" t="n">
        <v>822</v>
      </c>
      <c r="P839" s="0" t="n">
        <v>415</v>
      </c>
      <c r="Q839" s="0" t="n">
        <v>407</v>
      </c>
      <c r="R839" s="0" t="n">
        <v>621.126675797717</v>
      </c>
      <c r="S839" s="0" t="n">
        <v>1169.8754648221</v>
      </c>
      <c r="T839" s="0" t="n">
        <v>19</v>
      </c>
      <c r="U839" s="0" t="n">
        <v>29</v>
      </c>
      <c r="V839" s="0" t="n">
        <v>32.690860467848</v>
      </c>
      <c r="W839" s="0" t="n">
        <v>40.34039416492</v>
      </c>
      <c r="X839" s="0" t="n">
        <v>12.7739730217203</v>
      </c>
      <c r="Y839" s="0" t="n">
        <v>0</v>
      </c>
      <c r="Z839" s="0" t="n">
        <v>0</v>
      </c>
      <c r="AA839" s="0" t="n">
        <v>0</v>
      </c>
      <c r="AB839" s="0" t="n">
        <v>1</v>
      </c>
      <c r="AC839" s="0" t="n">
        <v>0</v>
      </c>
      <c r="AD839" s="0" t="n">
        <v>0</v>
      </c>
      <c r="AE839" s="0" t="n">
        <v>0</v>
      </c>
      <c r="AF839" s="0" t="n">
        <v>28.5841307000476</v>
      </c>
      <c r="AG839" s="0" t="n">
        <v>0</v>
      </c>
      <c r="AH839" s="0" t="n">
        <v>0</v>
      </c>
      <c r="AI839" s="0" t="n">
        <v>0</v>
      </c>
      <c r="AK839" s="0" t="n">
        <f aca="false">A839</f>
        <v>822</v>
      </c>
      <c r="AL839" s="0" t="n">
        <v>0</v>
      </c>
      <c r="AM839" s="0" t="n">
        <v>0</v>
      </c>
      <c r="AO839" s="0" t="n">
        <v>822</v>
      </c>
      <c r="AP839" s="0" t="n">
        <v>0</v>
      </c>
      <c r="AQ839" s="0" t="n">
        <v>2.79723728367449</v>
      </c>
      <c r="AR839" s="0" t="n">
        <v>738.382536131035</v>
      </c>
      <c r="AS839" s="0" t="n">
        <v>92</v>
      </c>
      <c r="AT839" s="0" t="n">
        <v>92</v>
      </c>
    </row>
    <row r="840" customFormat="false" ht="12" hidden="false" customHeight="false" outlineLevel="0" collapsed="false">
      <c r="A840" s="0" t="n">
        <v>823</v>
      </c>
      <c r="B840" s="0" t="n">
        <v>1</v>
      </c>
      <c r="C840" s="0" t="n">
        <v>1.14595411373727</v>
      </c>
      <c r="D840" s="0" t="n">
        <v>891.840255445973</v>
      </c>
      <c r="E840" s="0" t="n">
        <v>14</v>
      </c>
      <c r="F840" s="0" t="n">
        <v>12</v>
      </c>
      <c r="G840" s="0" t="n">
        <v>0.5</v>
      </c>
      <c r="H840" s="0" t="n">
        <v>1</v>
      </c>
      <c r="I840" s="0" t="n">
        <v>0</v>
      </c>
      <c r="J840" s="0" t="n">
        <v>903.468274353956</v>
      </c>
      <c r="K840" s="0" t="n">
        <v>0</v>
      </c>
      <c r="L840" s="0" t="n">
        <v>2.12240509764324</v>
      </c>
      <c r="M840" s="0" t="n">
        <v>903.470912595645</v>
      </c>
      <c r="N840" s="0" t="n">
        <v>11.6306571496725</v>
      </c>
      <c r="O840" s="0" t="n">
        <v>823</v>
      </c>
      <c r="P840" s="0" t="n">
        <v>415</v>
      </c>
      <c r="Q840" s="0" t="n">
        <v>408</v>
      </c>
      <c r="R840" s="0" t="n">
        <v>924.344554075532</v>
      </c>
      <c r="S840" s="0" t="n">
        <v>869.529237527868</v>
      </c>
      <c r="T840" s="0" t="n">
        <v>26</v>
      </c>
      <c r="U840" s="0" t="n">
        <v>22</v>
      </c>
      <c r="V840" s="0" t="n">
        <v>35.5516999445589</v>
      </c>
      <c r="W840" s="0" t="n">
        <v>39.5238765972822</v>
      </c>
      <c r="X840" s="0" t="n">
        <v>0</v>
      </c>
      <c r="Y840" s="0" t="n">
        <v>0</v>
      </c>
      <c r="Z840" s="0" t="n">
        <v>11.6306571496725</v>
      </c>
      <c r="AA840" s="0" t="n">
        <v>0</v>
      </c>
      <c r="AB840" s="0" t="n">
        <v>0</v>
      </c>
      <c r="AC840" s="0" t="n">
        <v>0</v>
      </c>
      <c r="AD840" s="0" t="n">
        <v>1</v>
      </c>
      <c r="AE840" s="0" t="n">
        <v>0</v>
      </c>
      <c r="AF840" s="0" t="n">
        <v>0</v>
      </c>
      <c r="AG840" s="0" t="n">
        <v>0</v>
      </c>
      <c r="AH840" s="0" t="n">
        <v>14.9363224845143</v>
      </c>
      <c r="AI840" s="0" t="n">
        <v>0</v>
      </c>
      <c r="AK840" s="0" t="n">
        <f aca="false">A840</f>
        <v>823</v>
      </c>
      <c r="AL840" s="0" t="n">
        <v>1</v>
      </c>
      <c r="AM840" s="0" t="n">
        <v>1</v>
      </c>
      <c r="AO840" s="0" t="n">
        <v>823</v>
      </c>
      <c r="AP840" s="0" t="n">
        <v>0</v>
      </c>
      <c r="AQ840" s="0" t="n">
        <v>0.185521699356302</v>
      </c>
      <c r="AR840" s="0" t="n">
        <v>738.568057830391</v>
      </c>
      <c r="AS840" s="0" t="n">
        <v>92</v>
      </c>
      <c r="AT840" s="0" t="n">
        <v>94</v>
      </c>
    </row>
    <row r="841" customFormat="false" ht="12" hidden="false" customHeight="false" outlineLevel="0" collapsed="false">
      <c r="A841" s="0" t="n">
        <v>824</v>
      </c>
      <c r="B841" s="0" t="n">
        <v>1</v>
      </c>
      <c r="C841" s="0" t="n">
        <v>3.44133745420396</v>
      </c>
      <c r="D841" s="0" t="n">
        <v>895.281592900177</v>
      </c>
      <c r="E841" s="0" t="n">
        <v>12</v>
      </c>
      <c r="F841" s="0" t="n">
        <v>12</v>
      </c>
      <c r="G841" s="0" t="n">
        <v>0.5</v>
      </c>
      <c r="H841" s="0" t="n">
        <v>0</v>
      </c>
      <c r="I841" s="0" t="n">
        <v>1.938499531649</v>
      </c>
      <c r="J841" s="0" t="n">
        <v>905.406773885605</v>
      </c>
      <c r="K841" s="0" t="n">
        <v>10.125180985428</v>
      </c>
      <c r="L841" s="0" t="n">
        <v>0</v>
      </c>
      <c r="M841" s="0" t="n">
        <v>903.470912595645</v>
      </c>
      <c r="N841" s="0" t="n">
        <v>0</v>
      </c>
      <c r="O841" s="0" t="n">
        <v>824</v>
      </c>
      <c r="P841" s="0" t="n">
        <v>416</v>
      </c>
      <c r="Q841" s="0" t="n">
        <v>408</v>
      </c>
      <c r="R841" s="0" t="n">
        <v>1064.68086754138</v>
      </c>
      <c r="S841" s="0" t="n">
        <v>739.603938484344</v>
      </c>
      <c r="T841" s="0" t="n">
        <v>29</v>
      </c>
      <c r="U841" s="0" t="n">
        <v>19</v>
      </c>
      <c r="V841" s="0" t="n">
        <v>36.7131207037989</v>
      </c>
      <c r="W841" s="0" t="n">
        <v>38.9263182027644</v>
      </c>
      <c r="X841" s="0" t="n">
        <v>10.125180985428</v>
      </c>
      <c r="Y841" s="0" t="n">
        <v>0</v>
      </c>
      <c r="Z841" s="0" t="n">
        <v>0</v>
      </c>
      <c r="AA841" s="0" t="n">
        <v>0</v>
      </c>
      <c r="AB841" s="0" t="n">
        <v>1</v>
      </c>
      <c r="AC841" s="0" t="n">
        <v>0</v>
      </c>
      <c r="AD841" s="0" t="n">
        <v>0</v>
      </c>
      <c r="AE841" s="0" t="n">
        <v>0</v>
      </c>
      <c r="AF841" s="0" t="n">
        <v>7.27715822479084</v>
      </c>
      <c r="AG841" s="0" t="n">
        <v>0</v>
      </c>
      <c r="AH841" s="0" t="n">
        <v>0</v>
      </c>
      <c r="AI841" s="0" t="n">
        <v>0</v>
      </c>
      <c r="AK841" s="0" t="n">
        <f aca="false">A841</f>
        <v>824</v>
      </c>
      <c r="AL841" s="0" t="n">
        <v>0</v>
      </c>
      <c r="AM841" s="0" t="n">
        <v>2</v>
      </c>
      <c r="AO841" s="0" t="n">
        <v>824</v>
      </c>
      <c r="AP841" s="0" t="n">
        <v>1</v>
      </c>
      <c r="AQ841" s="0" t="n">
        <v>3.86564341637032</v>
      </c>
      <c r="AR841" s="0" t="n">
        <v>742.433701246762</v>
      </c>
      <c r="AS841" s="0" t="n">
        <v>88</v>
      </c>
      <c r="AT841" s="0" t="n">
        <v>92</v>
      </c>
    </row>
    <row r="842" customFormat="false" ht="12" hidden="false" customHeight="false" outlineLevel="0" collapsed="false">
      <c r="A842" s="0" t="n">
        <v>825</v>
      </c>
      <c r="B842" s="0" t="n">
        <v>1</v>
      </c>
      <c r="C842" s="0" t="n">
        <v>0.264181877640185</v>
      </c>
      <c r="D842" s="0" t="n">
        <v>895.545774777817</v>
      </c>
      <c r="E842" s="0" t="n">
        <v>14</v>
      </c>
      <c r="F842" s="0" t="n">
        <v>10</v>
      </c>
      <c r="G842" s="0" t="n">
        <v>0.5</v>
      </c>
      <c r="H842" s="0" t="n">
        <v>1</v>
      </c>
      <c r="I842" s="0" t="n">
        <v>0</v>
      </c>
      <c r="J842" s="0" t="n">
        <v>905.406773885605</v>
      </c>
      <c r="K842" s="0" t="n">
        <v>0</v>
      </c>
      <c r="L842" s="0" t="n">
        <v>1.85490839540957</v>
      </c>
      <c r="M842" s="0" t="n">
        <v>905.325820991055</v>
      </c>
      <c r="N842" s="0" t="n">
        <v>9.78004621323782</v>
      </c>
      <c r="O842" s="0" t="n">
        <v>825</v>
      </c>
      <c r="P842" s="0" t="n">
        <v>416</v>
      </c>
      <c r="Q842" s="0" t="n">
        <v>409</v>
      </c>
      <c r="R842" s="0" t="n">
        <v>1208.45803948757</v>
      </c>
      <c r="S842" s="0" t="n">
        <v>599.545273308123</v>
      </c>
      <c r="T842" s="0" t="n">
        <v>29</v>
      </c>
      <c r="U842" s="0" t="n">
        <v>19</v>
      </c>
      <c r="V842" s="0" t="n">
        <v>41.6709525095879</v>
      </c>
      <c r="W842" s="0" t="n">
        <v>31.5548483064891</v>
      </c>
      <c r="X842" s="0" t="n">
        <v>0</v>
      </c>
      <c r="Y842" s="0" t="n">
        <v>0</v>
      </c>
      <c r="Z842" s="0" t="n">
        <v>9.78004621323782</v>
      </c>
      <c r="AA842" s="0" t="n">
        <v>0</v>
      </c>
      <c r="AB842" s="0" t="n">
        <v>0</v>
      </c>
      <c r="AC842" s="0" t="n">
        <v>0</v>
      </c>
      <c r="AD842" s="0" t="n">
        <v>1</v>
      </c>
      <c r="AE842" s="0" t="n">
        <v>0</v>
      </c>
      <c r="AF842" s="0" t="n">
        <v>0</v>
      </c>
      <c r="AG842" s="0" t="n">
        <v>0</v>
      </c>
      <c r="AH842" s="0" t="n">
        <v>4.05677176143511</v>
      </c>
      <c r="AI842" s="0" t="n">
        <v>0</v>
      </c>
      <c r="AK842" s="0" t="n">
        <f aca="false">A842</f>
        <v>825</v>
      </c>
      <c r="AL842" s="0" t="n">
        <v>2</v>
      </c>
      <c r="AM842" s="0" t="n">
        <v>1</v>
      </c>
      <c r="AO842" s="0" t="n">
        <v>825</v>
      </c>
      <c r="AP842" s="0" t="n">
        <v>1</v>
      </c>
      <c r="AQ842" s="0" t="n">
        <v>0.265818325947816</v>
      </c>
      <c r="AR842" s="0" t="n">
        <v>742.699519572709</v>
      </c>
      <c r="AS842" s="0" t="n">
        <v>90</v>
      </c>
      <c r="AT842" s="0" t="n">
        <v>92</v>
      </c>
    </row>
    <row r="843" customFormat="false" ht="12" hidden="false" customHeight="false" outlineLevel="0" collapsed="false">
      <c r="A843" s="0" t="n">
        <v>826</v>
      </c>
      <c r="B843" s="0" t="n">
        <v>0</v>
      </c>
      <c r="C843" s="0" t="n">
        <v>0.283389695676608</v>
      </c>
      <c r="D843" s="0" t="n">
        <v>895.829164473493</v>
      </c>
      <c r="E843" s="0" t="n">
        <v>12</v>
      </c>
      <c r="F843" s="0" t="n">
        <v>12</v>
      </c>
      <c r="G843" s="0" t="n">
        <v>0.5</v>
      </c>
      <c r="H843" s="0" t="n">
        <v>0</v>
      </c>
      <c r="I843" s="0" t="n">
        <v>1.8320754414824</v>
      </c>
      <c r="J843" s="0" t="n">
        <v>907.238849327087</v>
      </c>
      <c r="K843" s="0" t="n">
        <v>11.4096848535935</v>
      </c>
      <c r="L843" s="0" t="n">
        <v>0</v>
      </c>
      <c r="M843" s="0" t="n">
        <v>905.325820991055</v>
      </c>
      <c r="N843" s="0" t="n">
        <v>0</v>
      </c>
      <c r="O843" s="0" t="n">
        <v>826</v>
      </c>
      <c r="P843" s="0" t="n">
        <v>417</v>
      </c>
      <c r="Q843" s="0" t="n">
        <v>409</v>
      </c>
      <c r="R843" s="0" t="n">
        <v>675.074415229984</v>
      </c>
      <c r="S843" s="0" t="n">
        <v>1136.69921678263</v>
      </c>
      <c r="T843" s="0" t="n">
        <v>19</v>
      </c>
      <c r="U843" s="0" t="n">
        <v>29</v>
      </c>
      <c r="V843" s="0" t="n">
        <v>35.530213680413</v>
      </c>
      <c r="W843" s="0" t="n">
        <v>39.1963895566784</v>
      </c>
      <c r="X843" s="0" t="n">
        <v>0</v>
      </c>
      <c r="Y843" s="0" t="n">
        <v>11.4096848535935</v>
      </c>
      <c r="Z843" s="0" t="n">
        <v>0</v>
      </c>
      <c r="AA843" s="0" t="n">
        <v>0</v>
      </c>
      <c r="AB843" s="0" t="n">
        <v>0</v>
      </c>
      <c r="AC843" s="0" t="n">
        <v>1</v>
      </c>
      <c r="AD843" s="0" t="n">
        <v>0</v>
      </c>
      <c r="AE843" s="0" t="n">
        <v>0</v>
      </c>
      <c r="AF843" s="0" t="n">
        <v>0</v>
      </c>
      <c r="AG843" s="0" t="n">
        <v>9.9289762694401</v>
      </c>
      <c r="AH843" s="0" t="n">
        <v>0</v>
      </c>
      <c r="AI843" s="0" t="n">
        <v>0</v>
      </c>
      <c r="AK843" s="0" t="n">
        <f aca="false">A843</f>
        <v>826</v>
      </c>
      <c r="AL843" s="0" t="n">
        <v>0</v>
      </c>
      <c r="AM843" s="0" t="n">
        <v>0</v>
      </c>
      <c r="AO843" s="0" t="n">
        <v>826</v>
      </c>
      <c r="AP843" s="0" t="n">
        <v>1</v>
      </c>
      <c r="AQ843" s="0" t="n">
        <v>0.188720250977507</v>
      </c>
      <c r="AR843" s="0" t="n">
        <v>742.888239823687</v>
      </c>
      <c r="AS843" s="0" t="n">
        <v>92</v>
      </c>
      <c r="AT843" s="0" t="n">
        <v>92</v>
      </c>
    </row>
    <row r="844" customFormat="false" ht="12" hidden="false" customHeight="false" outlineLevel="0" collapsed="false">
      <c r="A844" s="0" t="n">
        <v>827</v>
      </c>
      <c r="B844" s="0" t="n">
        <v>1</v>
      </c>
      <c r="C844" s="0" t="n">
        <v>0.396752874486719</v>
      </c>
      <c r="D844" s="0" t="n">
        <v>896.22591734798</v>
      </c>
      <c r="E844" s="0" t="n">
        <v>14</v>
      </c>
      <c r="F844" s="0" t="n">
        <v>12</v>
      </c>
      <c r="G844" s="0" t="n">
        <v>0.5</v>
      </c>
      <c r="H844" s="0" t="n">
        <v>1</v>
      </c>
      <c r="I844" s="0" t="n">
        <v>0</v>
      </c>
      <c r="J844" s="0" t="n">
        <v>907.238849327087</v>
      </c>
      <c r="K844" s="0" t="n">
        <v>0</v>
      </c>
      <c r="L844" s="0" t="n">
        <v>2.24279923120797</v>
      </c>
      <c r="M844" s="0" t="n">
        <v>907.568620222263</v>
      </c>
      <c r="N844" s="0" t="n">
        <v>11.3427028742824</v>
      </c>
      <c r="O844" s="0" t="n">
        <v>827</v>
      </c>
      <c r="P844" s="0" t="n">
        <v>417</v>
      </c>
      <c r="Q844" s="0" t="n">
        <v>410</v>
      </c>
      <c r="R844" s="0" t="n">
        <v>983.673263351868</v>
      </c>
      <c r="S844" s="0" t="n">
        <v>831.160727665737</v>
      </c>
      <c r="T844" s="0" t="n">
        <v>23</v>
      </c>
      <c r="U844" s="0" t="n">
        <v>25</v>
      </c>
      <c r="V844" s="0" t="n">
        <v>42.7683841594794</v>
      </c>
      <c r="W844" s="0" t="n">
        <v>33.246296121445</v>
      </c>
      <c r="X844" s="0" t="n">
        <v>0</v>
      </c>
      <c r="Y844" s="0" t="n">
        <v>0</v>
      </c>
      <c r="Z844" s="0" t="n">
        <v>11.3427028742824</v>
      </c>
      <c r="AA844" s="0" t="n">
        <v>0</v>
      </c>
      <c r="AB844" s="0" t="n">
        <v>0</v>
      </c>
      <c r="AC844" s="0" t="n">
        <v>0</v>
      </c>
      <c r="AD844" s="0" t="n">
        <v>1</v>
      </c>
      <c r="AE844" s="0" t="n">
        <v>0</v>
      </c>
      <c r="AF844" s="0" t="n">
        <v>0</v>
      </c>
      <c r="AG844" s="0" t="n">
        <v>0</v>
      </c>
      <c r="AH844" s="0" t="n">
        <v>12.7934953481775</v>
      </c>
      <c r="AI844" s="0" t="n">
        <v>0</v>
      </c>
      <c r="AK844" s="0" t="n">
        <f aca="false">A844</f>
        <v>827</v>
      </c>
      <c r="AL844" s="0" t="n">
        <v>1</v>
      </c>
      <c r="AM844" s="0" t="n">
        <v>1</v>
      </c>
      <c r="AO844" s="0" t="n">
        <v>827</v>
      </c>
      <c r="AP844" s="0" t="n">
        <v>1</v>
      </c>
      <c r="AQ844" s="0" t="n">
        <v>1.38918475933128</v>
      </c>
      <c r="AR844" s="0" t="n">
        <v>744.277424583018</v>
      </c>
      <c r="AS844" s="0" t="n">
        <v>92</v>
      </c>
      <c r="AT844" s="0" t="n">
        <v>90</v>
      </c>
    </row>
    <row r="845" customFormat="false" ht="12" hidden="false" customHeight="false" outlineLevel="0" collapsed="false">
      <c r="A845" s="0" t="n">
        <v>828</v>
      </c>
      <c r="B845" s="0" t="n">
        <v>1</v>
      </c>
      <c r="C845" s="0" t="n">
        <v>1.11201216681059</v>
      </c>
      <c r="D845" s="0" t="n">
        <v>897.337929514791</v>
      </c>
      <c r="E845" s="0" t="n">
        <v>14</v>
      </c>
      <c r="F845" s="0" t="n">
        <v>14</v>
      </c>
      <c r="G845" s="0" t="n">
        <v>0.5</v>
      </c>
      <c r="H845" s="0" t="n">
        <v>0</v>
      </c>
      <c r="I845" s="0" t="n">
        <v>2.00724462732878</v>
      </c>
      <c r="J845" s="0" t="n">
        <v>909.246093954416</v>
      </c>
      <c r="K845" s="0" t="n">
        <v>11.9081644396249</v>
      </c>
      <c r="L845" s="0" t="n">
        <v>0</v>
      </c>
      <c r="M845" s="0" t="n">
        <v>907.568620222263</v>
      </c>
      <c r="N845" s="0" t="n">
        <v>0</v>
      </c>
      <c r="O845" s="0" t="n">
        <v>828</v>
      </c>
      <c r="P845" s="0" t="n">
        <v>418</v>
      </c>
      <c r="Q845" s="0" t="n">
        <v>410</v>
      </c>
      <c r="R845" s="0" t="n">
        <v>1091.14027494915</v>
      </c>
      <c r="S845" s="0" t="n">
        <v>722.243966109035</v>
      </c>
      <c r="T845" s="0" t="n">
        <v>29</v>
      </c>
      <c r="U845" s="0" t="n">
        <v>19</v>
      </c>
      <c r="V845" s="0" t="n">
        <v>37.6255137480695</v>
      </c>
      <c r="W845" s="0" t="n">
        <v>38.0126402550005</v>
      </c>
      <c r="X845" s="0" t="n">
        <v>11.9081644396249</v>
      </c>
      <c r="Y845" s="0" t="n">
        <v>0</v>
      </c>
      <c r="Z845" s="0" t="n">
        <v>0</v>
      </c>
      <c r="AA845" s="0" t="n">
        <v>0</v>
      </c>
      <c r="AB845" s="0" t="n">
        <v>1</v>
      </c>
      <c r="AC845" s="0" t="n">
        <v>0</v>
      </c>
      <c r="AD845" s="0" t="n">
        <v>0</v>
      </c>
      <c r="AE845" s="0" t="n">
        <v>0</v>
      </c>
      <c r="AF845" s="0" t="n">
        <v>20.0758148883279</v>
      </c>
      <c r="AG845" s="0" t="n">
        <v>0</v>
      </c>
      <c r="AH845" s="0" t="n">
        <v>0</v>
      </c>
      <c r="AI845" s="0" t="n">
        <v>0</v>
      </c>
      <c r="AK845" s="0" t="n">
        <f aca="false">A845</f>
        <v>828</v>
      </c>
      <c r="AL845" s="0" t="n">
        <v>0</v>
      </c>
      <c r="AM845" s="0" t="n">
        <v>0</v>
      </c>
      <c r="AO845" s="0" t="n">
        <v>828</v>
      </c>
      <c r="AP845" s="0" t="n">
        <v>0</v>
      </c>
      <c r="AQ845" s="0" t="n">
        <v>0.417481937527322</v>
      </c>
      <c r="AR845" s="0" t="n">
        <v>744.694906520546</v>
      </c>
      <c r="AS845" s="0" t="n">
        <v>92</v>
      </c>
      <c r="AT845" s="0" t="n">
        <v>92</v>
      </c>
    </row>
    <row r="846" customFormat="false" ht="12" hidden="false" customHeight="false" outlineLevel="0" collapsed="false">
      <c r="A846" s="0" t="n">
        <v>829</v>
      </c>
      <c r="B846" s="0" t="n">
        <v>0</v>
      </c>
      <c r="C846" s="0" t="n">
        <v>3.14008253116864</v>
      </c>
      <c r="D846" s="0" t="n">
        <v>900.478012045959</v>
      </c>
      <c r="E846" s="0" t="n">
        <v>12</v>
      </c>
      <c r="F846" s="0" t="n">
        <v>10</v>
      </c>
      <c r="G846" s="0" t="n">
        <v>0.5</v>
      </c>
      <c r="H846" s="0" t="n">
        <v>1</v>
      </c>
      <c r="I846" s="0" t="n">
        <v>0</v>
      </c>
      <c r="J846" s="0" t="n">
        <v>909.246093954416</v>
      </c>
      <c r="K846" s="0" t="n">
        <v>0</v>
      </c>
      <c r="L846" s="0" t="n">
        <v>2.15946139436401</v>
      </c>
      <c r="M846" s="0" t="n">
        <v>909.728081616627</v>
      </c>
      <c r="N846" s="0" t="n">
        <v>9.25006957066717</v>
      </c>
      <c r="O846" s="0" t="n">
        <v>829</v>
      </c>
      <c r="P846" s="0" t="n">
        <v>418</v>
      </c>
      <c r="Q846" s="0" t="n">
        <v>411</v>
      </c>
      <c r="R846" s="0" t="n">
        <v>897.721660861797</v>
      </c>
      <c r="S846" s="0" t="n">
        <v>907.46338175542</v>
      </c>
      <c r="T846" s="0" t="n">
        <v>21</v>
      </c>
      <c r="U846" s="0" t="n">
        <v>27</v>
      </c>
      <c r="V846" s="0" t="n">
        <v>42.7486301607379</v>
      </c>
      <c r="W846" s="0" t="n">
        <v>33.6096303997178</v>
      </c>
      <c r="X846" s="0" t="n">
        <v>0</v>
      </c>
      <c r="Y846" s="0" t="n">
        <v>0</v>
      </c>
      <c r="Z846" s="0" t="n">
        <v>0</v>
      </c>
      <c r="AA846" s="0" t="n">
        <v>9.25006957066717</v>
      </c>
      <c r="AB846" s="0" t="n">
        <v>0</v>
      </c>
      <c r="AC846" s="0" t="n">
        <v>0</v>
      </c>
      <c r="AD846" s="0" t="n">
        <v>0</v>
      </c>
      <c r="AE846" s="0" t="n">
        <v>1</v>
      </c>
      <c r="AF846" s="0" t="n">
        <v>0</v>
      </c>
      <c r="AG846" s="0" t="n">
        <v>0</v>
      </c>
      <c r="AH846" s="0" t="n">
        <v>0</v>
      </c>
      <c r="AI846" s="0" t="n">
        <v>2.30635495026352</v>
      </c>
      <c r="AK846" s="0" t="n">
        <f aca="false">A846</f>
        <v>829</v>
      </c>
      <c r="AL846" s="0" t="n">
        <v>1</v>
      </c>
      <c r="AM846" s="0" t="n">
        <v>0</v>
      </c>
      <c r="AO846" s="0" t="n">
        <v>829</v>
      </c>
      <c r="AP846" s="0" t="n">
        <v>1</v>
      </c>
      <c r="AQ846" s="0" t="n">
        <v>2.6989296608409</v>
      </c>
      <c r="AR846" s="0" t="n">
        <v>747.393836181387</v>
      </c>
      <c r="AS846" s="0" t="n">
        <v>90</v>
      </c>
      <c r="AT846" s="0" t="n">
        <v>90</v>
      </c>
    </row>
    <row r="847" customFormat="false" ht="12" hidden="false" customHeight="false" outlineLevel="0" collapsed="false">
      <c r="A847" s="0" t="n">
        <v>830</v>
      </c>
      <c r="B847" s="0" t="n">
        <v>1</v>
      </c>
      <c r="C847" s="0" t="n">
        <v>0.646184871305009</v>
      </c>
      <c r="D847" s="0" t="n">
        <v>901.124196917264</v>
      </c>
      <c r="E847" s="0" t="n">
        <v>12</v>
      </c>
      <c r="F847" s="0" t="n">
        <v>12</v>
      </c>
      <c r="G847" s="0" t="n">
        <v>0.5</v>
      </c>
      <c r="H847" s="0" t="n">
        <v>0</v>
      </c>
      <c r="I847" s="0" t="n">
        <v>1.91072885661829</v>
      </c>
      <c r="J847" s="0" t="n">
        <v>911.156822811034</v>
      </c>
      <c r="K847" s="0" t="n">
        <v>10.0326258937696</v>
      </c>
      <c r="L847" s="0" t="n">
        <v>0</v>
      </c>
      <c r="M847" s="0" t="n">
        <v>909.728081616627</v>
      </c>
      <c r="N847" s="0" t="n">
        <v>0</v>
      </c>
      <c r="O847" s="0" t="n">
        <v>830</v>
      </c>
      <c r="P847" s="0" t="n">
        <v>419</v>
      </c>
      <c r="Q847" s="0" t="n">
        <v>411</v>
      </c>
      <c r="R847" s="0" t="n">
        <v>675.285631812126</v>
      </c>
      <c r="S847" s="0" t="n">
        <v>1121.90436417478</v>
      </c>
      <c r="T847" s="0" t="n">
        <v>23</v>
      </c>
      <c r="U847" s="0" t="n">
        <v>25</v>
      </c>
      <c r="V847" s="0" t="n">
        <v>29.3602320960785</v>
      </c>
      <c r="W847" s="0" t="n">
        <v>44.8759950630111</v>
      </c>
      <c r="X847" s="0" t="n">
        <v>10.0326258937696</v>
      </c>
      <c r="Y847" s="0" t="n">
        <v>0</v>
      </c>
      <c r="Z847" s="0" t="n">
        <v>0</v>
      </c>
      <c r="AA847" s="0" t="n">
        <v>0</v>
      </c>
      <c r="AB847" s="0" t="n">
        <v>1</v>
      </c>
      <c r="AC847" s="0" t="n">
        <v>0</v>
      </c>
      <c r="AD847" s="0" t="n">
        <v>0</v>
      </c>
      <c r="AE847" s="0" t="n">
        <v>0</v>
      </c>
      <c r="AF847" s="0" t="n">
        <v>6.78636758059727</v>
      </c>
      <c r="AG847" s="0" t="n">
        <v>0</v>
      </c>
      <c r="AH847" s="0" t="n">
        <v>0</v>
      </c>
      <c r="AI847" s="0" t="n">
        <v>0</v>
      </c>
      <c r="AK847" s="0" t="n">
        <f aca="false">A847</f>
        <v>830</v>
      </c>
      <c r="AL847" s="0" t="n">
        <v>0</v>
      </c>
      <c r="AM847" s="0" t="n">
        <v>2</v>
      </c>
      <c r="AO847" s="0" t="n">
        <v>830</v>
      </c>
      <c r="AP847" s="0" t="n">
        <v>0</v>
      </c>
      <c r="AQ847" s="0" t="n">
        <v>0.695733471746547</v>
      </c>
      <c r="AR847" s="0" t="n">
        <v>748.089569653133</v>
      </c>
      <c r="AS847" s="0" t="n">
        <v>92</v>
      </c>
      <c r="AT847" s="0" t="n">
        <v>88</v>
      </c>
    </row>
    <row r="848" customFormat="false" ht="12" hidden="false" customHeight="false" outlineLevel="0" collapsed="false">
      <c r="A848" s="0" t="n">
        <v>831</v>
      </c>
      <c r="B848" s="0" t="n">
        <v>1</v>
      </c>
      <c r="C848" s="0" t="n">
        <v>0.182067340296813</v>
      </c>
      <c r="D848" s="0" t="n">
        <v>901.306264257561</v>
      </c>
      <c r="E848" s="0" t="n">
        <v>14</v>
      </c>
      <c r="F848" s="0" t="n">
        <v>12</v>
      </c>
      <c r="G848" s="0" t="n">
        <v>0.5</v>
      </c>
      <c r="H848" s="0" t="n">
        <v>1</v>
      </c>
      <c r="I848" s="0" t="n">
        <v>0</v>
      </c>
      <c r="J848" s="0" t="n">
        <v>911.156822811034</v>
      </c>
      <c r="K848" s="0" t="n">
        <v>0</v>
      </c>
      <c r="L848" s="0" t="n">
        <v>2.06366186902981</v>
      </c>
      <c r="M848" s="0" t="n">
        <v>911.791743485656</v>
      </c>
      <c r="N848" s="0" t="n">
        <v>10.4854792280952</v>
      </c>
      <c r="O848" s="0" t="n">
        <v>831</v>
      </c>
      <c r="P848" s="0" t="n">
        <v>419</v>
      </c>
      <c r="Q848" s="0" t="n">
        <v>412</v>
      </c>
      <c r="R848" s="0" t="n">
        <v>671.539643217294</v>
      </c>
      <c r="S848" s="0" t="n">
        <v>1120.04166044309</v>
      </c>
      <c r="T848" s="0" t="n">
        <v>21</v>
      </c>
      <c r="U848" s="0" t="n">
        <v>27</v>
      </c>
      <c r="V848" s="0" t="n">
        <v>31.9780630207935</v>
      </c>
      <c r="W848" s="0" t="n">
        <v>41.4828708205929</v>
      </c>
      <c r="X848" s="0" t="n">
        <v>0</v>
      </c>
      <c r="Y848" s="0" t="n">
        <v>0</v>
      </c>
      <c r="Z848" s="0" t="n">
        <v>10.4854792280952</v>
      </c>
      <c r="AA848" s="0" t="n">
        <v>0</v>
      </c>
      <c r="AB848" s="0" t="n">
        <v>0</v>
      </c>
      <c r="AC848" s="0" t="n">
        <v>0</v>
      </c>
      <c r="AD848" s="0" t="n">
        <v>1</v>
      </c>
      <c r="AE848" s="0" t="n">
        <v>0</v>
      </c>
      <c r="AF848" s="0" t="n">
        <v>0</v>
      </c>
      <c r="AG848" s="0" t="n">
        <v>0</v>
      </c>
      <c r="AH848" s="0" t="n">
        <v>7.39609334545564</v>
      </c>
      <c r="AI848" s="0" t="n">
        <v>0</v>
      </c>
      <c r="AK848" s="0" t="n">
        <f aca="false">A848</f>
        <v>831</v>
      </c>
      <c r="AL848" s="0" t="n">
        <v>1</v>
      </c>
      <c r="AM848" s="0" t="n">
        <v>3</v>
      </c>
      <c r="AO848" s="0" t="n">
        <v>831</v>
      </c>
      <c r="AP848" s="0" t="n">
        <v>1</v>
      </c>
      <c r="AQ848" s="0" t="n">
        <v>0.518851710113664</v>
      </c>
      <c r="AR848" s="0" t="n">
        <v>748.608421363247</v>
      </c>
      <c r="AS848" s="0" t="n">
        <v>94</v>
      </c>
      <c r="AT848" s="0" t="n">
        <v>88</v>
      </c>
    </row>
    <row r="849" customFormat="false" ht="12" hidden="false" customHeight="false" outlineLevel="0" collapsed="false">
      <c r="A849" s="0" t="n">
        <v>832</v>
      </c>
      <c r="B849" s="0" t="n">
        <v>1</v>
      </c>
      <c r="C849" s="0" t="n">
        <v>1.74451934350297</v>
      </c>
      <c r="D849" s="0" t="n">
        <v>903.050783601064</v>
      </c>
      <c r="E849" s="0" t="n">
        <v>12</v>
      </c>
      <c r="F849" s="0" t="n">
        <v>12</v>
      </c>
      <c r="G849" s="0" t="n">
        <v>0.5</v>
      </c>
      <c r="H849" s="0" t="n">
        <v>1</v>
      </c>
      <c r="I849" s="0" t="n">
        <v>0</v>
      </c>
      <c r="J849" s="0" t="n">
        <v>911.156822811034</v>
      </c>
      <c r="K849" s="0" t="n">
        <v>0</v>
      </c>
      <c r="L849" s="0" t="n">
        <v>2.23357409459704</v>
      </c>
      <c r="M849" s="0" t="n">
        <v>914.025317580254</v>
      </c>
      <c r="N849" s="0" t="n">
        <v>10.9745339791893</v>
      </c>
      <c r="O849" s="0" t="n">
        <v>832</v>
      </c>
      <c r="P849" s="0" t="n">
        <v>419</v>
      </c>
      <c r="Q849" s="0" t="n">
        <v>413</v>
      </c>
      <c r="R849" s="0" t="n">
        <v>1178.31011730789</v>
      </c>
      <c r="S849" s="0" t="n">
        <v>601.45191813321</v>
      </c>
      <c r="T849" s="0" t="n">
        <v>31</v>
      </c>
      <c r="U849" s="0" t="n">
        <v>17</v>
      </c>
      <c r="V849" s="0" t="n">
        <v>38.009991522838</v>
      </c>
      <c r="W849" s="0" t="n">
        <v>35.3793164824448</v>
      </c>
      <c r="X849" s="0" t="n">
        <v>0</v>
      </c>
      <c r="Y849" s="0" t="n">
        <v>0</v>
      </c>
      <c r="Z849" s="0" t="n">
        <v>10.9745339791893</v>
      </c>
      <c r="AA849" s="0" t="n">
        <v>0</v>
      </c>
      <c r="AB849" s="0" t="n">
        <v>0</v>
      </c>
      <c r="AC849" s="0" t="n">
        <v>0</v>
      </c>
      <c r="AD849" s="0" t="n">
        <v>1</v>
      </c>
      <c r="AE849" s="0" t="n">
        <v>0</v>
      </c>
      <c r="AF849" s="0" t="n">
        <v>0</v>
      </c>
      <c r="AG849" s="0" t="n">
        <v>0</v>
      </c>
      <c r="AH849" s="0" t="n">
        <v>10.2953109732163</v>
      </c>
      <c r="AI849" s="0" t="n">
        <v>0</v>
      </c>
      <c r="AK849" s="0" t="n">
        <f aca="false">A849</f>
        <v>832</v>
      </c>
      <c r="AL849" s="0" t="n">
        <v>0</v>
      </c>
      <c r="AM849" s="0" t="n">
        <v>2</v>
      </c>
      <c r="AO849" s="0" t="n">
        <v>832</v>
      </c>
      <c r="AP849" s="0" t="n">
        <v>0</v>
      </c>
      <c r="AQ849" s="0" t="n">
        <v>0.071465287218337</v>
      </c>
      <c r="AR849" s="0" t="n">
        <v>748.679886650465</v>
      </c>
      <c r="AS849" s="0" t="n">
        <v>94</v>
      </c>
      <c r="AT849" s="0" t="n">
        <v>90</v>
      </c>
    </row>
    <row r="850" customFormat="false" ht="12" hidden="false" customHeight="false" outlineLevel="0" collapsed="false">
      <c r="A850" s="0" t="n">
        <v>833</v>
      </c>
      <c r="B850" s="0" t="n">
        <v>0</v>
      </c>
      <c r="C850" s="0" t="n">
        <v>1.01350760701358</v>
      </c>
      <c r="D850" s="0" t="n">
        <v>904.064291208078</v>
      </c>
      <c r="E850" s="0" t="n">
        <v>10</v>
      </c>
      <c r="F850" s="0" t="n">
        <v>12</v>
      </c>
      <c r="G850" s="0" t="n">
        <v>0.5</v>
      </c>
      <c r="H850" s="0" t="n">
        <v>0</v>
      </c>
      <c r="I850" s="0" t="n">
        <v>2.08000918215841</v>
      </c>
      <c r="J850" s="0" t="n">
        <v>913.236831993192</v>
      </c>
      <c r="K850" s="0" t="n">
        <v>9.17254078511462</v>
      </c>
      <c r="L850" s="0" t="n">
        <v>0</v>
      </c>
      <c r="M850" s="0" t="n">
        <v>914.025317580254</v>
      </c>
      <c r="N850" s="0" t="n">
        <v>0</v>
      </c>
      <c r="O850" s="0" t="n">
        <v>833</v>
      </c>
      <c r="P850" s="0" t="n">
        <v>420</v>
      </c>
      <c r="Q850" s="0" t="n">
        <v>413</v>
      </c>
      <c r="R850" s="0" t="n">
        <v>648.49609216254</v>
      </c>
      <c r="S850" s="0" t="n">
        <v>1134.84128259788</v>
      </c>
      <c r="T850" s="0" t="n">
        <v>17</v>
      </c>
      <c r="U850" s="0" t="n">
        <v>31</v>
      </c>
      <c r="V850" s="0" t="n">
        <v>38.1468065114397</v>
      </c>
      <c r="W850" s="0" t="n">
        <v>36.6076652203662</v>
      </c>
      <c r="X850" s="0" t="n">
        <v>0</v>
      </c>
      <c r="Y850" s="0" t="n">
        <v>9.17254078511462</v>
      </c>
      <c r="Z850" s="0" t="n">
        <v>0</v>
      </c>
      <c r="AA850" s="0" t="n">
        <v>0</v>
      </c>
      <c r="AB850" s="0" t="n">
        <v>0</v>
      </c>
      <c r="AC850" s="0" t="n">
        <v>1</v>
      </c>
      <c r="AD850" s="0" t="n">
        <v>0</v>
      </c>
      <c r="AE850" s="0" t="n">
        <v>0</v>
      </c>
      <c r="AF850" s="0" t="n">
        <v>0</v>
      </c>
      <c r="AG850" s="0" t="n">
        <v>0.835183495930479</v>
      </c>
      <c r="AH850" s="0" t="n">
        <v>0</v>
      </c>
      <c r="AI850" s="0" t="n">
        <v>0</v>
      </c>
      <c r="AK850" s="0" t="n">
        <f aca="false">A850</f>
        <v>833</v>
      </c>
      <c r="AL850" s="0" t="n">
        <v>1</v>
      </c>
      <c r="AM850" s="0" t="n">
        <v>3</v>
      </c>
      <c r="AO850" s="0" t="n">
        <v>833</v>
      </c>
      <c r="AP850" s="0" t="n">
        <v>1</v>
      </c>
      <c r="AQ850" s="0" t="n">
        <v>0.230439607736707</v>
      </c>
      <c r="AR850" s="0" t="n">
        <v>748.910326258202</v>
      </c>
      <c r="AS850" s="0" t="n">
        <v>96</v>
      </c>
      <c r="AT850" s="0" t="n">
        <v>90</v>
      </c>
    </row>
    <row r="851" customFormat="false" ht="12" hidden="false" customHeight="false" outlineLevel="0" collapsed="false">
      <c r="A851" s="0" t="n">
        <v>834</v>
      </c>
      <c r="B851" s="0" t="n">
        <v>1</v>
      </c>
      <c r="C851" s="0" t="n">
        <v>0.443804474474497</v>
      </c>
      <c r="D851" s="0" t="n">
        <v>904.508095682552</v>
      </c>
      <c r="E851" s="0" t="n">
        <v>12</v>
      </c>
      <c r="F851" s="0" t="n">
        <v>12</v>
      </c>
      <c r="G851" s="0" t="n">
        <v>0.5</v>
      </c>
      <c r="H851" s="0" t="n">
        <v>1</v>
      </c>
      <c r="I851" s="0" t="n">
        <v>0</v>
      </c>
      <c r="J851" s="0" t="n">
        <v>913.236831993192</v>
      </c>
      <c r="K851" s="0" t="n">
        <v>0</v>
      </c>
      <c r="L851" s="0" t="n">
        <v>2.18337251055974</v>
      </c>
      <c r="M851" s="0" t="n">
        <v>916.208690090813</v>
      </c>
      <c r="N851" s="0" t="n">
        <v>11.7005944082609</v>
      </c>
      <c r="O851" s="0" t="n">
        <v>834</v>
      </c>
      <c r="P851" s="0" t="n">
        <v>420</v>
      </c>
      <c r="Q851" s="0" t="n">
        <v>414</v>
      </c>
      <c r="R851" s="0" t="n">
        <v>1200.68586474657</v>
      </c>
      <c r="S851" s="0" t="n">
        <v>577.445178112574</v>
      </c>
      <c r="T851" s="0" t="n">
        <v>33</v>
      </c>
      <c r="U851" s="0" t="n">
        <v>15</v>
      </c>
      <c r="V851" s="0" t="n">
        <v>36.384409118257</v>
      </c>
      <c r="W851" s="0" t="n">
        <v>38.4960885669145</v>
      </c>
      <c r="X851" s="0" t="n">
        <v>0</v>
      </c>
      <c r="Y851" s="0" t="n">
        <v>0</v>
      </c>
      <c r="Z851" s="0" t="n">
        <v>11.7005944082609</v>
      </c>
      <c r="AA851" s="0" t="n">
        <v>0</v>
      </c>
      <c r="AB851" s="0" t="n">
        <v>0</v>
      </c>
      <c r="AC851" s="0" t="n">
        <v>0</v>
      </c>
      <c r="AD851" s="0" t="n">
        <v>1</v>
      </c>
      <c r="AE851" s="0" t="n">
        <v>0</v>
      </c>
      <c r="AF851" s="0" t="n">
        <v>0</v>
      </c>
      <c r="AG851" s="0" t="n">
        <v>0</v>
      </c>
      <c r="AH851" s="0" t="n">
        <v>15.4817942863866</v>
      </c>
      <c r="AI851" s="0" t="n">
        <v>0</v>
      </c>
      <c r="AK851" s="0" t="n">
        <f aca="false">A851</f>
        <v>834</v>
      </c>
      <c r="AL851" s="0" t="n">
        <v>0</v>
      </c>
      <c r="AM851" s="0" t="n">
        <v>2</v>
      </c>
      <c r="AO851" s="0" t="n">
        <v>834</v>
      </c>
      <c r="AP851" s="0" t="n">
        <v>0</v>
      </c>
      <c r="AQ851" s="0" t="n">
        <v>1.28608990226031</v>
      </c>
      <c r="AR851" s="0" t="n">
        <v>750.196416160462</v>
      </c>
      <c r="AS851" s="0" t="n">
        <v>94</v>
      </c>
      <c r="AT851" s="0" t="n">
        <v>90</v>
      </c>
    </row>
    <row r="852" customFormat="false" ht="12" hidden="false" customHeight="false" outlineLevel="0" collapsed="false">
      <c r="A852" s="0" t="n">
        <v>835</v>
      </c>
      <c r="B852" s="0" t="n">
        <v>0</v>
      </c>
      <c r="C852" s="0" t="n">
        <v>0.995720835464313</v>
      </c>
      <c r="D852" s="0" t="n">
        <v>905.503816518017</v>
      </c>
      <c r="E852" s="0" t="n">
        <v>10</v>
      </c>
      <c r="F852" s="0" t="n">
        <v>12</v>
      </c>
      <c r="G852" s="0" t="n">
        <v>0.5</v>
      </c>
      <c r="H852" s="0" t="n">
        <v>0</v>
      </c>
      <c r="I852" s="0" t="n">
        <v>2.17530867075978</v>
      </c>
      <c r="J852" s="0" t="n">
        <v>915.412140663952</v>
      </c>
      <c r="K852" s="0" t="n">
        <v>9.90832414593558</v>
      </c>
      <c r="L852" s="0" t="n">
        <v>0</v>
      </c>
      <c r="M852" s="0" t="n">
        <v>916.208690090813</v>
      </c>
      <c r="N852" s="0" t="n">
        <v>0</v>
      </c>
      <c r="O852" s="0" t="n">
        <v>835</v>
      </c>
      <c r="P852" s="0" t="n">
        <v>421</v>
      </c>
      <c r="Q852" s="0" t="n">
        <v>414</v>
      </c>
      <c r="R852" s="0" t="n">
        <v>840.928887864244</v>
      </c>
      <c r="S852" s="0" t="n">
        <v>946.786839491955</v>
      </c>
      <c r="T852" s="0" t="n">
        <v>19</v>
      </c>
      <c r="U852" s="0" t="n">
        <v>29</v>
      </c>
      <c r="V852" s="0" t="n">
        <v>44.2593918563329</v>
      </c>
      <c r="W852" s="0" t="n">
        <v>32.6477094731382</v>
      </c>
      <c r="X852" s="0" t="n">
        <v>0</v>
      </c>
      <c r="Y852" s="0" t="n">
        <v>9.90832414593558</v>
      </c>
      <c r="Z852" s="0" t="n">
        <v>0</v>
      </c>
      <c r="AA852" s="0" t="n">
        <v>0</v>
      </c>
      <c r="AB852" s="0" t="n">
        <v>0</v>
      </c>
      <c r="AC852" s="0" t="n">
        <v>1</v>
      </c>
      <c r="AD852" s="0" t="n">
        <v>0</v>
      </c>
      <c r="AE852" s="0" t="n">
        <v>0</v>
      </c>
      <c r="AF852" s="0" t="n">
        <v>0</v>
      </c>
      <c r="AG852" s="0" t="n">
        <v>2.72140155380953</v>
      </c>
      <c r="AH852" s="0" t="n">
        <v>0</v>
      </c>
      <c r="AI852" s="0" t="n">
        <v>0</v>
      </c>
      <c r="AK852" s="0" t="n">
        <f aca="false">A852</f>
        <v>835</v>
      </c>
      <c r="AL852" s="0" t="n">
        <v>1</v>
      </c>
      <c r="AM852" s="0" t="n">
        <v>0</v>
      </c>
      <c r="AO852" s="0" t="n">
        <v>835</v>
      </c>
      <c r="AP852" s="0" t="n">
        <v>1</v>
      </c>
      <c r="AQ852" s="0" t="n">
        <v>0.948516870943028</v>
      </c>
      <c r="AR852" s="0" t="n">
        <v>751.144933031405</v>
      </c>
      <c r="AS852" s="0" t="n">
        <v>92</v>
      </c>
      <c r="AT852" s="0" t="n">
        <v>92</v>
      </c>
    </row>
    <row r="853" customFormat="false" ht="12" hidden="false" customHeight="false" outlineLevel="0" collapsed="false">
      <c r="A853" s="0" t="n">
        <v>836</v>
      </c>
      <c r="B853" s="0" t="n">
        <v>0</v>
      </c>
      <c r="C853" s="0" t="n">
        <v>0.529873424157391</v>
      </c>
      <c r="D853" s="0" t="n">
        <v>906.033689942174</v>
      </c>
      <c r="E853" s="0" t="n">
        <v>12</v>
      </c>
      <c r="F853" s="0" t="n">
        <v>12</v>
      </c>
      <c r="G853" s="0" t="n">
        <v>0.5</v>
      </c>
      <c r="H853" s="0" t="n">
        <v>1</v>
      </c>
      <c r="I853" s="0" t="n">
        <v>0</v>
      </c>
      <c r="J853" s="0" t="n">
        <v>915.412140663952</v>
      </c>
      <c r="K853" s="0" t="n">
        <v>0</v>
      </c>
      <c r="L853" s="0" t="n">
        <v>2.03770578322881</v>
      </c>
      <c r="M853" s="0" t="n">
        <v>918.246395874042</v>
      </c>
      <c r="N853" s="0" t="n">
        <v>12.2127059318681</v>
      </c>
      <c r="O853" s="0" t="n">
        <v>836</v>
      </c>
      <c r="P853" s="0" t="n">
        <v>421</v>
      </c>
      <c r="Q853" s="0" t="n">
        <v>415</v>
      </c>
      <c r="R853" s="0" t="n">
        <v>804.649499039928</v>
      </c>
      <c r="S853" s="0" t="n">
        <v>988.992285740542</v>
      </c>
      <c r="T853" s="0" t="n">
        <v>24</v>
      </c>
      <c r="U853" s="0" t="n">
        <v>24</v>
      </c>
      <c r="V853" s="0" t="n">
        <v>33.5270484903934</v>
      </c>
      <c r="W853" s="0" t="n">
        <v>41.2078402065217</v>
      </c>
      <c r="X853" s="0" t="n">
        <v>0</v>
      </c>
      <c r="Y853" s="0" t="n">
        <v>0</v>
      </c>
      <c r="Z853" s="0" t="n">
        <v>0</v>
      </c>
      <c r="AA853" s="0" t="n">
        <v>12.2127059318681</v>
      </c>
      <c r="AB853" s="0" t="n">
        <v>0</v>
      </c>
      <c r="AC853" s="0" t="n">
        <v>0</v>
      </c>
      <c r="AD853" s="0" t="n">
        <v>0</v>
      </c>
      <c r="AE853" s="0" t="n">
        <v>1</v>
      </c>
      <c r="AF853" s="0" t="n">
        <v>0</v>
      </c>
      <c r="AG853" s="0" t="n">
        <v>0</v>
      </c>
      <c r="AH853" s="0" t="n">
        <v>0</v>
      </c>
      <c r="AI853" s="0" t="n">
        <v>20.0820960250289</v>
      </c>
      <c r="AK853" s="0" t="n">
        <f aca="false">A853</f>
        <v>836</v>
      </c>
      <c r="AL853" s="0" t="n">
        <v>0</v>
      </c>
      <c r="AM853" s="0" t="n">
        <v>1</v>
      </c>
      <c r="AO853" s="0" t="n">
        <v>836</v>
      </c>
      <c r="AP853" s="0" t="n">
        <v>0</v>
      </c>
      <c r="AQ853" s="0" t="n">
        <v>0.184953259930303</v>
      </c>
      <c r="AR853" s="0" t="n">
        <v>751.329886291335</v>
      </c>
      <c r="AS853" s="0" t="n">
        <v>94</v>
      </c>
      <c r="AT853" s="0" t="n">
        <v>92</v>
      </c>
    </row>
    <row r="854" customFormat="false" ht="12" hidden="false" customHeight="false" outlineLevel="0" collapsed="false">
      <c r="A854" s="0" t="n">
        <v>837</v>
      </c>
      <c r="B854" s="0" t="n">
        <v>1</v>
      </c>
      <c r="C854" s="0" t="n">
        <v>0.828476941243241</v>
      </c>
      <c r="D854" s="0" t="n">
        <v>906.862166883417</v>
      </c>
      <c r="E854" s="0" t="n">
        <v>12</v>
      </c>
      <c r="F854" s="0" t="n">
        <v>14</v>
      </c>
      <c r="G854" s="0" t="n">
        <v>0.5</v>
      </c>
      <c r="H854" s="0" t="n">
        <v>0</v>
      </c>
      <c r="I854" s="0" t="n">
        <v>2.04828847741142</v>
      </c>
      <c r="J854" s="0" t="n">
        <v>917.460429141364</v>
      </c>
      <c r="K854" s="0" t="n">
        <v>10.5982622579464</v>
      </c>
      <c r="L854" s="0" t="n">
        <v>0</v>
      </c>
      <c r="M854" s="0" t="n">
        <v>918.246395874042</v>
      </c>
      <c r="N854" s="0" t="n">
        <v>0</v>
      </c>
      <c r="O854" s="0" t="n">
        <v>837</v>
      </c>
      <c r="P854" s="0" t="n">
        <v>422</v>
      </c>
      <c r="Q854" s="0" t="n">
        <v>415</v>
      </c>
      <c r="R854" s="0" t="n">
        <v>963.04004492971</v>
      </c>
      <c r="S854" s="0" t="n">
        <v>818.594359174568</v>
      </c>
      <c r="T854" s="0" t="n">
        <v>26</v>
      </c>
      <c r="U854" s="0" t="n">
        <v>22</v>
      </c>
      <c r="V854" s="0" t="n">
        <v>37.0399874819167</v>
      </c>
      <c r="W854" s="0" t="n">
        <v>37.2086653776378</v>
      </c>
      <c r="X854" s="0" t="n">
        <v>10.5982622579464</v>
      </c>
      <c r="Y854" s="0" t="n">
        <v>0</v>
      </c>
      <c r="Z854" s="0" t="n">
        <v>0</v>
      </c>
      <c r="AA854" s="0" t="n">
        <v>0</v>
      </c>
      <c r="AB854" s="0" t="n">
        <v>1</v>
      </c>
      <c r="AC854" s="0" t="n">
        <v>0</v>
      </c>
      <c r="AD854" s="0" t="n">
        <v>0</v>
      </c>
      <c r="AE854" s="0" t="n">
        <v>0</v>
      </c>
      <c r="AF854" s="0" t="n">
        <v>10.0533519196961</v>
      </c>
      <c r="AG854" s="0" t="n">
        <v>0</v>
      </c>
      <c r="AH854" s="0" t="n">
        <v>0</v>
      </c>
      <c r="AI854" s="0" t="n">
        <v>0</v>
      </c>
      <c r="AK854" s="0" t="n">
        <f aca="false">A854</f>
        <v>837</v>
      </c>
      <c r="AL854" s="0" t="n">
        <v>1</v>
      </c>
      <c r="AM854" s="0" t="n">
        <v>1</v>
      </c>
      <c r="AO854" s="0" t="n">
        <v>837</v>
      </c>
      <c r="AP854" s="0" t="n">
        <v>1</v>
      </c>
      <c r="AQ854" s="0" t="n">
        <v>0.839964077744535</v>
      </c>
      <c r="AR854" s="0" t="n">
        <v>752.16985036908</v>
      </c>
      <c r="AS854" s="0" t="n">
        <v>94</v>
      </c>
      <c r="AT854" s="0" t="n">
        <v>92</v>
      </c>
    </row>
    <row r="855" customFormat="false" ht="12" hidden="false" customHeight="false" outlineLevel="0" collapsed="false">
      <c r="A855" s="0" t="n">
        <v>838</v>
      </c>
      <c r="B855" s="0" t="n">
        <v>1</v>
      </c>
      <c r="C855" s="0" t="n">
        <v>0.44757957107091</v>
      </c>
      <c r="D855" s="0" t="n">
        <v>907.309746454488</v>
      </c>
      <c r="E855" s="0" t="n">
        <v>12</v>
      </c>
      <c r="F855" s="0" t="n">
        <v>14</v>
      </c>
      <c r="G855" s="0" t="n">
        <v>0.5</v>
      </c>
      <c r="H855" s="0" t="n">
        <v>0</v>
      </c>
      <c r="I855" s="0" t="n">
        <v>1.83981119144193</v>
      </c>
      <c r="J855" s="0" t="n">
        <v>919.300240332806</v>
      </c>
      <c r="K855" s="0" t="n">
        <v>11.9904938783175</v>
      </c>
      <c r="L855" s="0" t="n">
        <v>0</v>
      </c>
      <c r="M855" s="0" t="n">
        <v>918.246395874042</v>
      </c>
      <c r="N855" s="0" t="n">
        <v>0</v>
      </c>
      <c r="O855" s="0" t="n">
        <v>838</v>
      </c>
      <c r="P855" s="0" t="n">
        <v>423</v>
      </c>
      <c r="Q855" s="0" t="n">
        <v>415</v>
      </c>
      <c r="R855" s="0" t="n">
        <v>800.919907807266</v>
      </c>
      <c r="S855" s="0" t="n">
        <v>975.638147940476</v>
      </c>
      <c r="T855" s="0" t="n">
        <v>22</v>
      </c>
      <c r="U855" s="0" t="n">
        <v>26</v>
      </c>
      <c r="V855" s="0" t="n">
        <v>36.4054338069513</v>
      </c>
      <c r="W855" s="0" t="n">
        <v>37.524399826942</v>
      </c>
      <c r="X855" s="0" t="n">
        <v>11.9904938783175</v>
      </c>
      <c r="Y855" s="0" t="n">
        <v>0</v>
      </c>
      <c r="Z855" s="0" t="n">
        <v>0</v>
      </c>
      <c r="AA855" s="0" t="n">
        <v>0</v>
      </c>
      <c r="AB855" s="0" t="n">
        <v>1</v>
      </c>
      <c r="AC855" s="0" t="n">
        <v>0</v>
      </c>
      <c r="AD855" s="0" t="n">
        <v>0</v>
      </c>
      <c r="AE855" s="0" t="n">
        <v>0</v>
      </c>
      <c r="AF855" s="0" t="n">
        <v>20.8203642987592</v>
      </c>
      <c r="AG855" s="0" t="n">
        <v>0</v>
      </c>
      <c r="AH855" s="0" t="n">
        <v>0</v>
      </c>
      <c r="AI855" s="0" t="n">
        <v>0</v>
      </c>
      <c r="AK855" s="0" t="n">
        <f aca="false">A855</f>
        <v>838</v>
      </c>
      <c r="AL855" s="0" t="n">
        <v>1</v>
      </c>
      <c r="AM855" s="0" t="n">
        <v>0</v>
      </c>
      <c r="AO855" s="0" t="n">
        <v>838</v>
      </c>
      <c r="AP855" s="0" t="n">
        <v>0</v>
      </c>
      <c r="AQ855" s="0" t="n">
        <v>2.0603556470236</v>
      </c>
      <c r="AR855" s="0" t="n">
        <v>754.230206016104</v>
      </c>
      <c r="AS855" s="0" t="n">
        <v>92</v>
      </c>
      <c r="AT855" s="0" t="n">
        <v>92</v>
      </c>
    </row>
    <row r="856" customFormat="false" ht="12" hidden="false" customHeight="false" outlineLevel="0" collapsed="false">
      <c r="A856" s="0" t="n">
        <v>839</v>
      </c>
      <c r="B856" s="0" t="n">
        <v>1</v>
      </c>
      <c r="C856" s="0" t="n">
        <v>0.610295392031227</v>
      </c>
      <c r="D856" s="0" t="n">
        <v>907.920041846519</v>
      </c>
      <c r="E856" s="0" t="n">
        <v>14</v>
      </c>
      <c r="F856" s="0" t="n">
        <v>12</v>
      </c>
      <c r="G856" s="0" t="n">
        <v>0.5</v>
      </c>
      <c r="H856" s="0" t="n">
        <v>1</v>
      </c>
      <c r="I856" s="0" t="n">
        <v>0</v>
      </c>
      <c r="J856" s="0" t="n">
        <v>919.300240332806</v>
      </c>
      <c r="K856" s="0" t="n">
        <v>0</v>
      </c>
      <c r="L856" s="0" t="n">
        <v>2.23274868619373</v>
      </c>
      <c r="M856" s="0" t="n">
        <v>920.479144560236</v>
      </c>
      <c r="N856" s="0" t="n">
        <v>12.5591027137164</v>
      </c>
      <c r="O856" s="0" t="n">
        <v>839</v>
      </c>
      <c r="P856" s="0" t="n">
        <v>423</v>
      </c>
      <c r="Q856" s="0" t="n">
        <v>416</v>
      </c>
      <c r="R856" s="0" t="n">
        <v>961.697485313592</v>
      </c>
      <c r="S856" s="0" t="n">
        <v>824.261075433314</v>
      </c>
      <c r="T856" s="0" t="n">
        <v>25</v>
      </c>
      <c r="U856" s="0" t="n">
        <v>23</v>
      </c>
      <c r="V856" s="0" t="n">
        <v>38.4678840253901</v>
      </c>
      <c r="W856" s="0" t="n">
        <v>35.8372822480474</v>
      </c>
      <c r="X856" s="0" t="n">
        <v>0</v>
      </c>
      <c r="Y856" s="0" t="n">
        <v>0</v>
      </c>
      <c r="Z856" s="0" t="n">
        <v>12.5591027137164</v>
      </c>
      <c r="AA856" s="0" t="n">
        <v>0</v>
      </c>
      <c r="AB856" s="0" t="n">
        <v>0</v>
      </c>
      <c r="AC856" s="0" t="n">
        <v>0</v>
      </c>
      <c r="AD856" s="0" t="n">
        <v>1</v>
      </c>
      <c r="AE856" s="0" t="n">
        <v>0</v>
      </c>
      <c r="AF856" s="0" t="n">
        <v>0</v>
      </c>
      <c r="AG856" s="0" t="n">
        <v>0</v>
      </c>
      <c r="AH856" s="0" t="n">
        <v>22.9747608254748</v>
      </c>
      <c r="AI856" s="0" t="n">
        <v>0</v>
      </c>
      <c r="AK856" s="0" t="n">
        <f aca="false">A856</f>
        <v>839</v>
      </c>
      <c r="AL856" s="0" t="n">
        <v>1</v>
      </c>
      <c r="AM856" s="0" t="n">
        <v>1</v>
      </c>
      <c r="AO856" s="0" t="n">
        <v>839</v>
      </c>
      <c r="AP856" s="0" t="n">
        <v>1</v>
      </c>
      <c r="AQ856" s="0" t="n">
        <v>0.880667508937567</v>
      </c>
      <c r="AR856" s="0" t="n">
        <v>755.110873525041</v>
      </c>
      <c r="AS856" s="0" t="n">
        <v>92</v>
      </c>
      <c r="AT856" s="0" t="n">
        <v>94</v>
      </c>
    </row>
    <row r="857" customFormat="false" ht="12" hidden="false" customHeight="false" outlineLevel="0" collapsed="false">
      <c r="A857" s="0" t="n">
        <v>840</v>
      </c>
      <c r="B857" s="0" t="n">
        <v>1</v>
      </c>
      <c r="C857" s="0" t="n">
        <v>2.5089582053291</v>
      </c>
      <c r="D857" s="0" t="n">
        <v>910.429000051849</v>
      </c>
      <c r="E857" s="0" t="n">
        <v>12</v>
      </c>
      <c r="F857" s="0" t="n">
        <v>12</v>
      </c>
      <c r="G857" s="0" t="n">
        <v>0.5</v>
      </c>
      <c r="H857" s="0" t="n">
        <v>1</v>
      </c>
      <c r="I857" s="0" t="n">
        <v>0</v>
      </c>
      <c r="J857" s="0" t="n">
        <v>919.300240332806</v>
      </c>
      <c r="K857" s="0" t="n">
        <v>0</v>
      </c>
      <c r="L857" s="0" t="n">
        <v>1.76389187062026</v>
      </c>
      <c r="M857" s="0" t="n">
        <v>922.243036430856</v>
      </c>
      <c r="N857" s="0" t="n">
        <v>11.8140363790075</v>
      </c>
      <c r="O857" s="0" t="n">
        <v>840</v>
      </c>
      <c r="P857" s="0" t="n">
        <v>423</v>
      </c>
      <c r="Q857" s="0" t="n">
        <v>417</v>
      </c>
      <c r="R857" s="0" t="n">
        <v>1020.22071834927</v>
      </c>
      <c r="S857" s="0" t="n">
        <v>763.81305268401</v>
      </c>
      <c r="T857" s="0" t="n">
        <v>25</v>
      </c>
      <c r="U857" s="0" t="n">
        <v>23</v>
      </c>
      <c r="V857" s="0" t="n">
        <v>40.808812410446</v>
      </c>
      <c r="W857" s="0" t="n">
        <v>33.2091187727014</v>
      </c>
      <c r="X857" s="0" t="n">
        <v>0</v>
      </c>
      <c r="Y857" s="0" t="n">
        <v>0</v>
      </c>
      <c r="Z857" s="0" t="n">
        <v>11.8140363790075</v>
      </c>
      <c r="AA857" s="0" t="n">
        <v>0</v>
      </c>
      <c r="AB857" s="0" t="n">
        <v>0</v>
      </c>
      <c r="AC857" s="0" t="n">
        <v>0</v>
      </c>
      <c r="AD857" s="0" t="n">
        <v>1</v>
      </c>
      <c r="AE857" s="0" t="n">
        <v>0</v>
      </c>
      <c r="AF857" s="0" t="n">
        <v>0</v>
      </c>
      <c r="AG857" s="0" t="n">
        <v>0</v>
      </c>
      <c r="AH857" s="0" t="n">
        <v>16.3873815991846</v>
      </c>
      <c r="AI857" s="0" t="n">
        <v>0</v>
      </c>
      <c r="AK857" s="0" t="n">
        <f aca="false">A857</f>
        <v>840</v>
      </c>
      <c r="AL857" s="0" t="n">
        <v>0</v>
      </c>
      <c r="AM857" s="0" t="n">
        <v>1</v>
      </c>
      <c r="AO857" s="0" t="n">
        <v>840</v>
      </c>
      <c r="AP857" s="0" t="n">
        <v>1</v>
      </c>
      <c r="AQ857" s="0" t="n">
        <v>0.269973017660336</v>
      </c>
      <c r="AR857" s="0" t="n">
        <v>755.380846542701</v>
      </c>
      <c r="AS857" s="0" t="n">
        <v>92</v>
      </c>
      <c r="AT857" s="0" t="n">
        <v>94</v>
      </c>
    </row>
    <row r="858" customFormat="false" ht="12" hidden="false" customHeight="false" outlineLevel="0" collapsed="false">
      <c r="A858" s="0" t="n">
        <v>841</v>
      </c>
      <c r="B858" s="0" t="n">
        <v>0</v>
      </c>
      <c r="C858" s="0" t="n">
        <v>0.100251683905402</v>
      </c>
      <c r="D858" s="0" t="n">
        <v>910.529251735754</v>
      </c>
      <c r="E858" s="0" t="n">
        <v>12</v>
      </c>
      <c r="F858" s="0" t="n">
        <v>14</v>
      </c>
      <c r="G858" s="0" t="n">
        <v>0.5</v>
      </c>
      <c r="H858" s="0" t="n">
        <v>1</v>
      </c>
      <c r="I858" s="0" t="n">
        <v>0</v>
      </c>
      <c r="J858" s="0" t="n">
        <v>919.300240332806</v>
      </c>
      <c r="K858" s="0" t="n">
        <v>0</v>
      </c>
      <c r="L858" s="0" t="n">
        <v>1.9119092441893</v>
      </c>
      <c r="M858" s="0" t="n">
        <v>924.154945675045</v>
      </c>
      <c r="N858" s="0" t="n">
        <v>13.6256939392913</v>
      </c>
      <c r="O858" s="0" t="n">
        <v>841</v>
      </c>
      <c r="P858" s="0" t="n">
        <v>423</v>
      </c>
      <c r="Q858" s="0" t="n">
        <v>418</v>
      </c>
      <c r="R858" s="0" t="n">
        <v>712.145010763077</v>
      </c>
      <c r="S858" s="0" t="n">
        <v>1081.91744712898</v>
      </c>
      <c r="T858" s="0" t="n">
        <v>21</v>
      </c>
      <c r="U858" s="0" t="n">
        <v>27</v>
      </c>
      <c r="V858" s="0" t="n">
        <v>33.9116510307889</v>
      </c>
      <c r="W858" s="0" t="n">
        <v>40.0708681497097</v>
      </c>
      <c r="X858" s="0" t="n">
        <v>0</v>
      </c>
      <c r="Y858" s="0" t="n">
        <v>0</v>
      </c>
      <c r="Z858" s="0" t="n">
        <v>0</v>
      </c>
      <c r="AA858" s="0" t="n">
        <v>13.6256939392913</v>
      </c>
      <c r="AB858" s="0" t="n">
        <v>0</v>
      </c>
      <c r="AC858" s="0" t="n">
        <v>0</v>
      </c>
      <c r="AD858" s="0" t="n">
        <v>0</v>
      </c>
      <c r="AE858" s="0" t="n">
        <v>1</v>
      </c>
      <c r="AF858" s="0" t="n">
        <v>0</v>
      </c>
      <c r="AG858" s="0" t="n">
        <v>0</v>
      </c>
      <c r="AH858" s="0" t="n">
        <v>0</v>
      </c>
      <c r="AI858" s="0" t="n">
        <v>34.742692059261</v>
      </c>
      <c r="AK858" s="0" t="n">
        <f aca="false">A858</f>
        <v>841</v>
      </c>
      <c r="AL858" s="0" t="n">
        <v>1</v>
      </c>
      <c r="AM858" s="0" t="n">
        <v>1</v>
      </c>
      <c r="AO858" s="0" t="n">
        <v>841</v>
      </c>
      <c r="AP858" s="0" t="n">
        <v>1</v>
      </c>
      <c r="AQ858" s="0" t="n">
        <v>2.02683641445975</v>
      </c>
      <c r="AR858" s="0" t="n">
        <v>757.407682957161</v>
      </c>
      <c r="AS858" s="0" t="n">
        <v>92</v>
      </c>
      <c r="AT858" s="0" t="n">
        <v>90</v>
      </c>
    </row>
    <row r="859" customFormat="false" ht="12" hidden="false" customHeight="false" outlineLevel="0" collapsed="false">
      <c r="A859" s="0" t="n">
        <v>842</v>
      </c>
      <c r="B859" s="0" t="n">
        <v>1</v>
      </c>
      <c r="C859" s="0" t="n">
        <v>0.862274101572223</v>
      </c>
      <c r="D859" s="0" t="n">
        <v>911.391525837326</v>
      </c>
      <c r="E859" s="0" t="n">
        <v>10</v>
      </c>
      <c r="F859" s="0" t="n">
        <v>16</v>
      </c>
      <c r="G859" s="0" t="n">
        <v>0.5</v>
      </c>
      <c r="H859" s="0" t="n">
        <v>0</v>
      </c>
      <c r="I859" s="0" t="n">
        <v>2.03592702322284</v>
      </c>
      <c r="J859" s="0" t="n">
        <v>921.336167356029</v>
      </c>
      <c r="K859" s="0" t="n">
        <v>9.94464151870227</v>
      </c>
      <c r="L859" s="0" t="n">
        <v>0</v>
      </c>
      <c r="M859" s="0" t="n">
        <v>924.154945675045</v>
      </c>
      <c r="N859" s="0" t="n">
        <v>0</v>
      </c>
      <c r="O859" s="0" t="n">
        <v>842</v>
      </c>
      <c r="P859" s="0" t="n">
        <v>424</v>
      </c>
      <c r="Q859" s="0" t="n">
        <v>418</v>
      </c>
      <c r="R859" s="0" t="n">
        <v>960.238639803902</v>
      </c>
      <c r="S859" s="0" t="n">
        <v>846.183464397073</v>
      </c>
      <c r="T859" s="0" t="n">
        <v>27</v>
      </c>
      <c r="U859" s="0" t="n">
        <v>21</v>
      </c>
      <c r="V859" s="0" t="n">
        <v>35.5643808948183</v>
      </c>
      <c r="W859" s="0" t="n">
        <v>40.294258808152</v>
      </c>
      <c r="X859" s="0" t="n">
        <v>9.94464151870227</v>
      </c>
      <c r="Y859" s="0" t="n">
        <v>0</v>
      </c>
      <c r="Z859" s="0" t="n">
        <v>0</v>
      </c>
      <c r="AA859" s="0" t="n">
        <v>0</v>
      </c>
      <c r="AB859" s="0" t="n">
        <v>1</v>
      </c>
      <c r="AC859" s="0" t="n">
        <v>0</v>
      </c>
      <c r="AD859" s="0" t="n">
        <v>0</v>
      </c>
      <c r="AE859" s="0" t="n">
        <v>0</v>
      </c>
      <c r="AF859" s="0" t="n">
        <v>6.33569866617311</v>
      </c>
      <c r="AG859" s="0" t="n">
        <v>0</v>
      </c>
      <c r="AH859" s="0" t="n">
        <v>0</v>
      </c>
      <c r="AI859" s="0" t="n">
        <v>0</v>
      </c>
      <c r="AK859" s="0" t="n">
        <f aca="false">A859</f>
        <v>842</v>
      </c>
      <c r="AL859" s="0" t="n">
        <v>3</v>
      </c>
      <c r="AM859" s="0" t="n">
        <v>0</v>
      </c>
      <c r="AO859" s="0" t="n">
        <v>842</v>
      </c>
      <c r="AP859" s="0" t="n">
        <v>1</v>
      </c>
      <c r="AQ859" s="0" t="n">
        <v>0.0366711121627697</v>
      </c>
      <c r="AR859" s="0" t="n">
        <v>757.444354069324</v>
      </c>
      <c r="AS859" s="0" t="n">
        <v>92</v>
      </c>
      <c r="AT859" s="0" t="n">
        <v>92</v>
      </c>
    </row>
    <row r="860" customFormat="false" ht="12" hidden="false" customHeight="false" outlineLevel="0" collapsed="false">
      <c r="A860" s="0" t="n">
        <v>843</v>
      </c>
      <c r="B860" s="0" t="n">
        <v>1</v>
      </c>
      <c r="C860" s="0" t="n">
        <v>0.273147376186128</v>
      </c>
      <c r="D860" s="0" t="n">
        <v>911.664673213512</v>
      </c>
      <c r="E860" s="0" t="n">
        <v>12</v>
      </c>
      <c r="F860" s="0" t="n">
        <v>16</v>
      </c>
      <c r="G860" s="0" t="n">
        <v>0.5</v>
      </c>
      <c r="H860" s="0" t="n">
        <v>0</v>
      </c>
      <c r="I860" s="0" t="n">
        <v>2.21229346852218</v>
      </c>
      <c r="J860" s="0" t="n">
        <v>923.548460824551</v>
      </c>
      <c r="K860" s="0" t="n">
        <v>11.8837876110383</v>
      </c>
      <c r="L860" s="0" t="n">
        <v>0</v>
      </c>
      <c r="M860" s="0" t="n">
        <v>924.154945675045</v>
      </c>
      <c r="N860" s="0" t="n">
        <v>0</v>
      </c>
      <c r="O860" s="0" t="n">
        <v>843</v>
      </c>
      <c r="P860" s="0" t="n">
        <v>425</v>
      </c>
      <c r="Q860" s="0" t="n">
        <v>418</v>
      </c>
      <c r="R860" s="0" t="n">
        <v>820.462485600876</v>
      </c>
      <c r="S860" s="0" t="n">
        <v>972.310912136464</v>
      </c>
      <c r="T860" s="0" t="n">
        <v>19</v>
      </c>
      <c r="U860" s="0" t="n">
        <v>29</v>
      </c>
      <c r="V860" s="0" t="n">
        <v>43.1822133567759</v>
      </c>
      <c r="W860" s="0" t="n">
        <v>33.5278468741992</v>
      </c>
      <c r="X860" s="0" t="n">
        <v>11.8837876110383</v>
      </c>
      <c r="Y860" s="0" t="n">
        <v>0</v>
      </c>
      <c r="Z860" s="0" t="n">
        <v>0</v>
      </c>
      <c r="AA860" s="0" t="n">
        <v>0</v>
      </c>
      <c r="AB860" s="0" t="n">
        <v>1</v>
      </c>
      <c r="AC860" s="0" t="n">
        <v>0</v>
      </c>
      <c r="AD860" s="0" t="n">
        <v>0</v>
      </c>
      <c r="AE860" s="0" t="n">
        <v>0</v>
      </c>
      <c r="AF860" s="0" t="n">
        <v>19.8579632721554</v>
      </c>
      <c r="AG860" s="0" t="n">
        <v>0</v>
      </c>
      <c r="AH860" s="0" t="n">
        <v>0</v>
      </c>
      <c r="AI860" s="0" t="n">
        <v>0</v>
      </c>
      <c r="AK860" s="0" t="n">
        <f aca="false">A860</f>
        <v>843</v>
      </c>
      <c r="AL860" s="0" t="n">
        <v>2</v>
      </c>
      <c r="AM860" s="0" t="n">
        <v>1</v>
      </c>
      <c r="AO860" s="0" t="n">
        <v>843</v>
      </c>
      <c r="AP860" s="0" t="n">
        <v>1</v>
      </c>
      <c r="AQ860" s="0" t="n">
        <v>0.672252590524887</v>
      </c>
      <c r="AR860" s="0" t="n">
        <v>758.116606659849</v>
      </c>
      <c r="AS860" s="0" t="n">
        <v>92</v>
      </c>
      <c r="AT860" s="0" t="n">
        <v>94</v>
      </c>
    </row>
    <row r="861" customFormat="false" ht="12" hidden="false" customHeight="false" outlineLevel="0" collapsed="false">
      <c r="A861" s="0" t="n">
        <v>844</v>
      </c>
      <c r="B861" s="0" t="n">
        <v>1</v>
      </c>
      <c r="C861" s="0" t="n">
        <v>0.559712907426289</v>
      </c>
      <c r="D861" s="0" t="n">
        <v>912.224386120939</v>
      </c>
      <c r="E861" s="0" t="n">
        <v>14</v>
      </c>
      <c r="F861" s="0" t="n">
        <v>14</v>
      </c>
      <c r="G861" s="0" t="n">
        <v>0.5</v>
      </c>
      <c r="H861" s="0" t="n">
        <v>0</v>
      </c>
      <c r="I861" s="0" t="n">
        <v>1.94683747580117</v>
      </c>
      <c r="J861" s="0" t="n">
        <v>925.495298300352</v>
      </c>
      <c r="K861" s="0" t="n">
        <v>13.2709121794132</v>
      </c>
      <c r="L861" s="0" t="n">
        <v>0</v>
      </c>
      <c r="M861" s="0" t="n">
        <v>924.154945675045</v>
      </c>
      <c r="N861" s="0" t="n">
        <v>0</v>
      </c>
      <c r="O861" s="0" t="n">
        <v>844</v>
      </c>
      <c r="P861" s="0" t="n">
        <v>426</v>
      </c>
      <c r="Q861" s="0" t="n">
        <v>418</v>
      </c>
      <c r="R861" s="0" t="n">
        <v>846.301638045223</v>
      </c>
      <c r="S861" s="0" t="n">
        <v>953.689618912962</v>
      </c>
      <c r="T861" s="0" t="n">
        <v>24</v>
      </c>
      <c r="U861" s="0" t="n">
        <v>24</v>
      </c>
      <c r="V861" s="0" t="n">
        <v>35.2625535591536</v>
      </c>
      <c r="W861" s="0" t="n">
        <v>39.7369018842822</v>
      </c>
      <c r="X861" s="0" t="n">
        <v>13.2709121794132</v>
      </c>
      <c r="Y861" s="0" t="n">
        <v>0</v>
      </c>
      <c r="Z861" s="0" t="n">
        <v>0</v>
      </c>
      <c r="AA861" s="0" t="n">
        <v>0</v>
      </c>
      <c r="AB861" s="0" t="n">
        <v>1</v>
      </c>
      <c r="AC861" s="0" t="n">
        <v>0</v>
      </c>
      <c r="AD861" s="0" t="n">
        <v>0</v>
      </c>
      <c r="AE861" s="0" t="n">
        <v>0</v>
      </c>
      <c r="AF861" s="0" t="n">
        <v>34.1447630545727</v>
      </c>
      <c r="AG861" s="0" t="n">
        <v>0</v>
      </c>
      <c r="AH861" s="0" t="n">
        <v>0</v>
      </c>
      <c r="AI861" s="0" t="n">
        <v>0</v>
      </c>
      <c r="AK861" s="0" t="n">
        <f aca="false">A861</f>
        <v>844</v>
      </c>
      <c r="AL861" s="0" t="n">
        <v>0</v>
      </c>
      <c r="AM861" s="0" t="n">
        <v>0</v>
      </c>
      <c r="AO861" s="0" t="n">
        <v>844</v>
      </c>
      <c r="AP861" s="0" t="n">
        <v>1</v>
      </c>
      <c r="AQ861" s="0" t="n">
        <v>0.977456765161771</v>
      </c>
      <c r="AR861" s="0" t="n">
        <v>759.094063425011</v>
      </c>
      <c r="AS861" s="0" t="n">
        <v>94</v>
      </c>
      <c r="AT861" s="0" t="n">
        <v>94</v>
      </c>
    </row>
    <row r="862" customFormat="false" ht="12" hidden="false" customHeight="false" outlineLevel="0" collapsed="false">
      <c r="A862" s="0" t="n">
        <v>845</v>
      </c>
      <c r="B862" s="0" t="n">
        <v>0</v>
      </c>
      <c r="C862" s="0" t="n">
        <v>1.87305702183382</v>
      </c>
      <c r="D862" s="0" t="n">
        <v>914.097443142772</v>
      </c>
      <c r="E862" s="0" t="n">
        <v>14</v>
      </c>
      <c r="F862" s="0" t="n">
        <v>12</v>
      </c>
      <c r="G862" s="0" t="n">
        <v>0.5</v>
      </c>
      <c r="H862" s="0" t="n">
        <v>1</v>
      </c>
      <c r="I862" s="0" t="n">
        <v>0</v>
      </c>
      <c r="J862" s="0" t="n">
        <v>925.495298300352</v>
      </c>
      <c r="K862" s="0" t="n">
        <v>0</v>
      </c>
      <c r="L862" s="0" t="n">
        <v>1.8403609076339</v>
      </c>
      <c r="M862" s="0" t="n">
        <v>925.995306582679</v>
      </c>
      <c r="N862" s="0" t="n">
        <v>11.8978634399068</v>
      </c>
      <c r="O862" s="0" t="n">
        <v>845</v>
      </c>
      <c r="P862" s="0" t="n">
        <v>426</v>
      </c>
      <c r="Q862" s="0" t="n">
        <v>419</v>
      </c>
      <c r="R862" s="0" t="n">
        <v>922.741532880417</v>
      </c>
      <c r="S862" s="0" t="n">
        <v>884.459758847082</v>
      </c>
      <c r="T862" s="0" t="n">
        <v>23</v>
      </c>
      <c r="U862" s="0" t="n">
        <v>25</v>
      </c>
      <c r="V862" s="0" t="n">
        <v>40.1191796386357</v>
      </c>
      <c r="W862" s="0" t="n">
        <v>35.3782488408879</v>
      </c>
      <c r="X862" s="0" t="n">
        <v>0</v>
      </c>
      <c r="Y862" s="0" t="n">
        <v>0</v>
      </c>
      <c r="Z862" s="0" t="n">
        <v>0</v>
      </c>
      <c r="AA862" s="0" t="n">
        <v>11.8978634399068</v>
      </c>
      <c r="AB862" s="0" t="n">
        <v>0</v>
      </c>
      <c r="AC862" s="0" t="n">
        <v>0</v>
      </c>
      <c r="AD862" s="0" t="n">
        <v>0</v>
      </c>
      <c r="AE862" s="0" t="n">
        <v>1</v>
      </c>
      <c r="AF862" s="0" t="n">
        <v>0</v>
      </c>
      <c r="AG862" s="0" t="n">
        <v>0</v>
      </c>
      <c r="AH862" s="0" t="n">
        <v>0</v>
      </c>
      <c r="AI862" s="0" t="n">
        <v>17.3594112459651</v>
      </c>
      <c r="AK862" s="0" t="n">
        <f aca="false">A862</f>
        <v>845</v>
      </c>
      <c r="AL862" s="0" t="n">
        <v>1</v>
      </c>
      <c r="AM862" s="0" t="n">
        <v>1</v>
      </c>
      <c r="AO862" s="0" t="n">
        <v>845</v>
      </c>
      <c r="AP862" s="0" t="n">
        <v>0</v>
      </c>
      <c r="AQ862" s="0" t="n">
        <v>2.57607297809017</v>
      </c>
      <c r="AR862" s="0" t="n">
        <v>761.670136403101</v>
      </c>
      <c r="AS862" s="0" t="n">
        <v>90</v>
      </c>
      <c r="AT862" s="0" t="n">
        <v>92</v>
      </c>
    </row>
    <row r="863" customFormat="false" ht="12" hidden="false" customHeight="false" outlineLevel="0" collapsed="false">
      <c r="A863" s="0" t="n">
        <v>846</v>
      </c>
      <c r="B863" s="0" t="n">
        <v>1</v>
      </c>
      <c r="C863" s="0" t="n">
        <v>0.182977607130213</v>
      </c>
      <c r="D863" s="0" t="n">
        <v>914.280420749903</v>
      </c>
      <c r="E863" s="0" t="n">
        <v>14</v>
      </c>
      <c r="F863" s="0" t="n">
        <v>14</v>
      </c>
      <c r="G863" s="0" t="n">
        <v>0.5</v>
      </c>
      <c r="H863" s="0" t="n">
        <v>1</v>
      </c>
      <c r="I863" s="0" t="n">
        <v>0</v>
      </c>
      <c r="J863" s="0" t="n">
        <v>925.495298300352</v>
      </c>
      <c r="K863" s="0" t="n">
        <v>0</v>
      </c>
      <c r="L863" s="0" t="n">
        <v>2.01229398316467</v>
      </c>
      <c r="M863" s="0" t="n">
        <v>928.007600565844</v>
      </c>
      <c r="N863" s="0" t="n">
        <v>13.7271798159413</v>
      </c>
      <c r="O863" s="0" t="n">
        <v>846</v>
      </c>
      <c r="P863" s="0" t="n">
        <v>426</v>
      </c>
      <c r="Q863" s="0" t="n">
        <v>420</v>
      </c>
      <c r="R863" s="0" t="n">
        <v>855.972865630942</v>
      </c>
      <c r="S863" s="0" t="n">
        <v>943.049087558507</v>
      </c>
      <c r="T863" s="0" t="n">
        <v>22</v>
      </c>
      <c r="U863" s="0" t="n">
        <v>26</v>
      </c>
      <c r="V863" s="0" t="n">
        <v>38.9078398432974</v>
      </c>
      <c r="W863" s="0" t="n">
        <v>36.2709792484839</v>
      </c>
      <c r="X863" s="0" t="n">
        <v>0</v>
      </c>
      <c r="Y863" s="0" t="n">
        <v>0</v>
      </c>
      <c r="Z863" s="0" t="n">
        <v>13.7271798159413</v>
      </c>
      <c r="AA863" s="0" t="n">
        <v>0</v>
      </c>
      <c r="AB863" s="0" t="n">
        <v>0</v>
      </c>
      <c r="AC863" s="0" t="n">
        <v>0</v>
      </c>
      <c r="AD863" s="0" t="n">
        <v>1</v>
      </c>
      <c r="AE863" s="0" t="n">
        <v>0</v>
      </c>
      <c r="AF863" s="0" t="n">
        <v>0</v>
      </c>
      <c r="AG863" s="0" t="n">
        <v>0</v>
      </c>
      <c r="AH863" s="0" t="n">
        <v>35.5368179554957</v>
      </c>
      <c r="AI863" s="0" t="n">
        <v>0</v>
      </c>
      <c r="AK863" s="0" t="n">
        <f aca="false">A863</f>
        <v>846</v>
      </c>
      <c r="AL863" s="0" t="n">
        <v>0</v>
      </c>
      <c r="AM863" s="0" t="n">
        <v>0</v>
      </c>
      <c r="AO863" s="0" t="n">
        <v>846</v>
      </c>
      <c r="AP863" s="0" t="n">
        <v>0</v>
      </c>
      <c r="AQ863" s="0" t="n">
        <v>2.0205011865102</v>
      </c>
      <c r="AR863" s="0" t="n">
        <v>763.690637589611</v>
      </c>
      <c r="AS863" s="0" t="n">
        <v>90</v>
      </c>
      <c r="AT863" s="0" t="n">
        <v>90</v>
      </c>
    </row>
    <row r="864" customFormat="false" ht="12" hidden="false" customHeight="false" outlineLevel="0" collapsed="false">
      <c r="A864" s="0" t="n">
        <v>847</v>
      </c>
      <c r="B864" s="0" t="n">
        <v>0</v>
      </c>
      <c r="C864" s="0" t="n">
        <v>0.435688471898789</v>
      </c>
      <c r="D864" s="0" t="n">
        <v>914.716109221801</v>
      </c>
      <c r="E864" s="0" t="n">
        <v>14</v>
      </c>
      <c r="F864" s="0" t="n">
        <v>16</v>
      </c>
      <c r="G864" s="0" t="n">
        <v>0.5</v>
      </c>
      <c r="H864" s="0" t="n">
        <v>1</v>
      </c>
      <c r="I864" s="0" t="n">
        <v>0</v>
      </c>
      <c r="J864" s="0" t="n">
        <v>925.495298300352</v>
      </c>
      <c r="K864" s="0" t="n">
        <v>0</v>
      </c>
      <c r="L864" s="0" t="n">
        <v>1.78434339487763</v>
      </c>
      <c r="M864" s="0" t="n">
        <v>929.791943960722</v>
      </c>
      <c r="N864" s="0" t="n">
        <v>15.0758347389202</v>
      </c>
      <c r="O864" s="0" t="n">
        <v>847</v>
      </c>
      <c r="P864" s="0" t="n">
        <v>426</v>
      </c>
      <c r="Q864" s="0" t="n">
        <v>421</v>
      </c>
      <c r="R864" s="0" t="n">
        <v>870.173782114427</v>
      </c>
      <c r="S864" s="0" t="n">
        <v>937.263478715175</v>
      </c>
      <c r="T864" s="0" t="n">
        <v>21</v>
      </c>
      <c r="U864" s="0" t="n">
        <v>27</v>
      </c>
      <c r="V864" s="0" t="n">
        <v>41.4368270355313</v>
      </c>
      <c r="W864" s="0" t="n">
        <v>34.7133336067339</v>
      </c>
      <c r="X864" s="0" t="n">
        <v>0</v>
      </c>
      <c r="Y864" s="0" t="n">
        <v>0</v>
      </c>
      <c r="Z864" s="0" t="n">
        <v>0</v>
      </c>
      <c r="AA864" s="0" t="n">
        <v>15.0758347389202</v>
      </c>
      <c r="AB864" s="0" t="n">
        <v>0</v>
      </c>
      <c r="AC864" s="0" t="n">
        <v>0</v>
      </c>
      <c r="AD864" s="0" t="n">
        <v>0</v>
      </c>
      <c r="AE864" s="0" t="n">
        <v>1</v>
      </c>
      <c r="AF864" s="0" t="n">
        <v>0</v>
      </c>
      <c r="AG864" s="0" t="n">
        <v>0</v>
      </c>
      <c r="AH864" s="0" t="n">
        <v>0</v>
      </c>
      <c r="AI864" s="0" t="n">
        <v>53.9407104405902</v>
      </c>
      <c r="AK864" s="0" t="n">
        <f aca="false">A864</f>
        <v>847</v>
      </c>
      <c r="AL864" s="0" t="n">
        <v>1</v>
      </c>
      <c r="AM864" s="0" t="n">
        <v>1</v>
      </c>
      <c r="AO864" s="0" t="n">
        <v>847</v>
      </c>
      <c r="AP864" s="0" t="n">
        <v>0</v>
      </c>
      <c r="AQ864" s="0" t="n">
        <v>0.0162565928811428</v>
      </c>
      <c r="AR864" s="0" t="n">
        <v>763.706894182492</v>
      </c>
      <c r="AS864" s="0" t="n">
        <v>92</v>
      </c>
      <c r="AT864" s="0" t="n">
        <v>90</v>
      </c>
    </row>
    <row r="865" customFormat="false" ht="12" hidden="false" customHeight="false" outlineLevel="0" collapsed="false">
      <c r="A865" s="0" t="n">
        <v>848</v>
      </c>
      <c r="B865" s="0" t="n">
        <v>0</v>
      </c>
      <c r="C865" s="0" t="n">
        <v>0.47929478267512</v>
      </c>
      <c r="D865" s="0" t="n">
        <v>915.195404004476</v>
      </c>
      <c r="E865" s="0" t="n">
        <v>14</v>
      </c>
      <c r="F865" s="0" t="n">
        <v>18</v>
      </c>
      <c r="G865" s="0" t="n">
        <v>0.5</v>
      </c>
      <c r="H865" s="0" t="n">
        <v>0</v>
      </c>
      <c r="I865" s="0" t="n">
        <v>1.95889110789093</v>
      </c>
      <c r="J865" s="0" t="n">
        <v>927.454189408243</v>
      </c>
      <c r="K865" s="0" t="n">
        <v>12.2587854037664</v>
      </c>
      <c r="L865" s="0" t="n">
        <v>0</v>
      </c>
      <c r="M865" s="0" t="n">
        <v>929.791943960722</v>
      </c>
      <c r="N865" s="0" t="n">
        <v>0</v>
      </c>
      <c r="O865" s="0" t="n">
        <v>848</v>
      </c>
      <c r="P865" s="0" t="n">
        <v>427</v>
      </c>
      <c r="Q865" s="0" t="n">
        <v>421</v>
      </c>
      <c r="R865" s="0" t="n">
        <v>982.556124036287</v>
      </c>
      <c r="S865" s="0" t="n">
        <v>814.616670077205</v>
      </c>
      <c r="T865" s="0" t="n">
        <v>26</v>
      </c>
      <c r="U865" s="0" t="n">
        <v>22</v>
      </c>
      <c r="V865" s="0" t="n">
        <v>37.7906056203935</v>
      </c>
      <c r="W865" s="0" t="n">
        <v>37.0278621495904</v>
      </c>
      <c r="X865" s="0" t="n">
        <v>0</v>
      </c>
      <c r="Y865" s="0" t="n">
        <v>12.2587854037664</v>
      </c>
      <c r="Z865" s="0" t="n">
        <v>0</v>
      </c>
      <c r="AA865" s="0" t="n">
        <v>0</v>
      </c>
      <c r="AB865" s="0" t="n">
        <v>0</v>
      </c>
      <c r="AC865" s="0" t="n">
        <v>1</v>
      </c>
      <c r="AD865" s="0" t="n">
        <v>0</v>
      </c>
      <c r="AE865" s="0" t="n">
        <v>0</v>
      </c>
      <c r="AF865" s="0" t="n">
        <v>0</v>
      </c>
      <c r="AG865" s="0" t="n">
        <v>16.0010269106137</v>
      </c>
      <c r="AH865" s="0" t="n">
        <v>0</v>
      </c>
      <c r="AI865" s="0" t="n">
        <v>0</v>
      </c>
      <c r="AK865" s="0" t="n">
        <f aca="false">A865</f>
        <v>848</v>
      </c>
      <c r="AL865" s="0" t="n">
        <v>2</v>
      </c>
      <c r="AM865" s="0" t="n">
        <v>2</v>
      </c>
      <c r="AO865" s="0" t="n">
        <v>848</v>
      </c>
      <c r="AP865" s="0" t="n">
        <v>1</v>
      </c>
      <c r="AQ865" s="0" t="n">
        <v>0.514194188762317</v>
      </c>
      <c r="AR865" s="0" t="n">
        <v>764.221088371254</v>
      </c>
      <c r="AS865" s="0" t="n">
        <v>94</v>
      </c>
      <c r="AT865" s="0" t="n">
        <v>90</v>
      </c>
    </row>
    <row r="866" customFormat="false" ht="12" hidden="false" customHeight="false" outlineLevel="0" collapsed="false">
      <c r="A866" s="0" t="n">
        <v>849</v>
      </c>
      <c r="B866" s="0" t="n">
        <v>0</v>
      </c>
      <c r="C866" s="0" t="n">
        <v>0.914336502716235</v>
      </c>
      <c r="D866" s="0" t="n">
        <v>916.109740507193</v>
      </c>
      <c r="E866" s="0" t="n">
        <v>14</v>
      </c>
      <c r="F866" s="0" t="n">
        <v>18</v>
      </c>
      <c r="G866" s="0" t="n">
        <v>0.5</v>
      </c>
      <c r="H866" s="0" t="n">
        <v>1</v>
      </c>
      <c r="I866" s="0" t="n">
        <v>0</v>
      </c>
      <c r="J866" s="0" t="n">
        <v>927.454189408243</v>
      </c>
      <c r="K866" s="0" t="n">
        <v>0</v>
      </c>
      <c r="L866" s="0" t="n">
        <v>1.79906243743117</v>
      </c>
      <c r="M866" s="0" t="n">
        <v>931.591006398153</v>
      </c>
      <c r="N866" s="0" t="n">
        <v>15.4812658909601</v>
      </c>
      <c r="O866" s="0" t="n">
        <v>849</v>
      </c>
      <c r="P866" s="0" t="n">
        <v>427</v>
      </c>
      <c r="Q866" s="0" t="n">
        <v>422</v>
      </c>
      <c r="R866" s="0" t="n">
        <v>1051.30844714367</v>
      </c>
      <c r="S866" s="0" t="n">
        <v>750.259502331412</v>
      </c>
      <c r="T866" s="0" t="n">
        <v>30</v>
      </c>
      <c r="U866" s="0" t="n">
        <v>18</v>
      </c>
      <c r="V866" s="0" t="n">
        <v>35.043603223588</v>
      </c>
      <c r="W866" s="0" t="n">
        <v>41.6808519025679</v>
      </c>
      <c r="X866" s="0" t="n">
        <v>0</v>
      </c>
      <c r="Y866" s="0" t="n">
        <v>0</v>
      </c>
      <c r="Z866" s="0" t="n">
        <v>0</v>
      </c>
      <c r="AA866" s="0" t="n">
        <v>15.4812658909601</v>
      </c>
      <c r="AB866" s="0" t="n">
        <v>0</v>
      </c>
      <c r="AC866" s="0" t="n">
        <v>0</v>
      </c>
      <c r="AD866" s="0" t="n">
        <v>0</v>
      </c>
      <c r="AE866" s="0" t="n">
        <v>1</v>
      </c>
      <c r="AF866" s="0" t="n">
        <v>0</v>
      </c>
      <c r="AG866" s="0" t="n">
        <v>0</v>
      </c>
      <c r="AH866" s="0" t="n">
        <v>0</v>
      </c>
      <c r="AI866" s="0" t="n">
        <v>60.0604095162809</v>
      </c>
      <c r="AK866" s="0" t="n">
        <f aca="false">A866</f>
        <v>849</v>
      </c>
      <c r="AL866" s="0" t="n">
        <v>2</v>
      </c>
      <c r="AM866" s="0" t="n">
        <v>1</v>
      </c>
      <c r="AO866" s="0" t="n">
        <v>849</v>
      </c>
      <c r="AP866" s="0" t="n">
        <v>0</v>
      </c>
      <c r="AQ866" s="0" t="n">
        <v>0.44361547085609</v>
      </c>
      <c r="AR866" s="0" t="n">
        <v>764.664703842111</v>
      </c>
      <c r="AS866" s="0" t="n">
        <v>94</v>
      </c>
      <c r="AT866" s="0" t="n">
        <v>92</v>
      </c>
    </row>
    <row r="867" customFormat="false" ht="12" hidden="false" customHeight="false" outlineLevel="0" collapsed="false">
      <c r="A867" s="0" t="n">
        <v>850</v>
      </c>
      <c r="B867" s="0" t="n">
        <v>1</v>
      </c>
      <c r="C867" s="0" t="n">
        <v>2.10308038763099</v>
      </c>
      <c r="D867" s="0" t="n">
        <v>918.212820894824</v>
      </c>
      <c r="E867" s="0" t="n">
        <v>12</v>
      </c>
      <c r="F867" s="0" t="n">
        <v>18</v>
      </c>
      <c r="G867" s="0" t="n">
        <v>0.5</v>
      </c>
      <c r="H867" s="0" t="n">
        <v>0</v>
      </c>
      <c r="I867" s="0" t="n">
        <v>1.95145355612306</v>
      </c>
      <c r="J867" s="0" t="n">
        <v>929.405642964366</v>
      </c>
      <c r="K867" s="0" t="n">
        <v>11.1928220695423</v>
      </c>
      <c r="L867" s="0" t="n">
        <v>0</v>
      </c>
      <c r="M867" s="0" t="n">
        <v>931.591006398153</v>
      </c>
      <c r="N867" s="0" t="n">
        <v>0</v>
      </c>
      <c r="O867" s="0" t="n">
        <v>850</v>
      </c>
      <c r="P867" s="0" t="n">
        <v>428</v>
      </c>
      <c r="Q867" s="0" t="n">
        <v>422</v>
      </c>
      <c r="R867" s="0" t="n">
        <v>837.627763079114</v>
      </c>
      <c r="S867" s="0" t="n">
        <v>961.68851093955</v>
      </c>
      <c r="T867" s="0" t="n">
        <v>23</v>
      </c>
      <c r="U867" s="0" t="n">
        <v>25</v>
      </c>
      <c r="V867" s="0" t="n">
        <v>36.4185825605778</v>
      </c>
      <c r="W867" s="0" t="n">
        <v>38.4673865680357</v>
      </c>
      <c r="X867" s="0" t="n">
        <v>11.1928220695423</v>
      </c>
      <c r="Y867" s="0" t="n">
        <v>0</v>
      </c>
      <c r="Z867" s="0" t="n">
        <v>0</v>
      </c>
      <c r="AA867" s="0" t="n">
        <v>0</v>
      </c>
      <c r="AB867" s="0" t="n">
        <v>1</v>
      </c>
      <c r="AC867" s="0" t="n">
        <v>0</v>
      </c>
      <c r="AD867" s="0" t="n">
        <v>0</v>
      </c>
      <c r="AE867" s="0" t="n">
        <v>0</v>
      </c>
      <c r="AF867" s="0" t="n">
        <v>14.1771973968094</v>
      </c>
      <c r="AG867" s="0" t="n">
        <v>0</v>
      </c>
      <c r="AH867" s="0" t="n">
        <v>0</v>
      </c>
      <c r="AI867" s="0" t="n">
        <v>0</v>
      </c>
      <c r="AK867" s="0" t="n">
        <f aca="false">A867</f>
        <v>850</v>
      </c>
      <c r="AL867" s="0" t="n">
        <v>3</v>
      </c>
      <c r="AM867" s="0" t="n">
        <v>0</v>
      </c>
      <c r="AO867" s="0" t="n">
        <v>850</v>
      </c>
      <c r="AP867" s="0" t="n">
        <v>0</v>
      </c>
      <c r="AQ867" s="0" t="n">
        <v>0.341999950604767</v>
      </c>
      <c r="AR867" s="0" t="n">
        <v>765.006703792715</v>
      </c>
      <c r="AS867" s="0" t="n">
        <v>94</v>
      </c>
      <c r="AT867" s="0" t="n">
        <v>94</v>
      </c>
    </row>
    <row r="868" customFormat="false" ht="12" hidden="false" customHeight="false" outlineLevel="0" collapsed="false">
      <c r="A868" s="0" t="n">
        <v>851</v>
      </c>
      <c r="B868" s="0" t="n">
        <v>0</v>
      </c>
      <c r="C868" s="0" t="n">
        <v>2.35120814954457</v>
      </c>
      <c r="D868" s="0" t="n">
        <v>920.564029044368</v>
      </c>
      <c r="E868" s="0" t="n">
        <v>12</v>
      </c>
      <c r="F868" s="0" t="n">
        <v>14</v>
      </c>
      <c r="G868" s="0" t="n">
        <v>0.5</v>
      </c>
      <c r="H868" s="0" t="n">
        <v>1</v>
      </c>
      <c r="I868" s="0" t="n">
        <v>0</v>
      </c>
      <c r="J868" s="0" t="n">
        <v>929.405642964366</v>
      </c>
      <c r="K868" s="0" t="n">
        <v>0</v>
      </c>
      <c r="L868" s="0" t="n">
        <v>2.00500980573214</v>
      </c>
      <c r="M868" s="0" t="n">
        <v>933.596016203885</v>
      </c>
      <c r="N868" s="0" t="n">
        <v>13.0319871595167</v>
      </c>
      <c r="O868" s="0" t="n">
        <v>851</v>
      </c>
      <c r="P868" s="0" t="n">
        <v>428</v>
      </c>
      <c r="Q868" s="0" t="n">
        <v>423</v>
      </c>
      <c r="R868" s="0" t="n">
        <v>865.726399150836</v>
      </c>
      <c r="S868" s="0" t="n">
        <v>926.19295878491</v>
      </c>
      <c r="T868" s="0" t="n">
        <v>22</v>
      </c>
      <c r="U868" s="0" t="n">
        <v>26</v>
      </c>
      <c r="V868" s="0" t="n">
        <v>39.3511820745007</v>
      </c>
      <c r="W868" s="0" t="n">
        <v>35.6226690968462</v>
      </c>
      <c r="X868" s="0" t="n">
        <v>0</v>
      </c>
      <c r="Y868" s="0" t="n">
        <v>0</v>
      </c>
      <c r="Z868" s="0" t="n">
        <v>0</v>
      </c>
      <c r="AA868" s="0" t="n">
        <v>13.0319871595167</v>
      </c>
      <c r="AB868" s="0" t="n">
        <v>0</v>
      </c>
      <c r="AC868" s="0" t="n">
        <v>0</v>
      </c>
      <c r="AD868" s="0" t="n">
        <v>0</v>
      </c>
      <c r="AE868" s="0" t="n">
        <v>1</v>
      </c>
      <c r="AF868" s="0" t="n">
        <v>0</v>
      </c>
      <c r="AG868" s="0" t="n">
        <v>0</v>
      </c>
      <c r="AH868" s="0" t="n">
        <v>0</v>
      </c>
      <c r="AI868" s="0" t="n">
        <v>28.0962161569979</v>
      </c>
      <c r="AK868" s="0" t="n">
        <f aca="false">A868</f>
        <v>851</v>
      </c>
      <c r="AL868" s="0" t="n">
        <v>1</v>
      </c>
      <c r="AM868" s="0" t="n">
        <v>1</v>
      </c>
      <c r="AO868" s="0" t="n">
        <v>851</v>
      </c>
      <c r="AP868" s="0" t="n">
        <v>0</v>
      </c>
      <c r="AQ868" s="0" t="n">
        <v>1.13415198273329</v>
      </c>
      <c r="AR868" s="0" t="n">
        <v>766.140855775449</v>
      </c>
      <c r="AS868" s="0" t="n">
        <v>92</v>
      </c>
      <c r="AT868" s="0" t="n">
        <v>94</v>
      </c>
    </row>
    <row r="869" customFormat="false" ht="12" hidden="false" customHeight="false" outlineLevel="0" collapsed="false">
      <c r="A869" s="0" t="n">
        <v>852</v>
      </c>
      <c r="B869" s="0" t="n">
        <v>0</v>
      </c>
      <c r="C869" s="0" t="n">
        <v>1.42507067319798</v>
      </c>
      <c r="D869" s="0" t="n">
        <v>921.989099717566</v>
      </c>
      <c r="E869" s="0" t="n">
        <v>10</v>
      </c>
      <c r="F869" s="0" t="n">
        <v>16</v>
      </c>
      <c r="G869" s="0" t="n">
        <v>0.5</v>
      </c>
      <c r="H869" s="0" t="n">
        <v>1</v>
      </c>
      <c r="I869" s="0" t="n">
        <v>0</v>
      </c>
      <c r="J869" s="0" t="n">
        <v>929.405642964366</v>
      </c>
      <c r="K869" s="0" t="n">
        <v>0</v>
      </c>
      <c r="L869" s="0" t="n">
        <v>2.10940730246426</v>
      </c>
      <c r="M869" s="0" t="n">
        <v>935.705423506349</v>
      </c>
      <c r="N869" s="0" t="n">
        <v>13.7163237887829</v>
      </c>
      <c r="O869" s="0" t="n">
        <v>852</v>
      </c>
      <c r="P869" s="0" t="n">
        <v>428</v>
      </c>
      <c r="Q869" s="0" t="n">
        <v>424</v>
      </c>
      <c r="R869" s="0" t="n">
        <v>913.284074699199</v>
      </c>
      <c r="S869" s="0" t="n">
        <v>882.605316413713</v>
      </c>
      <c r="T869" s="0" t="n">
        <v>27</v>
      </c>
      <c r="U869" s="0" t="n">
        <v>21</v>
      </c>
      <c r="V869" s="0" t="n">
        <v>33.8253235720727</v>
      </c>
      <c r="W869" s="0" t="n">
        <v>42.0286244548223</v>
      </c>
      <c r="X869" s="0" t="n">
        <v>0</v>
      </c>
      <c r="Y869" s="0" t="n">
        <v>0</v>
      </c>
      <c r="Z869" s="0" t="n">
        <v>0</v>
      </c>
      <c r="AA869" s="0" t="n">
        <v>13.7163237887829</v>
      </c>
      <c r="AB869" s="0" t="n">
        <v>0</v>
      </c>
      <c r="AC869" s="0" t="n">
        <v>0</v>
      </c>
      <c r="AD869" s="0" t="n">
        <v>0</v>
      </c>
      <c r="AE869" s="0" t="n">
        <v>1</v>
      </c>
      <c r="AF869" s="0" t="n">
        <v>0</v>
      </c>
      <c r="AG869" s="0" t="n">
        <v>0</v>
      </c>
      <c r="AH869" s="0" t="n">
        <v>0</v>
      </c>
      <c r="AI869" s="0" t="n">
        <v>35.8193036359054</v>
      </c>
      <c r="AK869" s="0" t="n">
        <f aca="false">A869</f>
        <v>852</v>
      </c>
      <c r="AL869" s="0" t="n">
        <v>3</v>
      </c>
      <c r="AM869" s="0" t="n">
        <v>0</v>
      </c>
      <c r="AO869" s="0" t="n">
        <v>852</v>
      </c>
      <c r="AP869" s="0" t="n">
        <v>0</v>
      </c>
      <c r="AQ869" s="0" t="n">
        <v>3.9594098241283</v>
      </c>
      <c r="AR869" s="0" t="n">
        <v>770.100265599577</v>
      </c>
      <c r="AS869" s="0" t="n">
        <v>90</v>
      </c>
      <c r="AT869" s="0" t="n">
        <v>90</v>
      </c>
    </row>
    <row r="870" customFormat="false" ht="12" hidden="false" customHeight="false" outlineLevel="0" collapsed="false">
      <c r="A870" s="0" t="n">
        <v>853</v>
      </c>
      <c r="B870" s="0" t="n">
        <v>1</v>
      </c>
      <c r="C870" s="0" t="n">
        <v>0.683698212543883</v>
      </c>
      <c r="D870" s="0" t="n">
        <v>922.67279793011</v>
      </c>
      <c r="E870" s="0" t="n">
        <v>10</v>
      </c>
      <c r="F870" s="0" t="n">
        <v>16</v>
      </c>
      <c r="G870" s="0" t="n">
        <v>0.5</v>
      </c>
      <c r="H870" s="0" t="n">
        <v>0</v>
      </c>
      <c r="I870" s="0" t="n">
        <v>1.87156276532839</v>
      </c>
      <c r="J870" s="0" t="n">
        <v>931.277205729694</v>
      </c>
      <c r="K870" s="0" t="n">
        <v>8.60440779958424</v>
      </c>
      <c r="L870" s="0" t="n">
        <v>0</v>
      </c>
      <c r="M870" s="0" t="n">
        <v>935.705423506349</v>
      </c>
      <c r="N870" s="0" t="n">
        <v>0</v>
      </c>
      <c r="O870" s="0" t="n">
        <v>853</v>
      </c>
      <c r="P870" s="0" t="n">
        <v>429</v>
      </c>
      <c r="Q870" s="0" t="n">
        <v>424</v>
      </c>
      <c r="R870" s="0" t="n">
        <v>956.182030735498</v>
      </c>
      <c r="S870" s="0" t="n">
        <v>841.017950528894</v>
      </c>
      <c r="T870" s="0" t="n">
        <v>25</v>
      </c>
      <c r="U870" s="0" t="n">
        <v>23</v>
      </c>
      <c r="V870" s="0" t="n">
        <v>38.2472659305136</v>
      </c>
      <c r="W870" s="0" t="n">
        <v>36.5658388671742</v>
      </c>
      <c r="X870" s="0" t="n">
        <v>8.60440779958424</v>
      </c>
      <c r="Y870" s="0" t="n">
        <v>0</v>
      </c>
      <c r="Z870" s="0" t="n">
        <v>0</v>
      </c>
      <c r="AA870" s="0" t="n">
        <v>0</v>
      </c>
      <c r="AB870" s="0" t="n">
        <v>1</v>
      </c>
      <c r="AC870" s="0" t="n">
        <v>0</v>
      </c>
      <c r="AD870" s="0" t="n">
        <v>0</v>
      </c>
      <c r="AE870" s="0" t="n">
        <v>0</v>
      </c>
      <c r="AF870" s="0" t="n">
        <v>1.38497041347774</v>
      </c>
      <c r="AG870" s="0" t="n">
        <v>0</v>
      </c>
      <c r="AH870" s="0" t="n">
        <v>0</v>
      </c>
      <c r="AI870" s="0" t="n">
        <v>0</v>
      </c>
      <c r="AK870" s="0" t="n">
        <f aca="false">A870</f>
        <v>853</v>
      </c>
      <c r="AL870" s="0" t="n">
        <v>3</v>
      </c>
      <c r="AM870" s="0" t="n">
        <v>1</v>
      </c>
      <c r="AO870" s="0" t="n">
        <v>853</v>
      </c>
      <c r="AP870" s="0" t="n">
        <v>0</v>
      </c>
      <c r="AQ870" s="0" t="n">
        <v>0.0572498265766582</v>
      </c>
      <c r="AR870" s="0" t="n">
        <v>770.157515426154</v>
      </c>
      <c r="AS870" s="0" t="n">
        <v>90</v>
      </c>
      <c r="AT870" s="0" t="n">
        <v>92</v>
      </c>
    </row>
    <row r="871" customFormat="false" ht="12" hidden="false" customHeight="false" outlineLevel="0" collapsed="false">
      <c r="A871" s="0" t="n">
        <v>854</v>
      </c>
      <c r="B871" s="0" t="n">
        <v>0</v>
      </c>
      <c r="C871" s="0" t="n">
        <v>0.965151320927637</v>
      </c>
      <c r="D871" s="0" t="n">
        <v>923.637949251038</v>
      </c>
      <c r="E871" s="0" t="n">
        <v>10</v>
      </c>
      <c r="F871" s="0" t="n">
        <v>16</v>
      </c>
      <c r="G871" s="0" t="n">
        <v>0.5</v>
      </c>
      <c r="H871" s="0" t="n">
        <v>0</v>
      </c>
      <c r="I871" s="0" t="n">
        <v>2.01938890590551</v>
      </c>
      <c r="J871" s="0" t="n">
        <v>933.2965946356</v>
      </c>
      <c r="K871" s="0" t="n">
        <v>9.65864538456219</v>
      </c>
      <c r="L871" s="0" t="n">
        <v>0</v>
      </c>
      <c r="M871" s="0" t="n">
        <v>935.705423506349</v>
      </c>
      <c r="N871" s="0" t="n">
        <v>0</v>
      </c>
      <c r="O871" s="0" t="n">
        <v>854</v>
      </c>
      <c r="P871" s="0" t="n">
        <v>430</v>
      </c>
      <c r="Q871" s="0" t="n">
        <v>424</v>
      </c>
      <c r="R871" s="0" t="n">
        <v>930.342972216456</v>
      </c>
      <c r="S871" s="0" t="n">
        <v>870.130934300074</v>
      </c>
      <c r="T871" s="0" t="n">
        <v>23</v>
      </c>
      <c r="U871" s="0" t="n">
        <v>25</v>
      </c>
      <c r="V871" s="0" t="n">
        <v>40.4496768573777</v>
      </c>
      <c r="W871" s="0" t="n">
        <v>34.8050981516104</v>
      </c>
      <c r="X871" s="0" t="n">
        <v>0</v>
      </c>
      <c r="Y871" s="0" t="n">
        <v>9.65864538456219</v>
      </c>
      <c r="Z871" s="0" t="n">
        <v>0</v>
      </c>
      <c r="AA871" s="0" t="n">
        <v>0</v>
      </c>
      <c r="AB871" s="0" t="n">
        <v>0</v>
      </c>
      <c r="AC871" s="0" t="n">
        <v>1</v>
      </c>
      <c r="AD871" s="0" t="n">
        <v>0</v>
      </c>
      <c r="AE871" s="0" t="n">
        <v>0</v>
      </c>
      <c r="AF871" s="0" t="n">
        <v>0</v>
      </c>
      <c r="AG871" s="0" t="n">
        <v>1.95996735931201</v>
      </c>
      <c r="AH871" s="0" t="n">
        <v>0</v>
      </c>
      <c r="AI871" s="0" t="n">
        <v>0</v>
      </c>
      <c r="AK871" s="0" t="n">
        <f aca="false">A871</f>
        <v>854</v>
      </c>
      <c r="AL871" s="0" t="n">
        <v>3</v>
      </c>
      <c r="AM871" s="0" t="n">
        <v>2</v>
      </c>
      <c r="AO871" s="0" t="n">
        <v>854</v>
      </c>
      <c r="AP871" s="0" t="n">
        <v>1</v>
      </c>
      <c r="AQ871" s="0" t="n">
        <v>0.267077655526924</v>
      </c>
      <c r="AR871" s="0" t="n">
        <v>770.424593081681</v>
      </c>
      <c r="AS871" s="0" t="n">
        <v>90</v>
      </c>
      <c r="AT871" s="0" t="n">
        <v>94</v>
      </c>
    </row>
    <row r="872" customFormat="false" ht="12" hidden="false" customHeight="false" outlineLevel="0" collapsed="false">
      <c r="A872" s="0" t="n">
        <v>855</v>
      </c>
      <c r="B872" s="0" t="n">
        <v>1</v>
      </c>
      <c r="C872" s="0" t="n">
        <v>2.11544981622994</v>
      </c>
      <c r="D872" s="0" t="n">
        <v>925.753399067267</v>
      </c>
      <c r="E872" s="0" t="n">
        <v>10</v>
      </c>
      <c r="F872" s="0" t="n">
        <v>14</v>
      </c>
      <c r="G872" s="0" t="n">
        <v>0.5</v>
      </c>
      <c r="H872" s="0" t="n">
        <v>0</v>
      </c>
      <c r="I872" s="0" t="n">
        <v>2.02362099442752</v>
      </c>
      <c r="J872" s="0" t="n">
        <v>935.320215630027</v>
      </c>
      <c r="K872" s="0" t="n">
        <v>9.56681656275987</v>
      </c>
      <c r="L872" s="0" t="n">
        <v>0</v>
      </c>
      <c r="M872" s="0" t="n">
        <v>935.705423506349</v>
      </c>
      <c r="N872" s="0" t="n">
        <v>0</v>
      </c>
      <c r="O872" s="0" t="n">
        <v>855</v>
      </c>
      <c r="P872" s="0" t="n">
        <v>431</v>
      </c>
      <c r="Q872" s="0" t="n">
        <v>424</v>
      </c>
      <c r="R872" s="0" t="n">
        <v>661.390378686411</v>
      </c>
      <c r="S872" s="0" t="n">
        <v>1165.57859180152</v>
      </c>
      <c r="T872" s="0" t="n">
        <v>19</v>
      </c>
      <c r="U872" s="0" t="n">
        <v>29</v>
      </c>
      <c r="V872" s="0" t="n">
        <v>34.8100016098102</v>
      </c>
      <c r="W872" s="0" t="n">
        <v>40.1922266406501</v>
      </c>
      <c r="X872" s="0" t="n">
        <v>9.56681656275987</v>
      </c>
      <c r="Y872" s="0" t="n">
        <v>0</v>
      </c>
      <c r="Z872" s="0" t="n">
        <v>0</v>
      </c>
      <c r="AA872" s="0" t="n">
        <v>0</v>
      </c>
      <c r="AB872" s="0" t="n">
        <v>1</v>
      </c>
      <c r="AC872" s="0" t="n">
        <v>0</v>
      </c>
      <c r="AD872" s="0" t="n">
        <v>0</v>
      </c>
      <c r="AE872" s="0" t="n">
        <v>0</v>
      </c>
      <c r="AF872" s="0" t="n">
        <v>4.57641804160832</v>
      </c>
      <c r="AG872" s="0" t="n">
        <v>0</v>
      </c>
      <c r="AH872" s="0" t="n">
        <v>0</v>
      </c>
      <c r="AI872" s="0" t="n">
        <v>0</v>
      </c>
      <c r="AK872" s="0" t="n">
        <f aca="false">A872</f>
        <v>855</v>
      </c>
      <c r="AL872" s="0" t="n">
        <v>2</v>
      </c>
      <c r="AM872" s="0" t="n">
        <v>1</v>
      </c>
      <c r="AO872" s="0" t="n">
        <v>855</v>
      </c>
      <c r="AP872" s="0" t="n">
        <v>1</v>
      </c>
      <c r="AQ872" s="0" t="n">
        <v>0.197376513452435</v>
      </c>
      <c r="AR872" s="0" t="n">
        <v>770.621969595133</v>
      </c>
      <c r="AS872" s="0" t="n">
        <v>92</v>
      </c>
      <c r="AT872" s="0" t="n">
        <v>94</v>
      </c>
    </row>
    <row r="873" customFormat="false" ht="12" hidden="false" customHeight="false" outlineLevel="0" collapsed="false">
      <c r="A873" s="0" t="n">
        <v>856</v>
      </c>
      <c r="B873" s="0" t="n">
        <v>0</v>
      </c>
      <c r="C873" s="0" t="n">
        <v>1.46567078975661</v>
      </c>
      <c r="D873" s="0" t="n">
        <v>927.219069857024</v>
      </c>
      <c r="E873" s="0" t="n">
        <v>12</v>
      </c>
      <c r="F873" s="0" t="n">
        <v>12</v>
      </c>
      <c r="G873" s="0" t="n">
        <v>0.5</v>
      </c>
      <c r="H873" s="0" t="n">
        <v>0</v>
      </c>
      <c r="I873" s="0" t="n">
        <v>2.19164705108547</v>
      </c>
      <c r="J873" s="0" t="n">
        <v>937.511862681113</v>
      </c>
      <c r="K873" s="0" t="n">
        <v>10.2927928240888</v>
      </c>
      <c r="L873" s="0" t="n">
        <v>0</v>
      </c>
      <c r="M873" s="0" t="n">
        <v>935.705423506349</v>
      </c>
      <c r="N873" s="0" t="n">
        <v>0</v>
      </c>
      <c r="O873" s="0" t="n">
        <v>856</v>
      </c>
      <c r="P873" s="0" t="n">
        <v>432</v>
      </c>
      <c r="Q873" s="0" t="n">
        <v>424</v>
      </c>
      <c r="R873" s="0" t="n">
        <v>964.049222278924</v>
      </c>
      <c r="S873" s="0" t="n">
        <v>841.907572593777</v>
      </c>
      <c r="T873" s="0" t="n">
        <v>27</v>
      </c>
      <c r="U873" s="0" t="n">
        <v>21</v>
      </c>
      <c r="V873" s="0" t="n">
        <v>35.705513526807</v>
      </c>
      <c r="W873" s="0" t="n">
        <v>40.0906458823423</v>
      </c>
      <c r="X873" s="0" t="n">
        <v>0</v>
      </c>
      <c r="Y873" s="0" t="n">
        <v>10.2927928240888</v>
      </c>
      <c r="Z873" s="0" t="n">
        <v>0</v>
      </c>
      <c r="AA873" s="0" t="n">
        <v>0</v>
      </c>
      <c r="AB873" s="0" t="n">
        <v>0</v>
      </c>
      <c r="AC873" s="0" t="n">
        <v>1</v>
      </c>
      <c r="AD873" s="0" t="n">
        <v>0</v>
      </c>
      <c r="AE873" s="0" t="n">
        <v>0</v>
      </c>
      <c r="AF873" s="0" t="n">
        <v>0</v>
      </c>
      <c r="AG873" s="0" t="n">
        <v>4.13770837997685</v>
      </c>
      <c r="AH873" s="0" t="n">
        <v>0</v>
      </c>
      <c r="AI873" s="0" t="n">
        <v>0</v>
      </c>
      <c r="AK873" s="0" t="n">
        <f aca="false">A873</f>
        <v>856</v>
      </c>
      <c r="AL873" s="0" t="n">
        <v>0</v>
      </c>
      <c r="AM873" s="0" t="n">
        <v>0</v>
      </c>
      <c r="AO873" s="0" t="n">
        <v>856</v>
      </c>
      <c r="AP873" s="0" t="n">
        <v>0</v>
      </c>
      <c r="AQ873" s="0" t="n">
        <v>1.52120052029679</v>
      </c>
      <c r="AR873" s="0" t="n">
        <v>772.14317011543</v>
      </c>
      <c r="AS873" s="0" t="n">
        <v>92</v>
      </c>
      <c r="AT873" s="0" t="n">
        <v>92</v>
      </c>
    </row>
    <row r="874" customFormat="false" ht="12" hidden="false" customHeight="false" outlineLevel="0" collapsed="false">
      <c r="A874" s="0" t="n">
        <v>857</v>
      </c>
      <c r="B874" s="0" t="n">
        <v>1</v>
      </c>
      <c r="C874" s="0" t="n">
        <v>1.33966075439226</v>
      </c>
      <c r="D874" s="0" t="n">
        <v>928.558730611416</v>
      </c>
      <c r="E874" s="0" t="n">
        <v>12</v>
      </c>
      <c r="F874" s="0" t="n">
        <v>10</v>
      </c>
      <c r="G874" s="0" t="n">
        <v>0.5</v>
      </c>
      <c r="H874" s="0" t="n">
        <v>1</v>
      </c>
      <c r="I874" s="0" t="n">
        <v>0</v>
      </c>
      <c r="J874" s="0" t="n">
        <v>937.511862681113</v>
      </c>
      <c r="K874" s="0" t="n">
        <v>0</v>
      </c>
      <c r="L874" s="0" t="n">
        <v>1.85116269467126</v>
      </c>
      <c r="M874" s="0" t="n">
        <v>937.55658620102</v>
      </c>
      <c r="N874" s="0" t="n">
        <v>8.997855589604</v>
      </c>
      <c r="O874" s="0" t="n">
        <v>857</v>
      </c>
      <c r="P874" s="0" t="n">
        <v>432</v>
      </c>
      <c r="Q874" s="0" t="n">
        <v>425</v>
      </c>
      <c r="R874" s="0" t="n">
        <v>892.325178209716</v>
      </c>
      <c r="S874" s="0" t="n">
        <v>930.610827248054</v>
      </c>
      <c r="T874" s="0" t="n">
        <v>22</v>
      </c>
      <c r="U874" s="0" t="n">
        <v>26</v>
      </c>
      <c r="V874" s="0" t="n">
        <v>40.5602169367066</v>
      </c>
      <c r="W874" s="0" t="n">
        <v>35.7925864611311</v>
      </c>
      <c r="X874" s="0" t="n">
        <v>0</v>
      </c>
      <c r="Y874" s="0" t="n">
        <v>0</v>
      </c>
      <c r="Z874" s="0" t="n">
        <v>8.997855589604</v>
      </c>
      <c r="AA874" s="0" t="n">
        <v>0</v>
      </c>
      <c r="AB874" s="0" t="n">
        <v>0</v>
      </c>
      <c r="AC874" s="0" t="n">
        <v>0</v>
      </c>
      <c r="AD874" s="0" t="n">
        <v>1</v>
      </c>
      <c r="AE874" s="0" t="n">
        <v>0</v>
      </c>
      <c r="AF874" s="0" t="n">
        <v>0</v>
      </c>
      <c r="AG874" s="0" t="n">
        <v>0</v>
      </c>
      <c r="AH874" s="0" t="n">
        <v>1.51770649676159</v>
      </c>
      <c r="AI874" s="0" t="n">
        <v>0</v>
      </c>
      <c r="AK874" s="0" t="n">
        <f aca="false">A874</f>
        <v>857</v>
      </c>
      <c r="AL874" s="0" t="n">
        <v>1</v>
      </c>
      <c r="AM874" s="0" t="n">
        <v>1</v>
      </c>
      <c r="AO874" s="0" t="n">
        <v>857</v>
      </c>
      <c r="AP874" s="0" t="n">
        <v>1</v>
      </c>
      <c r="AQ874" s="0" t="n">
        <v>0.917788217662192</v>
      </c>
      <c r="AR874" s="0" t="n">
        <v>773.060958333092</v>
      </c>
      <c r="AS874" s="0" t="n">
        <v>92</v>
      </c>
      <c r="AT874" s="0" t="n">
        <v>94</v>
      </c>
    </row>
    <row r="875" customFormat="false" ht="12" hidden="false" customHeight="false" outlineLevel="0" collapsed="false">
      <c r="A875" s="0" t="n">
        <v>858</v>
      </c>
      <c r="B875" s="0" t="n">
        <v>1</v>
      </c>
      <c r="C875" s="0" t="n">
        <v>0.517823151225341</v>
      </c>
      <c r="D875" s="0" t="n">
        <v>929.076553762642</v>
      </c>
      <c r="E875" s="0" t="n">
        <v>12</v>
      </c>
      <c r="F875" s="0" t="n">
        <v>12</v>
      </c>
      <c r="G875" s="0" t="n">
        <v>0.5</v>
      </c>
      <c r="H875" s="0" t="n">
        <v>1</v>
      </c>
      <c r="I875" s="0" t="n">
        <v>0</v>
      </c>
      <c r="J875" s="0" t="n">
        <v>937.511862681113</v>
      </c>
      <c r="K875" s="0" t="n">
        <v>0</v>
      </c>
      <c r="L875" s="0" t="n">
        <v>2.02600296625733</v>
      </c>
      <c r="M875" s="0" t="n">
        <v>939.582589167278</v>
      </c>
      <c r="N875" s="0" t="n">
        <v>10.506035404636</v>
      </c>
      <c r="O875" s="0" t="n">
        <v>858</v>
      </c>
      <c r="P875" s="0" t="n">
        <v>432</v>
      </c>
      <c r="Q875" s="0" t="n">
        <v>426</v>
      </c>
      <c r="R875" s="0" t="n">
        <v>1041.24994556966</v>
      </c>
      <c r="S875" s="0" t="n">
        <v>788.081936442583</v>
      </c>
      <c r="T875" s="0" t="n">
        <v>25</v>
      </c>
      <c r="U875" s="0" t="n">
        <v>23</v>
      </c>
      <c r="V875" s="0" t="n">
        <v>41.6499811627939</v>
      </c>
      <c r="W875" s="0" t="n">
        <v>34.2642830440991</v>
      </c>
      <c r="X875" s="0" t="n">
        <v>0</v>
      </c>
      <c r="Y875" s="0" t="n">
        <v>0</v>
      </c>
      <c r="Z875" s="0" t="n">
        <v>10.506035404636</v>
      </c>
      <c r="AA875" s="0" t="n">
        <v>0</v>
      </c>
      <c r="AB875" s="0" t="n">
        <v>0</v>
      </c>
      <c r="AC875" s="0" t="n">
        <v>0</v>
      </c>
      <c r="AD875" s="0" t="n">
        <v>1</v>
      </c>
      <c r="AE875" s="0" t="n">
        <v>0</v>
      </c>
      <c r="AF875" s="0" t="n">
        <v>0</v>
      </c>
      <c r="AG875" s="0" t="n">
        <v>0</v>
      </c>
      <c r="AH875" s="0" t="n">
        <v>7.5083240685205</v>
      </c>
      <c r="AI875" s="0" t="n">
        <v>0</v>
      </c>
      <c r="AK875" s="0" t="n">
        <f aca="false">A875</f>
        <v>858</v>
      </c>
      <c r="AL875" s="0" t="n">
        <v>0</v>
      </c>
      <c r="AM875" s="0" t="n">
        <v>0</v>
      </c>
      <c r="AO875" s="0" t="n">
        <v>858</v>
      </c>
      <c r="AP875" s="0" t="n">
        <v>0</v>
      </c>
      <c r="AQ875" s="0" t="n">
        <v>0.151143238870242</v>
      </c>
      <c r="AR875" s="0" t="n">
        <v>773.212101571962</v>
      </c>
      <c r="AS875" s="0" t="n">
        <v>94</v>
      </c>
      <c r="AT875" s="0" t="n">
        <v>94</v>
      </c>
    </row>
    <row r="876" customFormat="false" ht="12" hidden="false" customHeight="false" outlineLevel="0" collapsed="false">
      <c r="A876" s="0" t="n">
        <v>859</v>
      </c>
      <c r="B876" s="0" t="n">
        <v>1</v>
      </c>
      <c r="C876" s="0" t="n">
        <v>1.4396800952323</v>
      </c>
      <c r="D876" s="0" t="n">
        <v>930.516233857874</v>
      </c>
      <c r="E876" s="0" t="n">
        <v>10</v>
      </c>
      <c r="F876" s="0" t="n">
        <v>12</v>
      </c>
      <c r="G876" s="0" t="n">
        <v>0.5</v>
      </c>
      <c r="H876" s="0" t="n">
        <v>0</v>
      </c>
      <c r="I876" s="0" t="n">
        <v>1.80384164097303</v>
      </c>
      <c r="J876" s="0" t="n">
        <v>939.315704322086</v>
      </c>
      <c r="K876" s="0" t="n">
        <v>8.79947046421182</v>
      </c>
      <c r="L876" s="0" t="n">
        <v>0</v>
      </c>
      <c r="M876" s="0" t="n">
        <v>939.582589167278</v>
      </c>
      <c r="N876" s="0" t="n">
        <v>0</v>
      </c>
      <c r="O876" s="0" t="n">
        <v>859</v>
      </c>
      <c r="P876" s="0" t="n">
        <v>433</v>
      </c>
      <c r="Q876" s="0" t="n">
        <v>426</v>
      </c>
      <c r="R876" s="0" t="n">
        <v>1054.00934001013</v>
      </c>
      <c r="S876" s="0" t="n">
        <v>766.889060416537</v>
      </c>
      <c r="T876" s="0" t="n">
        <v>26</v>
      </c>
      <c r="U876" s="0" t="n">
        <v>22</v>
      </c>
      <c r="V876" s="0" t="n">
        <v>40.5388051777722</v>
      </c>
      <c r="W876" s="0" t="n">
        <v>34.8584352078644</v>
      </c>
      <c r="X876" s="0" t="n">
        <v>8.79947046421182</v>
      </c>
      <c r="Y876" s="0" t="n">
        <v>0</v>
      </c>
      <c r="Z876" s="0" t="n">
        <v>0</v>
      </c>
      <c r="AA876" s="0" t="n">
        <v>0</v>
      </c>
      <c r="AB876" s="0" t="n">
        <v>1</v>
      </c>
      <c r="AC876" s="0" t="n">
        <v>0</v>
      </c>
      <c r="AD876" s="0" t="n">
        <v>0</v>
      </c>
      <c r="AE876" s="0" t="n">
        <v>0</v>
      </c>
      <c r="AF876" s="0" t="n">
        <v>1.882137937223</v>
      </c>
      <c r="AG876" s="0" t="n">
        <v>0</v>
      </c>
      <c r="AH876" s="0" t="n">
        <v>0</v>
      </c>
      <c r="AI876" s="0" t="n">
        <v>0</v>
      </c>
      <c r="AK876" s="0" t="n">
        <f aca="false">A876</f>
        <v>859</v>
      </c>
      <c r="AL876" s="0" t="n">
        <v>1</v>
      </c>
      <c r="AM876" s="0" t="n">
        <v>2</v>
      </c>
      <c r="AO876" s="0" t="n">
        <v>859</v>
      </c>
      <c r="AP876" s="0" t="n">
        <v>0</v>
      </c>
      <c r="AQ876" s="0" t="n">
        <v>0.333802160182313</v>
      </c>
      <c r="AR876" s="0" t="n">
        <v>773.545903732145</v>
      </c>
      <c r="AS876" s="0" t="n">
        <v>92</v>
      </c>
      <c r="AT876" s="0" t="n">
        <v>96</v>
      </c>
    </row>
    <row r="877" customFormat="false" ht="12" hidden="false" customHeight="false" outlineLevel="0" collapsed="false">
      <c r="A877" s="0" t="n">
        <v>860</v>
      </c>
      <c r="B877" s="0" t="n">
        <v>1</v>
      </c>
      <c r="C877" s="0" t="n">
        <v>0.753170564271221</v>
      </c>
      <c r="D877" s="0" t="n">
        <v>931.269404422145</v>
      </c>
      <c r="E877" s="0" t="n">
        <v>12</v>
      </c>
      <c r="F877" s="0" t="n">
        <v>12</v>
      </c>
      <c r="G877" s="0" t="n">
        <v>0.5</v>
      </c>
      <c r="H877" s="0" t="n">
        <v>0</v>
      </c>
      <c r="I877" s="0" t="n">
        <v>2.20543376732101</v>
      </c>
      <c r="J877" s="0" t="n">
        <v>941.521138089407</v>
      </c>
      <c r="K877" s="0" t="n">
        <v>10.2517336672615</v>
      </c>
      <c r="L877" s="0" t="n">
        <v>0</v>
      </c>
      <c r="M877" s="0" t="n">
        <v>939.582589167278</v>
      </c>
      <c r="N877" s="0" t="n">
        <v>0</v>
      </c>
      <c r="O877" s="0" t="n">
        <v>860</v>
      </c>
      <c r="P877" s="0" t="n">
        <v>434</v>
      </c>
      <c r="Q877" s="0" t="n">
        <v>426</v>
      </c>
      <c r="R877" s="0" t="n">
        <v>735.524783214769</v>
      </c>
      <c r="S877" s="0" t="n">
        <v>1099.67689850979</v>
      </c>
      <c r="T877" s="0" t="n">
        <v>23</v>
      </c>
      <c r="U877" s="0" t="n">
        <v>25</v>
      </c>
      <c r="V877" s="0" t="n">
        <v>31.979324496588</v>
      </c>
      <c r="W877" s="0" t="n">
        <v>43.9868999927918</v>
      </c>
      <c r="X877" s="0" t="n">
        <v>10.2517336672615</v>
      </c>
      <c r="Y877" s="0" t="n">
        <v>0</v>
      </c>
      <c r="Z877" s="0" t="n">
        <v>0</v>
      </c>
      <c r="AA877" s="0" t="n">
        <v>0</v>
      </c>
      <c r="AB877" s="0" t="n">
        <v>1</v>
      </c>
      <c r="AC877" s="0" t="n">
        <v>0</v>
      </c>
      <c r="AD877" s="0" t="n">
        <v>0</v>
      </c>
      <c r="AE877" s="0" t="n">
        <v>0</v>
      </c>
      <c r="AF877" s="0" t="n">
        <v>7.97595611114617</v>
      </c>
      <c r="AG877" s="0" t="n">
        <v>0</v>
      </c>
      <c r="AH877" s="0" t="n">
        <v>0</v>
      </c>
      <c r="AI877" s="0" t="n">
        <v>0</v>
      </c>
      <c r="AK877" s="0" t="n">
        <f aca="false">A877</f>
        <v>860</v>
      </c>
      <c r="AL877" s="0" t="n">
        <v>0</v>
      </c>
      <c r="AM877" s="0" t="n">
        <v>1</v>
      </c>
      <c r="AO877" s="0" t="n">
        <v>860</v>
      </c>
      <c r="AP877" s="0" t="n">
        <v>1</v>
      </c>
      <c r="AQ877" s="0" t="n">
        <v>0.0610431571429761</v>
      </c>
      <c r="AR877" s="0" t="n">
        <v>773.606946889288</v>
      </c>
      <c r="AS877" s="0" t="n">
        <v>94</v>
      </c>
      <c r="AT877" s="0" t="n">
        <v>96</v>
      </c>
    </row>
    <row r="878" customFormat="false" ht="12" hidden="false" customHeight="false" outlineLevel="0" collapsed="false">
      <c r="A878" s="0" t="n">
        <v>861</v>
      </c>
      <c r="B878" s="0" t="n">
        <v>0</v>
      </c>
      <c r="C878" s="0" t="n">
        <v>0.456750582290135</v>
      </c>
      <c r="D878" s="0" t="n">
        <v>931.726155004435</v>
      </c>
      <c r="E878" s="0" t="n">
        <v>12</v>
      </c>
      <c r="F878" s="0" t="n">
        <v>10</v>
      </c>
      <c r="G878" s="0" t="n">
        <v>0.5</v>
      </c>
      <c r="H878" s="0" t="n">
        <v>0</v>
      </c>
      <c r="I878" s="0" t="n">
        <v>1.86319066078947</v>
      </c>
      <c r="J878" s="0" t="n">
        <v>943.384328750196</v>
      </c>
      <c r="K878" s="0" t="n">
        <v>11.6581737457608</v>
      </c>
      <c r="L878" s="0" t="n">
        <v>0</v>
      </c>
      <c r="M878" s="0" t="n">
        <v>939.582589167278</v>
      </c>
      <c r="N878" s="0" t="n">
        <v>0</v>
      </c>
      <c r="O878" s="0" t="n">
        <v>861</v>
      </c>
      <c r="P878" s="0" t="n">
        <v>435</v>
      </c>
      <c r="Q878" s="0" t="n">
        <v>426</v>
      </c>
      <c r="R878" s="0" t="n">
        <v>845.233710853942</v>
      </c>
      <c r="S878" s="0" t="n">
        <v>974.158148211768</v>
      </c>
      <c r="T878" s="0" t="n">
        <v>23</v>
      </c>
      <c r="U878" s="0" t="n">
        <v>25</v>
      </c>
      <c r="V878" s="0" t="n">
        <v>36.7492757983123</v>
      </c>
      <c r="W878" s="0" t="n">
        <v>38.9661700637905</v>
      </c>
      <c r="X878" s="0" t="n">
        <v>0</v>
      </c>
      <c r="Y878" s="0" t="n">
        <v>11.6581737457608</v>
      </c>
      <c r="Z878" s="0" t="n">
        <v>0</v>
      </c>
      <c r="AA878" s="0" t="n">
        <v>0</v>
      </c>
      <c r="AB878" s="0" t="n">
        <v>0</v>
      </c>
      <c r="AC878" s="0" t="n">
        <v>1</v>
      </c>
      <c r="AD878" s="0" t="n">
        <v>0</v>
      </c>
      <c r="AE878" s="0" t="n">
        <v>0</v>
      </c>
      <c r="AF878" s="0" t="n">
        <v>0</v>
      </c>
      <c r="AG878" s="0" t="n">
        <v>11.5567138191534</v>
      </c>
      <c r="AH878" s="0" t="n">
        <v>0</v>
      </c>
      <c r="AI878" s="0" t="n">
        <v>0</v>
      </c>
      <c r="AK878" s="0" t="n">
        <f aca="false">A878</f>
        <v>861</v>
      </c>
      <c r="AL878" s="0" t="n">
        <v>1</v>
      </c>
      <c r="AM878" s="0" t="n">
        <v>1</v>
      </c>
      <c r="AO878" s="0" t="n">
        <v>861</v>
      </c>
      <c r="AP878" s="0" t="n">
        <v>1</v>
      </c>
      <c r="AQ878" s="0" t="n">
        <v>0.126289892885279</v>
      </c>
      <c r="AR878" s="0" t="n">
        <v>773.733236782173</v>
      </c>
      <c r="AS878" s="0" t="n">
        <v>96</v>
      </c>
      <c r="AT878" s="0" t="n">
        <v>94</v>
      </c>
    </row>
    <row r="879" customFormat="false" ht="12" hidden="false" customHeight="false" outlineLevel="0" collapsed="false">
      <c r="A879" s="0" t="n">
        <v>862</v>
      </c>
      <c r="B879" s="0" t="n">
        <v>1</v>
      </c>
      <c r="C879" s="0" t="n">
        <v>2.44661911057178</v>
      </c>
      <c r="D879" s="0" t="n">
        <v>934.172774115007</v>
      </c>
      <c r="E879" s="0" t="n">
        <v>12</v>
      </c>
      <c r="F879" s="0" t="n">
        <v>8</v>
      </c>
      <c r="G879" s="0" t="n">
        <v>0.5</v>
      </c>
      <c r="H879" s="0" t="n">
        <v>1</v>
      </c>
      <c r="I879" s="0" t="n">
        <v>0</v>
      </c>
      <c r="J879" s="0" t="n">
        <v>943.384328750196</v>
      </c>
      <c r="K879" s="0" t="n">
        <v>0</v>
      </c>
      <c r="L879" s="0" t="n">
        <v>1.94198061834231</v>
      </c>
      <c r="M879" s="0" t="n">
        <v>941.52456978562</v>
      </c>
      <c r="N879" s="0" t="n">
        <v>7.35179567061277</v>
      </c>
      <c r="O879" s="0" t="n">
        <v>862</v>
      </c>
      <c r="P879" s="0" t="n">
        <v>435</v>
      </c>
      <c r="Q879" s="0" t="n">
        <v>427</v>
      </c>
      <c r="R879" s="0" t="n">
        <v>1065.48130700195</v>
      </c>
      <c r="S879" s="0" t="n">
        <v>759.34049091691</v>
      </c>
      <c r="T879" s="0" t="n">
        <v>27</v>
      </c>
      <c r="U879" s="0" t="n">
        <v>21</v>
      </c>
      <c r="V879" s="0" t="n">
        <v>39.4622560140514</v>
      </c>
      <c r="W879" s="0" t="n">
        <v>36.1588988108109</v>
      </c>
      <c r="X879" s="0" t="n">
        <v>0</v>
      </c>
      <c r="Y879" s="0" t="n">
        <v>0</v>
      </c>
      <c r="Z879" s="0" t="n">
        <v>7.35179567061277</v>
      </c>
      <c r="AA879" s="0" t="n">
        <v>0</v>
      </c>
      <c r="AB879" s="0" t="n">
        <v>0</v>
      </c>
      <c r="AC879" s="0" t="n">
        <v>0</v>
      </c>
      <c r="AD879" s="0" t="n">
        <v>1</v>
      </c>
      <c r="AE879" s="0" t="n">
        <v>0</v>
      </c>
      <c r="AF879" s="0" t="n">
        <v>0</v>
      </c>
      <c r="AG879" s="0" t="n">
        <v>0</v>
      </c>
      <c r="AH879" s="0" t="n">
        <v>0.171485110934585</v>
      </c>
      <c r="AI879" s="0" t="n">
        <v>0</v>
      </c>
      <c r="AK879" s="0" t="n">
        <f aca="false">A879</f>
        <v>862</v>
      </c>
      <c r="AL879" s="0" t="n">
        <v>2</v>
      </c>
      <c r="AM879" s="0" t="n">
        <v>0</v>
      </c>
      <c r="AO879" s="0" t="n">
        <v>862</v>
      </c>
      <c r="AP879" s="0" t="n">
        <v>0</v>
      </c>
      <c r="AQ879" s="0" t="n">
        <v>0.980381664783933</v>
      </c>
      <c r="AR879" s="0" t="n">
        <v>774.713618446957</v>
      </c>
      <c r="AS879" s="0" t="n">
        <v>96</v>
      </c>
      <c r="AT879" s="0" t="n">
        <v>96</v>
      </c>
    </row>
    <row r="880" customFormat="false" ht="12" hidden="false" customHeight="false" outlineLevel="0" collapsed="false">
      <c r="A880" s="0" t="n">
        <v>863</v>
      </c>
      <c r="B880" s="0" t="n">
        <v>0</v>
      </c>
      <c r="C880" s="0" t="n">
        <v>1.90073729005699</v>
      </c>
      <c r="D880" s="0" t="n">
        <v>936.073511405064</v>
      </c>
      <c r="E880" s="0" t="n">
        <v>10</v>
      </c>
      <c r="F880" s="0" t="n">
        <v>8</v>
      </c>
      <c r="G880" s="0" t="n">
        <v>0.5</v>
      </c>
      <c r="H880" s="0" t="n">
        <v>1</v>
      </c>
      <c r="I880" s="0" t="n">
        <v>0</v>
      </c>
      <c r="J880" s="0" t="n">
        <v>943.384328750196</v>
      </c>
      <c r="K880" s="0" t="n">
        <v>0</v>
      </c>
      <c r="L880" s="0" t="n">
        <v>1.81048506451387</v>
      </c>
      <c r="M880" s="0" t="n">
        <v>943.335054850134</v>
      </c>
      <c r="N880" s="0" t="n">
        <v>7.26154344506961</v>
      </c>
      <c r="O880" s="0" t="n">
        <v>863</v>
      </c>
      <c r="P880" s="0" t="n">
        <v>435</v>
      </c>
      <c r="Q880" s="0" t="n">
        <v>428</v>
      </c>
      <c r="R880" s="0" t="n">
        <v>931.643265035605</v>
      </c>
      <c r="S880" s="0" t="n">
        <v>883.532780570015</v>
      </c>
      <c r="T880" s="0" t="n">
        <v>24</v>
      </c>
      <c r="U880" s="0" t="n">
        <v>24</v>
      </c>
      <c r="V880" s="0" t="n">
        <v>38.818453202128</v>
      </c>
      <c r="W880" s="0" t="n">
        <v>36.8137124666154</v>
      </c>
      <c r="X880" s="0" t="n">
        <v>0</v>
      </c>
      <c r="Y880" s="0" t="n">
        <v>0</v>
      </c>
      <c r="Z880" s="0" t="n">
        <v>0</v>
      </c>
      <c r="AA880" s="0" t="n">
        <v>7.26154344506961</v>
      </c>
      <c r="AB880" s="0" t="n">
        <v>0</v>
      </c>
      <c r="AC880" s="0" t="n">
        <v>0</v>
      </c>
      <c r="AD880" s="0" t="n">
        <v>0</v>
      </c>
      <c r="AE880" s="0" t="n">
        <v>1</v>
      </c>
      <c r="AF880" s="0" t="n">
        <v>0</v>
      </c>
      <c r="AG880" s="0" t="n">
        <v>0</v>
      </c>
      <c r="AH880" s="0" t="n">
        <v>0</v>
      </c>
      <c r="AI880" s="0" t="n">
        <v>0.220765898320993</v>
      </c>
      <c r="AK880" s="0" t="n">
        <f aca="false">A880</f>
        <v>863</v>
      </c>
      <c r="AL880" s="0" t="n">
        <v>1</v>
      </c>
      <c r="AM880" s="0" t="n">
        <v>1</v>
      </c>
      <c r="AO880" s="0" t="n">
        <v>863</v>
      </c>
      <c r="AP880" s="0" t="n">
        <v>0</v>
      </c>
      <c r="AQ880" s="0" t="n">
        <v>0.344933304096439</v>
      </c>
      <c r="AR880" s="0" t="n">
        <v>775.058551751053</v>
      </c>
      <c r="AS880" s="0" t="n">
        <v>98</v>
      </c>
      <c r="AT880" s="0" t="n">
        <v>96</v>
      </c>
    </row>
    <row r="881" customFormat="false" ht="12" hidden="false" customHeight="false" outlineLevel="0" collapsed="false">
      <c r="A881" s="0" t="n">
        <v>864</v>
      </c>
      <c r="B881" s="0" t="n">
        <v>0</v>
      </c>
      <c r="C881" s="0" t="n">
        <v>0.820607495801814</v>
      </c>
      <c r="D881" s="0" t="n">
        <v>936.894118900866</v>
      </c>
      <c r="E881" s="0" t="n">
        <v>10</v>
      </c>
      <c r="F881" s="0" t="n">
        <v>10</v>
      </c>
      <c r="G881" s="0" t="n">
        <v>0.5</v>
      </c>
      <c r="H881" s="0" t="n">
        <v>1</v>
      </c>
      <c r="I881" s="0" t="n">
        <v>0</v>
      </c>
      <c r="J881" s="0" t="n">
        <v>943.384328750196</v>
      </c>
      <c r="K881" s="0" t="n">
        <v>0</v>
      </c>
      <c r="L881" s="0" t="n">
        <v>2.21630096168263</v>
      </c>
      <c r="M881" s="0" t="n">
        <v>945.551355811816</v>
      </c>
      <c r="N881" s="0" t="n">
        <v>8.65723691095036</v>
      </c>
      <c r="O881" s="0" t="n">
        <v>864</v>
      </c>
      <c r="P881" s="0" t="n">
        <v>435</v>
      </c>
      <c r="Q881" s="0" t="n">
        <v>429</v>
      </c>
      <c r="R881" s="0" t="n">
        <v>783.404073219183</v>
      </c>
      <c r="S881" s="0" t="n">
        <v>1024.95656236776</v>
      </c>
      <c r="T881" s="0" t="n">
        <v>21</v>
      </c>
      <c r="U881" s="0" t="n">
        <v>27</v>
      </c>
      <c r="V881" s="0" t="n">
        <v>37.3049381033239</v>
      </c>
      <c r="W881" s="0" t="n">
        <v>37.9612135646817</v>
      </c>
      <c r="X881" s="0" t="n">
        <v>0</v>
      </c>
      <c r="Y881" s="0" t="n">
        <v>0</v>
      </c>
      <c r="Z881" s="0" t="n">
        <v>0</v>
      </c>
      <c r="AA881" s="0" t="n">
        <v>8.65723691095036</v>
      </c>
      <c r="AB881" s="0" t="n">
        <v>0</v>
      </c>
      <c r="AC881" s="0" t="n">
        <v>0</v>
      </c>
      <c r="AD881" s="0" t="n">
        <v>0</v>
      </c>
      <c r="AE881" s="0" t="n">
        <v>1</v>
      </c>
      <c r="AF881" s="0" t="n">
        <v>0</v>
      </c>
      <c r="AG881" s="0" t="n">
        <v>0</v>
      </c>
      <c r="AH881" s="0" t="n">
        <v>0</v>
      </c>
      <c r="AI881" s="0" t="n">
        <v>0.857172574608722</v>
      </c>
      <c r="AK881" s="0" t="n">
        <f aca="false">A881</f>
        <v>864</v>
      </c>
      <c r="AL881" s="0" t="n">
        <v>0</v>
      </c>
      <c r="AM881" s="0" t="n">
        <v>2</v>
      </c>
      <c r="AO881" s="0" t="n">
        <v>864</v>
      </c>
      <c r="AP881" s="0" t="n">
        <v>1</v>
      </c>
      <c r="AQ881" s="0" t="n">
        <v>0.232173355012947</v>
      </c>
      <c r="AR881" s="0" t="n">
        <v>775.290725106066</v>
      </c>
      <c r="AS881" s="0" t="n">
        <v>100</v>
      </c>
      <c r="AT881" s="0" t="n">
        <v>96</v>
      </c>
    </row>
    <row r="882" customFormat="false" ht="12" hidden="false" customHeight="false" outlineLevel="0" collapsed="false">
      <c r="A882" s="0" t="n">
        <v>865</v>
      </c>
      <c r="B882" s="0" t="n">
        <v>1</v>
      </c>
      <c r="C882" s="0" t="n">
        <v>0.718705514111224</v>
      </c>
      <c r="D882" s="0" t="n">
        <v>937.612824414977</v>
      </c>
      <c r="E882" s="0" t="n">
        <v>8</v>
      </c>
      <c r="F882" s="0" t="n">
        <v>10</v>
      </c>
      <c r="G882" s="0" t="n">
        <v>0.5</v>
      </c>
      <c r="H882" s="0" t="n">
        <v>0</v>
      </c>
      <c r="I882" s="0" t="n">
        <v>1.89469993648787</v>
      </c>
      <c r="J882" s="0" t="n">
        <v>945.279028686684</v>
      </c>
      <c r="K882" s="0" t="n">
        <v>7.66620427170687</v>
      </c>
      <c r="L882" s="0" t="n">
        <v>0</v>
      </c>
      <c r="M882" s="0" t="n">
        <v>945.551355811816</v>
      </c>
      <c r="N882" s="0" t="n">
        <v>0</v>
      </c>
      <c r="O882" s="0" t="n">
        <v>865</v>
      </c>
      <c r="P882" s="0" t="n">
        <v>436</v>
      </c>
      <c r="Q882" s="0" t="n">
        <v>429</v>
      </c>
      <c r="R882" s="0" t="n">
        <v>953.777670513302</v>
      </c>
      <c r="S882" s="0" t="n">
        <v>872.343527897517</v>
      </c>
      <c r="T882" s="0" t="n">
        <v>23</v>
      </c>
      <c r="U882" s="0" t="n">
        <v>25</v>
      </c>
      <c r="V882" s="0" t="n">
        <v>41.4685763403278</v>
      </c>
      <c r="W882" s="0" t="n">
        <v>34.8936015414945</v>
      </c>
      <c r="X882" s="0" t="n">
        <v>7.66620427170687</v>
      </c>
      <c r="Y882" s="0" t="n">
        <v>0</v>
      </c>
      <c r="Z882" s="0" t="n">
        <v>0</v>
      </c>
      <c r="AA882" s="0" t="n">
        <v>0</v>
      </c>
      <c r="AB882" s="0" t="n">
        <v>1</v>
      </c>
      <c r="AC882" s="0" t="n">
        <v>0</v>
      </c>
      <c r="AD882" s="0" t="n">
        <v>0</v>
      </c>
      <c r="AE882" s="0" t="n">
        <v>0</v>
      </c>
      <c r="AF882" s="0" t="n">
        <v>0.056951021518809</v>
      </c>
      <c r="AG882" s="0" t="n">
        <v>0</v>
      </c>
      <c r="AH882" s="0" t="n">
        <v>0</v>
      </c>
      <c r="AI882" s="0" t="n">
        <v>0</v>
      </c>
      <c r="AK882" s="0" t="n">
        <f aca="false">A882</f>
        <v>865</v>
      </c>
      <c r="AL882" s="0" t="n">
        <v>1</v>
      </c>
      <c r="AM882" s="0" t="n">
        <v>1</v>
      </c>
      <c r="AO882" s="0" t="n">
        <v>865</v>
      </c>
      <c r="AP882" s="0" t="n">
        <v>1</v>
      </c>
      <c r="AQ882" s="0" t="n">
        <v>0.150444185699151</v>
      </c>
      <c r="AR882" s="0" t="n">
        <v>775.441169291765</v>
      </c>
      <c r="AS882" s="0" t="n">
        <v>100</v>
      </c>
      <c r="AT882" s="0" t="n">
        <v>98</v>
      </c>
    </row>
    <row r="883" customFormat="false" ht="12" hidden="false" customHeight="false" outlineLevel="0" collapsed="false">
      <c r="A883" s="0" t="n">
        <v>866</v>
      </c>
      <c r="B883" s="0" t="n">
        <v>1</v>
      </c>
      <c r="C883" s="0" t="n">
        <v>0.532636222057846</v>
      </c>
      <c r="D883" s="0" t="n">
        <v>938.145460637035</v>
      </c>
      <c r="E883" s="0" t="n">
        <v>10</v>
      </c>
      <c r="F883" s="0" t="n">
        <v>10</v>
      </c>
      <c r="G883" s="0" t="n">
        <v>0.5</v>
      </c>
      <c r="H883" s="0" t="n">
        <v>1</v>
      </c>
      <c r="I883" s="0" t="n">
        <v>0</v>
      </c>
      <c r="J883" s="0" t="n">
        <v>945.279028686684</v>
      </c>
      <c r="K883" s="0" t="n">
        <v>0</v>
      </c>
      <c r="L883" s="0" t="n">
        <v>2.14687683963707</v>
      </c>
      <c r="M883" s="0" t="n">
        <v>947.698232651454</v>
      </c>
      <c r="N883" s="0" t="n">
        <v>9.55277201441845</v>
      </c>
      <c r="O883" s="0" t="n">
        <v>866</v>
      </c>
      <c r="P883" s="0" t="n">
        <v>436</v>
      </c>
      <c r="Q883" s="0" t="n">
        <v>430</v>
      </c>
      <c r="R883" s="0" t="n">
        <v>794.675895894815</v>
      </c>
      <c r="S883" s="0" t="n">
        <v>1019.27427797827</v>
      </c>
      <c r="T883" s="0" t="n">
        <v>21</v>
      </c>
      <c r="U883" s="0" t="n">
        <v>27</v>
      </c>
      <c r="V883" s="0" t="n">
        <v>37.8416913084715</v>
      </c>
      <c r="W883" s="0" t="n">
        <v>37.7507593667529</v>
      </c>
      <c r="X883" s="0" t="n">
        <v>0</v>
      </c>
      <c r="Y883" s="0" t="n">
        <v>0</v>
      </c>
      <c r="Z883" s="0" t="n">
        <v>9.55277201441845</v>
      </c>
      <c r="AA883" s="0" t="n">
        <v>0</v>
      </c>
      <c r="AB883" s="0" t="n">
        <v>0</v>
      </c>
      <c r="AC883" s="0" t="n">
        <v>0</v>
      </c>
      <c r="AD883" s="0" t="n">
        <v>1</v>
      </c>
      <c r="AE883" s="0" t="n">
        <v>0</v>
      </c>
      <c r="AF883" s="0" t="n">
        <v>0</v>
      </c>
      <c r="AG883" s="0" t="n">
        <v>0</v>
      </c>
      <c r="AH883" s="0" t="n">
        <v>3.19289987929707</v>
      </c>
      <c r="AI883" s="0" t="n">
        <v>0</v>
      </c>
      <c r="AK883" s="0" t="n">
        <f aca="false">A883</f>
        <v>866</v>
      </c>
      <c r="AL883" s="0" t="n">
        <v>0</v>
      </c>
      <c r="AM883" s="0" t="n">
        <v>0</v>
      </c>
      <c r="AO883" s="0" t="n">
        <v>866</v>
      </c>
      <c r="AP883" s="0" t="n">
        <v>1</v>
      </c>
      <c r="AQ883" s="0" t="n">
        <v>0.770024589006582</v>
      </c>
      <c r="AR883" s="0" t="n">
        <v>776.211193880772</v>
      </c>
      <c r="AS883" s="0" t="n">
        <v>98</v>
      </c>
      <c r="AT883" s="0" t="n">
        <v>98</v>
      </c>
    </row>
    <row r="884" customFormat="false" ht="12" hidden="false" customHeight="false" outlineLevel="0" collapsed="false">
      <c r="A884" s="0" t="n">
        <v>867</v>
      </c>
      <c r="B884" s="0" t="n">
        <v>1</v>
      </c>
      <c r="C884" s="0" t="n">
        <v>0.570554560403768</v>
      </c>
      <c r="D884" s="0" t="n">
        <v>938.716015197439</v>
      </c>
      <c r="E884" s="0" t="n">
        <v>10</v>
      </c>
      <c r="F884" s="0" t="n">
        <v>12</v>
      </c>
      <c r="G884" s="0" t="n">
        <v>0.5</v>
      </c>
      <c r="H884" s="0" t="n">
        <v>0</v>
      </c>
      <c r="I884" s="0" t="n">
        <v>2.21347226613314</v>
      </c>
      <c r="J884" s="0" t="n">
        <v>947.492500952817</v>
      </c>
      <c r="K884" s="0" t="n">
        <v>8.77648575537842</v>
      </c>
      <c r="L884" s="0" t="n">
        <v>0</v>
      </c>
      <c r="M884" s="0" t="n">
        <v>947.698232651454</v>
      </c>
      <c r="N884" s="0" t="n">
        <v>0</v>
      </c>
      <c r="O884" s="0" t="n">
        <v>867</v>
      </c>
      <c r="P884" s="0" t="n">
        <v>437</v>
      </c>
      <c r="Q884" s="0" t="n">
        <v>430</v>
      </c>
      <c r="R884" s="0" t="n">
        <v>969.180863133088</v>
      </c>
      <c r="S884" s="0" t="n">
        <v>852.186997672423</v>
      </c>
      <c r="T884" s="0" t="n">
        <v>26</v>
      </c>
      <c r="U884" s="0" t="n">
        <v>22</v>
      </c>
      <c r="V884" s="0" t="n">
        <v>37.2761727065908</v>
      </c>
      <c r="W884" s="0" t="n">
        <v>38.7355965505804</v>
      </c>
      <c r="X884" s="0" t="n">
        <v>8.77648575537842</v>
      </c>
      <c r="Y884" s="0" t="n">
        <v>0</v>
      </c>
      <c r="Z884" s="0" t="n">
        <v>0</v>
      </c>
      <c r="AA884" s="0" t="n">
        <v>0</v>
      </c>
      <c r="AB884" s="0" t="n">
        <v>1</v>
      </c>
      <c r="AC884" s="0" t="n">
        <v>0</v>
      </c>
      <c r="AD884" s="0" t="n">
        <v>0</v>
      </c>
      <c r="AE884" s="0" t="n">
        <v>0</v>
      </c>
      <c r="AF884" s="0" t="n">
        <v>1.81960031537569</v>
      </c>
      <c r="AG884" s="0" t="n">
        <v>0</v>
      </c>
      <c r="AH884" s="0" t="n">
        <v>0</v>
      </c>
      <c r="AI884" s="0" t="n">
        <v>0</v>
      </c>
      <c r="AK884" s="0" t="n">
        <f aca="false">A884</f>
        <v>867</v>
      </c>
      <c r="AL884" s="0" t="n">
        <v>1</v>
      </c>
      <c r="AM884" s="0" t="n">
        <v>1</v>
      </c>
      <c r="AO884" s="0" t="n">
        <v>867</v>
      </c>
      <c r="AP884" s="0" t="n">
        <v>0</v>
      </c>
      <c r="AQ884" s="0" t="n">
        <v>0.00895317649613932</v>
      </c>
      <c r="AR884" s="0" t="n">
        <v>776.220147057268</v>
      </c>
      <c r="AS884" s="0" t="n">
        <v>98</v>
      </c>
      <c r="AT884" s="0" t="n">
        <v>100</v>
      </c>
    </row>
    <row r="885" customFormat="false" ht="12" hidden="false" customHeight="false" outlineLevel="0" collapsed="false">
      <c r="A885" s="0" t="n">
        <v>868</v>
      </c>
      <c r="B885" s="0" t="n">
        <v>0</v>
      </c>
      <c r="C885" s="0" t="n">
        <v>2.78364908858346</v>
      </c>
      <c r="D885" s="0" t="n">
        <v>941.499664286022</v>
      </c>
      <c r="E885" s="0" t="n">
        <v>10</v>
      </c>
      <c r="F885" s="0" t="n">
        <v>10</v>
      </c>
      <c r="G885" s="0" t="n">
        <v>0.5</v>
      </c>
      <c r="H885" s="0" t="n">
        <v>0</v>
      </c>
      <c r="I885" s="0" t="n">
        <v>1.75749573134735</v>
      </c>
      <c r="J885" s="0" t="n">
        <v>949.249996684165</v>
      </c>
      <c r="K885" s="0" t="n">
        <v>7.75033239814229</v>
      </c>
      <c r="L885" s="0" t="n">
        <v>0</v>
      </c>
      <c r="M885" s="0" t="n">
        <v>947.698232651454</v>
      </c>
      <c r="N885" s="0" t="n">
        <v>0</v>
      </c>
      <c r="O885" s="0" t="n">
        <v>868</v>
      </c>
      <c r="P885" s="0" t="n">
        <v>438</v>
      </c>
      <c r="Q885" s="0" t="n">
        <v>430</v>
      </c>
      <c r="R885" s="0" t="n">
        <v>966.112354523812</v>
      </c>
      <c r="S885" s="0" t="n">
        <v>845.870913008569</v>
      </c>
      <c r="T885" s="0" t="n">
        <v>26</v>
      </c>
      <c r="U885" s="0" t="n">
        <v>22</v>
      </c>
      <c r="V885" s="0" t="n">
        <v>37.1581531900877</v>
      </c>
      <c r="W885" s="0" t="n">
        <v>38.4485030981027</v>
      </c>
      <c r="X885" s="0" t="n">
        <v>0</v>
      </c>
      <c r="Y885" s="0" t="n">
        <v>7.75033239814229</v>
      </c>
      <c r="Z885" s="0" t="n">
        <v>0</v>
      </c>
      <c r="AA885" s="0" t="n">
        <v>0</v>
      </c>
      <c r="AB885" s="0" t="n">
        <v>0</v>
      </c>
      <c r="AC885" s="0" t="n">
        <v>1</v>
      </c>
      <c r="AD885" s="0" t="n">
        <v>0</v>
      </c>
      <c r="AE885" s="0" t="n">
        <v>0</v>
      </c>
      <c r="AF885" s="0" t="n">
        <v>0</v>
      </c>
      <c r="AG885" s="0" t="n">
        <v>0.258393943552349</v>
      </c>
      <c r="AH885" s="0" t="n">
        <v>0</v>
      </c>
      <c r="AI885" s="0" t="n">
        <v>0</v>
      </c>
      <c r="AK885" s="0" t="n">
        <f aca="false">A885</f>
        <v>868</v>
      </c>
      <c r="AL885" s="0" t="n">
        <v>0</v>
      </c>
      <c r="AM885" s="0" t="n">
        <v>0</v>
      </c>
      <c r="AO885" s="0" t="n">
        <v>868</v>
      </c>
      <c r="AP885" s="0" t="n">
        <v>1</v>
      </c>
      <c r="AQ885" s="0" t="n">
        <v>1.103133349297</v>
      </c>
      <c r="AR885" s="0" t="n">
        <v>777.323280406565</v>
      </c>
      <c r="AS885" s="0" t="n">
        <v>100</v>
      </c>
      <c r="AT885" s="0" t="n">
        <v>100</v>
      </c>
    </row>
    <row r="886" customFormat="false" ht="12" hidden="false" customHeight="false" outlineLevel="0" collapsed="false">
      <c r="A886" s="0" t="n">
        <v>869</v>
      </c>
      <c r="B886" s="0" t="n">
        <v>0</v>
      </c>
      <c r="C886" s="0" t="n">
        <v>1.17291712232865</v>
      </c>
      <c r="D886" s="0" t="n">
        <v>942.672581408351</v>
      </c>
      <c r="E886" s="0" t="n">
        <v>10</v>
      </c>
      <c r="F886" s="0" t="n">
        <v>8</v>
      </c>
      <c r="G886" s="0" t="n">
        <v>0.5</v>
      </c>
      <c r="H886" s="0" t="n">
        <v>1</v>
      </c>
      <c r="I886" s="0" t="n">
        <v>0</v>
      </c>
      <c r="J886" s="0" t="n">
        <v>949.249996684165</v>
      </c>
      <c r="K886" s="0" t="n">
        <v>0</v>
      </c>
      <c r="L886" s="0" t="n">
        <v>2.00556985980989</v>
      </c>
      <c r="M886" s="0" t="n">
        <v>949.703802511263</v>
      </c>
      <c r="N886" s="0" t="n">
        <v>7.03122110291236</v>
      </c>
      <c r="O886" s="0" t="n">
        <v>869</v>
      </c>
      <c r="P886" s="0" t="n">
        <v>438</v>
      </c>
      <c r="Q886" s="0" t="n">
        <v>431</v>
      </c>
      <c r="R886" s="0" t="n">
        <v>674.753847546733</v>
      </c>
      <c r="S886" s="0" t="n">
        <v>1150.39202476575</v>
      </c>
      <c r="T886" s="0" t="n">
        <v>21</v>
      </c>
      <c r="U886" s="0" t="n">
        <v>27</v>
      </c>
      <c r="V886" s="0" t="n">
        <v>32.13112029693</v>
      </c>
      <c r="W886" s="0" t="n">
        <v>42.6069542248269</v>
      </c>
      <c r="X886" s="0" t="n">
        <v>0</v>
      </c>
      <c r="Y886" s="0" t="n">
        <v>0</v>
      </c>
      <c r="Z886" s="0" t="n">
        <v>0</v>
      </c>
      <c r="AA886" s="0" t="n">
        <v>7.03122110291236</v>
      </c>
      <c r="AB886" s="0" t="n">
        <v>0</v>
      </c>
      <c r="AC886" s="0" t="n">
        <v>0</v>
      </c>
      <c r="AD886" s="0" t="n">
        <v>0</v>
      </c>
      <c r="AE886" s="0" t="n">
        <v>1</v>
      </c>
      <c r="AF886" s="0" t="n">
        <v>0</v>
      </c>
      <c r="AG886" s="0" t="n">
        <v>0</v>
      </c>
      <c r="AH886" s="0" t="n">
        <v>0</v>
      </c>
      <c r="AI886" s="0" t="n">
        <v>0.490251555071567</v>
      </c>
      <c r="AK886" s="0" t="n">
        <f aca="false">A886</f>
        <v>869</v>
      </c>
      <c r="AL886" s="0" t="n">
        <v>1</v>
      </c>
      <c r="AM886" s="0" t="n">
        <v>2</v>
      </c>
      <c r="AO886" s="0" t="n">
        <v>869</v>
      </c>
      <c r="AP886" s="0" t="n">
        <v>0</v>
      </c>
      <c r="AQ886" s="0" t="n">
        <v>0.391006784116905</v>
      </c>
      <c r="AR886" s="0" t="n">
        <v>777.714287190682</v>
      </c>
      <c r="AS886" s="0" t="n">
        <v>102</v>
      </c>
      <c r="AT886" s="0" t="n">
        <v>98</v>
      </c>
    </row>
    <row r="887" customFormat="false" ht="12" hidden="false" customHeight="false" outlineLevel="0" collapsed="false">
      <c r="A887" s="0" t="n">
        <v>870</v>
      </c>
      <c r="B887" s="0" t="n">
        <v>0</v>
      </c>
      <c r="C887" s="0" t="n">
        <v>0.413232975137039</v>
      </c>
      <c r="D887" s="0" t="n">
        <v>943.085814383488</v>
      </c>
      <c r="E887" s="0" t="n">
        <v>10</v>
      </c>
      <c r="F887" s="0" t="n">
        <v>10</v>
      </c>
      <c r="G887" s="0" t="n">
        <v>0.5</v>
      </c>
      <c r="H887" s="0" t="n">
        <v>1</v>
      </c>
      <c r="I887" s="0" t="n">
        <v>0</v>
      </c>
      <c r="J887" s="0" t="n">
        <v>949.249996684165</v>
      </c>
      <c r="K887" s="0" t="n">
        <v>0</v>
      </c>
      <c r="L887" s="0" t="n">
        <v>2.20450099185833</v>
      </c>
      <c r="M887" s="0" t="n">
        <v>951.908303503122</v>
      </c>
      <c r="N887" s="0" t="n">
        <v>8.8224891196337</v>
      </c>
      <c r="O887" s="0" t="n">
        <v>870</v>
      </c>
      <c r="P887" s="0" t="n">
        <v>438</v>
      </c>
      <c r="Q887" s="0" t="n">
        <v>432</v>
      </c>
      <c r="R887" s="0" t="n">
        <v>891.473260370423</v>
      </c>
      <c r="S887" s="0" t="n">
        <v>945.95622310931</v>
      </c>
      <c r="T887" s="0" t="n">
        <v>26</v>
      </c>
      <c r="U887" s="0" t="n">
        <v>22</v>
      </c>
      <c r="V887" s="0" t="n">
        <v>34.2874199037009</v>
      </c>
      <c r="W887" s="0" t="n">
        <v>42.99781469672</v>
      </c>
      <c r="X887" s="0" t="n">
        <v>0</v>
      </c>
      <c r="Y887" s="0" t="n">
        <v>0</v>
      </c>
      <c r="Z887" s="0" t="n">
        <v>0</v>
      </c>
      <c r="AA887" s="0" t="n">
        <v>8.8224891196337</v>
      </c>
      <c r="AB887" s="0" t="n">
        <v>0</v>
      </c>
      <c r="AC887" s="0" t="n">
        <v>0</v>
      </c>
      <c r="AD887" s="0" t="n">
        <v>0</v>
      </c>
      <c r="AE887" s="0" t="n">
        <v>1</v>
      </c>
      <c r="AF887" s="0" t="n">
        <v>0</v>
      </c>
      <c r="AG887" s="0" t="n">
        <v>0</v>
      </c>
      <c r="AH887" s="0" t="n">
        <v>0</v>
      </c>
      <c r="AI887" s="0" t="n">
        <v>1.19047380405243</v>
      </c>
      <c r="AK887" s="0" t="n">
        <f aca="false">A887</f>
        <v>870</v>
      </c>
      <c r="AL887" s="0" t="n">
        <v>0</v>
      </c>
      <c r="AM887" s="0" t="n">
        <v>0</v>
      </c>
      <c r="AO887" s="0" t="n">
        <v>870</v>
      </c>
      <c r="AP887" s="0" t="n">
        <v>1</v>
      </c>
      <c r="AQ887" s="0" t="n">
        <v>0.553673050172292</v>
      </c>
      <c r="AR887" s="0" t="n">
        <v>778.267960240854</v>
      </c>
      <c r="AS887" s="0" t="n">
        <v>100</v>
      </c>
      <c r="AT887" s="0" t="n">
        <v>100</v>
      </c>
    </row>
    <row r="888" customFormat="false" ht="12" hidden="false" customHeight="false" outlineLevel="0" collapsed="false">
      <c r="A888" s="0" t="n">
        <v>871</v>
      </c>
      <c r="B888" s="0" t="n">
        <v>0</v>
      </c>
      <c r="C888" s="0" t="n">
        <v>0.865541002878574</v>
      </c>
      <c r="D888" s="0" t="n">
        <v>943.951355386367</v>
      </c>
      <c r="E888" s="0" t="n">
        <v>8</v>
      </c>
      <c r="F888" s="0" t="n">
        <v>10</v>
      </c>
      <c r="G888" s="0" t="n">
        <v>0.5</v>
      </c>
      <c r="H888" s="0" t="n">
        <v>0</v>
      </c>
      <c r="I888" s="0" t="n">
        <v>1.90047172304564</v>
      </c>
      <c r="J888" s="0" t="n">
        <v>951.15046840721</v>
      </c>
      <c r="K888" s="0" t="n">
        <v>7.1991130208437</v>
      </c>
      <c r="L888" s="0" t="n">
        <v>0</v>
      </c>
      <c r="M888" s="0" t="n">
        <v>951.908303503122</v>
      </c>
      <c r="N888" s="0" t="n">
        <v>0</v>
      </c>
      <c r="O888" s="0" t="n">
        <v>871</v>
      </c>
      <c r="P888" s="0" t="n">
        <v>439</v>
      </c>
      <c r="Q888" s="0" t="n">
        <v>432</v>
      </c>
      <c r="R888" s="0" t="n">
        <v>912.456125218278</v>
      </c>
      <c r="S888" s="0" t="n">
        <v>929.843663394148</v>
      </c>
      <c r="T888" s="0" t="n">
        <v>21</v>
      </c>
      <c r="U888" s="0" t="n">
        <v>27</v>
      </c>
      <c r="V888" s="0" t="n">
        <v>43.4502709864556</v>
      </c>
      <c r="W888" s="0" t="n">
        <v>34.4385266496845</v>
      </c>
      <c r="X888" s="0" t="n">
        <v>0</v>
      </c>
      <c r="Y888" s="0" t="n">
        <v>7.1991130208437</v>
      </c>
      <c r="Z888" s="0" t="n">
        <v>0</v>
      </c>
      <c r="AA888" s="0" t="n">
        <v>0</v>
      </c>
      <c r="AB888" s="0" t="n">
        <v>0</v>
      </c>
      <c r="AC888" s="0" t="n">
        <v>1</v>
      </c>
      <c r="AD888" s="0" t="n">
        <v>0</v>
      </c>
      <c r="AE888" s="0" t="n">
        <v>0</v>
      </c>
      <c r="AF888" s="0" t="n">
        <v>0</v>
      </c>
      <c r="AG888" s="0" t="n">
        <v>1.12263353276657</v>
      </c>
      <c r="AH888" s="0" t="n">
        <v>0</v>
      </c>
      <c r="AI888" s="0" t="n">
        <v>0</v>
      </c>
      <c r="AK888" s="0" t="n">
        <f aca="false">A888</f>
        <v>871</v>
      </c>
      <c r="AL888" s="0" t="n">
        <v>1</v>
      </c>
      <c r="AM888" s="0" t="n">
        <v>1</v>
      </c>
      <c r="AO888" s="0" t="n">
        <v>871</v>
      </c>
      <c r="AP888" s="0" t="n">
        <v>0</v>
      </c>
      <c r="AQ888" s="0" t="n">
        <v>0.176371785939756</v>
      </c>
      <c r="AR888" s="0" t="n">
        <v>778.444332026794</v>
      </c>
      <c r="AS888" s="0" t="n">
        <v>100</v>
      </c>
      <c r="AT888" s="0" t="n">
        <v>102</v>
      </c>
    </row>
    <row r="889" customFormat="false" ht="12" hidden="false" customHeight="false" outlineLevel="0" collapsed="false">
      <c r="A889" s="0" t="n">
        <v>872</v>
      </c>
      <c r="B889" s="0" t="n">
        <v>1</v>
      </c>
      <c r="C889" s="0" t="n">
        <v>0.78970567295914</v>
      </c>
      <c r="D889" s="0" t="n">
        <v>944.741061059326</v>
      </c>
      <c r="E889" s="0" t="n">
        <v>10</v>
      </c>
      <c r="F889" s="0" t="n">
        <v>10</v>
      </c>
      <c r="G889" s="0" t="n">
        <v>0.5</v>
      </c>
      <c r="H889" s="0" t="n">
        <v>0</v>
      </c>
      <c r="I889" s="0" t="n">
        <v>2.08702575641412</v>
      </c>
      <c r="J889" s="0" t="n">
        <v>953.237494163624</v>
      </c>
      <c r="K889" s="0" t="n">
        <v>8.49643310429872</v>
      </c>
      <c r="L889" s="0" t="n">
        <v>0</v>
      </c>
      <c r="M889" s="0" t="n">
        <v>951.908303503122</v>
      </c>
      <c r="N889" s="0" t="n">
        <v>0</v>
      </c>
      <c r="O889" s="0" t="n">
        <v>872</v>
      </c>
      <c r="P889" s="0" t="n">
        <v>440</v>
      </c>
      <c r="Q889" s="0" t="n">
        <v>432</v>
      </c>
      <c r="R889" s="0" t="n">
        <v>1224.84312195735</v>
      </c>
      <c r="S889" s="0" t="n">
        <v>628.109109557508</v>
      </c>
      <c r="T889" s="0" t="n">
        <v>29</v>
      </c>
      <c r="U889" s="0" t="n">
        <v>19</v>
      </c>
      <c r="V889" s="0" t="n">
        <v>42.2359551585446</v>
      </c>
      <c r="W889" s="0" t="n">
        <v>33.0582001967099</v>
      </c>
      <c r="X889" s="0" t="n">
        <v>8.49643310429872</v>
      </c>
      <c r="Y889" s="0" t="n">
        <v>0</v>
      </c>
      <c r="Z889" s="0" t="n">
        <v>0</v>
      </c>
      <c r="AA889" s="0" t="n">
        <v>0</v>
      </c>
      <c r="AB889" s="0" t="n">
        <v>1</v>
      </c>
      <c r="AC889" s="0" t="n">
        <v>0</v>
      </c>
      <c r="AD889" s="0" t="n">
        <v>0</v>
      </c>
      <c r="AE889" s="0" t="n">
        <v>0</v>
      </c>
      <c r="AF889" s="0" t="n">
        <v>1.14248941345346</v>
      </c>
      <c r="AG889" s="0" t="n">
        <v>0</v>
      </c>
      <c r="AH889" s="0" t="n">
        <v>0</v>
      </c>
      <c r="AI889" s="0" t="n">
        <v>0</v>
      </c>
      <c r="AK889" s="0" t="n">
        <f aca="false">A889</f>
        <v>872</v>
      </c>
      <c r="AL889" s="0" t="n">
        <v>0</v>
      </c>
      <c r="AM889" s="0" t="n">
        <v>0</v>
      </c>
      <c r="AO889" s="0" t="n">
        <v>872</v>
      </c>
      <c r="AP889" s="0" t="n">
        <v>0</v>
      </c>
      <c r="AQ889" s="0" t="n">
        <v>0.362337877639754</v>
      </c>
      <c r="AR889" s="0" t="n">
        <v>778.806669904434</v>
      </c>
      <c r="AS889" s="0" t="n">
        <v>102</v>
      </c>
      <c r="AT889" s="0" t="n">
        <v>102</v>
      </c>
    </row>
    <row r="890" customFormat="false" ht="12" hidden="false" customHeight="false" outlineLevel="0" collapsed="false">
      <c r="A890" s="0" t="n">
        <v>873</v>
      </c>
      <c r="B890" s="0" t="n">
        <v>1</v>
      </c>
      <c r="C890" s="0" t="n">
        <v>1.24711272171351</v>
      </c>
      <c r="D890" s="0" t="n">
        <v>945.988173781039</v>
      </c>
      <c r="E890" s="0" t="n">
        <v>10</v>
      </c>
      <c r="F890" s="0" t="n">
        <v>8</v>
      </c>
      <c r="G890" s="0" t="n">
        <v>0.5</v>
      </c>
      <c r="H890" s="0" t="n">
        <v>1</v>
      </c>
      <c r="I890" s="0" t="n">
        <v>0</v>
      </c>
      <c r="J890" s="0" t="n">
        <v>953.237494163624</v>
      </c>
      <c r="K890" s="0" t="n">
        <v>0</v>
      </c>
      <c r="L890" s="0" t="n">
        <v>1.86532285137554</v>
      </c>
      <c r="M890" s="0" t="n">
        <v>953.773626354497</v>
      </c>
      <c r="N890" s="0" t="n">
        <v>7.78545257345809</v>
      </c>
      <c r="O890" s="0" t="n">
        <v>873</v>
      </c>
      <c r="P890" s="0" t="n">
        <v>440</v>
      </c>
      <c r="Q890" s="0" t="n">
        <v>433</v>
      </c>
      <c r="R890" s="0" t="n">
        <v>900.689593813458</v>
      </c>
      <c r="S890" s="0" t="n">
        <v>937.737051056905</v>
      </c>
      <c r="T890" s="0" t="n">
        <v>21</v>
      </c>
      <c r="U890" s="0" t="n">
        <v>27</v>
      </c>
      <c r="V890" s="0" t="n">
        <v>42.8899602339931</v>
      </c>
      <c r="W890" s="0" t="n">
        <v>34.7308732581326</v>
      </c>
      <c r="X890" s="0" t="n">
        <v>0</v>
      </c>
      <c r="Y890" s="0" t="n">
        <v>0</v>
      </c>
      <c r="Z890" s="0" t="n">
        <v>7.78545257345809</v>
      </c>
      <c r="AA890" s="0" t="n">
        <v>0</v>
      </c>
      <c r="AB890" s="0" t="n">
        <v>0</v>
      </c>
      <c r="AC890" s="0" t="n">
        <v>0</v>
      </c>
      <c r="AD890" s="0" t="n">
        <v>1</v>
      </c>
      <c r="AE890" s="0" t="n">
        <v>0</v>
      </c>
      <c r="AF890" s="0" t="n">
        <v>0</v>
      </c>
      <c r="AG890" s="0" t="n">
        <v>0</v>
      </c>
      <c r="AH890" s="0" t="n">
        <v>0.000382174932201506</v>
      </c>
      <c r="AI890" s="0" t="n">
        <v>0</v>
      </c>
      <c r="AK890" s="0" t="n">
        <f aca="false">A890</f>
        <v>873</v>
      </c>
      <c r="AL890" s="0" t="n">
        <v>1</v>
      </c>
      <c r="AM890" s="0" t="n">
        <v>1</v>
      </c>
      <c r="AO890" s="0" t="n">
        <v>873</v>
      </c>
      <c r="AP890" s="0" t="n">
        <v>1</v>
      </c>
      <c r="AQ890" s="0" t="n">
        <v>1.15699131337732</v>
      </c>
      <c r="AR890" s="0" t="n">
        <v>779.963661217811</v>
      </c>
      <c r="AS890" s="0" t="n">
        <v>102</v>
      </c>
      <c r="AT890" s="0" t="n">
        <v>100</v>
      </c>
    </row>
    <row r="891" customFormat="false" ht="12" hidden="false" customHeight="false" outlineLevel="0" collapsed="false">
      <c r="A891" s="0" t="n">
        <v>874</v>
      </c>
      <c r="B891" s="0" t="n">
        <v>1</v>
      </c>
      <c r="C891" s="0" t="n">
        <v>0.22804800204073</v>
      </c>
      <c r="D891" s="0" t="n">
        <v>946.21622178308</v>
      </c>
      <c r="E891" s="0" t="n">
        <v>10</v>
      </c>
      <c r="F891" s="0" t="n">
        <v>10</v>
      </c>
      <c r="G891" s="0" t="n">
        <v>0.5</v>
      </c>
      <c r="H891" s="0" t="n">
        <v>1</v>
      </c>
      <c r="I891" s="0" t="n">
        <v>0</v>
      </c>
      <c r="J891" s="0" t="n">
        <v>953.237494163624</v>
      </c>
      <c r="K891" s="0" t="n">
        <v>0</v>
      </c>
      <c r="L891" s="0" t="n">
        <v>2.02726325028165</v>
      </c>
      <c r="M891" s="0" t="n">
        <v>955.800889604779</v>
      </c>
      <c r="N891" s="0" t="n">
        <v>9.58466782169899</v>
      </c>
      <c r="O891" s="0" t="n">
        <v>874</v>
      </c>
      <c r="P891" s="0" t="n">
        <v>440</v>
      </c>
      <c r="Q891" s="0" t="n">
        <v>434</v>
      </c>
      <c r="R891" s="0" t="n">
        <v>946.598826561057</v>
      </c>
      <c r="S891" s="0" t="n">
        <v>899.739362281468</v>
      </c>
      <c r="T891" s="0" t="n">
        <v>23</v>
      </c>
      <c r="U891" s="0" t="n">
        <v>25</v>
      </c>
      <c r="V891" s="0" t="n">
        <v>41.156452825936</v>
      </c>
      <c r="W891" s="0" t="n">
        <v>35.9894305335366</v>
      </c>
      <c r="X891" s="0" t="n">
        <v>0</v>
      </c>
      <c r="Y891" s="0" t="n">
        <v>0</v>
      </c>
      <c r="Z891" s="0" t="n">
        <v>9.58466782169899</v>
      </c>
      <c r="AA891" s="0" t="n">
        <v>0</v>
      </c>
      <c r="AB891" s="0" t="n">
        <v>0</v>
      </c>
      <c r="AC891" s="0" t="n">
        <v>0</v>
      </c>
      <c r="AD891" s="0" t="n">
        <v>1</v>
      </c>
      <c r="AE891" s="0" t="n">
        <v>0</v>
      </c>
      <c r="AF891" s="0" t="n">
        <v>0</v>
      </c>
      <c r="AG891" s="0" t="n">
        <v>0</v>
      </c>
      <c r="AH891" s="0" t="n">
        <v>3.30790446349019</v>
      </c>
      <c r="AI891" s="0" t="n">
        <v>0</v>
      </c>
      <c r="AK891" s="0" t="n">
        <f aca="false">A891</f>
        <v>874</v>
      </c>
      <c r="AL891" s="0" t="n">
        <v>0</v>
      </c>
      <c r="AM891" s="0" t="n">
        <v>0</v>
      </c>
      <c r="AO891" s="0" t="n">
        <v>874</v>
      </c>
      <c r="AP891" s="0" t="n">
        <v>1</v>
      </c>
      <c r="AQ891" s="0" t="n">
        <v>1.71199047770604</v>
      </c>
      <c r="AR891" s="0" t="n">
        <v>781.675651695517</v>
      </c>
      <c r="AS891" s="0" t="n">
        <v>102</v>
      </c>
      <c r="AT891" s="0" t="n">
        <v>102</v>
      </c>
    </row>
    <row r="892" customFormat="false" ht="12" hidden="false" customHeight="false" outlineLevel="0" collapsed="false">
      <c r="A892" s="0" t="n">
        <v>875</v>
      </c>
      <c r="B892" s="0" t="n">
        <v>1</v>
      </c>
      <c r="C892" s="0" t="n">
        <v>3.63303409479424</v>
      </c>
      <c r="D892" s="0" t="n">
        <v>949.849255877874</v>
      </c>
      <c r="E892" s="0" t="n">
        <v>6</v>
      </c>
      <c r="F892" s="0" t="n">
        <v>8</v>
      </c>
      <c r="G892" s="0" t="n">
        <v>0.5</v>
      </c>
      <c r="H892" s="0" t="n">
        <v>0</v>
      </c>
      <c r="I892" s="0" t="n">
        <v>2.17043403078918</v>
      </c>
      <c r="J892" s="0" t="n">
        <v>955.407928194414</v>
      </c>
      <c r="K892" s="0" t="n">
        <v>5.55867231653951</v>
      </c>
      <c r="L892" s="0" t="n">
        <v>0</v>
      </c>
      <c r="M892" s="0" t="n">
        <v>955.800889604779</v>
      </c>
      <c r="N892" s="0" t="n">
        <v>0</v>
      </c>
      <c r="O892" s="0" t="n">
        <v>875</v>
      </c>
      <c r="P892" s="0" t="n">
        <v>441</v>
      </c>
      <c r="Q892" s="0" t="n">
        <v>434</v>
      </c>
      <c r="R892" s="0" t="n">
        <v>824.673059968221</v>
      </c>
      <c r="S892" s="0" t="n">
        <v>1024.76113590731</v>
      </c>
      <c r="T892" s="0" t="n">
        <v>23</v>
      </c>
      <c r="U892" s="0" t="n">
        <v>25</v>
      </c>
      <c r="V892" s="0" t="n">
        <v>35.8553348441249</v>
      </c>
      <c r="W892" s="0" t="n">
        <v>40.9902814751664</v>
      </c>
      <c r="X892" s="0" t="n">
        <v>5.55867231653951</v>
      </c>
      <c r="Y892" s="0" t="n">
        <v>0</v>
      </c>
      <c r="Z892" s="0" t="n">
        <v>0</v>
      </c>
      <c r="AA892" s="0" t="n">
        <v>0</v>
      </c>
      <c r="AB892" s="0" t="n">
        <v>1</v>
      </c>
      <c r="AC892" s="0" t="n">
        <v>0</v>
      </c>
      <c r="AD892" s="0" t="n">
        <v>0</v>
      </c>
      <c r="AE892" s="0" t="n">
        <v>0</v>
      </c>
      <c r="AF892" s="0" t="n">
        <v>3.49274169730004</v>
      </c>
      <c r="AG892" s="0" t="n">
        <v>0</v>
      </c>
      <c r="AH892" s="0" t="n">
        <v>0</v>
      </c>
      <c r="AI892" s="0" t="n">
        <v>0</v>
      </c>
      <c r="AK892" s="0" t="n">
        <f aca="false">A892</f>
        <v>875</v>
      </c>
      <c r="AL892" s="0" t="n">
        <v>1</v>
      </c>
      <c r="AM892" s="0" t="n">
        <v>2</v>
      </c>
      <c r="AO892" s="0" t="n">
        <v>875</v>
      </c>
      <c r="AP892" s="0" t="n">
        <v>1</v>
      </c>
      <c r="AQ892" s="0" t="n">
        <v>0.142582934281444</v>
      </c>
      <c r="AR892" s="0" t="n">
        <v>781.818234629799</v>
      </c>
      <c r="AS892" s="0" t="n">
        <v>104</v>
      </c>
      <c r="AT892" s="0" t="n">
        <v>100</v>
      </c>
    </row>
    <row r="893" customFormat="false" ht="12" hidden="false" customHeight="false" outlineLevel="0" collapsed="false">
      <c r="A893" s="0" t="n">
        <v>876</v>
      </c>
      <c r="B893" s="0" t="n">
        <v>1</v>
      </c>
      <c r="C893" s="0" t="n">
        <v>0.908877506136868</v>
      </c>
      <c r="D893" s="0" t="n">
        <v>950.758133384011</v>
      </c>
      <c r="E893" s="0" t="n">
        <v>8</v>
      </c>
      <c r="F893" s="0" t="n">
        <v>8</v>
      </c>
      <c r="G893" s="0" t="n">
        <v>0.5</v>
      </c>
      <c r="H893" s="0" t="n">
        <v>1</v>
      </c>
      <c r="I893" s="0" t="n">
        <v>0</v>
      </c>
      <c r="J893" s="0" t="n">
        <v>955.407928194414</v>
      </c>
      <c r="K893" s="0" t="n">
        <v>0</v>
      </c>
      <c r="L893" s="0" t="n">
        <v>1.7547483262546</v>
      </c>
      <c r="M893" s="0" t="n">
        <v>957.555637931034</v>
      </c>
      <c r="N893" s="0" t="n">
        <v>6.79750454702253</v>
      </c>
      <c r="O893" s="0" t="n">
        <v>876</v>
      </c>
      <c r="P893" s="0" t="n">
        <v>441</v>
      </c>
      <c r="Q893" s="0" t="n">
        <v>435</v>
      </c>
      <c r="R893" s="0" t="n">
        <v>963.518718835003</v>
      </c>
      <c r="S893" s="0" t="n">
        <v>889.016948901041</v>
      </c>
      <c r="T893" s="0" t="n">
        <v>28</v>
      </c>
      <c r="U893" s="0" t="n">
        <v>20</v>
      </c>
      <c r="V893" s="0" t="n">
        <v>34.4113705257606</v>
      </c>
      <c r="W893" s="0" t="n">
        <v>44.4506251919261</v>
      </c>
      <c r="X893" s="0" t="n">
        <v>0</v>
      </c>
      <c r="Y893" s="0" t="n">
        <v>0</v>
      </c>
      <c r="Z893" s="0" t="n">
        <v>6.79750454702253</v>
      </c>
      <c r="AA893" s="0" t="n">
        <v>0</v>
      </c>
      <c r="AB893" s="0" t="n">
        <v>0</v>
      </c>
      <c r="AC893" s="0" t="n">
        <v>0</v>
      </c>
      <c r="AD893" s="0" t="n">
        <v>1</v>
      </c>
      <c r="AE893" s="0" t="n">
        <v>0</v>
      </c>
      <c r="AF893" s="0" t="n">
        <v>0</v>
      </c>
      <c r="AG893" s="0" t="n">
        <v>0</v>
      </c>
      <c r="AH893" s="0" t="n">
        <v>0.937796103184483</v>
      </c>
      <c r="AI893" s="0" t="n">
        <v>0</v>
      </c>
      <c r="AK893" s="0" t="n">
        <f aca="false">A893</f>
        <v>876</v>
      </c>
      <c r="AL893" s="0" t="n">
        <v>0</v>
      </c>
      <c r="AM893" s="0" t="n">
        <v>0</v>
      </c>
      <c r="AO893" s="0" t="n">
        <v>876</v>
      </c>
      <c r="AP893" s="0" t="n">
        <v>1</v>
      </c>
      <c r="AQ893" s="0" t="n">
        <v>1.23160091224907</v>
      </c>
      <c r="AR893" s="0" t="n">
        <v>783.049835542048</v>
      </c>
      <c r="AS893" s="0" t="n">
        <v>102</v>
      </c>
      <c r="AT893" s="0" t="n">
        <v>102</v>
      </c>
    </row>
    <row r="894" customFormat="false" ht="12" hidden="false" customHeight="false" outlineLevel="0" collapsed="false">
      <c r="A894" s="0" t="n">
        <v>877</v>
      </c>
      <c r="B894" s="0" t="n">
        <v>1</v>
      </c>
      <c r="C894" s="0" t="n">
        <v>1.84943083198359</v>
      </c>
      <c r="D894" s="0" t="n">
        <v>952.607564215995</v>
      </c>
      <c r="E894" s="0" t="n">
        <v>6</v>
      </c>
      <c r="F894" s="0" t="n">
        <v>8</v>
      </c>
      <c r="G894" s="0" t="n">
        <v>0.5</v>
      </c>
      <c r="H894" s="0" t="n">
        <v>0</v>
      </c>
      <c r="I894" s="0" t="n">
        <v>1.92391011248373</v>
      </c>
      <c r="J894" s="0" t="n">
        <v>957.331838306898</v>
      </c>
      <c r="K894" s="0" t="n">
        <v>4.7242740909029</v>
      </c>
      <c r="L894" s="0" t="n">
        <v>0</v>
      </c>
      <c r="M894" s="0" t="n">
        <v>957.555637931034</v>
      </c>
      <c r="N894" s="0" t="n">
        <v>0</v>
      </c>
      <c r="O894" s="0" t="n">
        <v>877</v>
      </c>
      <c r="P894" s="0" t="n">
        <v>442</v>
      </c>
      <c r="Q894" s="0" t="n">
        <v>435</v>
      </c>
      <c r="R894" s="0" t="n">
        <v>952.246141038017</v>
      </c>
      <c r="S894" s="0" t="n">
        <v>919.314643500586</v>
      </c>
      <c r="T894" s="0" t="n">
        <v>23</v>
      </c>
      <c r="U894" s="0" t="n">
        <v>25</v>
      </c>
      <c r="V894" s="0" t="n">
        <v>41.4019881312233</v>
      </c>
      <c r="W894" s="0" t="n">
        <v>36.7724386502689</v>
      </c>
      <c r="X894" s="0" t="n">
        <v>4.7242740909029</v>
      </c>
      <c r="Y894" s="0" t="n">
        <v>0</v>
      </c>
      <c r="Z894" s="0" t="n">
        <v>0</v>
      </c>
      <c r="AA894" s="0" t="n">
        <v>0</v>
      </c>
      <c r="AB894" s="0" t="n">
        <v>1</v>
      </c>
      <c r="AC894" s="0" t="n">
        <v>0</v>
      </c>
      <c r="AD894" s="0" t="n">
        <v>0</v>
      </c>
      <c r="AE894" s="0" t="n">
        <v>0</v>
      </c>
      <c r="AF894" s="0" t="n">
        <v>7.30775546414154</v>
      </c>
      <c r="AG894" s="0" t="n">
        <v>0</v>
      </c>
      <c r="AH894" s="0" t="n">
        <v>0</v>
      </c>
      <c r="AI894" s="0" t="n">
        <v>0</v>
      </c>
      <c r="AK894" s="0" t="n">
        <f aca="false">A894</f>
        <v>877</v>
      </c>
      <c r="AL894" s="0" t="n">
        <v>1</v>
      </c>
      <c r="AM894" s="0" t="n">
        <v>1</v>
      </c>
      <c r="AO894" s="0" t="n">
        <v>877</v>
      </c>
      <c r="AP894" s="0" t="n">
        <v>0</v>
      </c>
      <c r="AQ894" s="0" t="n">
        <v>0.105981885978421</v>
      </c>
      <c r="AR894" s="0" t="n">
        <v>783.155817428026</v>
      </c>
      <c r="AS894" s="0" t="n">
        <v>104</v>
      </c>
      <c r="AT894" s="0" t="n">
        <v>102</v>
      </c>
    </row>
    <row r="895" customFormat="false" ht="12" hidden="false" customHeight="false" outlineLevel="0" collapsed="false">
      <c r="A895" s="0" t="n">
        <v>878</v>
      </c>
      <c r="B895" s="0" t="n">
        <v>1</v>
      </c>
      <c r="C895" s="0" t="n">
        <v>1.85920345371337</v>
      </c>
      <c r="D895" s="0" t="n">
        <v>954.466767669708</v>
      </c>
      <c r="E895" s="0" t="n">
        <v>6</v>
      </c>
      <c r="F895" s="0" t="n">
        <v>6</v>
      </c>
      <c r="G895" s="0" t="n">
        <v>0.5</v>
      </c>
      <c r="H895" s="0" t="n">
        <v>1</v>
      </c>
      <c r="I895" s="0" t="n">
        <v>0</v>
      </c>
      <c r="J895" s="0" t="n">
        <v>957.331838306898</v>
      </c>
      <c r="K895" s="0" t="n">
        <v>0</v>
      </c>
      <c r="L895" s="0" t="n">
        <v>1.98153950643875</v>
      </c>
      <c r="M895" s="0" t="n">
        <v>959.537177437472</v>
      </c>
      <c r="N895" s="0" t="n">
        <v>5.07040976776432</v>
      </c>
      <c r="O895" s="0" t="n">
        <v>878</v>
      </c>
      <c r="P895" s="0" t="n">
        <v>442</v>
      </c>
      <c r="Q895" s="0" t="n">
        <v>436</v>
      </c>
      <c r="R895" s="0" t="n">
        <v>803.02726276646</v>
      </c>
      <c r="S895" s="0" t="n">
        <v>1067.85789266635</v>
      </c>
      <c r="T895" s="0" t="n">
        <v>21</v>
      </c>
      <c r="U895" s="0" t="n">
        <v>27</v>
      </c>
      <c r="V895" s="0" t="n">
        <v>38.2393752558432</v>
      </c>
      <c r="W895" s="0" t="n">
        <v>39.5501458389545</v>
      </c>
      <c r="X895" s="0" t="n">
        <v>0</v>
      </c>
      <c r="Y895" s="0" t="n">
        <v>0</v>
      </c>
      <c r="Z895" s="0" t="n">
        <v>5.07040976776432</v>
      </c>
      <c r="AA895" s="0" t="n">
        <v>0</v>
      </c>
      <c r="AB895" s="0" t="n">
        <v>0</v>
      </c>
      <c r="AC895" s="0" t="n">
        <v>0</v>
      </c>
      <c r="AD895" s="0" t="n">
        <v>1</v>
      </c>
      <c r="AE895" s="0" t="n">
        <v>0</v>
      </c>
      <c r="AF895" s="0" t="n">
        <v>0</v>
      </c>
      <c r="AG895" s="0" t="n">
        <v>0</v>
      </c>
      <c r="AH895" s="0" t="n">
        <v>7.26568526657768</v>
      </c>
      <c r="AI895" s="0" t="n">
        <v>0</v>
      </c>
      <c r="AK895" s="0" t="n">
        <f aca="false">A895</f>
        <v>878</v>
      </c>
      <c r="AL895" s="0" t="n">
        <v>0</v>
      </c>
      <c r="AM895" s="0" t="n">
        <v>0</v>
      </c>
      <c r="AO895" s="0" t="n">
        <v>878</v>
      </c>
      <c r="AP895" s="0" t="n">
        <v>1</v>
      </c>
      <c r="AQ895" s="0" t="n">
        <v>0.447220165079468</v>
      </c>
      <c r="AR895" s="0" t="n">
        <v>783.603037593106</v>
      </c>
      <c r="AS895" s="0" t="n">
        <v>104</v>
      </c>
      <c r="AT895" s="0" t="n">
        <v>104</v>
      </c>
    </row>
    <row r="896" customFormat="false" ht="12" hidden="false" customHeight="false" outlineLevel="0" collapsed="false">
      <c r="A896" s="0" t="n">
        <v>879</v>
      </c>
      <c r="B896" s="0" t="n">
        <v>1</v>
      </c>
      <c r="C896" s="0" t="n">
        <v>0.268172556046715</v>
      </c>
      <c r="D896" s="0" t="n">
        <v>954.734940225755</v>
      </c>
      <c r="E896" s="0" t="n">
        <v>6</v>
      </c>
      <c r="F896" s="0" t="n">
        <v>8</v>
      </c>
      <c r="G896" s="0" t="n">
        <v>0.5</v>
      </c>
      <c r="H896" s="0" t="n">
        <v>0</v>
      </c>
      <c r="I896" s="0" t="n">
        <v>2.01322409508445</v>
      </c>
      <c r="J896" s="0" t="n">
        <v>959.345062401982</v>
      </c>
      <c r="K896" s="0" t="n">
        <v>4.61012217622726</v>
      </c>
      <c r="L896" s="0" t="n">
        <v>0</v>
      </c>
      <c r="M896" s="0" t="n">
        <v>959.537177437472</v>
      </c>
      <c r="N896" s="0" t="n">
        <v>0</v>
      </c>
      <c r="O896" s="0" t="n">
        <v>879</v>
      </c>
      <c r="P896" s="0" t="n">
        <v>443</v>
      </c>
      <c r="Q896" s="0" t="n">
        <v>436</v>
      </c>
      <c r="R896" s="0" t="n">
        <v>1125.41660431844</v>
      </c>
      <c r="S896" s="0" t="n">
        <v>755.82189783772</v>
      </c>
      <c r="T896" s="0" t="n">
        <v>28</v>
      </c>
      <c r="U896" s="0" t="n">
        <v>20</v>
      </c>
      <c r="V896" s="0" t="n">
        <v>40.1934357994316</v>
      </c>
      <c r="W896" s="0" t="n">
        <v>37.7909059373563</v>
      </c>
      <c r="X896" s="0" t="n">
        <v>4.61012217622726</v>
      </c>
      <c r="Y896" s="0" t="n">
        <v>0</v>
      </c>
      <c r="Z896" s="0" t="n">
        <v>0</v>
      </c>
      <c r="AA896" s="0" t="n">
        <v>0</v>
      </c>
      <c r="AB896" s="0" t="n">
        <v>1</v>
      </c>
      <c r="AC896" s="0" t="n">
        <v>0</v>
      </c>
      <c r="AD896" s="0" t="n">
        <v>0</v>
      </c>
      <c r="AE896" s="0" t="n">
        <v>0</v>
      </c>
      <c r="AF896" s="0" t="n">
        <v>7.9379566806443</v>
      </c>
      <c r="AG896" s="0" t="n">
        <v>0</v>
      </c>
      <c r="AH896" s="0" t="n">
        <v>0</v>
      </c>
      <c r="AI896" s="0" t="n">
        <v>0</v>
      </c>
      <c r="AK896" s="0" t="n">
        <f aca="false">A896</f>
        <v>879</v>
      </c>
      <c r="AL896" s="0" t="n">
        <v>1</v>
      </c>
      <c r="AM896" s="0" t="n">
        <v>1</v>
      </c>
      <c r="AO896" s="0" t="n">
        <v>879</v>
      </c>
      <c r="AP896" s="0" t="n">
        <v>1</v>
      </c>
      <c r="AQ896" s="0" t="n">
        <v>0.642034878442048</v>
      </c>
      <c r="AR896" s="0" t="n">
        <v>784.245072471548</v>
      </c>
      <c r="AS896" s="0" t="n">
        <v>102</v>
      </c>
      <c r="AT896" s="0" t="n">
        <v>104</v>
      </c>
    </row>
    <row r="897" customFormat="false" ht="12" hidden="false" customHeight="false" outlineLevel="0" collapsed="false">
      <c r="A897" s="0" t="n">
        <v>880</v>
      </c>
      <c r="B897" s="0" t="n">
        <v>1</v>
      </c>
      <c r="C897" s="0" t="n">
        <v>0.555234838678933</v>
      </c>
      <c r="D897" s="0" t="n">
        <v>955.290175064434</v>
      </c>
      <c r="E897" s="0" t="n">
        <v>8</v>
      </c>
      <c r="F897" s="0" t="n">
        <v>8</v>
      </c>
      <c r="G897" s="0" t="n">
        <v>0.5</v>
      </c>
      <c r="H897" s="0" t="n">
        <v>1</v>
      </c>
      <c r="I897" s="0" t="n">
        <v>0</v>
      </c>
      <c r="J897" s="0" t="n">
        <v>959.345062401982</v>
      </c>
      <c r="K897" s="0" t="n">
        <v>0</v>
      </c>
      <c r="L897" s="0" t="n">
        <v>1.91283375712385</v>
      </c>
      <c r="M897" s="0" t="n">
        <v>961.450011194596</v>
      </c>
      <c r="N897" s="0" t="n">
        <v>6.15983613016249</v>
      </c>
      <c r="O897" s="0" t="n">
        <v>880</v>
      </c>
      <c r="P897" s="0" t="n">
        <v>443</v>
      </c>
      <c r="Q897" s="0" t="n">
        <v>437</v>
      </c>
      <c r="R897" s="0" t="n">
        <v>1039.86168112031</v>
      </c>
      <c r="S897" s="0" t="n">
        <v>845.754972664245</v>
      </c>
      <c r="T897" s="0" t="n">
        <v>28</v>
      </c>
      <c r="U897" s="0" t="n">
        <v>20</v>
      </c>
      <c r="V897" s="0" t="n">
        <v>37.1379039193309</v>
      </c>
      <c r="W897" s="0" t="n">
        <v>42.2875371955263</v>
      </c>
      <c r="X897" s="0" t="n">
        <v>0</v>
      </c>
      <c r="Y897" s="0" t="n">
        <v>0</v>
      </c>
      <c r="Z897" s="0" t="n">
        <v>6.15983613016249</v>
      </c>
      <c r="AA897" s="0" t="n">
        <v>0</v>
      </c>
      <c r="AB897" s="0" t="n">
        <v>0</v>
      </c>
      <c r="AC897" s="0" t="n">
        <v>0</v>
      </c>
      <c r="AD897" s="0" t="n">
        <v>1</v>
      </c>
      <c r="AE897" s="0" t="n">
        <v>0</v>
      </c>
      <c r="AF897" s="0" t="n">
        <v>0</v>
      </c>
      <c r="AG897" s="0" t="n">
        <v>0</v>
      </c>
      <c r="AH897" s="0" t="n">
        <v>2.57945168506402</v>
      </c>
      <c r="AI897" s="0" t="n">
        <v>0</v>
      </c>
      <c r="AK897" s="0" t="n">
        <f aca="false">A897</f>
        <v>880</v>
      </c>
      <c r="AL897" s="0" t="n">
        <v>0</v>
      </c>
      <c r="AM897" s="0" t="n">
        <v>0</v>
      </c>
      <c r="AO897" s="0" t="n">
        <v>880</v>
      </c>
      <c r="AP897" s="0" t="n">
        <v>0</v>
      </c>
      <c r="AQ897" s="0" t="n">
        <v>0.546656631206878</v>
      </c>
      <c r="AR897" s="0" t="n">
        <v>784.791729102755</v>
      </c>
      <c r="AS897" s="0" t="n">
        <v>104</v>
      </c>
      <c r="AT897" s="0" t="n">
        <v>104</v>
      </c>
    </row>
    <row r="898" customFormat="false" ht="12" hidden="false" customHeight="false" outlineLevel="0" collapsed="false">
      <c r="A898" s="0" t="n">
        <v>881</v>
      </c>
      <c r="B898" s="0" t="n">
        <v>1</v>
      </c>
      <c r="C898" s="0" t="n">
        <v>0.0487973919943384</v>
      </c>
      <c r="D898" s="0" t="n">
        <v>955.338972456428</v>
      </c>
      <c r="E898" s="0" t="n">
        <v>8</v>
      </c>
      <c r="F898" s="0" t="n">
        <v>10</v>
      </c>
      <c r="G898" s="0" t="n">
        <v>0.5</v>
      </c>
      <c r="H898" s="0" t="n">
        <v>0</v>
      </c>
      <c r="I898" s="0" t="n">
        <v>2.16798855003135</v>
      </c>
      <c r="J898" s="0" t="n">
        <v>961.513050952013</v>
      </c>
      <c r="K898" s="0" t="n">
        <v>6.17407849558538</v>
      </c>
      <c r="L898" s="0" t="n">
        <v>0</v>
      </c>
      <c r="M898" s="0" t="n">
        <v>961.450011194596</v>
      </c>
      <c r="N898" s="0" t="n">
        <v>0</v>
      </c>
      <c r="O898" s="0" t="n">
        <v>881</v>
      </c>
      <c r="P898" s="0" t="n">
        <v>444</v>
      </c>
      <c r="Q898" s="0" t="n">
        <v>437</v>
      </c>
      <c r="R898" s="0" t="n">
        <v>882.963573817028</v>
      </c>
      <c r="S898" s="0" t="n">
        <v>1021.42191142733</v>
      </c>
      <c r="T898" s="0" t="n">
        <v>25</v>
      </c>
      <c r="U898" s="0" t="n">
        <v>23</v>
      </c>
      <c r="V898" s="0" t="n">
        <v>35.3185288252696</v>
      </c>
      <c r="W898" s="0" t="n">
        <v>44.4094552383394</v>
      </c>
      <c r="X898" s="0" t="n">
        <v>6.17407849558538</v>
      </c>
      <c r="Y898" s="0" t="n">
        <v>0</v>
      </c>
      <c r="Z898" s="0" t="n">
        <v>0</v>
      </c>
      <c r="AA898" s="0" t="n">
        <v>0</v>
      </c>
      <c r="AB898" s="0" t="n">
        <v>1</v>
      </c>
      <c r="AC898" s="0" t="n">
        <v>0</v>
      </c>
      <c r="AD898" s="0" t="n">
        <v>0</v>
      </c>
      <c r="AE898" s="0" t="n">
        <v>0</v>
      </c>
      <c r="AF898" s="0" t="n">
        <v>1.57121623330101</v>
      </c>
      <c r="AG898" s="0" t="n">
        <v>0</v>
      </c>
      <c r="AH898" s="0" t="n">
        <v>0</v>
      </c>
      <c r="AI898" s="0" t="n">
        <v>0</v>
      </c>
      <c r="AK898" s="0" t="n">
        <f aca="false">A898</f>
        <v>881</v>
      </c>
      <c r="AL898" s="0" t="n">
        <v>1</v>
      </c>
      <c r="AM898" s="0" t="n">
        <v>0</v>
      </c>
      <c r="AO898" s="0" t="n">
        <v>881</v>
      </c>
      <c r="AP898" s="0" t="n">
        <v>0</v>
      </c>
      <c r="AQ898" s="0" t="n">
        <v>0.799169744855293</v>
      </c>
      <c r="AR898" s="0" t="n">
        <v>785.59089884761</v>
      </c>
      <c r="AS898" s="0" t="n">
        <v>104</v>
      </c>
      <c r="AT898" s="0" t="n">
        <v>104</v>
      </c>
    </row>
    <row r="899" customFormat="false" ht="12" hidden="false" customHeight="false" outlineLevel="0" collapsed="false">
      <c r="A899" s="0" t="n">
        <v>882</v>
      </c>
      <c r="B899" s="0" t="n">
        <v>0</v>
      </c>
      <c r="C899" s="0" t="n">
        <v>2.53024133353003</v>
      </c>
      <c r="D899" s="0" t="n">
        <v>957.869213789958</v>
      </c>
      <c r="E899" s="0" t="n">
        <v>6</v>
      </c>
      <c r="F899" s="0" t="n">
        <v>6</v>
      </c>
      <c r="G899" s="0" t="n">
        <v>0.5</v>
      </c>
      <c r="H899" s="0" t="n">
        <v>1</v>
      </c>
      <c r="I899" s="0" t="n">
        <v>0</v>
      </c>
      <c r="J899" s="0" t="n">
        <v>961.513050952013</v>
      </c>
      <c r="K899" s="0" t="n">
        <v>0</v>
      </c>
      <c r="L899" s="0" t="n">
        <v>2.1012946892163</v>
      </c>
      <c r="M899" s="0" t="n">
        <v>963.551305883812</v>
      </c>
      <c r="N899" s="0" t="n">
        <v>5.68209209385441</v>
      </c>
      <c r="O899" s="0" t="n">
        <v>882</v>
      </c>
      <c r="P899" s="0" t="n">
        <v>444</v>
      </c>
      <c r="Q899" s="0" t="n">
        <v>438</v>
      </c>
      <c r="R899" s="0" t="n">
        <v>765.40655471486</v>
      </c>
      <c r="S899" s="0" t="n">
        <v>1140.04566717927</v>
      </c>
      <c r="T899" s="0" t="n">
        <v>19</v>
      </c>
      <c r="U899" s="0" t="n">
        <v>29</v>
      </c>
      <c r="V899" s="0" t="n">
        <v>40.2845343089219</v>
      </c>
      <c r="W899" s="0" t="n">
        <v>39.31178400003</v>
      </c>
      <c r="X899" s="0" t="n">
        <v>0</v>
      </c>
      <c r="Y899" s="0" t="n">
        <v>0</v>
      </c>
      <c r="Z899" s="0" t="n">
        <v>0</v>
      </c>
      <c r="AA899" s="0" t="n">
        <v>5.68209209385441</v>
      </c>
      <c r="AB899" s="0" t="n">
        <v>0</v>
      </c>
      <c r="AC899" s="0" t="n">
        <v>0</v>
      </c>
      <c r="AD899" s="0" t="n">
        <v>0</v>
      </c>
      <c r="AE899" s="0" t="n">
        <v>1</v>
      </c>
      <c r="AF899" s="0" t="n">
        <v>0</v>
      </c>
      <c r="AG899" s="0" t="n">
        <v>0</v>
      </c>
      <c r="AH899" s="0" t="n">
        <v>0</v>
      </c>
      <c r="AI899" s="0" t="n">
        <v>4.19966601754586</v>
      </c>
      <c r="AK899" s="0" t="n">
        <f aca="false">A899</f>
        <v>882</v>
      </c>
      <c r="AL899" s="0" t="n">
        <v>0</v>
      </c>
      <c r="AM899" s="0" t="n">
        <v>2</v>
      </c>
      <c r="AO899" s="0" t="n">
        <v>882</v>
      </c>
      <c r="AP899" s="0" t="n">
        <v>0</v>
      </c>
      <c r="AQ899" s="0" t="n">
        <v>1.17284466870372</v>
      </c>
      <c r="AR899" s="0" t="n">
        <v>786.763743516314</v>
      </c>
      <c r="AS899" s="0" t="n">
        <v>102</v>
      </c>
      <c r="AT899" s="0" t="n">
        <v>106</v>
      </c>
    </row>
    <row r="900" customFormat="false" ht="12" hidden="false" customHeight="false" outlineLevel="0" collapsed="false">
      <c r="A900" s="0" t="n">
        <v>883</v>
      </c>
      <c r="B900" s="0" t="n">
        <v>1</v>
      </c>
      <c r="C900" s="0" t="n">
        <v>1.3451014858637</v>
      </c>
      <c r="D900" s="0" t="n">
        <v>959.214315275822</v>
      </c>
      <c r="E900" s="0" t="n">
        <v>6</v>
      </c>
      <c r="F900" s="0" t="n">
        <v>8</v>
      </c>
      <c r="G900" s="0" t="n">
        <v>0.5</v>
      </c>
      <c r="H900" s="0" t="n">
        <v>0</v>
      </c>
      <c r="I900" s="0" t="n">
        <v>2.18395659812418</v>
      </c>
      <c r="J900" s="0" t="n">
        <v>963.697007550137</v>
      </c>
      <c r="K900" s="0" t="n">
        <v>4.48269227431581</v>
      </c>
      <c r="L900" s="0" t="n">
        <v>0</v>
      </c>
      <c r="M900" s="0" t="n">
        <v>963.551305883812</v>
      </c>
      <c r="N900" s="0" t="n">
        <v>0</v>
      </c>
      <c r="O900" s="0" t="n">
        <v>883</v>
      </c>
      <c r="P900" s="0" t="n">
        <v>445</v>
      </c>
      <c r="Q900" s="0" t="n">
        <v>438</v>
      </c>
      <c r="R900" s="0" t="n">
        <v>1035.34558256896</v>
      </c>
      <c r="S900" s="0" t="n">
        <v>877.36847088585</v>
      </c>
      <c r="T900" s="0" t="n">
        <v>25</v>
      </c>
      <c r="U900" s="0" t="n">
        <v>23</v>
      </c>
      <c r="V900" s="0" t="n">
        <v>41.4138067372359</v>
      </c>
      <c r="W900" s="0" t="n">
        <v>38.1462894024743</v>
      </c>
      <c r="X900" s="0" t="n">
        <v>4.48269227431581</v>
      </c>
      <c r="Y900" s="0" t="n">
        <v>0</v>
      </c>
      <c r="Z900" s="0" t="n">
        <v>0</v>
      </c>
      <c r="AA900" s="0" t="n">
        <v>0</v>
      </c>
      <c r="AB900" s="0" t="n">
        <v>1</v>
      </c>
      <c r="AC900" s="0" t="n">
        <v>0</v>
      </c>
      <c r="AD900" s="0" t="n">
        <v>0</v>
      </c>
      <c r="AE900" s="0" t="n">
        <v>0</v>
      </c>
      <c r="AF900" s="0" t="n">
        <v>8.67224674731816</v>
      </c>
      <c r="AG900" s="0" t="n">
        <v>0</v>
      </c>
      <c r="AH900" s="0" t="n">
        <v>0</v>
      </c>
      <c r="AI900" s="0" t="n">
        <v>0</v>
      </c>
      <c r="AK900" s="0" t="n">
        <f aca="false">A900</f>
        <v>883</v>
      </c>
      <c r="AL900" s="0" t="n">
        <v>1</v>
      </c>
      <c r="AM900" s="0" t="n">
        <v>3</v>
      </c>
      <c r="AO900" s="0" t="n">
        <v>883</v>
      </c>
      <c r="AP900" s="0" t="n">
        <v>1</v>
      </c>
      <c r="AQ900" s="0" t="n">
        <v>1.29671391552882</v>
      </c>
      <c r="AR900" s="0" t="n">
        <v>788.060457431842</v>
      </c>
      <c r="AS900" s="0" t="n">
        <v>100</v>
      </c>
      <c r="AT900" s="0" t="n">
        <v>106</v>
      </c>
    </row>
    <row r="901" customFormat="false" ht="12" hidden="false" customHeight="false" outlineLevel="0" collapsed="false">
      <c r="A901" s="0" t="n">
        <v>884</v>
      </c>
      <c r="B901" s="0" t="n">
        <v>1</v>
      </c>
      <c r="C901" s="0" t="n">
        <v>1.75625501027937</v>
      </c>
      <c r="D901" s="0" t="n">
        <v>960.970570286101</v>
      </c>
      <c r="E901" s="0" t="n">
        <v>6</v>
      </c>
      <c r="F901" s="0" t="n">
        <v>6</v>
      </c>
      <c r="G901" s="0" t="n">
        <v>0.5</v>
      </c>
      <c r="H901" s="0" t="n">
        <v>0</v>
      </c>
      <c r="I901" s="0" t="n">
        <v>1.98153997496323</v>
      </c>
      <c r="J901" s="0" t="n">
        <v>965.678547525101</v>
      </c>
      <c r="K901" s="0" t="n">
        <v>4.70797723899966</v>
      </c>
      <c r="L901" s="0" t="n">
        <v>0</v>
      </c>
      <c r="M901" s="0" t="n">
        <v>963.551305883812</v>
      </c>
      <c r="N901" s="0" t="n">
        <v>0</v>
      </c>
      <c r="O901" s="0" t="n">
        <v>884</v>
      </c>
      <c r="P901" s="0" t="n">
        <v>446</v>
      </c>
      <c r="Q901" s="0" t="n">
        <v>438</v>
      </c>
      <c r="R901" s="0" t="n">
        <v>746.361288901447</v>
      </c>
      <c r="S901" s="0" t="n">
        <v>1137.52578061528</v>
      </c>
      <c r="T901" s="0" t="n">
        <v>22</v>
      </c>
      <c r="U901" s="0" t="n">
        <v>26</v>
      </c>
      <c r="V901" s="0" t="n">
        <v>33.9254977112032</v>
      </c>
      <c r="W901" s="0" t="n">
        <v>43.7508232897289</v>
      </c>
      <c r="X901" s="0" t="n">
        <v>4.70797723899966</v>
      </c>
      <c r="Y901" s="0" t="n">
        <v>0</v>
      </c>
      <c r="Z901" s="0" t="n">
        <v>0</v>
      </c>
      <c r="AA901" s="0" t="n">
        <v>0</v>
      </c>
      <c r="AB901" s="0" t="n">
        <v>1</v>
      </c>
      <c r="AC901" s="0" t="n">
        <v>0</v>
      </c>
      <c r="AD901" s="0" t="n">
        <v>0</v>
      </c>
      <c r="AE901" s="0" t="n">
        <v>0</v>
      </c>
      <c r="AF901" s="0" t="n">
        <v>7.39613115631734</v>
      </c>
      <c r="AG901" s="0" t="n">
        <v>0</v>
      </c>
      <c r="AH901" s="0" t="n">
        <v>0</v>
      </c>
      <c r="AI901" s="0" t="n">
        <v>0</v>
      </c>
      <c r="AK901" s="0" t="n">
        <f aca="false">A901</f>
        <v>884</v>
      </c>
      <c r="AL901" s="0" t="n">
        <v>0</v>
      </c>
      <c r="AM901" s="0" t="n">
        <v>2</v>
      </c>
      <c r="AO901" s="0" t="n">
        <v>884</v>
      </c>
      <c r="AP901" s="0" t="n">
        <v>0</v>
      </c>
      <c r="AQ901" s="0" t="n">
        <v>0.849067819674794</v>
      </c>
      <c r="AR901" s="0" t="n">
        <v>788.909525251517</v>
      </c>
      <c r="AS901" s="0" t="n">
        <v>102</v>
      </c>
      <c r="AT901" s="0" t="n">
        <v>106</v>
      </c>
    </row>
    <row r="902" customFormat="false" ht="12" hidden="false" customHeight="false" outlineLevel="0" collapsed="false">
      <c r="A902" s="0" t="n">
        <v>885</v>
      </c>
      <c r="B902" s="0" t="n">
        <v>0</v>
      </c>
      <c r="C902" s="0" t="n">
        <v>1.80775079885422</v>
      </c>
      <c r="D902" s="0" t="n">
        <v>962.778321084955</v>
      </c>
      <c r="E902" s="0" t="n">
        <v>6</v>
      </c>
      <c r="F902" s="0" t="n">
        <v>4</v>
      </c>
      <c r="G902" s="0" t="n">
        <v>0.5</v>
      </c>
      <c r="H902" s="0" t="n">
        <v>1</v>
      </c>
      <c r="I902" s="0" t="n">
        <v>0</v>
      </c>
      <c r="J902" s="0" t="n">
        <v>965.678547525101</v>
      </c>
      <c r="K902" s="0" t="n">
        <v>0</v>
      </c>
      <c r="L902" s="0" t="n">
        <v>1.94473508803109</v>
      </c>
      <c r="M902" s="0" t="n">
        <v>965.496040971843</v>
      </c>
      <c r="N902" s="0" t="n">
        <v>2.71771988688818</v>
      </c>
      <c r="O902" s="0" t="n">
        <v>885</v>
      </c>
      <c r="P902" s="0" t="n">
        <v>446</v>
      </c>
      <c r="Q902" s="0" t="n">
        <v>439</v>
      </c>
      <c r="R902" s="0" t="n">
        <v>1476.61681575069</v>
      </c>
      <c r="S902" s="0" t="n">
        <v>426.068134078293</v>
      </c>
      <c r="T902" s="0" t="n">
        <v>31</v>
      </c>
      <c r="U902" s="0" t="n">
        <v>17</v>
      </c>
      <c r="V902" s="0" t="n">
        <v>47.6327851426721</v>
      </c>
      <c r="W902" s="0" t="n">
        <v>25.0626839888173</v>
      </c>
      <c r="X902" s="0" t="n">
        <v>0</v>
      </c>
      <c r="Y902" s="0" t="n">
        <v>0</v>
      </c>
      <c r="Z902" s="0" t="n">
        <v>0</v>
      </c>
      <c r="AA902" s="0" t="n">
        <v>2.71771988688818</v>
      </c>
      <c r="AB902" s="0" t="n">
        <v>0</v>
      </c>
      <c r="AC902" s="0" t="n">
        <v>0</v>
      </c>
      <c r="AD902" s="0" t="n">
        <v>0</v>
      </c>
      <c r="AE902" s="0" t="n">
        <v>1</v>
      </c>
      <c r="AF902" s="0" t="n">
        <v>0</v>
      </c>
      <c r="AG902" s="0" t="n">
        <v>0</v>
      </c>
      <c r="AH902" s="0" t="n">
        <v>0</v>
      </c>
      <c r="AI902" s="0" t="n">
        <v>25.1369959179739</v>
      </c>
      <c r="AK902" s="0" t="n">
        <f aca="false">A902</f>
        <v>885</v>
      </c>
      <c r="AL902" s="0" t="n">
        <v>1</v>
      </c>
      <c r="AM902" s="0" t="n">
        <v>1</v>
      </c>
      <c r="AO902" s="0" t="n">
        <v>885</v>
      </c>
      <c r="AP902" s="0" t="n">
        <v>1</v>
      </c>
      <c r="AQ902" s="0" t="n">
        <v>0.666518427398973</v>
      </c>
      <c r="AR902" s="0" t="n">
        <v>789.576043678916</v>
      </c>
      <c r="AS902" s="0" t="n">
        <v>104</v>
      </c>
      <c r="AT902" s="0" t="n">
        <v>106</v>
      </c>
    </row>
    <row r="903" customFormat="false" ht="12" hidden="false" customHeight="false" outlineLevel="0" collapsed="false">
      <c r="A903" s="0" t="n">
        <v>886</v>
      </c>
      <c r="B903" s="0" t="n">
        <v>0</v>
      </c>
      <c r="C903" s="0" t="n">
        <v>1.28358530464772</v>
      </c>
      <c r="D903" s="0" t="n">
        <v>964.061906389603</v>
      </c>
      <c r="E903" s="0" t="n">
        <v>4</v>
      </c>
      <c r="F903" s="0" t="n">
        <v>4</v>
      </c>
      <c r="G903" s="0" t="n">
        <v>0.5</v>
      </c>
      <c r="H903" s="0" t="n">
        <v>1</v>
      </c>
      <c r="I903" s="0" t="n">
        <v>0</v>
      </c>
      <c r="J903" s="0" t="n">
        <v>965.678547525101</v>
      </c>
      <c r="K903" s="0" t="n">
        <v>0</v>
      </c>
      <c r="L903" s="0" t="n">
        <v>2.05723438547991</v>
      </c>
      <c r="M903" s="0" t="n">
        <v>967.553275357323</v>
      </c>
      <c r="N903" s="0" t="n">
        <v>3.49136896772029</v>
      </c>
      <c r="O903" s="0" t="n">
        <v>886</v>
      </c>
      <c r="P903" s="0" t="n">
        <v>446</v>
      </c>
      <c r="Q903" s="0" t="n">
        <v>440</v>
      </c>
      <c r="R903" s="0" t="n">
        <v>703.244489017096</v>
      </c>
      <c r="S903" s="0" t="n">
        <v>1184.48834636913</v>
      </c>
      <c r="T903" s="0" t="n">
        <v>22</v>
      </c>
      <c r="U903" s="0" t="n">
        <v>26</v>
      </c>
      <c r="V903" s="0" t="n">
        <v>31.965644061848</v>
      </c>
      <c r="W903" s="0" t="n">
        <v>45.5570688716247</v>
      </c>
      <c r="X903" s="0" t="n">
        <v>0</v>
      </c>
      <c r="Y903" s="0" t="n">
        <v>0</v>
      </c>
      <c r="Z903" s="0" t="n">
        <v>0</v>
      </c>
      <c r="AA903" s="0" t="n">
        <v>3.49136896772029</v>
      </c>
      <c r="AB903" s="0" t="n">
        <v>0</v>
      </c>
      <c r="AC903" s="0" t="n">
        <v>0</v>
      </c>
      <c r="AD903" s="0" t="n">
        <v>0</v>
      </c>
      <c r="AE903" s="0" t="n">
        <v>1</v>
      </c>
      <c r="AF903" s="0" t="n">
        <v>0</v>
      </c>
      <c r="AG903" s="0" t="n">
        <v>0</v>
      </c>
      <c r="AH903" s="0" t="n">
        <v>0</v>
      </c>
      <c r="AI903" s="0" t="n">
        <v>17.9778696169356</v>
      </c>
      <c r="AK903" s="0" t="n">
        <f aca="false">A903</f>
        <v>886</v>
      </c>
      <c r="AL903" s="0" t="n">
        <v>0</v>
      </c>
      <c r="AM903" s="0" t="n">
        <v>0</v>
      </c>
      <c r="AO903" s="0" t="n">
        <v>886</v>
      </c>
      <c r="AP903" s="0" t="n">
        <v>1</v>
      </c>
      <c r="AQ903" s="0" t="n">
        <v>0.0183803911602215</v>
      </c>
      <c r="AR903" s="0" t="n">
        <v>789.594424070076</v>
      </c>
      <c r="AS903" s="0" t="n">
        <v>106</v>
      </c>
      <c r="AT903" s="0" t="n">
        <v>106</v>
      </c>
    </row>
    <row r="904" customFormat="false" ht="12" hidden="false" customHeight="false" outlineLevel="0" collapsed="false">
      <c r="A904" s="0" t="n">
        <v>887</v>
      </c>
      <c r="B904" s="0" t="n">
        <v>1</v>
      </c>
      <c r="C904" s="0" t="n">
        <v>0.525315093326145</v>
      </c>
      <c r="D904" s="0" t="n">
        <v>964.587221482929</v>
      </c>
      <c r="E904" s="0" t="n">
        <v>4</v>
      </c>
      <c r="F904" s="0" t="n">
        <v>6</v>
      </c>
      <c r="G904" s="0" t="n">
        <v>0.5</v>
      </c>
      <c r="H904" s="0" t="n">
        <v>0</v>
      </c>
      <c r="I904" s="0" t="n">
        <v>1.95244414600551</v>
      </c>
      <c r="J904" s="0" t="n">
        <v>967.630991671106</v>
      </c>
      <c r="K904" s="0" t="n">
        <v>3.04377018817695</v>
      </c>
      <c r="L904" s="0" t="n">
        <v>0</v>
      </c>
      <c r="M904" s="0" t="n">
        <v>967.553275357323</v>
      </c>
      <c r="N904" s="0" t="n">
        <v>0</v>
      </c>
      <c r="O904" s="0" t="n">
        <v>887</v>
      </c>
      <c r="P904" s="0" t="n">
        <v>447</v>
      </c>
      <c r="Q904" s="0" t="n">
        <v>440</v>
      </c>
      <c r="R904" s="0" t="n">
        <v>885.616355440709</v>
      </c>
      <c r="S904" s="0" t="n">
        <v>1002.36611824729</v>
      </c>
      <c r="T904" s="0" t="n">
        <v>23</v>
      </c>
      <c r="U904" s="0" t="n">
        <v>25</v>
      </c>
      <c r="V904" s="0" t="n">
        <v>38.5050421908821</v>
      </c>
      <c r="W904" s="0" t="n">
        <v>40.0944843519541</v>
      </c>
      <c r="X904" s="0" t="n">
        <v>3.04377018817695</v>
      </c>
      <c r="Y904" s="0" t="n">
        <v>0</v>
      </c>
      <c r="Z904" s="0" t="n">
        <v>0</v>
      </c>
      <c r="AA904" s="0" t="n">
        <v>0</v>
      </c>
      <c r="AB904" s="0" t="n">
        <v>1</v>
      </c>
      <c r="AC904" s="0" t="n">
        <v>0</v>
      </c>
      <c r="AD904" s="0" t="n">
        <v>0</v>
      </c>
      <c r="AE904" s="0" t="n">
        <v>0</v>
      </c>
      <c r="AF904" s="0" t="n">
        <v>19.2176143431618</v>
      </c>
      <c r="AG904" s="0" t="n">
        <v>0</v>
      </c>
      <c r="AH904" s="0" t="n">
        <v>0</v>
      </c>
      <c r="AI904" s="0" t="n">
        <v>0</v>
      </c>
      <c r="AK904" s="0" t="n">
        <f aca="false">A904</f>
        <v>887</v>
      </c>
      <c r="AL904" s="0" t="n">
        <v>1</v>
      </c>
      <c r="AM904" s="0" t="n">
        <v>1</v>
      </c>
      <c r="AO904" s="0" t="n">
        <v>887</v>
      </c>
      <c r="AP904" s="0" t="n">
        <v>0</v>
      </c>
      <c r="AQ904" s="0" t="n">
        <v>1.02976934348189</v>
      </c>
      <c r="AR904" s="0" t="n">
        <v>790.624193413558</v>
      </c>
      <c r="AS904" s="0" t="n">
        <v>106</v>
      </c>
      <c r="AT904" s="0" t="n">
        <v>104</v>
      </c>
    </row>
    <row r="905" customFormat="false" ht="12" hidden="false" customHeight="false" outlineLevel="0" collapsed="false">
      <c r="A905" s="0" t="n">
        <v>888</v>
      </c>
      <c r="B905" s="0" t="n">
        <v>0</v>
      </c>
      <c r="C905" s="0" t="n">
        <v>0.311801287932229</v>
      </c>
      <c r="D905" s="0" t="n">
        <v>964.899022770861</v>
      </c>
      <c r="E905" s="0" t="n">
        <v>6</v>
      </c>
      <c r="F905" s="0" t="n">
        <v>6</v>
      </c>
      <c r="G905" s="0" t="n">
        <v>0.5</v>
      </c>
      <c r="H905" s="0" t="n">
        <v>0</v>
      </c>
      <c r="I905" s="0" t="n">
        <v>2.20926520839738</v>
      </c>
      <c r="J905" s="0" t="n">
        <v>969.840256879504</v>
      </c>
      <c r="K905" s="0" t="n">
        <v>4.94123410864211</v>
      </c>
      <c r="L905" s="0" t="n">
        <v>0</v>
      </c>
      <c r="M905" s="0" t="n">
        <v>967.553275357323</v>
      </c>
      <c r="N905" s="0" t="n">
        <v>0</v>
      </c>
      <c r="O905" s="0" t="n">
        <v>888</v>
      </c>
      <c r="P905" s="0" t="n">
        <v>448</v>
      </c>
      <c r="Q905" s="0" t="n">
        <v>440</v>
      </c>
      <c r="R905" s="0" t="n">
        <v>902.028190449754</v>
      </c>
      <c r="S905" s="0" t="n">
        <v>965.920872810987</v>
      </c>
      <c r="T905" s="0" t="n">
        <v>20</v>
      </c>
      <c r="U905" s="0" t="n">
        <v>28</v>
      </c>
      <c r="V905" s="0" t="n">
        <v>45.1013869717942</v>
      </c>
      <c r="W905" s="0" t="n">
        <v>34.4970508252109</v>
      </c>
      <c r="X905" s="0" t="n">
        <v>0</v>
      </c>
      <c r="Y905" s="0" t="n">
        <v>4.94123410864211</v>
      </c>
      <c r="Z905" s="0" t="n">
        <v>0</v>
      </c>
      <c r="AA905" s="0" t="n">
        <v>0</v>
      </c>
      <c r="AB905" s="0" t="n">
        <v>0</v>
      </c>
      <c r="AC905" s="0" t="n">
        <v>1</v>
      </c>
      <c r="AD905" s="0" t="n">
        <v>0</v>
      </c>
      <c r="AE905" s="0" t="n">
        <v>0</v>
      </c>
      <c r="AF905" s="0" t="n">
        <v>0</v>
      </c>
      <c r="AG905" s="0" t="n">
        <v>11.0052949187642</v>
      </c>
      <c r="AH905" s="0" t="n">
        <v>0</v>
      </c>
      <c r="AI905" s="0" t="n">
        <v>0</v>
      </c>
      <c r="AK905" s="0" t="n">
        <f aca="false">A905</f>
        <v>888</v>
      </c>
      <c r="AL905" s="0" t="n">
        <v>0</v>
      </c>
      <c r="AM905" s="0" t="n">
        <v>2</v>
      </c>
      <c r="AO905" s="0" t="n">
        <v>888</v>
      </c>
      <c r="AP905" s="0" t="n">
        <v>1</v>
      </c>
      <c r="AQ905" s="0" t="n">
        <v>0.84098151410753</v>
      </c>
      <c r="AR905" s="0" t="n">
        <v>791.465174927666</v>
      </c>
      <c r="AS905" s="0" t="n">
        <v>108</v>
      </c>
      <c r="AT905" s="0" t="n">
        <v>104</v>
      </c>
    </row>
    <row r="906" customFormat="false" ht="12" hidden="false" customHeight="false" outlineLevel="0" collapsed="false">
      <c r="A906" s="0" t="n">
        <v>889</v>
      </c>
      <c r="B906" s="0" t="n">
        <v>0</v>
      </c>
      <c r="C906" s="0" t="n">
        <v>0.795710353263257</v>
      </c>
      <c r="D906" s="0" t="n">
        <v>965.694733124125</v>
      </c>
      <c r="E906" s="0" t="n">
        <v>6</v>
      </c>
      <c r="F906" s="0" t="n">
        <v>4</v>
      </c>
      <c r="G906" s="0" t="n">
        <v>0.5</v>
      </c>
      <c r="H906" s="0" t="n">
        <v>1</v>
      </c>
      <c r="I906" s="0" t="n">
        <v>0</v>
      </c>
      <c r="J906" s="0" t="n">
        <v>969.840256879504</v>
      </c>
      <c r="K906" s="0" t="n">
        <v>0</v>
      </c>
      <c r="L906" s="0" t="n">
        <v>1.91075678182676</v>
      </c>
      <c r="M906" s="0" t="n">
        <v>969.46403213915</v>
      </c>
      <c r="N906" s="0" t="n">
        <v>3.76929901502535</v>
      </c>
      <c r="O906" s="0" t="n">
        <v>889</v>
      </c>
      <c r="P906" s="0" t="n">
        <v>448</v>
      </c>
      <c r="Q906" s="0" t="n">
        <v>441</v>
      </c>
      <c r="R906" s="0" t="n">
        <v>1165.38126181588</v>
      </c>
      <c r="S906" s="0" t="n">
        <v>712.549098592357</v>
      </c>
      <c r="T906" s="0" t="n">
        <v>29</v>
      </c>
      <c r="U906" s="0" t="n">
        <v>19</v>
      </c>
      <c r="V906" s="0" t="n">
        <v>40.1855468951867</v>
      </c>
      <c r="W906" s="0" t="n">
        <v>37.5023867554569</v>
      </c>
      <c r="X906" s="0" t="n">
        <v>0</v>
      </c>
      <c r="Y906" s="0" t="n">
        <v>0</v>
      </c>
      <c r="Z906" s="0" t="n">
        <v>0</v>
      </c>
      <c r="AA906" s="0" t="n">
        <v>3.76929901502535</v>
      </c>
      <c r="AB906" s="0" t="n">
        <v>0</v>
      </c>
      <c r="AC906" s="0" t="n">
        <v>0</v>
      </c>
      <c r="AD906" s="0" t="n">
        <v>0</v>
      </c>
      <c r="AE906" s="0" t="n">
        <v>1</v>
      </c>
      <c r="AF906" s="0" t="n">
        <v>0</v>
      </c>
      <c r="AG906" s="0" t="n">
        <v>0</v>
      </c>
      <c r="AH906" s="0" t="n">
        <v>0</v>
      </c>
      <c r="AI906" s="0" t="n">
        <v>15.698250253784</v>
      </c>
      <c r="AK906" s="0" t="n">
        <f aca="false">A906</f>
        <v>889</v>
      </c>
      <c r="AL906" s="0" t="n">
        <v>1</v>
      </c>
      <c r="AM906" s="0" t="n">
        <v>1</v>
      </c>
      <c r="AO906" s="0" t="n">
        <v>889</v>
      </c>
      <c r="AP906" s="0" t="n">
        <v>0</v>
      </c>
      <c r="AQ906" s="0" t="n">
        <v>0.711919199459652</v>
      </c>
      <c r="AR906" s="0" t="n">
        <v>792.177094127125</v>
      </c>
      <c r="AS906" s="0" t="n">
        <v>106</v>
      </c>
      <c r="AT906" s="0" t="n">
        <v>104</v>
      </c>
    </row>
    <row r="907" customFormat="false" ht="12" hidden="false" customHeight="false" outlineLevel="0" collapsed="false">
      <c r="A907" s="0" t="n">
        <v>890</v>
      </c>
      <c r="B907" s="0" t="n">
        <v>1</v>
      </c>
      <c r="C907" s="0" t="n">
        <v>1.57523171819002</v>
      </c>
      <c r="D907" s="0" t="n">
        <v>967.269964842315</v>
      </c>
      <c r="E907" s="0" t="n">
        <v>6</v>
      </c>
      <c r="F907" s="0" t="n">
        <v>6</v>
      </c>
      <c r="G907" s="0" t="n">
        <v>0.5</v>
      </c>
      <c r="H907" s="0" t="n">
        <v>0</v>
      </c>
      <c r="I907" s="0" t="n">
        <v>1.93882119277811</v>
      </c>
      <c r="J907" s="0" t="n">
        <v>971.779078072282</v>
      </c>
      <c r="K907" s="0" t="n">
        <v>4.50911322996694</v>
      </c>
      <c r="L907" s="0" t="n">
        <v>0</v>
      </c>
      <c r="M907" s="0" t="n">
        <v>969.46403213915</v>
      </c>
      <c r="N907" s="0" t="n">
        <v>0</v>
      </c>
      <c r="O907" s="0" t="n">
        <v>890</v>
      </c>
      <c r="P907" s="0" t="n">
        <v>449</v>
      </c>
      <c r="Q907" s="0" t="n">
        <v>441</v>
      </c>
      <c r="R907" s="0" t="n">
        <v>747.662399029965</v>
      </c>
      <c r="S907" s="0" t="n">
        <v>1134.73936460964</v>
      </c>
      <c r="T907" s="0" t="n">
        <v>20</v>
      </c>
      <c r="U907" s="0" t="n">
        <v>28</v>
      </c>
      <c r="V907" s="0" t="n">
        <v>37.3831012599476</v>
      </c>
      <c r="W907" s="0" t="n">
        <v>40.5262611422687</v>
      </c>
      <c r="X907" s="0" t="n">
        <v>4.50911322996694</v>
      </c>
      <c r="Y907" s="0" t="n">
        <v>0</v>
      </c>
      <c r="Z907" s="0" t="n">
        <v>0</v>
      </c>
      <c r="AA907" s="0" t="n">
        <v>0</v>
      </c>
      <c r="AB907" s="0" t="n">
        <v>1</v>
      </c>
      <c r="AC907" s="0" t="n">
        <v>0</v>
      </c>
      <c r="AD907" s="0" t="n">
        <v>0</v>
      </c>
      <c r="AE907" s="0" t="n">
        <v>0</v>
      </c>
      <c r="AF907" s="0" t="n">
        <v>8.51733236765152</v>
      </c>
      <c r="AG907" s="0" t="n">
        <v>0</v>
      </c>
      <c r="AH907" s="0" t="n">
        <v>0</v>
      </c>
      <c r="AI907" s="0" t="n">
        <v>0</v>
      </c>
      <c r="AK907" s="0" t="n">
        <f aca="false">A907</f>
        <v>890</v>
      </c>
      <c r="AL907" s="0" t="n">
        <v>0</v>
      </c>
      <c r="AM907" s="0" t="n">
        <v>2</v>
      </c>
      <c r="AO907" s="0" t="n">
        <v>890</v>
      </c>
      <c r="AP907" s="0" t="n">
        <v>1</v>
      </c>
      <c r="AQ907" s="0" t="n">
        <v>0.857059785952435</v>
      </c>
      <c r="AR907" s="0" t="n">
        <v>793.034153913078</v>
      </c>
      <c r="AS907" s="0" t="n">
        <v>108</v>
      </c>
      <c r="AT907" s="0" t="n">
        <v>104</v>
      </c>
    </row>
    <row r="908" customFormat="false" ht="12" hidden="false" customHeight="false" outlineLevel="0" collapsed="false">
      <c r="A908" s="0" t="n">
        <v>891</v>
      </c>
      <c r="B908" s="0" t="n">
        <v>1</v>
      </c>
      <c r="C908" s="0" t="n">
        <v>0.0430814689118446</v>
      </c>
      <c r="D908" s="0" t="n">
        <v>967.313046311227</v>
      </c>
      <c r="E908" s="0" t="n">
        <v>8</v>
      </c>
      <c r="F908" s="0" t="n">
        <v>6</v>
      </c>
      <c r="G908" s="0" t="n">
        <v>0.5</v>
      </c>
      <c r="H908" s="0" t="n">
        <v>1</v>
      </c>
      <c r="I908" s="0" t="n">
        <v>0</v>
      </c>
      <c r="J908" s="0" t="n">
        <v>971.779078072282</v>
      </c>
      <c r="K908" s="0" t="n">
        <v>0</v>
      </c>
      <c r="L908" s="0" t="n">
        <v>1.82250861954056</v>
      </c>
      <c r="M908" s="0" t="n">
        <v>971.286540758691</v>
      </c>
      <c r="N908" s="0" t="n">
        <v>3.97349444746408</v>
      </c>
      <c r="O908" s="0" t="n">
        <v>891</v>
      </c>
      <c r="P908" s="0" t="n">
        <v>449</v>
      </c>
      <c r="Q908" s="0" t="n">
        <v>442</v>
      </c>
      <c r="R908" s="0" t="n">
        <v>1056.47379385592</v>
      </c>
      <c r="S908" s="0" t="n">
        <v>839.533952194255</v>
      </c>
      <c r="T908" s="0" t="n">
        <v>28</v>
      </c>
      <c r="U908" s="0" t="n">
        <v>20</v>
      </c>
      <c r="V908" s="0" t="n">
        <v>37.7311934479994</v>
      </c>
      <c r="W908" s="0" t="n">
        <v>41.9764877272741</v>
      </c>
      <c r="X908" s="0" t="n">
        <v>0</v>
      </c>
      <c r="Y908" s="0" t="n">
        <v>0</v>
      </c>
      <c r="Z908" s="0" t="n">
        <v>3.97349444746408</v>
      </c>
      <c r="AA908" s="0" t="n">
        <v>0</v>
      </c>
      <c r="AB908" s="0" t="n">
        <v>0</v>
      </c>
      <c r="AC908" s="0" t="n">
        <v>0</v>
      </c>
      <c r="AD908" s="0" t="n">
        <v>1</v>
      </c>
      <c r="AE908" s="0" t="n">
        <v>0</v>
      </c>
      <c r="AF908" s="0" t="n">
        <v>0</v>
      </c>
      <c r="AG908" s="0" t="n">
        <v>0</v>
      </c>
      <c r="AH908" s="0" t="n">
        <v>14.3823647419437</v>
      </c>
      <c r="AI908" s="0" t="n">
        <v>0</v>
      </c>
      <c r="AK908" s="0" t="n">
        <f aca="false">A908</f>
        <v>891</v>
      </c>
      <c r="AL908" s="0" t="n">
        <v>1</v>
      </c>
      <c r="AM908" s="0" t="n">
        <v>1</v>
      </c>
      <c r="AO908" s="0" t="n">
        <v>891</v>
      </c>
      <c r="AP908" s="0" t="n">
        <v>0</v>
      </c>
      <c r="AQ908" s="0" t="n">
        <v>0.226948346775342</v>
      </c>
      <c r="AR908" s="0" t="n">
        <v>793.261102259853</v>
      </c>
      <c r="AS908" s="0" t="n">
        <v>108</v>
      </c>
      <c r="AT908" s="0" t="n">
        <v>106</v>
      </c>
    </row>
    <row r="909" customFormat="false" ht="12" hidden="false" customHeight="false" outlineLevel="0" collapsed="false">
      <c r="A909" s="0" t="n">
        <v>892</v>
      </c>
      <c r="B909" s="0" t="n">
        <v>1</v>
      </c>
      <c r="C909" s="0" t="n">
        <v>0.71126156612184</v>
      </c>
      <c r="D909" s="0" t="n">
        <v>968.024307877348</v>
      </c>
      <c r="E909" s="0" t="n">
        <v>6</v>
      </c>
      <c r="F909" s="0" t="n">
        <v>6</v>
      </c>
      <c r="G909" s="0" t="n">
        <v>0.5</v>
      </c>
      <c r="H909" s="0" t="n">
        <v>1</v>
      </c>
      <c r="I909" s="0" t="n">
        <v>0</v>
      </c>
      <c r="J909" s="0" t="n">
        <v>971.779078072282</v>
      </c>
      <c r="K909" s="0" t="n">
        <v>0</v>
      </c>
      <c r="L909" s="0" t="n">
        <v>2.22605058587625</v>
      </c>
      <c r="M909" s="0" t="n">
        <v>973.512591344567</v>
      </c>
      <c r="N909" s="0" t="n">
        <v>5.48828346721848</v>
      </c>
      <c r="O909" s="0" t="n">
        <v>892</v>
      </c>
      <c r="P909" s="0" t="n">
        <v>449</v>
      </c>
      <c r="Q909" s="0" t="n">
        <v>443</v>
      </c>
      <c r="R909" s="0" t="n">
        <v>956.218450714795</v>
      </c>
      <c r="S909" s="0" t="n">
        <v>946.526644506888</v>
      </c>
      <c r="T909" s="0" t="n">
        <v>25</v>
      </c>
      <c r="U909" s="0" t="n">
        <v>23</v>
      </c>
      <c r="V909" s="0" t="n">
        <v>38.2487227291027</v>
      </c>
      <c r="W909" s="0" t="n">
        <v>41.1531534431106</v>
      </c>
      <c r="X909" s="0" t="n">
        <v>0</v>
      </c>
      <c r="Y909" s="0" t="n">
        <v>0</v>
      </c>
      <c r="Z909" s="0" t="n">
        <v>5.48828346721848</v>
      </c>
      <c r="AA909" s="0" t="n">
        <v>0</v>
      </c>
      <c r="AB909" s="0" t="n">
        <v>0</v>
      </c>
      <c r="AC909" s="0" t="n">
        <v>0</v>
      </c>
      <c r="AD909" s="0" t="n">
        <v>1</v>
      </c>
      <c r="AE909" s="0" t="n">
        <v>0</v>
      </c>
      <c r="AF909" s="0" t="n">
        <v>0</v>
      </c>
      <c r="AG909" s="0" t="n">
        <v>0</v>
      </c>
      <c r="AH909" s="0" t="n">
        <v>5.18755200487684</v>
      </c>
      <c r="AI909" s="0" t="n">
        <v>0</v>
      </c>
      <c r="AK909" s="0" t="n">
        <f aca="false">A909</f>
        <v>892</v>
      </c>
      <c r="AL909" s="0" t="n">
        <v>0</v>
      </c>
      <c r="AM909" s="0" t="n">
        <v>1</v>
      </c>
      <c r="AO909" s="0" t="n">
        <v>892</v>
      </c>
      <c r="AP909" s="0" t="n">
        <v>0</v>
      </c>
      <c r="AQ909" s="0" t="n">
        <v>0.526615493589434</v>
      </c>
      <c r="AR909" s="0" t="n">
        <v>793.787717753443</v>
      </c>
      <c r="AS909" s="0" t="n">
        <v>106</v>
      </c>
      <c r="AT909" s="0" t="n">
        <v>108</v>
      </c>
    </row>
    <row r="910" customFormat="false" ht="12" hidden="false" customHeight="false" outlineLevel="0" collapsed="false">
      <c r="A910" s="0" t="n">
        <v>893</v>
      </c>
      <c r="B910" s="0" t="n">
        <v>1</v>
      </c>
      <c r="C910" s="0" t="n">
        <v>1.31131831474251</v>
      </c>
      <c r="D910" s="0" t="n">
        <v>969.335626192091</v>
      </c>
      <c r="E910" s="0" t="n">
        <v>6</v>
      </c>
      <c r="F910" s="0" t="n">
        <v>8</v>
      </c>
      <c r="G910" s="0" t="n">
        <v>0.5</v>
      </c>
      <c r="H910" s="0" t="n">
        <v>0</v>
      </c>
      <c r="I910" s="0" t="n">
        <v>2.1744608226341</v>
      </c>
      <c r="J910" s="0" t="n">
        <v>973.953538894916</v>
      </c>
      <c r="K910" s="0" t="n">
        <v>4.61791270282481</v>
      </c>
      <c r="L910" s="0" t="n">
        <v>0</v>
      </c>
      <c r="M910" s="0" t="n">
        <v>973.512591344567</v>
      </c>
      <c r="N910" s="0" t="n">
        <v>0</v>
      </c>
      <c r="O910" s="0" t="n">
        <v>893</v>
      </c>
      <c r="P910" s="0" t="n">
        <v>450</v>
      </c>
      <c r="Q910" s="0" t="n">
        <v>443</v>
      </c>
      <c r="R910" s="0" t="n">
        <v>1076.13040575553</v>
      </c>
      <c r="S910" s="0" t="n">
        <v>806.921447795341</v>
      </c>
      <c r="T910" s="0" t="n">
        <v>26</v>
      </c>
      <c r="U910" s="0" t="n">
        <v>22</v>
      </c>
      <c r="V910" s="0" t="n">
        <v>41.3896150715146</v>
      </c>
      <c r="W910" s="0" t="n">
        <v>36.6780809085114</v>
      </c>
      <c r="X910" s="0" t="n">
        <v>4.61791270282481</v>
      </c>
      <c r="Y910" s="0" t="n">
        <v>0</v>
      </c>
      <c r="Z910" s="0" t="n">
        <v>0</v>
      </c>
      <c r="AA910" s="0" t="n">
        <v>0</v>
      </c>
      <c r="AB910" s="0" t="n">
        <v>1</v>
      </c>
      <c r="AC910" s="0" t="n">
        <v>0</v>
      </c>
      <c r="AD910" s="0" t="n">
        <v>0</v>
      </c>
      <c r="AE910" s="0" t="n">
        <v>0</v>
      </c>
      <c r="AF910" s="0" t="n">
        <v>7.89411872215896</v>
      </c>
      <c r="AG910" s="0" t="n">
        <v>0</v>
      </c>
      <c r="AH910" s="0" t="n">
        <v>0</v>
      </c>
      <c r="AI910" s="0" t="n">
        <v>0</v>
      </c>
      <c r="AK910" s="0" t="n">
        <f aca="false">A910</f>
        <v>893</v>
      </c>
      <c r="AL910" s="0" t="n">
        <v>1</v>
      </c>
      <c r="AM910" s="0" t="n">
        <v>0</v>
      </c>
      <c r="AO910" s="0" t="n">
        <v>893</v>
      </c>
      <c r="AP910" s="0" t="n">
        <v>0</v>
      </c>
      <c r="AQ910" s="0" t="n">
        <v>0.171284828377221</v>
      </c>
      <c r="AR910" s="0" t="n">
        <v>793.95900258182</v>
      </c>
      <c r="AS910" s="0" t="n">
        <v>108</v>
      </c>
      <c r="AT910" s="0" t="n">
        <v>108</v>
      </c>
    </row>
    <row r="911" customFormat="false" ht="12" hidden="false" customHeight="false" outlineLevel="0" collapsed="false">
      <c r="A911" s="0" t="n">
        <v>894</v>
      </c>
      <c r="B911" s="0" t="n">
        <v>0</v>
      </c>
      <c r="C911" s="0" t="n">
        <v>0.101806507482418</v>
      </c>
      <c r="D911" s="0" t="n">
        <v>969.437432699573</v>
      </c>
      <c r="E911" s="0" t="n">
        <v>8</v>
      </c>
      <c r="F911" s="0" t="n">
        <v>8</v>
      </c>
      <c r="G911" s="0" t="n">
        <v>0.5</v>
      </c>
      <c r="H911" s="0" t="n">
        <v>1</v>
      </c>
      <c r="I911" s="0" t="n">
        <v>0</v>
      </c>
      <c r="J911" s="0" t="n">
        <v>973.953538894916</v>
      </c>
      <c r="K911" s="0" t="n">
        <v>0</v>
      </c>
      <c r="L911" s="0" t="n">
        <v>1.89712850140023</v>
      </c>
      <c r="M911" s="0" t="n">
        <v>975.409719845967</v>
      </c>
      <c r="N911" s="0" t="n">
        <v>5.97228714639391</v>
      </c>
      <c r="O911" s="0" t="n">
        <v>894</v>
      </c>
      <c r="P911" s="0" t="n">
        <v>450</v>
      </c>
      <c r="Q911" s="0" t="n">
        <v>444</v>
      </c>
      <c r="R911" s="0" t="n">
        <v>715.575086595436</v>
      </c>
      <c r="S911" s="0" t="n">
        <v>1178.10999976128</v>
      </c>
      <c r="T911" s="0" t="n">
        <v>20</v>
      </c>
      <c r="U911" s="0" t="n">
        <v>28</v>
      </c>
      <c r="V911" s="0" t="n">
        <v>35.7787364404036</v>
      </c>
      <c r="W911" s="0" t="n">
        <v>42.0752068657356</v>
      </c>
      <c r="X911" s="0" t="n">
        <v>0</v>
      </c>
      <c r="Y911" s="0" t="n">
        <v>0</v>
      </c>
      <c r="Z911" s="0" t="n">
        <v>0</v>
      </c>
      <c r="AA911" s="0" t="n">
        <v>5.97228714639391</v>
      </c>
      <c r="AB911" s="0" t="n">
        <v>0</v>
      </c>
      <c r="AC911" s="0" t="n">
        <v>0</v>
      </c>
      <c r="AD911" s="0" t="n">
        <v>0</v>
      </c>
      <c r="AE911" s="0" t="n">
        <v>1</v>
      </c>
      <c r="AF911" s="0" t="n">
        <v>0</v>
      </c>
      <c r="AG911" s="0" t="n">
        <v>0</v>
      </c>
      <c r="AH911" s="0" t="n">
        <v>0</v>
      </c>
      <c r="AI911" s="0" t="n">
        <v>3.0944807127903</v>
      </c>
      <c r="AK911" s="0" t="n">
        <f aca="false">A911</f>
        <v>894</v>
      </c>
      <c r="AL911" s="0" t="n">
        <v>0</v>
      </c>
      <c r="AM911" s="0" t="n">
        <v>2</v>
      </c>
      <c r="AO911" s="0" t="n">
        <v>894</v>
      </c>
      <c r="AP911" s="0" t="n">
        <v>0</v>
      </c>
      <c r="AQ911" s="0" t="n">
        <v>0.238681013738162</v>
      </c>
      <c r="AR911" s="0" t="n">
        <v>794.197683595558</v>
      </c>
      <c r="AS911" s="0" t="n">
        <v>110</v>
      </c>
      <c r="AT911" s="0" t="n">
        <v>106</v>
      </c>
    </row>
    <row r="912" customFormat="false" ht="12" hidden="false" customHeight="false" outlineLevel="0" collapsed="false">
      <c r="A912" s="0" t="n">
        <v>895</v>
      </c>
      <c r="B912" s="0" t="n">
        <v>0</v>
      </c>
      <c r="C912" s="0" t="n">
        <v>2.74314967856205</v>
      </c>
      <c r="D912" s="0" t="n">
        <v>972.180582378135</v>
      </c>
      <c r="E912" s="0" t="n">
        <v>4</v>
      </c>
      <c r="F912" s="0" t="n">
        <v>6</v>
      </c>
      <c r="G912" s="0" t="n">
        <v>0.5</v>
      </c>
      <c r="H912" s="0" t="n">
        <v>1</v>
      </c>
      <c r="I912" s="0" t="n">
        <v>0</v>
      </c>
      <c r="J912" s="0" t="n">
        <v>973.953538894916</v>
      </c>
      <c r="K912" s="0" t="n">
        <v>0</v>
      </c>
      <c r="L912" s="0" t="n">
        <v>2.20528888342868</v>
      </c>
      <c r="M912" s="0" t="n">
        <v>977.615008729396</v>
      </c>
      <c r="N912" s="0" t="n">
        <v>5.43442635126053</v>
      </c>
      <c r="O912" s="0" t="n">
        <v>895</v>
      </c>
      <c r="P912" s="0" t="n">
        <v>450</v>
      </c>
      <c r="Q912" s="0" t="n">
        <v>445</v>
      </c>
      <c r="R912" s="0" t="n">
        <v>1031.62498257184</v>
      </c>
      <c r="S912" s="0" t="n">
        <v>872.018634633099</v>
      </c>
      <c r="T912" s="0" t="n">
        <v>20</v>
      </c>
      <c r="U912" s="0" t="n">
        <v>28</v>
      </c>
      <c r="V912" s="0" t="n">
        <v>51.5812233379804</v>
      </c>
      <c r="W912" s="0" t="n">
        <v>31.1434114389984</v>
      </c>
      <c r="X912" s="0" t="n">
        <v>0</v>
      </c>
      <c r="Y912" s="0" t="n">
        <v>0</v>
      </c>
      <c r="Z912" s="0" t="n">
        <v>0</v>
      </c>
      <c r="AA912" s="0" t="n">
        <v>5.43442635126053</v>
      </c>
      <c r="AB912" s="0" t="n">
        <v>0</v>
      </c>
      <c r="AC912" s="0" t="n">
        <v>0</v>
      </c>
      <c r="AD912" s="0" t="n">
        <v>0</v>
      </c>
      <c r="AE912" s="0" t="n">
        <v>1</v>
      </c>
      <c r="AF912" s="0" t="n">
        <v>0</v>
      </c>
      <c r="AG912" s="0" t="n">
        <v>0</v>
      </c>
      <c r="AH912" s="0" t="n">
        <v>0</v>
      </c>
      <c r="AI912" s="0" t="n">
        <v>5.27609144382643</v>
      </c>
      <c r="AK912" s="0" t="n">
        <f aca="false">A912</f>
        <v>895</v>
      </c>
      <c r="AL912" s="0" t="n">
        <v>1</v>
      </c>
      <c r="AM912" s="0" t="n">
        <v>1</v>
      </c>
      <c r="AO912" s="0" t="n">
        <v>895</v>
      </c>
      <c r="AP912" s="0" t="n">
        <v>0</v>
      </c>
      <c r="AQ912" s="0" t="n">
        <v>0.257038737051883</v>
      </c>
      <c r="AR912" s="0" t="n">
        <v>794.45472233261</v>
      </c>
      <c r="AS912" s="0" t="n">
        <v>110</v>
      </c>
      <c r="AT912" s="0" t="n">
        <v>108</v>
      </c>
    </row>
    <row r="913" customFormat="false" ht="12" hidden="false" customHeight="false" outlineLevel="0" collapsed="false">
      <c r="A913" s="0" t="n">
        <v>896</v>
      </c>
      <c r="B913" s="0" t="n">
        <v>1</v>
      </c>
      <c r="C913" s="0" t="n">
        <v>1.1256870889746</v>
      </c>
      <c r="D913" s="0" t="n">
        <v>973.30626946711</v>
      </c>
      <c r="E913" s="0" t="n">
        <v>4</v>
      </c>
      <c r="F913" s="0" t="n">
        <v>8</v>
      </c>
      <c r="G913" s="0" t="n">
        <v>0.5</v>
      </c>
      <c r="H913" s="0" t="n">
        <v>0</v>
      </c>
      <c r="I913" s="0" t="n">
        <v>2.19691290813956</v>
      </c>
      <c r="J913" s="0" t="n">
        <v>976.150451803055</v>
      </c>
      <c r="K913" s="0" t="n">
        <v>2.84418233594533</v>
      </c>
      <c r="L913" s="0" t="n">
        <v>0</v>
      </c>
      <c r="M913" s="0" t="n">
        <v>977.615008729396</v>
      </c>
      <c r="N913" s="0" t="n">
        <v>0</v>
      </c>
      <c r="O913" s="0" t="n">
        <v>896</v>
      </c>
      <c r="P913" s="0" t="n">
        <v>451</v>
      </c>
      <c r="Q913" s="0" t="n">
        <v>445</v>
      </c>
      <c r="R913" s="0" t="n">
        <v>953.811975606247</v>
      </c>
      <c r="S913" s="0" t="n">
        <v>949.255607389054</v>
      </c>
      <c r="T913" s="0" t="n">
        <v>21</v>
      </c>
      <c r="U913" s="0" t="n">
        <v>27</v>
      </c>
      <c r="V913" s="0" t="n">
        <v>45.4195962576326</v>
      </c>
      <c r="W913" s="0" t="n">
        <v>35.1574848755765</v>
      </c>
      <c r="X913" s="0" t="n">
        <v>2.84418233594533</v>
      </c>
      <c r="Y913" s="0" t="n">
        <v>0</v>
      </c>
      <c r="Z913" s="0" t="n">
        <v>0</v>
      </c>
      <c r="AA913" s="0" t="n">
        <v>0</v>
      </c>
      <c r="AB913" s="0" t="n">
        <v>1</v>
      </c>
      <c r="AC913" s="0" t="n">
        <v>0</v>
      </c>
      <c r="AD913" s="0" t="n">
        <v>0</v>
      </c>
      <c r="AE913" s="0" t="n">
        <v>0</v>
      </c>
      <c r="AF913" s="0" t="n">
        <v>21.0073520962244</v>
      </c>
      <c r="AG913" s="0" t="n">
        <v>0</v>
      </c>
      <c r="AH913" s="0" t="n">
        <v>0</v>
      </c>
      <c r="AI913" s="0" t="n">
        <v>0</v>
      </c>
      <c r="AK913" s="0" t="n">
        <f aca="false">A913</f>
        <v>896</v>
      </c>
      <c r="AL913" s="0" t="n">
        <v>2</v>
      </c>
      <c r="AM913" s="0" t="n">
        <v>0</v>
      </c>
      <c r="AO913" s="0" t="n">
        <v>896</v>
      </c>
      <c r="AP913" s="0" t="n">
        <v>1</v>
      </c>
      <c r="AQ913" s="0" t="n">
        <v>0.113304979183542</v>
      </c>
      <c r="AR913" s="0" t="n">
        <v>794.568027311794</v>
      </c>
      <c r="AS913" s="0" t="n">
        <v>110</v>
      </c>
      <c r="AT913" s="0" t="n">
        <v>110</v>
      </c>
    </row>
    <row r="914" customFormat="false" ht="12" hidden="false" customHeight="false" outlineLevel="0" collapsed="false">
      <c r="A914" s="0" t="n">
        <v>897</v>
      </c>
      <c r="B914" s="0" t="n">
        <v>0</v>
      </c>
      <c r="C914" s="0" t="n">
        <v>0.293867819997442</v>
      </c>
      <c r="D914" s="0" t="n">
        <v>973.600137287107</v>
      </c>
      <c r="E914" s="0" t="n">
        <v>6</v>
      </c>
      <c r="F914" s="0" t="n">
        <v>6</v>
      </c>
      <c r="G914" s="0" t="n">
        <v>0.5</v>
      </c>
      <c r="H914" s="0" t="n">
        <v>1</v>
      </c>
      <c r="I914" s="0" t="n">
        <v>0</v>
      </c>
      <c r="J914" s="0" t="n">
        <v>976.150451803055</v>
      </c>
      <c r="K914" s="0" t="n">
        <v>0</v>
      </c>
      <c r="L914" s="0" t="n">
        <v>2.10512462545202</v>
      </c>
      <c r="M914" s="0" t="n">
        <v>979.720133354848</v>
      </c>
      <c r="N914" s="0" t="n">
        <v>6.11999606774054</v>
      </c>
      <c r="O914" s="0" t="n">
        <v>897</v>
      </c>
      <c r="P914" s="0" t="n">
        <v>451</v>
      </c>
      <c r="Q914" s="0" t="n">
        <v>446</v>
      </c>
      <c r="R914" s="0" t="n">
        <v>987.271866538597</v>
      </c>
      <c r="S914" s="0" t="n">
        <v>915.292652881367</v>
      </c>
      <c r="T914" s="0" t="n">
        <v>24</v>
      </c>
      <c r="U914" s="0" t="n">
        <v>24</v>
      </c>
      <c r="V914" s="0" t="n">
        <v>41.1363106323121</v>
      </c>
      <c r="W914" s="0" t="n">
        <v>38.1370349657446</v>
      </c>
      <c r="X914" s="0" t="n">
        <v>0</v>
      </c>
      <c r="Y914" s="0" t="n">
        <v>0</v>
      </c>
      <c r="Z914" s="0" t="n">
        <v>0</v>
      </c>
      <c r="AA914" s="0" t="n">
        <v>6.11999606774054</v>
      </c>
      <c r="AB914" s="0" t="n">
        <v>0</v>
      </c>
      <c r="AC914" s="0" t="n">
        <v>0</v>
      </c>
      <c r="AD914" s="0" t="n">
        <v>0</v>
      </c>
      <c r="AE914" s="0" t="n">
        <v>1</v>
      </c>
      <c r="AF914" s="0" t="n">
        <v>0</v>
      </c>
      <c r="AG914" s="0" t="n">
        <v>0</v>
      </c>
      <c r="AH914" s="0" t="n">
        <v>0</v>
      </c>
      <c r="AI914" s="0" t="n">
        <v>2.59662508884591</v>
      </c>
      <c r="AK914" s="0" t="n">
        <f aca="false">A914</f>
        <v>897</v>
      </c>
      <c r="AL914" s="0" t="n">
        <v>0</v>
      </c>
      <c r="AM914" s="0" t="n">
        <v>1</v>
      </c>
      <c r="AO914" s="0" t="n">
        <v>897</v>
      </c>
      <c r="AP914" s="0" t="n">
        <v>1</v>
      </c>
      <c r="AQ914" s="0" t="n">
        <v>0.164378791206012</v>
      </c>
      <c r="AR914" s="0" t="n">
        <v>794.732406102999</v>
      </c>
      <c r="AS914" s="0" t="n">
        <v>110</v>
      </c>
      <c r="AT914" s="0" t="n">
        <v>112</v>
      </c>
    </row>
    <row r="915" customFormat="false" ht="12" hidden="false" customHeight="false" outlineLevel="0" collapsed="false">
      <c r="A915" s="0" t="n">
        <v>898</v>
      </c>
      <c r="B915" s="0" t="n">
        <v>0</v>
      </c>
      <c r="C915" s="0" t="n">
        <v>1.03714285849357</v>
      </c>
      <c r="D915" s="0" t="n">
        <v>974.637280145601</v>
      </c>
      <c r="E915" s="0" t="n">
        <v>4</v>
      </c>
      <c r="F915" s="0" t="n">
        <v>8</v>
      </c>
      <c r="G915" s="0" t="n">
        <v>0.5</v>
      </c>
      <c r="H915" s="0" t="n">
        <v>0</v>
      </c>
      <c r="I915" s="0" t="n">
        <v>2.07382122262091</v>
      </c>
      <c r="J915" s="0" t="n">
        <v>978.224273025676</v>
      </c>
      <c r="K915" s="0" t="n">
        <v>3.58699288007529</v>
      </c>
      <c r="L915" s="0" t="n">
        <v>0</v>
      </c>
      <c r="M915" s="0" t="n">
        <v>979.720133354848</v>
      </c>
      <c r="N915" s="0" t="n">
        <v>0</v>
      </c>
      <c r="O915" s="0" t="n">
        <v>898</v>
      </c>
      <c r="P915" s="0" t="n">
        <v>452</v>
      </c>
      <c r="Q915" s="0" t="n">
        <v>446</v>
      </c>
      <c r="R915" s="0" t="n">
        <v>974.811407009852</v>
      </c>
      <c r="S915" s="0" t="n">
        <v>911.404897544447</v>
      </c>
      <c r="T915" s="0" t="n">
        <v>27</v>
      </c>
      <c r="U915" s="0" t="n">
        <v>21</v>
      </c>
      <c r="V915" s="0" t="n">
        <v>36.1041128136564</v>
      </c>
      <c r="W915" s="0" t="n">
        <v>43.4000265496091</v>
      </c>
      <c r="X915" s="0" t="n">
        <v>0</v>
      </c>
      <c r="Y915" s="0" t="n">
        <v>3.58699288007529</v>
      </c>
      <c r="Z915" s="0" t="n">
        <v>0</v>
      </c>
      <c r="AA915" s="0" t="n">
        <v>0</v>
      </c>
      <c r="AB915" s="0" t="n">
        <v>0</v>
      </c>
      <c r="AC915" s="0" t="n">
        <v>1</v>
      </c>
      <c r="AD915" s="0" t="n">
        <v>0</v>
      </c>
      <c r="AE915" s="0" t="n">
        <v>0</v>
      </c>
      <c r="AF915" s="0" t="n">
        <v>0</v>
      </c>
      <c r="AG915" s="0" t="n">
        <v>21.8244460418051</v>
      </c>
      <c r="AH915" s="0" t="n">
        <v>0</v>
      </c>
      <c r="AI915" s="0" t="n">
        <v>0</v>
      </c>
      <c r="AK915" s="0" t="n">
        <f aca="false">A915</f>
        <v>898</v>
      </c>
      <c r="AL915" s="0" t="n">
        <v>2</v>
      </c>
      <c r="AM915" s="0" t="n">
        <v>0</v>
      </c>
      <c r="AO915" s="0" t="n">
        <v>898</v>
      </c>
      <c r="AP915" s="0" t="n">
        <v>0</v>
      </c>
      <c r="AQ915" s="0" t="n">
        <v>0.224660877010285</v>
      </c>
      <c r="AR915" s="0" t="n">
        <v>794.95706698001</v>
      </c>
      <c r="AS915" s="0" t="n">
        <v>112</v>
      </c>
      <c r="AT915" s="0" t="n">
        <v>112</v>
      </c>
    </row>
    <row r="916" customFormat="false" ht="12" hidden="false" customHeight="false" outlineLevel="0" collapsed="false">
      <c r="A916" s="0" t="n">
        <v>899</v>
      </c>
      <c r="B916" s="0" t="n">
        <v>0</v>
      </c>
      <c r="C916" s="0" t="n">
        <v>0.182280639635329</v>
      </c>
      <c r="D916" s="0" t="n">
        <v>974.819560785236</v>
      </c>
      <c r="E916" s="0" t="n">
        <v>6</v>
      </c>
      <c r="F916" s="0" t="n">
        <v>8</v>
      </c>
      <c r="G916" s="0" t="n">
        <v>0.5</v>
      </c>
      <c r="H916" s="0" t="n">
        <v>0</v>
      </c>
      <c r="I916" s="0" t="n">
        <v>2.08223772041162</v>
      </c>
      <c r="J916" s="0" t="n">
        <v>980.306510746088</v>
      </c>
      <c r="K916" s="0" t="n">
        <v>5.48694996085158</v>
      </c>
      <c r="L916" s="0" t="n">
        <v>0</v>
      </c>
      <c r="M916" s="0" t="n">
        <v>979.720133354848</v>
      </c>
      <c r="N916" s="0" t="n">
        <v>0</v>
      </c>
      <c r="O916" s="0" t="n">
        <v>899</v>
      </c>
      <c r="P916" s="0" t="n">
        <v>453</v>
      </c>
      <c r="Q916" s="0" t="n">
        <v>446</v>
      </c>
      <c r="R916" s="0" t="n">
        <v>949.516680719573</v>
      </c>
      <c r="S916" s="0" t="n">
        <v>945.11044774746</v>
      </c>
      <c r="T916" s="0" t="n">
        <v>26</v>
      </c>
      <c r="U916" s="0" t="n">
        <v>22</v>
      </c>
      <c r="V916" s="0" t="n">
        <v>36.5198582892689</v>
      </c>
      <c r="W916" s="0" t="n">
        <v>42.9593705368366</v>
      </c>
      <c r="X916" s="0" t="n">
        <v>0</v>
      </c>
      <c r="Y916" s="0" t="n">
        <v>5.48694996085158</v>
      </c>
      <c r="Z916" s="0" t="n">
        <v>0</v>
      </c>
      <c r="AA916" s="0" t="n">
        <v>0</v>
      </c>
      <c r="AB916" s="0" t="n">
        <v>0</v>
      </c>
      <c r="AC916" s="0" t="n">
        <v>1</v>
      </c>
      <c r="AD916" s="0" t="n">
        <v>0</v>
      </c>
      <c r="AE916" s="0" t="n">
        <v>0</v>
      </c>
      <c r="AF916" s="0" t="n">
        <v>0</v>
      </c>
      <c r="AG916" s="0" t="n">
        <v>7.68236014368441</v>
      </c>
      <c r="AH916" s="0" t="n">
        <v>0</v>
      </c>
      <c r="AI916" s="0" t="n">
        <v>0</v>
      </c>
      <c r="AK916" s="0" t="n">
        <f aca="false">A916</f>
        <v>899</v>
      </c>
      <c r="AL916" s="0" t="n">
        <v>1</v>
      </c>
      <c r="AM916" s="0" t="n">
        <v>1</v>
      </c>
      <c r="AO916" s="0" t="n">
        <v>899</v>
      </c>
      <c r="AP916" s="0" t="n">
        <v>1</v>
      </c>
      <c r="AQ916" s="0" t="n">
        <v>3.11674329543446</v>
      </c>
      <c r="AR916" s="0" t="n">
        <v>798.073810275444</v>
      </c>
      <c r="AS916" s="0" t="n">
        <v>110</v>
      </c>
      <c r="AT916" s="0" t="n">
        <v>108</v>
      </c>
    </row>
    <row r="917" customFormat="false" ht="12" hidden="false" customHeight="false" outlineLevel="0" collapsed="false">
      <c r="A917" s="0" t="n">
        <v>900</v>
      </c>
      <c r="B917" s="0" t="n">
        <v>1</v>
      </c>
      <c r="C917" s="0" t="n">
        <v>2.16027221192601</v>
      </c>
      <c r="D917" s="0" t="n">
        <v>976.979832997162</v>
      </c>
      <c r="E917" s="0" t="n">
        <v>6</v>
      </c>
      <c r="F917" s="0" t="n">
        <v>6</v>
      </c>
      <c r="G917" s="0" t="n">
        <v>0.5</v>
      </c>
      <c r="H917" s="0" t="n">
        <v>1</v>
      </c>
      <c r="I917" s="0" t="n">
        <v>0</v>
      </c>
      <c r="J917" s="0" t="n">
        <v>980.306510746088</v>
      </c>
      <c r="K917" s="0" t="n">
        <v>0</v>
      </c>
      <c r="L917" s="0" t="n">
        <v>2.01863337996405</v>
      </c>
      <c r="M917" s="0" t="n">
        <v>981.738766734812</v>
      </c>
      <c r="N917" s="0" t="n">
        <v>4.75893373764973</v>
      </c>
      <c r="O917" s="0" t="n">
        <v>900</v>
      </c>
      <c r="P917" s="0" t="n">
        <v>453</v>
      </c>
      <c r="Q917" s="0" t="n">
        <v>447</v>
      </c>
      <c r="R917" s="0" t="n">
        <v>1038.01601844373</v>
      </c>
      <c r="S917" s="0" t="n">
        <v>876.244138042096</v>
      </c>
      <c r="T917" s="0" t="n">
        <v>26</v>
      </c>
      <c r="U917" s="0" t="n">
        <v>22</v>
      </c>
      <c r="V917" s="0" t="n">
        <v>39.9236776618057</v>
      </c>
      <c r="W917" s="0" t="n">
        <v>39.8290979605591</v>
      </c>
      <c r="X917" s="0" t="n">
        <v>0</v>
      </c>
      <c r="Y917" s="0" t="n">
        <v>0</v>
      </c>
      <c r="Z917" s="0" t="n">
        <v>4.75893373764973</v>
      </c>
      <c r="AA917" s="0" t="n">
        <v>0</v>
      </c>
      <c r="AB917" s="0" t="n">
        <v>0</v>
      </c>
      <c r="AC917" s="0" t="n">
        <v>0</v>
      </c>
      <c r="AD917" s="0" t="n">
        <v>1</v>
      </c>
      <c r="AE917" s="0" t="n">
        <v>0</v>
      </c>
      <c r="AF917" s="0" t="n">
        <v>0</v>
      </c>
      <c r="AG917" s="0" t="n">
        <v>0</v>
      </c>
      <c r="AH917" s="0" t="n">
        <v>9.04186581977923</v>
      </c>
      <c r="AI917" s="0" t="n">
        <v>0</v>
      </c>
      <c r="AK917" s="0" t="n">
        <f aca="false">A917</f>
        <v>900</v>
      </c>
      <c r="AL917" s="0" t="n">
        <v>0</v>
      </c>
      <c r="AM917" s="0" t="n">
        <v>1</v>
      </c>
      <c r="AO917" s="0" t="n">
        <v>900</v>
      </c>
      <c r="AP917" s="0" t="n">
        <v>0</v>
      </c>
      <c r="AQ917" s="0" t="n">
        <v>1.48318631968948</v>
      </c>
      <c r="AR917" s="0" t="n">
        <v>799.556996595134</v>
      </c>
      <c r="AS917" s="0" t="n">
        <v>108</v>
      </c>
      <c r="AT917" s="0" t="n">
        <v>110</v>
      </c>
    </row>
    <row r="918" customFormat="false" ht="12" hidden="false" customHeight="false" outlineLevel="0" collapsed="false">
      <c r="A918" s="0" t="n">
        <v>901</v>
      </c>
      <c r="B918" s="0" t="n">
        <v>1</v>
      </c>
      <c r="C918" s="0" t="n">
        <v>1.59493690195565</v>
      </c>
      <c r="D918" s="0" t="n">
        <v>978.574769899118</v>
      </c>
      <c r="E918" s="0" t="n">
        <v>4</v>
      </c>
      <c r="F918" s="0" t="n">
        <v>6</v>
      </c>
      <c r="G918" s="0" t="n">
        <v>0.5</v>
      </c>
      <c r="H918" s="0" t="n">
        <v>0</v>
      </c>
      <c r="I918" s="0" t="n">
        <v>2.11797279011179</v>
      </c>
      <c r="J918" s="0" t="n">
        <v>982.4244835362</v>
      </c>
      <c r="K918" s="0" t="n">
        <v>3.84971363708178</v>
      </c>
      <c r="L918" s="0" t="n">
        <v>0</v>
      </c>
      <c r="M918" s="0" t="n">
        <v>981.738766734812</v>
      </c>
      <c r="N918" s="0" t="n">
        <v>0</v>
      </c>
      <c r="O918" s="0" t="n">
        <v>901</v>
      </c>
      <c r="P918" s="0" t="n">
        <v>454</v>
      </c>
      <c r="Q918" s="0" t="n">
        <v>447</v>
      </c>
      <c r="R918" s="0" t="n">
        <v>828.05203501818</v>
      </c>
      <c r="S918" s="0" t="n">
        <v>1094.68627479429</v>
      </c>
      <c r="T918" s="0" t="n">
        <v>20</v>
      </c>
      <c r="U918" s="0" t="n">
        <v>28</v>
      </c>
      <c r="V918" s="0" t="n">
        <v>41.4025810496185</v>
      </c>
      <c r="W918" s="0" t="n">
        <v>39.0957987576575</v>
      </c>
      <c r="X918" s="0" t="n">
        <v>3.84971363708178</v>
      </c>
      <c r="Y918" s="0" t="n">
        <v>0</v>
      </c>
      <c r="Z918" s="0" t="n">
        <v>0</v>
      </c>
      <c r="AA918" s="0" t="n">
        <v>0</v>
      </c>
      <c r="AB918" s="0" t="n">
        <v>1</v>
      </c>
      <c r="AC918" s="0" t="n">
        <v>0</v>
      </c>
      <c r="AD918" s="0" t="n">
        <v>0</v>
      </c>
      <c r="AE918" s="0" t="n">
        <v>0</v>
      </c>
      <c r="AF918" s="0" t="n">
        <v>12.8009855996333</v>
      </c>
      <c r="AG918" s="0" t="n">
        <v>0</v>
      </c>
      <c r="AH918" s="0" t="n">
        <v>0</v>
      </c>
      <c r="AI918" s="0" t="n">
        <v>0</v>
      </c>
      <c r="AK918" s="0" t="n">
        <f aca="false">A918</f>
        <v>901</v>
      </c>
      <c r="AL918" s="0" t="n">
        <v>1</v>
      </c>
      <c r="AM918" s="0" t="n">
        <v>1</v>
      </c>
      <c r="AO918" s="0" t="n">
        <v>901</v>
      </c>
      <c r="AP918" s="0" t="n">
        <v>1</v>
      </c>
      <c r="AQ918" s="0" t="n">
        <v>0.732946113287854</v>
      </c>
      <c r="AR918" s="0" t="n">
        <v>800.289942708422</v>
      </c>
      <c r="AS918" s="0" t="n">
        <v>110</v>
      </c>
      <c r="AT918" s="0" t="n">
        <v>108</v>
      </c>
    </row>
    <row r="919" customFormat="false" ht="12" hidden="false" customHeight="false" outlineLevel="0" collapsed="false">
      <c r="A919" s="0" t="n">
        <v>902</v>
      </c>
      <c r="B919" s="0" t="n">
        <v>0</v>
      </c>
      <c r="C919" s="0" t="n">
        <v>1.6411986352077</v>
      </c>
      <c r="D919" s="0" t="n">
        <v>980.215968534326</v>
      </c>
      <c r="E919" s="0" t="n">
        <v>6</v>
      </c>
      <c r="F919" s="0" t="n">
        <v>4</v>
      </c>
      <c r="G919" s="0" t="n">
        <v>0.5</v>
      </c>
      <c r="H919" s="0" t="n">
        <v>0</v>
      </c>
      <c r="I919" s="0" t="n">
        <v>1.91211263962988</v>
      </c>
      <c r="J919" s="0" t="n">
        <v>984.33659617583</v>
      </c>
      <c r="K919" s="0" t="n">
        <v>4.12062764150392</v>
      </c>
      <c r="L919" s="0" t="n">
        <v>0</v>
      </c>
      <c r="M919" s="0" t="n">
        <v>981.738766734812</v>
      </c>
      <c r="N919" s="0" t="n">
        <v>0</v>
      </c>
      <c r="O919" s="0" t="n">
        <v>902</v>
      </c>
      <c r="P919" s="0" t="n">
        <v>455</v>
      </c>
      <c r="Q919" s="0" t="n">
        <v>447</v>
      </c>
      <c r="R919" s="0" t="n">
        <v>817.607664291875</v>
      </c>
      <c r="S919" s="0" t="n">
        <v>1100.46842313621</v>
      </c>
      <c r="T919" s="0" t="n">
        <v>23</v>
      </c>
      <c r="U919" s="0" t="n">
        <v>25</v>
      </c>
      <c r="V919" s="0" t="n">
        <v>35.5481438613233</v>
      </c>
      <c r="W919" s="0" t="n">
        <v>44.0185608512049</v>
      </c>
      <c r="X919" s="0" t="n">
        <v>0</v>
      </c>
      <c r="Y919" s="0" t="n">
        <v>4.12062764150392</v>
      </c>
      <c r="Z919" s="0" t="n">
        <v>0</v>
      </c>
      <c r="AA919" s="0" t="n">
        <v>0</v>
      </c>
      <c r="AB919" s="0" t="n">
        <v>0</v>
      </c>
      <c r="AC919" s="0" t="n">
        <v>1</v>
      </c>
      <c r="AD919" s="0" t="n">
        <v>0</v>
      </c>
      <c r="AE919" s="0" t="n">
        <v>0</v>
      </c>
      <c r="AF919" s="0" t="n">
        <v>0</v>
      </c>
      <c r="AG919" s="0" t="n">
        <v>17.1232873193641</v>
      </c>
      <c r="AH919" s="0" t="n">
        <v>0</v>
      </c>
      <c r="AI919" s="0" t="n">
        <v>0</v>
      </c>
      <c r="AK919" s="0" t="n">
        <f aca="false">A919</f>
        <v>902</v>
      </c>
      <c r="AL919" s="0" t="n">
        <v>1</v>
      </c>
      <c r="AM919" s="0" t="n">
        <v>0</v>
      </c>
      <c r="AO919" s="0" t="n">
        <v>902</v>
      </c>
      <c r="AP919" s="0" t="n">
        <v>1</v>
      </c>
      <c r="AQ919" s="0" t="n">
        <v>2.82199682969935</v>
      </c>
      <c r="AR919" s="0" t="n">
        <v>803.111939538121</v>
      </c>
      <c r="AS919" s="0" t="n">
        <v>108</v>
      </c>
      <c r="AT919" s="0" t="n">
        <v>108</v>
      </c>
    </row>
    <row r="920" customFormat="false" ht="12" hidden="false" customHeight="false" outlineLevel="0" collapsed="false">
      <c r="A920" s="0" t="n">
        <v>903</v>
      </c>
      <c r="B920" s="0" t="n">
        <v>0</v>
      </c>
      <c r="C920" s="0" t="n">
        <v>0.987621327770706</v>
      </c>
      <c r="D920" s="0" t="n">
        <v>981.203589862096</v>
      </c>
      <c r="E920" s="0" t="n">
        <v>6</v>
      </c>
      <c r="F920" s="0" t="n">
        <v>4</v>
      </c>
      <c r="G920" s="0" t="n">
        <v>0.5</v>
      </c>
      <c r="H920" s="0" t="n">
        <v>1</v>
      </c>
      <c r="I920" s="0" t="n">
        <v>0</v>
      </c>
      <c r="J920" s="0" t="n">
        <v>984.33659617583</v>
      </c>
      <c r="K920" s="0" t="n">
        <v>0</v>
      </c>
      <c r="L920" s="0" t="n">
        <v>2.0133693875937</v>
      </c>
      <c r="M920" s="0" t="n">
        <v>983.752136122406</v>
      </c>
      <c r="N920" s="0" t="n">
        <v>2.54854626030931</v>
      </c>
      <c r="O920" s="0" t="n">
        <v>903</v>
      </c>
      <c r="P920" s="0" t="n">
        <v>455</v>
      </c>
      <c r="Q920" s="0" t="n">
        <v>448</v>
      </c>
      <c r="R920" s="0" t="n">
        <v>1007.2573528072</v>
      </c>
      <c r="S920" s="0" t="n">
        <v>929.719393086787</v>
      </c>
      <c r="T920" s="0" t="n">
        <v>27</v>
      </c>
      <c r="U920" s="0" t="n">
        <v>21</v>
      </c>
      <c r="V920" s="0" t="n">
        <v>37.3058140647799</v>
      </c>
      <c r="W920" s="0" t="n">
        <v>44.2721412320316</v>
      </c>
      <c r="X920" s="0" t="n">
        <v>0</v>
      </c>
      <c r="Y920" s="0" t="n">
        <v>0</v>
      </c>
      <c r="Z920" s="0" t="n">
        <v>0</v>
      </c>
      <c r="AA920" s="0" t="n">
        <v>2.54854626030931</v>
      </c>
      <c r="AB920" s="0" t="n">
        <v>0</v>
      </c>
      <c r="AC920" s="0" t="n">
        <v>0</v>
      </c>
      <c r="AD920" s="0" t="n">
        <v>0</v>
      </c>
      <c r="AE920" s="0" t="n">
        <v>1</v>
      </c>
      <c r="AF920" s="0" t="n">
        <v>0</v>
      </c>
      <c r="AG920" s="0" t="n">
        <v>0</v>
      </c>
      <c r="AH920" s="0" t="n">
        <v>0</v>
      </c>
      <c r="AI920" s="0" t="n">
        <v>26.8619807862245</v>
      </c>
      <c r="AK920" s="0" t="n">
        <f aca="false">A920</f>
        <v>903</v>
      </c>
      <c r="AL920" s="0" t="n">
        <v>1</v>
      </c>
      <c r="AM920" s="0" t="n">
        <v>1</v>
      </c>
      <c r="AO920" s="0" t="n">
        <v>903</v>
      </c>
      <c r="AP920" s="0" t="n">
        <v>1</v>
      </c>
      <c r="AQ920" s="0" t="n">
        <v>0.00474251533404112</v>
      </c>
      <c r="AR920" s="0" t="n">
        <v>803.116682053455</v>
      </c>
      <c r="AS920" s="0" t="n">
        <v>110</v>
      </c>
      <c r="AT920" s="0" t="n">
        <v>108</v>
      </c>
    </row>
    <row r="921" customFormat="false" ht="12" hidden="false" customHeight="false" outlineLevel="0" collapsed="false">
      <c r="A921" s="0" t="n">
        <v>904</v>
      </c>
      <c r="B921" s="0" t="n">
        <v>0</v>
      </c>
      <c r="C921" s="0" t="n">
        <v>0.0896363322951437</v>
      </c>
      <c r="D921" s="0" t="n">
        <v>981.293226194392</v>
      </c>
      <c r="E921" s="0" t="n">
        <v>6</v>
      </c>
      <c r="F921" s="0" t="n">
        <v>6</v>
      </c>
      <c r="G921" s="0" t="n">
        <v>0.5</v>
      </c>
      <c r="H921" s="0" t="n">
        <v>1</v>
      </c>
      <c r="I921" s="0" t="n">
        <v>0</v>
      </c>
      <c r="J921" s="0" t="n">
        <v>984.33659617583</v>
      </c>
      <c r="K921" s="0" t="n">
        <v>0</v>
      </c>
      <c r="L921" s="0" t="n">
        <v>1.8466530857054</v>
      </c>
      <c r="M921" s="0" t="n">
        <v>985.598789208111</v>
      </c>
      <c r="N921" s="0" t="n">
        <v>4.30556301371951</v>
      </c>
      <c r="O921" s="0" t="n">
        <v>904</v>
      </c>
      <c r="P921" s="0" t="n">
        <v>455</v>
      </c>
      <c r="Q921" s="0" t="n">
        <v>449</v>
      </c>
      <c r="R921" s="0" t="n">
        <v>661.853141892493</v>
      </c>
      <c r="S921" s="0" t="n">
        <v>1277.52213861839</v>
      </c>
      <c r="T921" s="0" t="n">
        <v>17</v>
      </c>
      <c r="U921" s="0" t="n">
        <v>31</v>
      </c>
      <c r="V921" s="0" t="n">
        <v>38.9325148569026</v>
      </c>
      <c r="W921" s="0" t="n">
        <v>41.2102586320169</v>
      </c>
      <c r="X921" s="0" t="n">
        <v>0</v>
      </c>
      <c r="Y921" s="0" t="n">
        <v>0</v>
      </c>
      <c r="Z921" s="0" t="n">
        <v>0</v>
      </c>
      <c r="AA921" s="0" t="n">
        <v>4.30556301371951</v>
      </c>
      <c r="AB921" s="0" t="n">
        <v>0</v>
      </c>
      <c r="AC921" s="0" t="n">
        <v>0</v>
      </c>
      <c r="AD921" s="0" t="n">
        <v>0</v>
      </c>
      <c r="AE921" s="0" t="n">
        <v>1</v>
      </c>
      <c r="AF921" s="0" t="n">
        <v>0</v>
      </c>
      <c r="AG921" s="0" t="n">
        <v>0</v>
      </c>
      <c r="AH921" s="0" t="n">
        <v>0</v>
      </c>
      <c r="AI921" s="0" t="n">
        <v>11.7363642778933</v>
      </c>
      <c r="AK921" s="0" t="n">
        <f aca="false">A921</f>
        <v>904</v>
      </c>
      <c r="AL921" s="0" t="n">
        <v>0</v>
      </c>
      <c r="AM921" s="0" t="n">
        <v>1</v>
      </c>
      <c r="AO921" s="0" t="n">
        <v>904</v>
      </c>
      <c r="AP921" s="0" t="n">
        <v>0</v>
      </c>
      <c r="AQ921" s="0" t="n">
        <v>0.780311802427603</v>
      </c>
      <c r="AR921" s="0" t="n">
        <v>803.896993855883</v>
      </c>
      <c r="AS921" s="0" t="n">
        <v>108</v>
      </c>
      <c r="AT921" s="0" t="n">
        <v>110</v>
      </c>
    </row>
    <row r="922" customFormat="false" ht="12" hidden="false" customHeight="false" outlineLevel="0" collapsed="false">
      <c r="A922" s="0" t="n">
        <v>905</v>
      </c>
      <c r="B922" s="0" t="n">
        <v>0</v>
      </c>
      <c r="C922" s="0" t="n">
        <v>1.00505653470576</v>
      </c>
      <c r="D922" s="0" t="n">
        <v>982.298282729097</v>
      </c>
      <c r="E922" s="0" t="n">
        <v>6</v>
      </c>
      <c r="F922" s="0" t="n">
        <v>6</v>
      </c>
      <c r="G922" s="0" t="n">
        <v>0.5</v>
      </c>
      <c r="H922" s="0" t="n">
        <v>0</v>
      </c>
      <c r="I922" s="0" t="n">
        <v>2.0390977681663</v>
      </c>
      <c r="J922" s="0" t="n">
        <v>986.375693943996</v>
      </c>
      <c r="K922" s="0" t="n">
        <v>4.07741121489858</v>
      </c>
      <c r="L922" s="0" t="n">
        <v>0</v>
      </c>
      <c r="M922" s="0" t="n">
        <v>985.598789208111</v>
      </c>
      <c r="N922" s="0" t="n">
        <v>0</v>
      </c>
      <c r="O922" s="0" t="n">
        <v>905</v>
      </c>
      <c r="P922" s="0" t="n">
        <v>456</v>
      </c>
      <c r="Q922" s="0" t="n">
        <v>449</v>
      </c>
      <c r="R922" s="0" t="n">
        <v>1173.45272220694</v>
      </c>
      <c r="S922" s="0" t="n">
        <v>768.523856709024</v>
      </c>
      <c r="T922" s="0" t="n">
        <v>27</v>
      </c>
      <c r="U922" s="0" t="n">
        <v>21</v>
      </c>
      <c r="V922" s="0" t="n">
        <v>43.4611958368511</v>
      </c>
      <c r="W922" s="0" t="n">
        <v>36.5961998613828</v>
      </c>
      <c r="X922" s="0" t="n">
        <v>0</v>
      </c>
      <c r="Y922" s="0" t="n">
        <v>4.07741121489858</v>
      </c>
      <c r="Z922" s="0" t="n">
        <v>0</v>
      </c>
      <c r="AA922" s="0" t="n">
        <v>0</v>
      </c>
      <c r="AB922" s="0" t="n">
        <v>0</v>
      </c>
      <c r="AC922" s="0" t="n">
        <v>1</v>
      </c>
      <c r="AD922" s="0" t="n">
        <v>0</v>
      </c>
      <c r="AE922" s="0" t="n">
        <v>0</v>
      </c>
      <c r="AF922" s="0" t="n">
        <v>0</v>
      </c>
      <c r="AG922" s="0" t="n">
        <v>17.4828166666472</v>
      </c>
      <c r="AH922" s="0" t="n">
        <v>0</v>
      </c>
      <c r="AI922" s="0" t="n">
        <v>0</v>
      </c>
      <c r="AK922" s="0" t="n">
        <f aca="false">A922</f>
        <v>905</v>
      </c>
      <c r="AL922" s="0" t="n">
        <v>0</v>
      </c>
      <c r="AM922" s="0" t="n">
        <v>1</v>
      </c>
      <c r="AO922" s="0" t="n">
        <v>905</v>
      </c>
      <c r="AP922" s="0" t="n">
        <v>0</v>
      </c>
      <c r="AQ922" s="0" t="n">
        <v>2.75934499170599</v>
      </c>
      <c r="AR922" s="0" t="n">
        <v>806.656338847589</v>
      </c>
      <c r="AS922" s="0" t="n">
        <v>108</v>
      </c>
      <c r="AT922" s="0" t="n">
        <v>106</v>
      </c>
    </row>
    <row r="923" customFormat="false" ht="12" hidden="false" customHeight="false" outlineLevel="0" collapsed="false">
      <c r="A923" s="0" t="n">
        <v>906</v>
      </c>
      <c r="B923" s="0" t="n">
        <v>1</v>
      </c>
      <c r="C923" s="0" t="n">
        <v>0.124031691162103</v>
      </c>
      <c r="D923" s="0" t="n">
        <v>982.42231442026</v>
      </c>
      <c r="E923" s="0" t="n">
        <v>8</v>
      </c>
      <c r="F923" s="0" t="n">
        <v>6</v>
      </c>
      <c r="G923" s="0" t="n">
        <v>0.5</v>
      </c>
      <c r="H923" s="0" t="n">
        <v>1</v>
      </c>
      <c r="I923" s="0" t="n">
        <v>0</v>
      </c>
      <c r="J923" s="0" t="n">
        <v>986.375693943996</v>
      </c>
      <c r="K923" s="0" t="n">
        <v>0</v>
      </c>
      <c r="L923" s="0" t="n">
        <v>2.07223698150306</v>
      </c>
      <c r="M923" s="0" t="n">
        <v>987.671026189614</v>
      </c>
      <c r="N923" s="0" t="n">
        <v>5.2487117693546</v>
      </c>
      <c r="O923" s="0" t="n">
        <v>906</v>
      </c>
      <c r="P923" s="0" t="n">
        <v>456</v>
      </c>
      <c r="Q923" s="0" t="n">
        <v>450</v>
      </c>
      <c r="R923" s="0" t="n">
        <v>792.847234148994</v>
      </c>
      <c r="S923" s="0" t="n">
        <v>1157.30024144766</v>
      </c>
      <c r="T923" s="0" t="n">
        <v>22</v>
      </c>
      <c r="U923" s="0" t="n">
        <v>26</v>
      </c>
      <c r="V923" s="0" t="n">
        <v>36.0384942620023</v>
      </c>
      <c r="W923" s="0" t="n">
        <v>44.5113765503848</v>
      </c>
      <c r="X923" s="0" t="n">
        <v>0</v>
      </c>
      <c r="Y923" s="0" t="n">
        <v>0</v>
      </c>
      <c r="Z923" s="0" t="n">
        <v>5.2487117693546</v>
      </c>
      <c r="AA923" s="0" t="n">
        <v>0</v>
      </c>
      <c r="AB923" s="0" t="n">
        <v>0</v>
      </c>
      <c r="AC923" s="0" t="n">
        <v>0</v>
      </c>
      <c r="AD923" s="0" t="n">
        <v>1</v>
      </c>
      <c r="AE923" s="0" t="n">
        <v>0</v>
      </c>
      <c r="AF923" s="0" t="n">
        <v>0</v>
      </c>
      <c r="AG923" s="0" t="n">
        <v>0</v>
      </c>
      <c r="AH923" s="0" t="n">
        <v>6.33625309386265</v>
      </c>
      <c r="AI923" s="0" t="n">
        <v>0</v>
      </c>
      <c r="AK923" s="0" t="n">
        <f aca="false">A923</f>
        <v>906</v>
      </c>
      <c r="AL923" s="0" t="n">
        <v>1</v>
      </c>
      <c r="AM923" s="0" t="n">
        <v>2</v>
      </c>
      <c r="AO923" s="0" t="n">
        <v>906</v>
      </c>
      <c r="AP923" s="0" t="n">
        <v>1</v>
      </c>
      <c r="AQ923" s="0" t="n">
        <v>0.16687160801836</v>
      </c>
      <c r="AR923" s="0" t="n">
        <v>806.823210455607</v>
      </c>
      <c r="AS923" s="0" t="n">
        <v>110</v>
      </c>
      <c r="AT923" s="0" t="n">
        <v>106</v>
      </c>
    </row>
    <row r="924" customFormat="false" ht="12" hidden="false" customHeight="false" outlineLevel="0" collapsed="false">
      <c r="A924" s="0" t="n">
        <v>907</v>
      </c>
      <c r="B924" s="0" t="n">
        <v>0</v>
      </c>
      <c r="C924" s="0" t="n">
        <v>1.54628052348131</v>
      </c>
      <c r="D924" s="0" t="n">
        <v>983.968594943741</v>
      </c>
      <c r="E924" s="0" t="n">
        <v>6</v>
      </c>
      <c r="F924" s="0" t="n">
        <v>6</v>
      </c>
      <c r="G924" s="0" t="n">
        <v>0.5</v>
      </c>
      <c r="H924" s="0" t="n">
        <v>0</v>
      </c>
      <c r="I924" s="0" t="n">
        <v>1.80398893152527</v>
      </c>
      <c r="J924" s="0" t="n">
        <v>988.179682875521</v>
      </c>
      <c r="K924" s="0" t="n">
        <v>4.21108793178041</v>
      </c>
      <c r="L924" s="0" t="n">
        <v>0</v>
      </c>
      <c r="M924" s="0" t="n">
        <v>987.671026189614</v>
      </c>
      <c r="N924" s="0" t="n">
        <v>0</v>
      </c>
      <c r="O924" s="0" t="n">
        <v>907</v>
      </c>
      <c r="P924" s="0" t="n">
        <v>457</v>
      </c>
      <c r="Q924" s="0" t="n">
        <v>450</v>
      </c>
      <c r="R924" s="0" t="n">
        <v>1103.59188078339</v>
      </c>
      <c r="S924" s="0" t="n">
        <v>859.557002399502</v>
      </c>
      <c r="T924" s="0" t="n">
        <v>23</v>
      </c>
      <c r="U924" s="0" t="n">
        <v>25</v>
      </c>
      <c r="V924" s="0" t="n">
        <v>47.982234824393</v>
      </c>
      <c r="W924" s="0" t="n">
        <v>34.3821425674098</v>
      </c>
      <c r="X924" s="0" t="n">
        <v>0</v>
      </c>
      <c r="Y924" s="0" t="n">
        <v>4.21108793178041</v>
      </c>
      <c r="Z924" s="0" t="n">
        <v>0</v>
      </c>
      <c r="AA924" s="0" t="n">
        <v>0</v>
      </c>
      <c r="AB924" s="0" t="n">
        <v>0</v>
      </c>
      <c r="AC924" s="0" t="n">
        <v>1</v>
      </c>
      <c r="AD924" s="0" t="n">
        <v>0</v>
      </c>
      <c r="AE924" s="0" t="n">
        <v>0</v>
      </c>
      <c r="AF924" s="0" t="n">
        <v>0</v>
      </c>
      <c r="AG924" s="0" t="n">
        <v>16.3828157019981</v>
      </c>
      <c r="AH924" s="0" t="n">
        <v>0</v>
      </c>
      <c r="AI924" s="0" t="n">
        <v>0</v>
      </c>
      <c r="AK924" s="0" t="n">
        <f aca="false">A924</f>
        <v>907</v>
      </c>
      <c r="AL924" s="0" t="n">
        <v>0</v>
      </c>
      <c r="AM924" s="0" t="n">
        <v>0</v>
      </c>
      <c r="AO924" s="0" t="n">
        <v>907</v>
      </c>
      <c r="AP924" s="0" t="n">
        <v>1</v>
      </c>
      <c r="AQ924" s="0" t="n">
        <v>0.657434396947346</v>
      </c>
      <c r="AR924" s="0" t="n">
        <v>807.480644852554</v>
      </c>
      <c r="AS924" s="0" t="n">
        <v>108</v>
      </c>
      <c r="AT924" s="0" t="n">
        <v>108</v>
      </c>
    </row>
    <row r="925" customFormat="false" ht="12" hidden="false" customHeight="false" outlineLevel="0" collapsed="false">
      <c r="A925" s="0" t="n">
        <v>908</v>
      </c>
      <c r="B925" s="0" t="n">
        <v>0</v>
      </c>
      <c r="C925" s="0" t="n">
        <v>0.49701164970072</v>
      </c>
      <c r="D925" s="0" t="n">
        <v>984.465606593442</v>
      </c>
      <c r="E925" s="0" t="n">
        <v>6</v>
      </c>
      <c r="F925" s="0" t="n">
        <v>6</v>
      </c>
      <c r="G925" s="0" t="n">
        <v>0.5</v>
      </c>
      <c r="H925" s="0" t="n">
        <v>0</v>
      </c>
      <c r="I925" s="0" t="n">
        <v>2.04296272816824</v>
      </c>
      <c r="J925" s="0" t="n">
        <v>990.222645603689</v>
      </c>
      <c r="K925" s="0" t="n">
        <v>5.75703901024792</v>
      </c>
      <c r="L925" s="0" t="n">
        <v>0</v>
      </c>
      <c r="M925" s="0" t="n">
        <v>987.671026189614</v>
      </c>
      <c r="N925" s="0" t="n">
        <v>0</v>
      </c>
      <c r="O925" s="0" t="n">
        <v>908</v>
      </c>
      <c r="P925" s="0" t="n">
        <v>458</v>
      </c>
      <c r="Q925" s="0" t="n">
        <v>450</v>
      </c>
      <c r="R925" s="0" t="n">
        <v>1013.87861535243</v>
      </c>
      <c r="S925" s="0" t="n">
        <v>932.810340264797</v>
      </c>
      <c r="T925" s="0" t="n">
        <v>29</v>
      </c>
      <c r="U925" s="0" t="n">
        <v>19</v>
      </c>
      <c r="V925" s="0" t="n">
        <v>34.9613195082494</v>
      </c>
      <c r="W925" s="0" t="n">
        <v>49.0950226717121</v>
      </c>
      <c r="X925" s="0" t="n">
        <v>0</v>
      </c>
      <c r="Y925" s="0" t="n">
        <v>5.75703901024792</v>
      </c>
      <c r="Z925" s="0" t="n">
        <v>0</v>
      </c>
      <c r="AA925" s="0" t="n">
        <v>0</v>
      </c>
      <c r="AB925" s="0" t="n">
        <v>0</v>
      </c>
      <c r="AC925" s="0" t="n">
        <v>1</v>
      </c>
      <c r="AD925" s="0" t="n">
        <v>0</v>
      </c>
      <c r="AE925" s="0" t="n">
        <v>0</v>
      </c>
      <c r="AF925" s="0" t="n">
        <v>0</v>
      </c>
      <c r="AG925" s="0" t="n">
        <v>6.25809277678361</v>
      </c>
      <c r="AH925" s="0" t="n">
        <v>0</v>
      </c>
      <c r="AI925" s="0" t="n">
        <v>0</v>
      </c>
      <c r="AK925" s="0" t="n">
        <f aca="false">A925</f>
        <v>908</v>
      </c>
      <c r="AL925" s="0" t="n">
        <v>0</v>
      </c>
      <c r="AM925" s="0" t="n">
        <v>0</v>
      </c>
      <c r="AO925" s="0" t="n">
        <v>908</v>
      </c>
      <c r="AP925" s="0" t="n">
        <v>1</v>
      </c>
      <c r="AQ925" s="0" t="n">
        <v>0.649613377866046</v>
      </c>
      <c r="AR925" s="0" t="n">
        <v>808.13025823042</v>
      </c>
      <c r="AS925" s="0" t="n">
        <v>108</v>
      </c>
      <c r="AT925" s="0" t="n">
        <v>108</v>
      </c>
    </row>
    <row r="926" customFormat="false" ht="12" hidden="false" customHeight="false" outlineLevel="0" collapsed="false">
      <c r="A926" s="0" t="n">
        <v>909</v>
      </c>
      <c r="B926" s="0" t="n">
        <v>0</v>
      </c>
      <c r="C926" s="0" t="n">
        <v>0.720052826483298</v>
      </c>
      <c r="D926" s="0" t="n">
        <v>985.185659419925</v>
      </c>
      <c r="E926" s="0" t="n">
        <v>8</v>
      </c>
      <c r="F926" s="0" t="n">
        <v>6</v>
      </c>
      <c r="G926" s="0" t="n">
        <v>0.5</v>
      </c>
      <c r="H926" s="0" t="n">
        <v>0</v>
      </c>
      <c r="I926" s="0" t="n">
        <v>2.16224579492772</v>
      </c>
      <c r="J926" s="0" t="n">
        <v>992.384891398617</v>
      </c>
      <c r="K926" s="0" t="n">
        <v>7.1992319786923</v>
      </c>
      <c r="L926" s="0" t="n">
        <v>0</v>
      </c>
      <c r="M926" s="0" t="n">
        <v>987.671026189614</v>
      </c>
      <c r="N926" s="0" t="n">
        <v>0</v>
      </c>
      <c r="O926" s="0" t="n">
        <v>909</v>
      </c>
      <c r="P926" s="0" t="n">
        <v>459</v>
      </c>
      <c r="Q926" s="0" t="n">
        <v>450</v>
      </c>
      <c r="R926" s="0" t="n">
        <v>1154.52497636752</v>
      </c>
      <c r="S926" s="0" t="n">
        <v>790.729033791797</v>
      </c>
      <c r="T926" s="0" t="n">
        <v>26</v>
      </c>
      <c r="U926" s="0" t="n">
        <v>22</v>
      </c>
      <c r="V926" s="0" t="n">
        <v>44.4047897046007</v>
      </c>
      <c r="W926" s="0" t="n">
        <v>35.9420654356933</v>
      </c>
      <c r="X926" s="0" t="n">
        <v>0</v>
      </c>
      <c r="Y926" s="0" t="n">
        <v>7.1992319786923</v>
      </c>
      <c r="Z926" s="0" t="n">
        <v>0</v>
      </c>
      <c r="AA926" s="0" t="n">
        <v>0</v>
      </c>
      <c r="AB926" s="0" t="n">
        <v>0</v>
      </c>
      <c r="AC926" s="0" t="n">
        <v>1</v>
      </c>
      <c r="AD926" s="0" t="n">
        <v>0</v>
      </c>
      <c r="AE926" s="0" t="n">
        <v>0</v>
      </c>
      <c r="AF926" s="0" t="n">
        <v>0</v>
      </c>
      <c r="AG926" s="0" t="n">
        <v>1.12238146476304</v>
      </c>
      <c r="AH926" s="0" t="n">
        <v>0</v>
      </c>
      <c r="AI926" s="0" t="n">
        <v>0</v>
      </c>
      <c r="AK926" s="0" t="n">
        <f aca="false">A926</f>
        <v>909</v>
      </c>
      <c r="AL926" s="0" t="n">
        <v>1</v>
      </c>
      <c r="AM926" s="0" t="n">
        <v>1</v>
      </c>
      <c r="AO926" s="0" t="n">
        <v>909</v>
      </c>
      <c r="AP926" s="0" t="n">
        <v>1</v>
      </c>
      <c r="AQ926" s="0" t="n">
        <v>0.351009475046957</v>
      </c>
      <c r="AR926" s="0" t="n">
        <v>808.481267705467</v>
      </c>
      <c r="AS926" s="0" t="n">
        <v>110</v>
      </c>
      <c r="AT926" s="0" t="n">
        <v>108</v>
      </c>
    </row>
    <row r="927" customFormat="false" ht="12" hidden="false" customHeight="false" outlineLevel="0" collapsed="false">
      <c r="A927" s="0" t="n">
        <v>910</v>
      </c>
      <c r="B927" s="0" t="n">
        <v>0</v>
      </c>
      <c r="C927" s="0" t="n">
        <v>0.524219316311411</v>
      </c>
      <c r="D927" s="0" t="n">
        <v>985.709878736236</v>
      </c>
      <c r="E927" s="0" t="n">
        <v>10</v>
      </c>
      <c r="F927" s="0" t="n">
        <v>4</v>
      </c>
      <c r="G927" s="0" t="n">
        <v>0.5</v>
      </c>
      <c r="H927" s="0" t="n">
        <v>0</v>
      </c>
      <c r="I927" s="0" t="n">
        <v>1.91802756363265</v>
      </c>
      <c r="J927" s="0" t="n">
        <v>994.30291896225</v>
      </c>
      <c r="K927" s="0" t="n">
        <v>8.59304022601361</v>
      </c>
      <c r="L927" s="0" t="n">
        <v>0</v>
      </c>
      <c r="M927" s="0" t="n">
        <v>987.671026189614</v>
      </c>
      <c r="N927" s="0" t="n">
        <v>0</v>
      </c>
      <c r="O927" s="0" t="n">
        <v>910</v>
      </c>
      <c r="P927" s="0" t="n">
        <v>460</v>
      </c>
      <c r="Q927" s="0" t="n">
        <v>450</v>
      </c>
      <c r="R927" s="0" t="n">
        <v>679.245259097464</v>
      </c>
      <c r="S927" s="0" t="n">
        <v>1265.83526951436</v>
      </c>
      <c r="T927" s="0" t="n">
        <v>19</v>
      </c>
      <c r="U927" s="0" t="n">
        <v>29</v>
      </c>
      <c r="V927" s="0" t="n">
        <v>35.7497316631656</v>
      </c>
      <c r="W927" s="0" t="n">
        <v>43.6493415372485</v>
      </c>
      <c r="X927" s="0" t="n">
        <v>0</v>
      </c>
      <c r="Y927" s="0" t="n">
        <v>8.59304022601361</v>
      </c>
      <c r="Z927" s="0" t="n">
        <v>0</v>
      </c>
      <c r="AA927" s="0" t="n">
        <v>0</v>
      </c>
      <c r="AB927" s="0" t="n">
        <v>0</v>
      </c>
      <c r="AC927" s="0" t="n">
        <v>1</v>
      </c>
      <c r="AD927" s="0" t="n">
        <v>0</v>
      </c>
      <c r="AE927" s="0" t="n">
        <v>0</v>
      </c>
      <c r="AF927" s="0" t="n">
        <v>0</v>
      </c>
      <c r="AG927" s="0" t="n">
        <v>0.111812113751554</v>
      </c>
      <c r="AH927" s="0" t="n">
        <v>0</v>
      </c>
      <c r="AI927" s="0" t="n">
        <v>0</v>
      </c>
      <c r="AK927" s="0" t="n">
        <f aca="false">A927</f>
        <v>910</v>
      </c>
      <c r="AL927" s="0" t="n">
        <v>3</v>
      </c>
      <c r="AM927" s="0" t="n">
        <v>0</v>
      </c>
      <c r="AO927" s="0" t="n">
        <v>910</v>
      </c>
      <c r="AP927" s="0" t="n">
        <v>0</v>
      </c>
      <c r="AQ927" s="0" t="n">
        <v>0.0590537438628688</v>
      </c>
      <c r="AR927" s="0" t="n">
        <v>808.54032144933</v>
      </c>
      <c r="AS927" s="0" t="n">
        <v>110</v>
      </c>
      <c r="AT927" s="0" t="n">
        <v>110</v>
      </c>
    </row>
    <row r="928" customFormat="false" ht="12" hidden="false" customHeight="false" outlineLevel="0" collapsed="false">
      <c r="A928" s="0" t="n">
        <v>911</v>
      </c>
      <c r="B928" s="0" t="n">
        <v>1</v>
      </c>
      <c r="C928" s="0" t="n">
        <v>0.785846574066973</v>
      </c>
      <c r="D928" s="0" t="n">
        <v>986.495725310303</v>
      </c>
      <c r="E928" s="0" t="n">
        <v>10</v>
      </c>
      <c r="F928" s="0" t="n">
        <v>4</v>
      </c>
      <c r="G928" s="0" t="n">
        <v>0.5</v>
      </c>
      <c r="H928" s="0" t="n">
        <v>1</v>
      </c>
      <c r="I928" s="0" t="n">
        <v>0</v>
      </c>
      <c r="J928" s="0" t="n">
        <v>994.30291896225</v>
      </c>
      <c r="K928" s="0" t="n">
        <v>0</v>
      </c>
      <c r="L928" s="0" t="n">
        <v>1.84365922052436</v>
      </c>
      <c r="M928" s="0" t="n">
        <v>989.514685410138</v>
      </c>
      <c r="N928" s="0" t="n">
        <v>3.01896009983523</v>
      </c>
      <c r="O928" s="0" t="n">
        <v>911</v>
      </c>
      <c r="P928" s="0" t="n">
        <v>460</v>
      </c>
      <c r="Q928" s="0" t="n">
        <v>451</v>
      </c>
      <c r="R928" s="0" t="n">
        <v>1309.6898323001</v>
      </c>
      <c r="S928" s="0" t="n">
        <v>620.99189567642</v>
      </c>
      <c r="T928" s="0" t="n">
        <v>32</v>
      </c>
      <c r="U928" s="0" t="n">
        <v>16</v>
      </c>
      <c r="V928" s="0" t="n">
        <v>40.9277944694425</v>
      </c>
      <c r="W928" s="0" t="n">
        <v>38.8117509063331</v>
      </c>
      <c r="X928" s="0" t="n">
        <v>0</v>
      </c>
      <c r="Y928" s="0" t="n">
        <v>0</v>
      </c>
      <c r="Z928" s="0" t="n">
        <v>3.01896009983523</v>
      </c>
      <c r="AA928" s="0" t="n">
        <v>0</v>
      </c>
      <c r="AB928" s="0" t="n">
        <v>0</v>
      </c>
      <c r="AC928" s="0" t="n">
        <v>0</v>
      </c>
      <c r="AD928" s="0" t="n">
        <v>1</v>
      </c>
      <c r="AE928" s="0" t="n">
        <v>0</v>
      </c>
      <c r="AF928" s="0" t="n">
        <v>0</v>
      </c>
      <c r="AG928" s="0" t="n">
        <v>0</v>
      </c>
      <c r="AH928" s="0" t="n">
        <v>22.5334695417529</v>
      </c>
      <c r="AI928" s="0" t="n">
        <v>0</v>
      </c>
      <c r="AK928" s="0" t="n">
        <f aca="false">A928</f>
        <v>911</v>
      </c>
      <c r="AL928" s="0" t="n">
        <v>3</v>
      </c>
      <c r="AM928" s="0" t="n">
        <v>1</v>
      </c>
      <c r="AO928" s="0" t="n">
        <v>911</v>
      </c>
      <c r="AP928" s="0" t="n">
        <v>0</v>
      </c>
      <c r="AQ928" s="0" t="n">
        <v>0.334643133231502</v>
      </c>
      <c r="AR928" s="0" t="n">
        <v>808.874964582562</v>
      </c>
      <c r="AS928" s="0" t="n">
        <v>110</v>
      </c>
      <c r="AT928" s="0" t="n">
        <v>112</v>
      </c>
    </row>
    <row r="929" customFormat="false" ht="12" hidden="false" customHeight="false" outlineLevel="0" collapsed="false">
      <c r="A929" s="0" t="n">
        <v>912</v>
      </c>
      <c r="B929" s="0" t="n">
        <v>0</v>
      </c>
      <c r="C929" s="0" t="n">
        <v>0.597170270194873</v>
      </c>
      <c r="D929" s="0" t="n">
        <v>987.092895580498</v>
      </c>
      <c r="E929" s="0" t="n">
        <v>10</v>
      </c>
      <c r="F929" s="0" t="n">
        <v>6</v>
      </c>
      <c r="G929" s="0" t="n">
        <v>0.5</v>
      </c>
      <c r="H929" s="0" t="n">
        <v>0</v>
      </c>
      <c r="I929" s="0" t="n">
        <v>2.07952077598809</v>
      </c>
      <c r="J929" s="0" t="n">
        <v>996.382439738238</v>
      </c>
      <c r="K929" s="0" t="n">
        <v>9.28954415773978</v>
      </c>
      <c r="L929" s="0" t="n">
        <v>0</v>
      </c>
      <c r="M929" s="0" t="n">
        <v>989.514685410138</v>
      </c>
      <c r="N929" s="0" t="n">
        <v>0</v>
      </c>
      <c r="O929" s="0" t="n">
        <v>912</v>
      </c>
      <c r="P929" s="0" t="n">
        <v>461</v>
      </c>
      <c r="Q929" s="0" t="n">
        <v>451</v>
      </c>
      <c r="R929" s="0" t="n">
        <v>1007.14354299844</v>
      </c>
      <c r="S929" s="0" t="n">
        <v>931.495082187898</v>
      </c>
      <c r="T929" s="0" t="n">
        <v>25</v>
      </c>
      <c r="U929" s="0" t="n">
        <v>23</v>
      </c>
      <c r="V929" s="0" t="n">
        <v>40.2857256056472</v>
      </c>
      <c r="W929" s="0" t="n">
        <v>40.4996100968212</v>
      </c>
      <c r="X929" s="0" t="n">
        <v>0</v>
      </c>
      <c r="Y929" s="0" t="n">
        <v>9.28954415773978</v>
      </c>
      <c r="Z929" s="0" t="n">
        <v>0</v>
      </c>
      <c r="AA929" s="0" t="n">
        <v>0</v>
      </c>
      <c r="AB929" s="0" t="n">
        <v>0</v>
      </c>
      <c r="AC929" s="0" t="n">
        <v>1</v>
      </c>
      <c r="AD929" s="0" t="n">
        <v>0</v>
      </c>
      <c r="AE929" s="0" t="n">
        <v>0</v>
      </c>
      <c r="AF929" s="0" t="n">
        <v>0</v>
      </c>
      <c r="AG929" s="0" t="n">
        <v>1.06272824539974</v>
      </c>
      <c r="AH929" s="0" t="n">
        <v>0</v>
      </c>
      <c r="AI929" s="0" t="n">
        <v>0</v>
      </c>
      <c r="AK929" s="0" t="n">
        <f aca="false">A929</f>
        <v>912</v>
      </c>
      <c r="AL929" s="0" t="n">
        <v>2</v>
      </c>
      <c r="AM929" s="0" t="n">
        <v>0</v>
      </c>
      <c r="AO929" s="0" t="n">
        <v>912</v>
      </c>
      <c r="AP929" s="0" t="n">
        <v>1</v>
      </c>
      <c r="AQ929" s="0" t="n">
        <v>1.7655682271687</v>
      </c>
      <c r="AR929" s="0" t="n">
        <v>810.64053280973</v>
      </c>
      <c r="AS929" s="0" t="n">
        <v>110</v>
      </c>
      <c r="AT929" s="0" t="n">
        <v>110</v>
      </c>
    </row>
    <row r="930" customFormat="false" ht="12" hidden="false" customHeight="false" outlineLevel="0" collapsed="false">
      <c r="A930" s="0" t="n">
        <v>913</v>
      </c>
      <c r="B930" s="0" t="n">
        <v>0</v>
      </c>
      <c r="C930" s="0" t="n">
        <v>0.167598332041465</v>
      </c>
      <c r="D930" s="0" t="n">
        <v>987.26049391254</v>
      </c>
      <c r="E930" s="0" t="n">
        <v>12</v>
      </c>
      <c r="F930" s="0" t="n">
        <v>6</v>
      </c>
      <c r="G930" s="0" t="n">
        <v>0.5</v>
      </c>
      <c r="H930" s="0" t="n">
        <v>0</v>
      </c>
      <c r="I930" s="0" t="n">
        <v>2.21378140876844</v>
      </c>
      <c r="J930" s="0" t="n">
        <v>998.596221147006</v>
      </c>
      <c r="K930" s="0" t="n">
        <v>11.3357272344667</v>
      </c>
      <c r="L930" s="0" t="n">
        <v>0</v>
      </c>
      <c r="M930" s="0" t="n">
        <v>989.514685410138</v>
      </c>
      <c r="N930" s="0" t="n">
        <v>0</v>
      </c>
      <c r="O930" s="0" t="n">
        <v>913</v>
      </c>
      <c r="P930" s="0" t="n">
        <v>462</v>
      </c>
      <c r="Q930" s="0" t="n">
        <v>451</v>
      </c>
      <c r="R930" s="0" t="n">
        <v>717.617363026331</v>
      </c>
      <c r="S930" s="0" t="n">
        <v>1221.23220478908</v>
      </c>
      <c r="T930" s="0" t="n">
        <v>20</v>
      </c>
      <c r="U930" s="0" t="n">
        <v>28</v>
      </c>
      <c r="V930" s="0" t="n">
        <v>35.8808502108914</v>
      </c>
      <c r="W930" s="0" t="n">
        <v>43.6152801164668</v>
      </c>
      <c r="X930" s="0" t="n">
        <v>0</v>
      </c>
      <c r="Y930" s="0" t="n">
        <v>11.3357272344667</v>
      </c>
      <c r="Z930" s="0" t="n">
        <v>0</v>
      </c>
      <c r="AA930" s="0" t="n">
        <v>0</v>
      </c>
      <c r="AB930" s="0" t="n">
        <v>0</v>
      </c>
      <c r="AC930" s="0" t="n">
        <v>1</v>
      </c>
      <c r="AD930" s="0" t="n">
        <v>0</v>
      </c>
      <c r="AE930" s="0" t="n">
        <v>0</v>
      </c>
      <c r="AF930" s="0" t="n">
        <v>0</v>
      </c>
      <c r="AG930" s="0" t="n">
        <v>9.46836096937159</v>
      </c>
      <c r="AH930" s="0" t="n">
        <v>0</v>
      </c>
      <c r="AI930" s="0" t="n">
        <v>0</v>
      </c>
      <c r="AK930" s="0" t="n">
        <f aca="false">A930</f>
        <v>913</v>
      </c>
      <c r="AL930" s="0" t="n">
        <v>3</v>
      </c>
      <c r="AM930" s="0" t="n">
        <v>1</v>
      </c>
      <c r="AO930" s="0" t="n">
        <v>913</v>
      </c>
      <c r="AP930" s="0" t="n">
        <v>0</v>
      </c>
      <c r="AQ930" s="0" t="n">
        <v>0.197974381364571</v>
      </c>
      <c r="AR930" s="0" t="n">
        <v>810.838507191095</v>
      </c>
      <c r="AS930" s="0" t="n">
        <v>112</v>
      </c>
      <c r="AT930" s="0" t="n">
        <v>110</v>
      </c>
    </row>
    <row r="931" customFormat="false" ht="12" hidden="false" customHeight="false" outlineLevel="0" collapsed="false">
      <c r="A931" s="0" t="n">
        <v>914</v>
      </c>
      <c r="B931" s="0" t="n">
        <v>1</v>
      </c>
      <c r="C931" s="0" t="n">
        <v>0.797307266582674</v>
      </c>
      <c r="D931" s="0" t="n">
        <v>988.057801179122</v>
      </c>
      <c r="E931" s="0" t="n">
        <v>14</v>
      </c>
      <c r="F931" s="0" t="n">
        <v>4</v>
      </c>
      <c r="G931" s="0" t="n">
        <v>0.5</v>
      </c>
      <c r="H931" s="0" t="n">
        <v>1</v>
      </c>
      <c r="I931" s="0" t="n">
        <v>0</v>
      </c>
      <c r="J931" s="0" t="n">
        <v>998.596221147006</v>
      </c>
      <c r="K931" s="0" t="n">
        <v>0</v>
      </c>
      <c r="L931" s="0" t="n">
        <v>1.83894672582806</v>
      </c>
      <c r="M931" s="0" t="n">
        <v>991.353632135966</v>
      </c>
      <c r="N931" s="0" t="n">
        <v>3.29583095684416</v>
      </c>
      <c r="O931" s="0" t="n">
        <v>914</v>
      </c>
      <c r="P931" s="0" t="n">
        <v>462</v>
      </c>
      <c r="Q931" s="0" t="n">
        <v>452</v>
      </c>
      <c r="R931" s="0" t="n">
        <v>1110.24715042</v>
      </c>
      <c r="S931" s="0" t="n">
        <v>819.067507471611</v>
      </c>
      <c r="T931" s="0" t="n">
        <v>27</v>
      </c>
      <c r="U931" s="0" t="n">
        <v>21</v>
      </c>
      <c r="V931" s="0" t="n">
        <v>41.1202496006483</v>
      </c>
      <c r="W931" s="0" t="n">
        <v>39.0030289127962</v>
      </c>
      <c r="X931" s="0" t="n">
        <v>0</v>
      </c>
      <c r="Y931" s="0" t="n">
        <v>0</v>
      </c>
      <c r="Z931" s="0" t="n">
        <v>3.29583095684416</v>
      </c>
      <c r="AA931" s="0" t="n">
        <v>0</v>
      </c>
      <c r="AB931" s="0" t="n">
        <v>0</v>
      </c>
      <c r="AC931" s="0" t="n">
        <v>0</v>
      </c>
      <c r="AD931" s="0" t="n">
        <v>1</v>
      </c>
      <c r="AE931" s="0" t="n">
        <v>0</v>
      </c>
      <c r="AF931" s="0" t="n">
        <v>0</v>
      </c>
      <c r="AG931" s="0" t="n">
        <v>0</v>
      </c>
      <c r="AH931" s="0" t="n">
        <v>19.9815465610982</v>
      </c>
      <c r="AI931" s="0" t="n">
        <v>0</v>
      </c>
      <c r="AK931" s="0" t="n">
        <f aca="false">A931</f>
        <v>914</v>
      </c>
      <c r="AL931" s="0" t="n">
        <v>5</v>
      </c>
      <c r="AM931" s="0" t="n">
        <v>2</v>
      </c>
      <c r="AO931" s="0" t="n">
        <v>914</v>
      </c>
      <c r="AP931" s="0" t="n">
        <v>0</v>
      </c>
      <c r="AQ931" s="0" t="n">
        <v>0.30091094316302</v>
      </c>
      <c r="AR931" s="0" t="n">
        <v>811.139418134258</v>
      </c>
      <c r="AS931" s="0" t="n">
        <v>114</v>
      </c>
      <c r="AT931" s="0" t="n">
        <v>110</v>
      </c>
    </row>
    <row r="932" customFormat="false" ht="12" hidden="false" customHeight="false" outlineLevel="0" collapsed="false">
      <c r="A932" s="0" t="n">
        <v>915</v>
      </c>
      <c r="B932" s="0" t="n">
        <v>0</v>
      </c>
      <c r="C932" s="0" t="n">
        <v>0.608574632210026</v>
      </c>
      <c r="D932" s="0" t="n">
        <v>988.666375811332</v>
      </c>
      <c r="E932" s="0" t="n">
        <v>12</v>
      </c>
      <c r="F932" s="0" t="n">
        <v>6</v>
      </c>
      <c r="G932" s="0" t="n">
        <v>0.5</v>
      </c>
      <c r="H932" s="0" t="n">
        <v>1</v>
      </c>
      <c r="I932" s="0" t="n">
        <v>0</v>
      </c>
      <c r="J932" s="0" t="n">
        <v>998.596221147006</v>
      </c>
      <c r="K932" s="0" t="n">
        <v>0</v>
      </c>
      <c r="L932" s="0" t="n">
        <v>1.92419145984903</v>
      </c>
      <c r="M932" s="0" t="n">
        <v>993.277823595815</v>
      </c>
      <c r="N932" s="0" t="n">
        <v>4.61144778448318</v>
      </c>
      <c r="O932" s="0" t="n">
        <v>915</v>
      </c>
      <c r="P932" s="0" t="n">
        <v>462</v>
      </c>
      <c r="Q932" s="0" t="n">
        <v>453</v>
      </c>
      <c r="R932" s="0" t="n">
        <v>995.973915221592</v>
      </c>
      <c r="S932" s="0" t="n">
        <v>928.312791182841</v>
      </c>
      <c r="T932" s="0" t="n">
        <v>24</v>
      </c>
      <c r="U932" s="0" t="n">
        <v>24</v>
      </c>
      <c r="V932" s="0" t="n">
        <v>41.4988958430264</v>
      </c>
      <c r="W932" s="0" t="n">
        <v>38.6795384678748</v>
      </c>
      <c r="X932" s="0" t="n">
        <v>0</v>
      </c>
      <c r="Y932" s="0" t="n">
        <v>0</v>
      </c>
      <c r="Z932" s="0" t="n">
        <v>0</v>
      </c>
      <c r="AA932" s="0" t="n">
        <v>4.61144778448318</v>
      </c>
      <c r="AB932" s="0" t="n">
        <v>0</v>
      </c>
      <c r="AC932" s="0" t="n">
        <v>0</v>
      </c>
      <c r="AD932" s="0" t="n">
        <v>0</v>
      </c>
      <c r="AE932" s="0" t="n">
        <v>1</v>
      </c>
      <c r="AF932" s="0" t="n">
        <v>0</v>
      </c>
      <c r="AG932" s="0" t="n">
        <v>0</v>
      </c>
      <c r="AH932" s="0" t="n">
        <v>0</v>
      </c>
      <c r="AI932" s="0" t="n">
        <v>9.73410658223459</v>
      </c>
      <c r="AK932" s="0" t="n">
        <f aca="false">A932</f>
        <v>915</v>
      </c>
      <c r="AL932" s="0" t="n">
        <v>3</v>
      </c>
      <c r="AM932" s="0" t="n">
        <v>0</v>
      </c>
      <c r="AO932" s="0" t="n">
        <v>915</v>
      </c>
      <c r="AP932" s="0" t="n">
        <v>1</v>
      </c>
      <c r="AQ932" s="0" t="n">
        <v>0.102389314282601</v>
      </c>
      <c r="AR932" s="0" t="n">
        <v>811.24180744854</v>
      </c>
      <c r="AS932" s="0" t="n">
        <v>112</v>
      </c>
      <c r="AT932" s="0" t="n">
        <v>112</v>
      </c>
    </row>
    <row r="933" customFormat="false" ht="12" hidden="false" customHeight="false" outlineLevel="0" collapsed="false">
      <c r="A933" s="0" t="n">
        <v>916</v>
      </c>
      <c r="B933" s="0" t="n">
        <v>1</v>
      </c>
      <c r="C933" s="0" t="n">
        <v>0.55835960853512</v>
      </c>
      <c r="D933" s="0" t="n">
        <v>989.224735419867</v>
      </c>
      <c r="E933" s="0" t="n">
        <v>12</v>
      </c>
      <c r="F933" s="0" t="n">
        <v>8</v>
      </c>
      <c r="G933" s="0" t="n">
        <v>0.5</v>
      </c>
      <c r="H933" s="0" t="n">
        <v>1</v>
      </c>
      <c r="I933" s="0" t="n">
        <v>0</v>
      </c>
      <c r="J933" s="0" t="n">
        <v>998.596221147006</v>
      </c>
      <c r="K933" s="0" t="n">
        <v>0</v>
      </c>
      <c r="L933" s="0" t="n">
        <v>1.82778987020131</v>
      </c>
      <c r="M933" s="0" t="n">
        <v>995.105613466017</v>
      </c>
      <c r="N933" s="0" t="n">
        <v>5.88087804614929</v>
      </c>
      <c r="O933" s="0" t="n">
        <v>916</v>
      </c>
      <c r="P933" s="0" t="n">
        <v>462</v>
      </c>
      <c r="Q933" s="0" t="n">
        <v>454</v>
      </c>
      <c r="R933" s="0" t="n">
        <v>854.665224045353</v>
      </c>
      <c r="S933" s="0" t="n">
        <v>1092.57359775815</v>
      </c>
      <c r="T933" s="0" t="n">
        <v>25</v>
      </c>
      <c r="U933" s="0" t="n">
        <v>23</v>
      </c>
      <c r="V933" s="0" t="n">
        <v>34.186595287176</v>
      </c>
      <c r="W933" s="0" t="n">
        <v>47.5029933677745</v>
      </c>
      <c r="X933" s="0" t="n">
        <v>0</v>
      </c>
      <c r="Y933" s="0" t="n">
        <v>0</v>
      </c>
      <c r="Z933" s="0" t="n">
        <v>5.88087804614929</v>
      </c>
      <c r="AA933" s="0" t="n">
        <v>0</v>
      </c>
      <c r="AB933" s="0" t="n">
        <v>0</v>
      </c>
      <c r="AC933" s="0" t="n">
        <v>0</v>
      </c>
      <c r="AD933" s="0" t="n">
        <v>1</v>
      </c>
      <c r="AE933" s="0" t="n">
        <v>0</v>
      </c>
      <c r="AF933" s="0" t="n">
        <v>0</v>
      </c>
      <c r="AG933" s="0" t="n">
        <v>0</v>
      </c>
      <c r="AH933" s="0" t="n">
        <v>3.55332012671039</v>
      </c>
      <c r="AI933" s="0" t="n">
        <v>0</v>
      </c>
      <c r="AK933" s="0" t="n">
        <f aca="false">A933</f>
        <v>916</v>
      </c>
      <c r="AL933" s="0" t="n">
        <v>2</v>
      </c>
      <c r="AM933" s="0" t="n">
        <v>2</v>
      </c>
      <c r="AO933" s="0" t="n">
        <v>916</v>
      </c>
      <c r="AP933" s="0" t="n">
        <v>0</v>
      </c>
      <c r="AQ933" s="0" t="n">
        <v>1.62349622041968</v>
      </c>
      <c r="AR933" s="0" t="n">
        <v>812.86530366896</v>
      </c>
      <c r="AS933" s="0" t="n">
        <v>114</v>
      </c>
      <c r="AT933" s="0" t="n">
        <v>110</v>
      </c>
    </row>
    <row r="934" customFormat="false" ht="12" hidden="false" customHeight="false" outlineLevel="0" collapsed="false">
      <c r="A934" s="0" t="n">
        <v>917</v>
      </c>
      <c r="B934" s="0" t="n">
        <v>0</v>
      </c>
      <c r="C934" s="0" t="n">
        <v>1.23891509155314</v>
      </c>
      <c r="D934" s="0" t="n">
        <v>990.463650511421</v>
      </c>
      <c r="E934" s="0" t="n">
        <v>10</v>
      </c>
      <c r="F934" s="0" t="n">
        <v>8</v>
      </c>
      <c r="G934" s="0" t="n">
        <v>0.5</v>
      </c>
      <c r="H934" s="0" t="n">
        <v>1</v>
      </c>
      <c r="I934" s="0" t="n">
        <v>0</v>
      </c>
      <c r="J934" s="0" t="n">
        <v>998.596221147006</v>
      </c>
      <c r="K934" s="0" t="n">
        <v>0</v>
      </c>
      <c r="L934" s="0" t="n">
        <v>2.17334622839522</v>
      </c>
      <c r="M934" s="0" t="n">
        <v>997.278959694412</v>
      </c>
      <c r="N934" s="0" t="n">
        <v>6.81530918299131</v>
      </c>
      <c r="O934" s="0" t="n">
        <v>917</v>
      </c>
      <c r="P934" s="0" t="n">
        <v>462</v>
      </c>
      <c r="Q934" s="0" t="n">
        <v>455</v>
      </c>
      <c r="R934" s="0" t="n">
        <v>1046.27818616616</v>
      </c>
      <c r="S934" s="0" t="n">
        <v>896.276595982578</v>
      </c>
      <c r="T934" s="0" t="n">
        <v>19</v>
      </c>
      <c r="U934" s="0" t="n">
        <v>29</v>
      </c>
      <c r="V934" s="0" t="n">
        <v>55.0672439733538</v>
      </c>
      <c r="W934" s="0" t="n">
        <v>30.9059829442857</v>
      </c>
      <c r="X934" s="0" t="n">
        <v>0</v>
      </c>
      <c r="Y934" s="0" t="n">
        <v>0</v>
      </c>
      <c r="Z934" s="0" t="n">
        <v>0</v>
      </c>
      <c r="AA934" s="0" t="n">
        <v>6.81530918299131</v>
      </c>
      <c r="AB934" s="0" t="n">
        <v>0</v>
      </c>
      <c r="AC934" s="0" t="n">
        <v>0</v>
      </c>
      <c r="AD934" s="0" t="n">
        <v>0</v>
      </c>
      <c r="AE934" s="0" t="n">
        <v>1</v>
      </c>
      <c r="AF934" s="0" t="n">
        <v>0</v>
      </c>
      <c r="AG934" s="0" t="n">
        <v>0</v>
      </c>
      <c r="AH934" s="0" t="n">
        <v>0</v>
      </c>
      <c r="AI934" s="0" t="n">
        <v>0.839223781224144</v>
      </c>
      <c r="AK934" s="0" t="n">
        <f aca="false">A934</f>
        <v>917</v>
      </c>
      <c r="AL934" s="0" t="n">
        <v>1</v>
      </c>
      <c r="AM934" s="0" t="n">
        <v>3</v>
      </c>
      <c r="AO934" s="0" t="n">
        <v>917</v>
      </c>
      <c r="AP934" s="0" t="n">
        <v>1</v>
      </c>
      <c r="AQ934" s="0" t="n">
        <v>1.52183650760932</v>
      </c>
      <c r="AR934" s="0" t="n">
        <v>814.38714017657</v>
      </c>
      <c r="AS934" s="0" t="n">
        <v>114</v>
      </c>
      <c r="AT934" s="0" t="n">
        <v>108</v>
      </c>
    </row>
    <row r="935" customFormat="false" ht="12" hidden="false" customHeight="false" outlineLevel="0" collapsed="false">
      <c r="A935" s="0" t="n">
        <v>918</v>
      </c>
      <c r="B935" s="0" t="n">
        <v>1</v>
      </c>
      <c r="C935" s="0" t="n">
        <v>0.860203786542262</v>
      </c>
      <c r="D935" s="0" t="n">
        <v>991.323854297963</v>
      </c>
      <c r="E935" s="0" t="n">
        <v>10</v>
      </c>
      <c r="F935" s="0" t="n">
        <v>10</v>
      </c>
      <c r="G935" s="0" t="n">
        <v>0.5</v>
      </c>
      <c r="H935" s="0" t="n">
        <v>0</v>
      </c>
      <c r="I935" s="0" t="n">
        <v>1.81742090850392</v>
      </c>
      <c r="J935" s="0" t="n">
        <v>1000.41364205551</v>
      </c>
      <c r="K935" s="0" t="n">
        <v>9.08978775754736</v>
      </c>
      <c r="L935" s="0" t="n">
        <v>0</v>
      </c>
      <c r="M935" s="0" t="n">
        <v>997.278959694412</v>
      </c>
      <c r="N935" s="0" t="n">
        <v>0</v>
      </c>
      <c r="O935" s="0" t="n">
        <v>918</v>
      </c>
      <c r="P935" s="0" t="n">
        <v>463</v>
      </c>
      <c r="Q935" s="0" t="n">
        <v>455</v>
      </c>
      <c r="R935" s="0" t="n">
        <v>949.128190745454</v>
      </c>
      <c r="S935" s="0" t="n">
        <v>1005.25403930277</v>
      </c>
      <c r="T935" s="0" t="n">
        <v>25</v>
      </c>
      <c r="U935" s="0" t="n">
        <v>23</v>
      </c>
      <c r="V935" s="0" t="n">
        <v>37.9651124437732</v>
      </c>
      <c r="W935" s="0" t="n">
        <v>43.7065073326973</v>
      </c>
      <c r="X935" s="0" t="n">
        <v>9.08978775754736</v>
      </c>
      <c r="Y935" s="0" t="n">
        <v>0</v>
      </c>
      <c r="Z935" s="0" t="n">
        <v>0</v>
      </c>
      <c r="AA935" s="0" t="n">
        <v>0</v>
      </c>
      <c r="AB935" s="0" t="n">
        <v>1</v>
      </c>
      <c r="AC935" s="0" t="n">
        <v>0</v>
      </c>
      <c r="AD935" s="0" t="n">
        <v>0</v>
      </c>
      <c r="AE935" s="0" t="n">
        <v>0</v>
      </c>
      <c r="AF935" s="0" t="n">
        <v>2.76300065198468</v>
      </c>
      <c r="AG935" s="0" t="n">
        <v>0</v>
      </c>
      <c r="AH935" s="0" t="n">
        <v>0</v>
      </c>
      <c r="AI935" s="0" t="n">
        <v>0</v>
      </c>
      <c r="AK935" s="0" t="n">
        <f aca="false">A935</f>
        <v>918</v>
      </c>
      <c r="AL935" s="0" t="n">
        <v>0</v>
      </c>
      <c r="AM935" s="0" t="n">
        <v>1</v>
      </c>
      <c r="AO935" s="0" t="n">
        <v>918</v>
      </c>
      <c r="AP935" s="0" t="n">
        <v>0</v>
      </c>
      <c r="AQ935" s="0" t="n">
        <v>0.930970834833497</v>
      </c>
      <c r="AR935" s="0" t="n">
        <v>815.318111011403</v>
      </c>
      <c r="AS935" s="0" t="n">
        <v>112</v>
      </c>
      <c r="AT935" s="0" t="n">
        <v>110</v>
      </c>
    </row>
    <row r="936" customFormat="false" ht="12" hidden="false" customHeight="false" outlineLevel="0" collapsed="false">
      <c r="A936" s="0" t="n">
        <v>919</v>
      </c>
      <c r="B936" s="0" t="n">
        <v>1</v>
      </c>
      <c r="C936" s="0" t="n">
        <v>0.131102785918461</v>
      </c>
      <c r="D936" s="0" t="n">
        <v>991.454957083881</v>
      </c>
      <c r="E936" s="0" t="n">
        <v>12</v>
      </c>
      <c r="F936" s="0" t="n">
        <v>8</v>
      </c>
      <c r="G936" s="0" t="n">
        <v>0.5</v>
      </c>
      <c r="H936" s="0" t="n">
        <v>1</v>
      </c>
      <c r="I936" s="0" t="n">
        <v>0</v>
      </c>
      <c r="J936" s="0" t="n">
        <v>1000.41364205551</v>
      </c>
      <c r="K936" s="0" t="n">
        <v>0</v>
      </c>
      <c r="L936" s="0" t="n">
        <v>2.18955985375535</v>
      </c>
      <c r="M936" s="0" t="n">
        <v>999.468519548167</v>
      </c>
      <c r="N936" s="0" t="n">
        <v>8.013562464286</v>
      </c>
      <c r="O936" s="0" t="n">
        <v>919</v>
      </c>
      <c r="P936" s="0" t="n">
        <v>463</v>
      </c>
      <c r="Q936" s="0" t="n">
        <v>456</v>
      </c>
      <c r="R936" s="0" t="n">
        <v>1198.70999053543</v>
      </c>
      <c r="S936" s="0" t="n">
        <v>746.425501293791</v>
      </c>
      <c r="T936" s="0" t="n">
        <v>27</v>
      </c>
      <c r="U936" s="0" t="n">
        <v>21</v>
      </c>
      <c r="V936" s="0" t="n">
        <v>44.3966498729233</v>
      </c>
      <c r="W936" s="0" t="n">
        <v>35.5439022335032</v>
      </c>
      <c r="X936" s="0" t="n">
        <v>0</v>
      </c>
      <c r="Y936" s="0" t="n">
        <v>0</v>
      </c>
      <c r="Z936" s="0" t="n">
        <v>8.013562464286</v>
      </c>
      <c r="AA936" s="0" t="n">
        <v>0</v>
      </c>
      <c r="AB936" s="0" t="n">
        <v>0</v>
      </c>
      <c r="AC936" s="0" t="n">
        <v>0</v>
      </c>
      <c r="AD936" s="0" t="n">
        <v>1</v>
      </c>
      <c r="AE936" s="0" t="n">
        <v>0</v>
      </c>
      <c r="AF936" s="0" t="n">
        <v>0</v>
      </c>
      <c r="AG936" s="0" t="n">
        <v>0</v>
      </c>
      <c r="AH936" s="0" t="n">
        <v>0.0613350722895279</v>
      </c>
      <c r="AI936" s="0" t="n">
        <v>0</v>
      </c>
      <c r="AK936" s="0" t="n">
        <f aca="false">A936</f>
        <v>919</v>
      </c>
      <c r="AL936" s="0" t="n">
        <v>2</v>
      </c>
      <c r="AM936" s="0" t="n">
        <v>2</v>
      </c>
      <c r="AO936" s="0" t="n">
        <v>919</v>
      </c>
      <c r="AP936" s="0" t="n">
        <v>1</v>
      </c>
      <c r="AQ936" s="0" t="n">
        <v>0.0484069225071739</v>
      </c>
      <c r="AR936" s="0" t="n">
        <v>815.36651793391</v>
      </c>
      <c r="AS936" s="0" t="n">
        <v>114</v>
      </c>
      <c r="AT936" s="0" t="n">
        <v>110</v>
      </c>
    </row>
    <row r="937" customFormat="false" ht="12" hidden="false" customHeight="false" outlineLevel="0" collapsed="false">
      <c r="A937" s="0" t="n">
        <v>920</v>
      </c>
      <c r="B937" s="0" t="n">
        <v>1</v>
      </c>
      <c r="C937" s="0" t="n">
        <v>2.26437605543023</v>
      </c>
      <c r="D937" s="0" t="n">
        <v>993.719333139312</v>
      </c>
      <c r="E937" s="0" t="n">
        <v>10</v>
      </c>
      <c r="F937" s="0" t="n">
        <v>8</v>
      </c>
      <c r="G937" s="0" t="n">
        <v>0.5</v>
      </c>
      <c r="H937" s="0" t="n">
        <v>1</v>
      </c>
      <c r="I937" s="0" t="n">
        <v>0</v>
      </c>
      <c r="J937" s="0" t="n">
        <v>1000.41364205551</v>
      </c>
      <c r="K937" s="0" t="n">
        <v>0</v>
      </c>
      <c r="L937" s="0" t="n">
        <v>1.95125191354373</v>
      </c>
      <c r="M937" s="0" t="n">
        <v>1001.41977146171</v>
      </c>
      <c r="N937" s="0" t="n">
        <v>7.70043832239946</v>
      </c>
      <c r="O937" s="0" t="n">
        <v>920</v>
      </c>
      <c r="P937" s="0" t="n">
        <v>463</v>
      </c>
      <c r="Q937" s="0" t="n">
        <v>457</v>
      </c>
      <c r="R937" s="0" t="n">
        <v>725.205976102157</v>
      </c>
      <c r="S937" s="0" t="n">
        <v>1242.66718035728</v>
      </c>
      <c r="T937" s="0" t="n">
        <v>20</v>
      </c>
      <c r="U937" s="0" t="n">
        <v>28</v>
      </c>
      <c r="V937" s="0" t="n">
        <v>36.2602806749675</v>
      </c>
      <c r="W937" s="0" t="n">
        <v>44.3808122241449</v>
      </c>
      <c r="X937" s="0" t="n">
        <v>0</v>
      </c>
      <c r="Y937" s="0" t="n">
        <v>0</v>
      </c>
      <c r="Z937" s="0" t="n">
        <v>7.70043832239946</v>
      </c>
      <c r="AA937" s="0" t="n">
        <v>0</v>
      </c>
      <c r="AB937" s="0" t="n">
        <v>0</v>
      </c>
      <c r="AC937" s="0" t="n">
        <v>0</v>
      </c>
      <c r="AD937" s="0" t="n">
        <v>1</v>
      </c>
      <c r="AE937" s="0" t="n">
        <v>0</v>
      </c>
      <c r="AF937" s="0" t="n">
        <v>0</v>
      </c>
      <c r="AG937" s="0" t="n">
        <v>0</v>
      </c>
      <c r="AH937" s="0" t="n">
        <v>0.00428566048111894</v>
      </c>
      <c r="AI937" s="0" t="n">
        <v>0</v>
      </c>
      <c r="AK937" s="0" t="n">
        <f aca="false">A937</f>
        <v>920</v>
      </c>
      <c r="AL937" s="0" t="n">
        <v>1</v>
      </c>
      <c r="AM937" s="0" t="n">
        <v>1</v>
      </c>
      <c r="AO937" s="0" t="n">
        <v>920</v>
      </c>
      <c r="AP937" s="0" t="n">
        <v>1</v>
      </c>
      <c r="AQ937" s="0" t="n">
        <v>0.159373583510593</v>
      </c>
      <c r="AR937" s="0" t="n">
        <v>815.525891517421</v>
      </c>
      <c r="AS937" s="0" t="n">
        <v>114</v>
      </c>
      <c r="AT937" s="0" t="n">
        <v>112</v>
      </c>
    </row>
    <row r="938" customFormat="false" ht="12" hidden="false" customHeight="false" outlineLevel="0" collapsed="false">
      <c r="A938" s="0" t="n">
        <v>921</v>
      </c>
      <c r="B938" s="0" t="n">
        <v>1</v>
      </c>
      <c r="C938" s="0" t="n">
        <v>0.336298847764581</v>
      </c>
      <c r="D938" s="0" t="n">
        <v>994.055631987076</v>
      </c>
      <c r="E938" s="0" t="n">
        <v>10</v>
      </c>
      <c r="F938" s="0" t="n">
        <v>10</v>
      </c>
      <c r="G938" s="0" t="n">
        <v>0.5</v>
      </c>
      <c r="H938" s="0" t="n">
        <v>1</v>
      </c>
      <c r="I938" s="0" t="n">
        <v>0</v>
      </c>
      <c r="J938" s="0" t="n">
        <v>1000.41364205551</v>
      </c>
      <c r="K938" s="0" t="n">
        <v>0</v>
      </c>
      <c r="L938" s="0" t="n">
        <v>1.82231043715608</v>
      </c>
      <c r="M938" s="0" t="n">
        <v>1003.24208189887</v>
      </c>
      <c r="N938" s="0" t="n">
        <v>9.18644991179087</v>
      </c>
      <c r="O938" s="0" t="n">
        <v>921</v>
      </c>
      <c r="P938" s="0" t="n">
        <v>463</v>
      </c>
      <c r="Q938" s="0" t="n">
        <v>458</v>
      </c>
      <c r="R938" s="0" t="n">
        <v>788.641432473173</v>
      </c>
      <c r="S938" s="0" t="n">
        <v>1163.16002459504</v>
      </c>
      <c r="T938" s="0" t="n">
        <v>21</v>
      </c>
      <c r="U938" s="0" t="n">
        <v>27</v>
      </c>
      <c r="V938" s="0" t="n">
        <v>37.5543360442768</v>
      </c>
      <c r="W938" s="0" t="n">
        <v>43.0798413559593</v>
      </c>
      <c r="X938" s="0" t="n">
        <v>0</v>
      </c>
      <c r="Y938" s="0" t="n">
        <v>0</v>
      </c>
      <c r="Z938" s="0" t="n">
        <v>9.18644991179087</v>
      </c>
      <c r="AA938" s="0" t="n">
        <v>0</v>
      </c>
      <c r="AB938" s="0" t="n">
        <v>0</v>
      </c>
      <c r="AC938" s="0" t="n">
        <v>0</v>
      </c>
      <c r="AD938" s="0" t="n">
        <v>1</v>
      </c>
      <c r="AE938" s="0" t="n">
        <v>0</v>
      </c>
      <c r="AF938" s="0" t="n">
        <v>0</v>
      </c>
      <c r="AG938" s="0" t="n">
        <v>0</v>
      </c>
      <c r="AH938" s="0" t="n">
        <v>2.01795273726998</v>
      </c>
      <c r="AI938" s="0" t="n">
        <v>0</v>
      </c>
      <c r="AK938" s="0" t="n">
        <f aca="false">A938</f>
        <v>921</v>
      </c>
      <c r="AL938" s="0" t="n">
        <v>0</v>
      </c>
      <c r="AM938" s="0" t="n">
        <v>0</v>
      </c>
      <c r="AO938" s="0" t="n">
        <v>921</v>
      </c>
      <c r="AP938" s="0" t="n">
        <v>1</v>
      </c>
      <c r="AQ938" s="0" t="n">
        <v>0.695619249332023</v>
      </c>
      <c r="AR938" s="0" t="n">
        <v>816.221510766753</v>
      </c>
      <c r="AS938" s="0" t="n">
        <v>114</v>
      </c>
      <c r="AT938" s="0" t="n">
        <v>114</v>
      </c>
    </row>
    <row r="939" customFormat="false" ht="12" hidden="false" customHeight="false" outlineLevel="0" collapsed="false">
      <c r="A939" s="0" t="n">
        <v>922</v>
      </c>
      <c r="B939" s="0" t="n">
        <v>1</v>
      </c>
      <c r="C939" s="0" t="n">
        <v>0.232862383483006</v>
      </c>
      <c r="D939" s="0" t="n">
        <v>994.288494370559</v>
      </c>
      <c r="E939" s="0" t="n">
        <v>10</v>
      </c>
      <c r="F939" s="0" t="n">
        <v>12</v>
      </c>
      <c r="G939" s="0" t="n">
        <v>0.5</v>
      </c>
      <c r="H939" s="0" t="n">
        <v>0</v>
      </c>
      <c r="I939" s="0" t="n">
        <v>2.24522558321993</v>
      </c>
      <c r="J939" s="0" t="n">
        <v>1002.65886763873</v>
      </c>
      <c r="K939" s="0" t="n">
        <v>8.37037326817097</v>
      </c>
      <c r="L939" s="0" t="n">
        <v>0</v>
      </c>
      <c r="M939" s="0" t="n">
        <v>1003.24208189887</v>
      </c>
      <c r="N939" s="0" t="n">
        <v>0</v>
      </c>
      <c r="O939" s="0" t="n">
        <v>922</v>
      </c>
      <c r="P939" s="0" t="n">
        <v>464</v>
      </c>
      <c r="Q939" s="0" t="n">
        <v>458</v>
      </c>
      <c r="R939" s="0" t="n">
        <v>968.201841854596</v>
      </c>
      <c r="S939" s="0" t="n">
        <v>995.793963796353</v>
      </c>
      <c r="T939" s="0" t="n">
        <v>25</v>
      </c>
      <c r="U939" s="0" t="n">
        <v>23</v>
      </c>
      <c r="V939" s="0" t="n">
        <v>38.7280581829606</v>
      </c>
      <c r="W939" s="0" t="n">
        <v>43.2952014902697</v>
      </c>
      <c r="X939" s="0" t="n">
        <v>8.37037326817097</v>
      </c>
      <c r="Y939" s="0" t="n">
        <v>0</v>
      </c>
      <c r="Z939" s="0" t="n">
        <v>0</v>
      </c>
      <c r="AA939" s="0" t="n">
        <v>0</v>
      </c>
      <c r="AB939" s="0" t="n">
        <v>1</v>
      </c>
      <c r="AC939" s="0" t="n">
        <v>0</v>
      </c>
      <c r="AD939" s="0" t="n">
        <v>0</v>
      </c>
      <c r="AE939" s="0" t="n">
        <v>0</v>
      </c>
      <c r="AF939" s="0" t="n">
        <v>0.888896594338155</v>
      </c>
      <c r="AG939" s="0" t="n">
        <v>0</v>
      </c>
      <c r="AH939" s="0" t="n">
        <v>0</v>
      </c>
      <c r="AI939" s="0" t="n">
        <v>0</v>
      </c>
      <c r="AK939" s="0" t="n">
        <f aca="false">A939</f>
        <v>922</v>
      </c>
      <c r="AL939" s="0" t="n">
        <v>1</v>
      </c>
      <c r="AM939" s="0" t="n">
        <v>1</v>
      </c>
      <c r="AO939" s="0" t="n">
        <v>922</v>
      </c>
      <c r="AP939" s="0" t="n">
        <v>1</v>
      </c>
      <c r="AQ939" s="0" t="n">
        <v>3.19164399132449</v>
      </c>
      <c r="AR939" s="0" t="n">
        <v>819.413154758077</v>
      </c>
      <c r="AS939" s="0" t="n">
        <v>112</v>
      </c>
      <c r="AT939" s="0" t="n">
        <v>110</v>
      </c>
    </row>
    <row r="940" customFormat="false" ht="12" hidden="false" customHeight="false" outlineLevel="0" collapsed="false">
      <c r="A940" s="0" t="n">
        <v>923</v>
      </c>
      <c r="B940" s="0" t="n">
        <v>0</v>
      </c>
      <c r="C940" s="0" t="n">
        <v>1.98021831712745</v>
      </c>
      <c r="D940" s="0" t="n">
        <v>996.268712687687</v>
      </c>
      <c r="E940" s="0" t="n">
        <v>10</v>
      </c>
      <c r="F940" s="0" t="n">
        <v>10</v>
      </c>
      <c r="G940" s="0" t="n">
        <v>0.5</v>
      </c>
      <c r="H940" s="0" t="n">
        <v>1</v>
      </c>
      <c r="I940" s="0" t="n">
        <v>0</v>
      </c>
      <c r="J940" s="0" t="n">
        <v>1002.65886763873</v>
      </c>
      <c r="K940" s="0" t="n">
        <v>0</v>
      </c>
      <c r="L940" s="0" t="n">
        <v>2.04627709617611</v>
      </c>
      <c r="M940" s="0" t="n">
        <v>1005.28835899504</v>
      </c>
      <c r="N940" s="0" t="n">
        <v>9.01964630735654</v>
      </c>
      <c r="O940" s="0" t="n">
        <v>923</v>
      </c>
      <c r="P940" s="0" t="n">
        <v>464</v>
      </c>
      <c r="Q940" s="0" t="n">
        <v>459</v>
      </c>
      <c r="R940" s="0" t="n">
        <v>1341.92062137694</v>
      </c>
      <c r="S940" s="0" t="n">
        <v>621.733748097276</v>
      </c>
      <c r="T940" s="0" t="n">
        <v>32</v>
      </c>
      <c r="U940" s="0" t="n">
        <v>16</v>
      </c>
      <c r="V940" s="0" t="n">
        <v>41.9350063133398</v>
      </c>
      <c r="W940" s="0" t="n">
        <v>38.8581163928523</v>
      </c>
      <c r="X940" s="0" t="n">
        <v>0</v>
      </c>
      <c r="Y940" s="0" t="n">
        <v>0</v>
      </c>
      <c r="Z940" s="0" t="n">
        <v>0</v>
      </c>
      <c r="AA940" s="0" t="n">
        <v>9.01964630735654</v>
      </c>
      <c r="AB940" s="0" t="n">
        <v>0</v>
      </c>
      <c r="AC940" s="0" t="n">
        <v>0</v>
      </c>
      <c r="AD940" s="0" t="n">
        <v>0</v>
      </c>
      <c r="AE940" s="0" t="n">
        <v>1</v>
      </c>
      <c r="AF940" s="0" t="n">
        <v>0</v>
      </c>
      <c r="AG940" s="0" t="n">
        <v>0</v>
      </c>
      <c r="AH940" s="0" t="n">
        <v>0</v>
      </c>
      <c r="AI940" s="0" t="n">
        <v>1.65957658499946</v>
      </c>
      <c r="AK940" s="0" t="n">
        <f aca="false">A940</f>
        <v>923</v>
      </c>
      <c r="AL940" s="0" t="n">
        <v>0</v>
      </c>
      <c r="AM940" s="0" t="n">
        <v>0</v>
      </c>
      <c r="AO940" s="0" t="n">
        <v>923</v>
      </c>
      <c r="AP940" s="0" t="n">
        <v>1</v>
      </c>
      <c r="AQ940" s="0" t="n">
        <v>1.80460652367045</v>
      </c>
      <c r="AR940" s="0" t="n">
        <v>821.217761281748</v>
      </c>
      <c r="AS940" s="0" t="n">
        <v>110</v>
      </c>
      <c r="AT940" s="0" t="n">
        <v>110</v>
      </c>
    </row>
    <row r="941" customFormat="false" ht="12" hidden="false" customHeight="false" outlineLevel="0" collapsed="false">
      <c r="A941" s="0" t="n">
        <v>924</v>
      </c>
      <c r="B941" s="0" t="n">
        <v>1</v>
      </c>
      <c r="C941" s="0" t="n">
        <v>0.41496732357788</v>
      </c>
      <c r="D941" s="0" t="n">
        <v>996.683680011265</v>
      </c>
      <c r="E941" s="0" t="n">
        <v>8</v>
      </c>
      <c r="F941" s="0" t="n">
        <v>12</v>
      </c>
      <c r="G941" s="0" t="n">
        <v>0.5</v>
      </c>
      <c r="H941" s="0" t="n">
        <v>0</v>
      </c>
      <c r="I941" s="0" t="n">
        <v>1.83987862592138</v>
      </c>
      <c r="J941" s="0" t="n">
        <v>1004.49874626465</v>
      </c>
      <c r="K941" s="0" t="n">
        <v>7.81506625338704</v>
      </c>
      <c r="L941" s="0" t="n">
        <v>0</v>
      </c>
      <c r="M941" s="0" t="n">
        <v>1005.28835899504</v>
      </c>
      <c r="N941" s="0" t="n">
        <v>0</v>
      </c>
      <c r="O941" s="0" t="n">
        <v>924</v>
      </c>
      <c r="P941" s="0" t="n">
        <v>465</v>
      </c>
      <c r="Q941" s="0" t="n">
        <v>459</v>
      </c>
      <c r="R941" s="0" t="n">
        <v>978.633451572125</v>
      </c>
      <c r="S941" s="0" t="n">
        <v>966.844523261651</v>
      </c>
      <c r="T941" s="0" t="n">
        <v>20</v>
      </c>
      <c r="U941" s="0" t="n">
        <v>28</v>
      </c>
      <c r="V941" s="0" t="n">
        <v>48.9316481127822</v>
      </c>
      <c r="W941" s="0" t="n">
        <v>34.5300382234939</v>
      </c>
      <c r="X941" s="0" t="n">
        <v>7.81506625338704</v>
      </c>
      <c r="Y941" s="0" t="n">
        <v>0</v>
      </c>
      <c r="Z941" s="0" t="n">
        <v>0</v>
      </c>
      <c r="AA941" s="0" t="n">
        <v>0</v>
      </c>
      <c r="AB941" s="0" t="n">
        <v>1</v>
      </c>
      <c r="AC941" s="0" t="n">
        <v>0</v>
      </c>
      <c r="AD941" s="0" t="n">
        <v>0</v>
      </c>
      <c r="AE941" s="0" t="n">
        <v>0</v>
      </c>
      <c r="AF941" s="0" t="n">
        <v>0.150160987783536</v>
      </c>
      <c r="AG941" s="0" t="n">
        <v>0</v>
      </c>
      <c r="AH941" s="0" t="n">
        <v>0</v>
      </c>
      <c r="AI941" s="0" t="n">
        <v>0</v>
      </c>
      <c r="AK941" s="0" t="n">
        <f aca="false">A941</f>
        <v>924</v>
      </c>
      <c r="AL941" s="0" t="n">
        <v>2</v>
      </c>
      <c r="AM941" s="0" t="n">
        <v>1</v>
      </c>
      <c r="AO941" s="0" t="n">
        <v>924</v>
      </c>
      <c r="AP941" s="0" t="n">
        <v>1</v>
      </c>
      <c r="AQ941" s="0" t="n">
        <v>0.243822368157876</v>
      </c>
      <c r="AR941" s="0" t="n">
        <v>821.461583649906</v>
      </c>
      <c r="AS941" s="0" t="n">
        <v>110</v>
      </c>
      <c r="AT941" s="0" t="n">
        <v>112</v>
      </c>
    </row>
    <row r="942" customFormat="false" ht="12" hidden="false" customHeight="false" outlineLevel="0" collapsed="false">
      <c r="A942" s="0" t="n">
        <v>925</v>
      </c>
      <c r="B942" s="0" t="n">
        <v>0</v>
      </c>
      <c r="C942" s="0" t="n">
        <v>0.100115884778561</v>
      </c>
      <c r="D942" s="0" t="n">
        <v>996.783795896043</v>
      </c>
      <c r="E942" s="0" t="n">
        <v>10</v>
      </c>
      <c r="F942" s="0" t="n">
        <v>12</v>
      </c>
      <c r="G942" s="0" t="n">
        <v>0.5</v>
      </c>
      <c r="H942" s="0" t="n">
        <v>0</v>
      </c>
      <c r="I942" s="0" t="n">
        <v>1.83641482860113</v>
      </c>
      <c r="J942" s="0" t="n">
        <v>1006.33516109325</v>
      </c>
      <c r="K942" s="0" t="n">
        <v>9.55136519720963</v>
      </c>
      <c r="L942" s="0" t="n">
        <v>0</v>
      </c>
      <c r="M942" s="0" t="n">
        <v>1005.28835899504</v>
      </c>
      <c r="N942" s="0" t="n">
        <v>0</v>
      </c>
      <c r="O942" s="0" t="n">
        <v>925</v>
      </c>
      <c r="P942" s="0" t="n">
        <v>466</v>
      </c>
      <c r="Q942" s="0" t="n">
        <v>459</v>
      </c>
      <c r="R942" s="0" t="n">
        <v>853.693307079435</v>
      </c>
      <c r="S942" s="0" t="n">
        <v>1103.33880300651</v>
      </c>
      <c r="T942" s="0" t="n">
        <v>22</v>
      </c>
      <c r="U942" s="0" t="n">
        <v>26</v>
      </c>
      <c r="V942" s="0" t="n">
        <v>38.8042235925999</v>
      </c>
      <c r="W942" s="0" t="n">
        <v>42.4359445927714</v>
      </c>
      <c r="X942" s="0" t="n">
        <v>0</v>
      </c>
      <c r="Y942" s="0" t="n">
        <v>9.55136519720963</v>
      </c>
      <c r="Z942" s="0" t="n">
        <v>0</v>
      </c>
      <c r="AA942" s="0" t="n">
        <v>0</v>
      </c>
      <c r="AB942" s="0" t="n">
        <v>0</v>
      </c>
      <c r="AC942" s="0" t="n">
        <v>1</v>
      </c>
      <c r="AD942" s="0" t="n">
        <v>0</v>
      </c>
      <c r="AE942" s="0" t="n">
        <v>0</v>
      </c>
      <c r="AF942" s="0" t="n">
        <v>0</v>
      </c>
      <c r="AG942" s="0" t="n">
        <v>1.67109437454732</v>
      </c>
      <c r="AH942" s="0" t="n">
        <v>0</v>
      </c>
      <c r="AI942" s="0" t="n">
        <v>0</v>
      </c>
      <c r="AK942" s="0" t="n">
        <f aca="false">A942</f>
        <v>925</v>
      </c>
      <c r="AL942" s="0" t="n">
        <v>1</v>
      </c>
      <c r="AM942" s="0" t="n">
        <v>1</v>
      </c>
      <c r="AO942" s="0" t="n">
        <v>925</v>
      </c>
      <c r="AP942" s="0" t="n">
        <v>0</v>
      </c>
      <c r="AQ942" s="0" t="n">
        <v>1.28732694156855</v>
      </c>
      <c r="AR942" s="0" t="n">
        <v>822.748910591474</v>
      </c>
      <c r="AS942" s="0" t="n">
        <v>112</v>
      </c>
      <c r="AT942" s="0" t="n">
        <v>110</v>
      </c>
    </row>
    <row r="943" customFormat="false" ht="12" hidden="false" customHeight="false" outlineLevel="0" collapsed="false">
      <c r="A943" s="0" t="n">
        <v>926</v>
      </c>
      <c r="B943" s="0" t="n">
        <v>1</v>
      </c>
      <c r="C943" s="0" t="n">
        <v>1.14928949285861</v>
      </c>
      <c r="D943" s="0" t="n">
        <v>997.933085388902</v>
      </c>
      <c r="E943" s="0" t="n">
        <v>12</v>
      </c>
      <c r="F943" s="0" t="n">
        <v>10</v>
      </c>
      <c r="G943" s="0" t="n">
        <v>0.5</v>
      </c>
      <c r="H943" s="0" t="n">
        <v>1</v>
      </c>
      <c r="I943" s="0" t="n">
        <v>0</v>
      </c>
      <c r="J943" s="0" t="n">
        <v>1006.33516109325</v>
      </c>
      <c r="K943" s="0" t="n">
        <v>0</v>
      </c>
      <c r="L943" s="0" t="n">
        <v>1.91964059590701</v>
      </c>
      <c r="M943" s="0" t="n">
        <v>1007.20799959095</v>
      </c>
      <c r="N943" s="0" t="n">
        <v>9.27491420204842</v>
      </c>
      <c r="O943" s="0" t="n">
        <v>926</v>
      </c>
      <c r="P943" s="0" t="n">
        <v>466</v>
      </c>
      <c r="Q943" s="0" t="n">
        <v>460</v>
      </c>
      <c r="R943" s="0" t="n">
        <v>681.092278526431</v>
      </c>
      <c r="S943" s="0" t="n">
        <v>1272.0562918702</v>
      </c>
      <c r="T943" s="0" t="n">
        <v>23</v>
      </c>
      <c r="U943" s="0" t="n">
        <v>25</v>
      </c>
      <c r="V943" s="0" t="n">
        <v>29.612694886934</v>
      </c>
      <c r="W943" s="0" t="n">
        <v>50.8820481466154</v>
      </c>
      <c r="X943" s="0" t="n">
        <v>0</v>
      </c>
      <c r="Y943" s="0" t="n">
        <v>0</v>
      </c>
      <c r="Z943" s="0" t="n">
        <v>9.27491420204842</v>
      </c>
      <c r="AA943" s="0" t="n">
        <v>0</v>
      </c>
      <c r="AB943" s="0" t="n">
        <v>0</v>
      </c>
      <c r="AC943" s="0" t="n">
        <v>0</v>
      </c>
      <c r="AD943" s="0" t="n">
        <v>1</v>
      </c>
      <c r="AE943" s="0" t="n">
        <v>0</v>
      </c>
      <c r="AF943" s="0" t="n">
        <v>0</v>
      </c>
      <c r="AG943" s="0" t="n">
        <v>0</v>
      </c>
      <c r="AH943" s="0" t="n">
        <v>2.27711396729917</v>
      </c>
      <c r="AI943" s="0" t="n">
        <v>0</v>
      </c>
      <c r="AK943" s="0" t="n">
        <f aca="false">A943</f>
        <v>926</v>
      </c>
      <c r="AL943" s="0" t="n">
        <v>1</v>
      </c>
      <c r="AM943" s="0" t="n">
        <v>1</v>
      </c>
      <c r="AO943" s="0" t="n">
        <v>926</v>
      </c>
      <c r="AP943" s="0" t="n">
        <v>1</v>
      </c>
      <c r="AQ943" s="0" t="n">
        <v>3.03262212275019</v>
      </c>
      <c r="AR943" s="0" t="n">
        <v>825.781532714224</v>
      </c>
      <c r="AS943" s="0" t="n">
        <v>108</v>
      </c>
      <c r="AT943" s="0" t="n">
        <v>110</v>
      </c>
    </row>
    <row r="944" customFormat="false" ht="12" hidden="false" customHeight="false" outlineLevel="0" collapsed="false">
      <c r="A944" s="0" t="n">
        <v>927</v>
      </c>
      <c r="B944" s="0" t="n">
        <v>0</v>
      </c>
      <c r="C944" s="0" t="n">
        <v>0.188199059019335</v>
      </c>
      <c r="D944" s="0" t="n">
        <v>998.121284447921</v>
      </c>
      <c r="E944" s="0" t="n">
        <v>12</v>
      </c>
      <c r="F944" s="0" t="n">
        <v>12</v>
      </c>
      <c r="G944" s="0" t="n">
        <v>0.5</v>
      </c>
      <c r="H944" s="0" t="n">
        <v>1</v>
      </c>
      <c r="I944" s="0" t="n">
        <v>0</v>
      </c>
      <c r="J944" s="0" t="n">
        <v>1006.33516109325</v>
      </c>
      <c r="K944" s="0" t="n">
        <v>0</v>
      </c>
      <c r="L944" s="0" t="n">
        <v>2.04324831687031</v>
      </c>
      <c r="M944" s="0" t="n">
        <v>1009.25124790782</v>
      </c>
      <c r="N944" s="0" t="n">
        <v>11.1299634598994</v>
      </c>
      <c r="O944" s="0" t="n">
        <v>927</v>
      </c>
      <c r="P944" s="0" t="n">
        <v>466</v>
      </c>
      <c r="Q944" s="0" t="n">
        <v>461</v>
      </c>
      <c r="R944" s="0" t="n">
        <v>994.474033747509</v>
      </c>
      <c r="S944" s="0" t="n">
        <v>965.387712244888</v>
      </c>
      <c r="T944" s="0" t="n">
        <v>26</v>
      </c>
      <c r="U944" s="0" t="n">
        <v>22</v>
      </c>
      <c r="V944" s="0" t="n">
        <v>38.2489865868324</v>
      </c>
      <c r="W944" s="0" t="n">
        <v>43.8810601881304</v>
      </c>
      <c r="X944" s="0" t="n">
        <v>0</v>
      </c>
      <c r="Y944" s="0" t="n">
        <v>0</v>
      </c>
      <c r="Z944" s="0" t="n">
        <v>0</v>
      </c>
      <c r="AA944" s="0" t="n">
        <v>11.1299634598994</v>
      </c>
      <c r="AB944" s="0" t="n">
        <v>0</v>
      </c>
      <c r="AC944" s="0" t="n">
        <v>0</v>
      </c>
      <c r="AD944" s="0" t="n">
        <v>0</v>
      </c>
      <c r="AE944" s="0" t="n">
        <v>1</v>
      </c>
      <c r="AF944" s="0" t="n">
        <v>0</v>
      </c>
      <c r="AG944" s="0" t="n">
        <v>0</v>
      </c>
      <c r="AH944" s="0" t="n">
        <v>0</v>
      </c>
      <c r="AI944" s="0" t="n">
        <v>11.5502284112062</v>
      </c>
      <c r="AK944" s="0" t="n">
        <f aca="false">A944</f>
        <v>927</v>
      </c>
      <c r="AL944" s="0" t="n">
        <v>0</v>
      </c>
      <c r="AM944" s="0" t="n">
        <v>1</v>
      </c>
      <c r="AO944" s="0" t="n">
        <v>927</v>
      </c>
      <c r="AP944" s="0" t="n">
        <v>1</v>
      </c>
      <c r="AQ944" s="0" t="n">
        <v>0.45430914526505</v>
      </c>
      <c r="AR944" s="0" t="n">
        <v>826.235841859489</v>
      </c>
      <c r="AS944" s="0" t="n">
        <v>110</v>
      </c>
      <c r="AT944" s="0" t="n">
        <v>108</v>
      </c>
    </row>
    <row r="945" customFormat="false" ht="12" hidden="false" customHeight="false" outlineLevel="0" collapsed="false">
      <c r="A945" s="0" t="n">
        <v>928</v>
      </c>
      <c r="B945" s="0" t="n">
        <v>1</v>
      </c>
      <c r="C945" s="0" t="n">
        <v>2.68347621931892</v>
      </c>
      <c r="D945" s="0" t="n">
        <v>1000.80476066724</v>
      </c>
      <c r="E945" s="0" t="n">
        <v>8</v>
      </c>
      <c r="F945" s="0" t="n">
        <v>12</v>
      </c>
      <c r="G945" s="0" t="n">
        <v>0.5</v>
      </c>
      <c r="H945" s="0" t="n">
        <v>0</v>
      </c>
      <c r="I945" s="0" t="n">
        <v>1.80206021271529</v>
      </c>
      <c r="J945" s="0" t="n">
        <v>1008.13722130597</v>
      </c>
      <c r="K945" s="0" t="n">
        <v>7.33246063872809</v>
      </c>
      <c r="L945" s="0" t="n">
        <v>0</v>
      </c>
      <c r="M945" s="0" t="n">
        <v>1009.25124790782</v>
      </c>
      <c r="N945" s="0" t="n">
        <v>0</v>
      </c>
      <c r="O945" s="0" t="n">
        <v>928</v>
      </c>
      <c r="P945" s="0" t="n">
        <v>467</v>
      </c>
      <c r="Q945" s="0" t="n">
        <v>461</v>
      </c>
      <c r="R945" s="0" t="n">
        <v>1202.16039544292</v>
      </c>
      <c r="S945" s="0" t="n">
        <v>737.330504738293</v>
      </c>
      <c r="T945" s="0" t="n">
        <v>26</v>
      </c>
      <c r="U945" s="0" t="n">
        <v>22</v>
      </c>
      <c r="V945" s="0" t="n">
        <v>46.2369205028352</v>
      </c>
      <c r="W945" s="0" t="n">
        <v>33.5148706023288</v>
      </c>
      <c r="X945" s="0" t="n">
        <v>7.33246063872809</v>
      </c>
      <c r="Y945" s="0" t="n">
        <v>0</v>
      </c>
      <c r="Z945" s="0" t="n">
        <v>0</v>
      </c>
      <c r="AA945" s="0" t="n">
        <v>0</v>
      </c>
      <c r="AB945" s="0" t="n">
        <v>1</v>
      </c>
      <c r="AC945" s="0" t="n">
        <v>0</v>
      </c>
      <c r="AD945" s="0" t="n">
        <v>0</v>
      </c>
      <c r="AE945" s="0" t="n">
        <v>0</v>
      </c>
      <c r="AF945" s="0" t="n">
        <v>0.00904391517377387</v>
      </c>
      <c r="AG945" s="0" t="n">
        <v>0</v>
      </c>
      <c r="AH945" s="0" t="n">
        <v>0</v>
      </c>
      <c r="AI945" s="0" t="n">
        <v>0</v>
      </c>
      <c r="AK945" s="0" t="n">
        <f aca="false">A945</f>
        <v>928</v>
      </c>
      <c r="AL945" s="0" t="n">
        <v>2</v>
      </c>
      <c r="AM945" s="0" t="n">
        <v>0</v>
      </c>
      <c r="AO945" s="0" t="n">
        <v>928</v>
      </c>
      <c r="AP945" s="0" t="n">
        <v>0</v>
      </c>
      <c r="AQ945" s="0" t="n">
        <v>0.195467534286831</v>
      </c>
      <c r="AR945" s="0" t="n">
        <v>826.431309393776</v>
      </c>
      <c r="AS945" s="0" t="n">
        <v>110</v>
      </c>
      <c r="AT945" s="0" t="n">
        <v>110</v>
      </c>
    </row>
    <row r="946" customFormat="false" ht="12" hidden="false" customHeight="false" outlineLevel="0" collapsed="false">
      <c r="A946" s="0" t="n">
        <v>929</v>
      </c>
      <c r="B946" s="0" t="n">
        <v>1</v>
      </c>
      <c r="C946" s="0" t="n">
        <v>4.24614657849271</v>
      </c>
      <c r="D946" s="0" t="n">
        <v>1005.05090724573</v>
      </c>
      <c r="E946" s="0" t="n">
        <v>6</v>
      </c>
      <c r="F946" s="0" t="n">
        <v>8</v>
      </c>
      <c r="G946" s="0" t="n">
        <v>0.5</v>
      </c>
      <c r="H946" s="0" t="n">
        <v>0</v>
      </c>
      <c r="I946" s="0" t="n">
        <v>2.08981647778693</v>
      </c>
      <c r="J946" s="0" t="n">
        <v>1010.22703778376</v>
      </c>
      <c r="K946" s="0" t="n">
        <v>5.17613053802234</v>
      </c>
      <c r="L946" s="0" t="n">
        <v>0</v>
      </c>
      <c r="M946" s="0" t="n">
        <v>1009.25124790782</v>
      </c>
      <c r="N946" s="0" t="n">
        <v>0</v>
      </c>
      <c r="O946" s="0" t="n">
        <v>929</v>
      </c>
      <c r="P946" s="0" t="n">
        <v>468</v>
      </c>
      <c r="Q946" s="0" t="n">
        <v>461</v>
      </c>
      <c r="R946" s="0" t="n">
        <v>742.21343887384</v>
      </c>
      <c r="S946" s="0" t="n">
        <v>1215.31438503328</v>
      </c>
      <c r="T946" s="0" t="n">
        <v>20</v>
      </c>
      <c r="U946" s="0" t="n">
        <v>28</v>
      </c>
      <c r="V946" s="0" t="n">
        <v>37.1106533883653</v>
      </c>
      <c r="W946" s="0" t="n">
        <v>43.4039301657236</v>
      </c>
      <c r="X946" s="0" t="n">
        <v>5.17613053802234</v>
      </c>
      <c r="Y946" s="0" t="n">
        <v>0</v>
      </c>
      <c r="Z946" s="0" t="n">
        <v>0</v>
      </c>
      <c r="AA946" s="0" t="n">
        <v>0</v>
      </c>
      <c r="AB946" s="0" t="n">
        <v>1</v>
      </c>
      <c r="AC946" s="0" t="n">
        <v>0</v>
      </c>
      <c r="AD946" s="0" t="n">
        <v>0</v>
      </c>
      <c r="AE946" s="0" t="n">
        <v>0</v>
      </c>
      <c r="AF946" s="0" t="n">
        <v>5.06893525340962</v>
      </c>
      <c r="AG946" s="0" t="n">
        <v>0</v>
      </c>
      <c r="AH946" s="0" t="n">
        <v>0</v>
      </c>
      <c r="AI946" s="0" t="n">
        <v>0</v>
      </c>
      <c r="AK946" s="0" t="n">
        <f aca="false">A946</f>
        <v>929</v>
      </c>
      <c r="AL946" s="0" t="n">
        <v>1</v>
      </c>
      <c r="AM946" s="0" t="n">
        <v>1</v>
      </c>
      <c r="AO946" s="0" t="n">
        <v>929</v>
      </c>
      <c r="AP946" s="0" t="n">
        <v>1</v>
      </c>
      <c r="AQ946" s="0" t="n">
        <v>0.344418920737566</v>
      </c>
      <c r="AR946" s="0" t="n">
        <v>826.775728314514</v>
      </c>
      <c r="AS946" s="0" t="n">
        <v>112</v>
      </c>
      <c r="AT946" s="0" t="n">
        <v>110</v>
      </c>
    </row>
    <row r="947" customFormat="false" ht="12" hidden="false" customHeight="false" outlineLevel="0" collapsed="false">
      <c r="A947" s="0" t="n">
        <v>930</v>
      </c>
      <c r="B947" s="0" t="n">
        <v>0</v>
      </c>
      <c r="C947" s="0" t="n">
        <v>1.71347040652862</v>
      </c>
      <c r="D947" s="0" t="n">
        <v>1006.76437765226</v>
      </c>
      <c r="E947" s="0" t="n">
        <v>6</v>
      </c>
      <c r="F947" s="0" t="n">
        <v>6</v>
      </c>
      <c r="G947" s="0" t="n">
        <v>0.5</v>
      </c>
      <c r="H947" s="0" t="n">
        <v>0</v>
      </c>
      <c r="I947" s="0" t="n">
        <v>2.04449021744797</v>
      </c>
      <c r="J947" s="0" t="n">
        <v>1012.2715280012</v>
      </c>
      <c r="K947" s="0" t="n">
        <v>5.50715034894176</v>
      </c>
      <c r="L947" s="0" t="n">
        <v>0</v>
      </c>
      <c r="M947" s="0" t="n">
        <v>1009.25124790782</v>
      </c>
      <c r="N947" s="0" t="n">
        <v>0</v>
      </c>
      <c r="O947" s="0" t="n">
        <v>930</v>
      </c>
      <c r="P947" s="0" t="n">
        <v>469</v>
      </c>
      <c r="Q947" s="0" t="n">
        <v>461</v>
      </c>
      <c r="R947" s="0" t="n">
        <v>1048.85792581894</v>
      </c>
      <c r="S947" s="0" t="n">
        <v>899.303634660056</v>
      </c>
      <c r="T947" s="0" t="n">
        <v>25</v>
      </c>
      <c r="U947" s="0" t="n">
        <v>23</v>
      </c>
      <c r="V947" s="0" t="n">
        <v>41.9543002510374</v>
      </c>
      <c r="W947" s="0" t="n">
        <v>39.0999880287501</v>
      </c>
      <c r="X947" s="0" t="n">
        <v>0</v>
      </c>
      <c r="Y947" s="0" t="n">
        <v>5.50715034894176</v>
      </c>
      <c r="Z947" s="0" t="n">
        <v>0</v>
      </c>
      <c r="AA947" s="0" t="n">
        <v>0</v>
      </c>
      <c r="AB947" s="0" t="n">
        <v>0</v>
      </c>
      <c r="AC947" s="0" t="n">
        <v>1</v>
      </c>
      <c r="AD947" s="0" t="n">
        <v>0</v>
      </c>
      <c r="AE947" s="0" t="n">
        <v>0</v>
      </c>
      <c r="AF947" s="0" t="n">
        <v>0</v>
      </c>
      <c r="AG947" s="0" t="n">
        <v>7.57078908194039</v>
      </c>
      <c r="AH947" s="0" t="n">
        <v>0</v>
      </c>
      <c r="AI947" s="0" t="n">
        <v>0</v>
      </c>
      <c r="AK947" s="0" t="n">
        <f aca="false">A947</f>
        <v>930</v>
      </c>
      <c r="AL947" s="0" t="n">
        <v>0</v>
      </c>
      <c r="AM947" s="0" t="n">
        <v>1</v>
      </c>
      <c r="AO947" s="0" t="n">
        <v>930</v>
      </c>
      <c r="AP947" s="0" t="n">
        <v>1</v>
      </c>
      <c r="AQ947" s="0" t="n">
        <v>1.01581258640865</v>
      </c>
      <c r="AR947" s="0" t="n">
        <v>827.791540900922</v>
      </c>
      <c r="AS947" s="0" t="n">
        <v>110</v>
      </c>
      <c r="AT947" s="0" t="n">
        <v>112</v>
      </c>
    </row>
    <row r="948" customFormat="false" ht="12" hidden="false" customHeight="false" outlineLevel="0" collapsed="false">
      <c r="A948" s="0" t="n">
        <v>931</v>
      </c>
      <c r="B948" s="0" t="n">
        <v>1</v>
      </c>
      <c r="C948" s="0" t="n">
        <v>1.97558800478229</v>
      </c>
      <c r="D948" s="0" t="n">
        <v>1008.73996565704</v>
      </c>
      <c r="E948" s="0" t="n">
        <v>6</v>
      </c>
      <c r="F948" s="0" t="n">
        <v>4</v>
      </c>
      <c r="G948" s="0" t="n">
        <v>0.5</v>
      </c>
      <c r="H948" s="0" t="n">
        <v>1</v>
      </c>
      <c r="I948" s="0" t="n">
        <v>0</v>
      </c>
      <c r="J948" s="0" t="n">
        <v>1012.2715280012</v>
      </c>
      <c r="K948" s="0" t="n">
        <v>0</v>
      </c>
      <c r="L948" s="0" t="n">
        <v>1.81063491523716</v>
      </c>
      <c r="M948" s="0" t="n">
        <v>1011.06188282306</v>
      </c>
      <c r="N948" s="0" t="n">
        <v>2.32191716601415</v>
      </c>
      <c r="O948" s="0" t="n">
        <v>931</v>
      </c>
      <c r="P948" s="0" t="n">
        <v>469</v>
      </c>
      <c r="Q948" s="0" t="n">
        <v>462</v>
      </c>
      <c r="R948" s="0" t="n">
        <v>1281.47460969104</v>
      </c>
      <c r="S948" s="0" t="n">
        <v>676.45552953776</v>
      </c>
      <c r="T948" s="0" t="n">
        <v>27</v>
      </c>
      <c r="U948" s="0" t="n">
        <v>21</v>
      </c>
      <c r="V948" s="0" t="n">
        <v>47.4620050026292</v>
      </c>
      <c r="W948" s="0" t="n">
        <v>32.2120146826806</v>
      </c>
      <c r="X948" s="0" t="n">
        <v>0</v>
      </c>
      <c r="Y948" s="0" t="n">
        <v>0</v>
      </c>
      <c r="Z948" s="0" t="n">
        <v>2.32191716601415</v>
      </c>
      <c r="AA948" s="0" t="n">
        <v>0</v>
      </c>
      <c r="AB948" s="0" t="n">
        <v>0</v>
      </c>
      <c r="AC948" s="0" t="n">
        <v>0</v>
      </c>
      <c r="AD948" s="0" t="n">
        <v>1</v>
      </c>
      <c r="AE948" s="0" t="n">
        <v>0</v>
      </c>
      <c r="AF948" s="0" t="n">
        <v>0</v>
      </c>
      <c r="AG948" s="0" t="n">
        <v>0</v>
      </c>
      <c r="AH948" s="0" t="n">
        <v>29.636984793261</v>
      </c>
      <c r="AI948" s="0" t="n">
        <v>0</v>
      </c>
      <c r="AK948" s="0" t="n">
        <f aca="false">A948</f>
        <v>931</v>
      </c>
      <c r="AL948" s="0" t="n">
        <v>1</v>
      </c>
      <c r="AM948" s="0" t="n">
        <v>1</v>
      </c>
      <c r="AO948" s="0" t="n">
        <v>931</v>
      </c>
      <c r="AP948" s="0" t="n">
        <v>1</v>
      </c>
      <c r="AQ948" s="0" t="n">
        <v>3.53280631577543</v>
      </c>
      <c r="AR948" s="0" t="n">
        <v>831.324347216698</v>
      </c>
      <c r="AS948" s="0" t="n">
        <v>110</v>
      </c>
      <c r="AT948" s="0" t="n">
        <v>108</v>
      </c>
    </row>
    <row r="949" customFormat="false" ht="12" hidden="false" customHeight="false" outlineLevel="0" collapsed="false">
      <c r="A949" s="0" t="n">
        <v>932</v>
      </c>
      <c r="B949" s="0" t="n">
        <v>0</v>
      </c>
      <c r="C949" s="0" t="n">
        <v>0.362631690004748</v>
      </c>
      <c r="D949" s="0" t="n">
        <v>1009.10259734705</v>
      </c>
      <c r="E949" s="0" t="n">
        <v>6</v>
      </c>
      <c r="F949" s="0" t="n">
        <v>6</v>
      </c>
      <c r="G949" s="0" t="n">
        <v>0.5</v>
      </c>
      <c r="H949" s="0" t="n">
        <v>1</v>
      </c>
      <c r="I949" s="0" t="n">
        <v>0</v>
      </c>
      <c r="J949" s="0" t="n">
        <v>1012.2715280012</v>
      </c>
      <c r="K949" s="0" t="n">
        <v>0</v>
      </c>
      <c r="L949" s="0" t="n">
        <v>1.9784904998446</v>
      </c>
      <c r="M949" s="0" t="n">
        <v>1013.0403733229</v>
      </c>
      <c r="N949" s="0" t="n">
        <v>3.93777597585404</v>
      </c>
      <c r="O949" s="0" t="n">
        <v>932</v>
      </c>
      <c r="P949" s="0" t="n">
        <v>469</v>
      </c>
      <c r="Q949" s="0" t="n">
        <v>463</v>
      </c>
      <c r="R949" s="0" t="n">
        <v>1023.46341721783</v>
      </c>
      <c r="S949" s="0" t="n">
        <v>939.04116983728</v>
      </c>
      <c r="T949" s="0" t="n">
        <v>24</v>
      </c>
      <c r="U949" s="0" t="n">
        <v>24</v>
      </c>
      <c r="V949" s="0" t="n">
        <v>42.6442912822883</v>
      </c>
      <c r="W949" s="0" t="n">
        <v>39.1265523825851</v>
      </c>
      <c r="X949" s="0" t="n">
        <v>0</v>
      </c>
      <c r="Y949" s="0" t="n">
        <v>0</v>
      </c>
      <c r="Z949" s="0" t="n">
        <v>0</v>
      </c>
      <c r="AA949" s="0" t="n">
        <v>3.93777597585404</v>
      </c>
      <c r="AB949" s="0" t="n">
        <v>0</v>
      </c>
      <c r="AC949" s="0" t="n">
        <v>0</v>
      </c>
      <c r="AD949" s="0" t="n">
        <v>0</v>
      </c>
      <c r="AE949" s="0" t="n">
        <v>1</v>
      </c>
      <c r="AF949" s="0" t="n">
        <v>0</v>
      </c>
      <c r="AG949" s="0" t="n">
        <v>0</v>
      </c>
      <c r="AH949" s="0" t="n">
        <v>0</v>
      </c>
      <c r="AI949" s="0" t="n">
        <v>14.3915890184483</v>
      </c>
      <c r="AK949" s="0" t="n">
        <f aca="false">A949</f>
        <v>932</v>
      </c>
      <c r="AL949" s="0" t="n">
        <v>0</v>
      </c>
      <c r="AM949" s="0" t="n">
        <v>1</v>
      </c>
      <c r="AO949" s="0" t="n">
        <v>932</v>
      </c>
      <c r="AP949" s="0" t="n">
        <v>0</v>
      </c>
      <c r="AQ949" s="0" t="n">
        <v>1.02189899318504</v>
      </c>
      <c r="AR949" s="0" t="n">
        <v>832.346246209883</v>
      </c>
      <c r="AS949" s="0" t="n">
        <v>108</v>
      </c>
      <c r="AT949" s="0" t="n">
        <v>110</v>
      </c>
    </row>
    <row r="950" customFormat="false" ht="12" hidden="false" customHeight="false" outlineLevel="0" collapsed="false">
      <c r="A950" s="0" t="n">
        <v>933</v>
      </c>
      <c r="B950" s="0" t="n">
        <v>1</v>
      </c>
      <c r="C950" s="0" t="n">
        <v>0.652413762565559</v>
      </c>
      <c r="D950" s="0" t="n">
        <v>1009.75501110961</v>
      </c>
      <c r="E950" s="0" t="n">
        <v>6</v>
      </c>
      <c r="F950" s="0" t="n">
        <v>6</v>
      </c>
      <c r="G950" s="0" t="n">
        <v>0.5</v>
      </c>
      <c r="H950" s="0" t="n">
        <v>1</v>
      </c>
      <c r="I950" s="0" t="n">
        <v>0</v>
      </c>
      <c r="J950" s="0" t="n">
        <v>1012.2715280012</v>
      </c>
      <c r="K950" s="0" t="n">
        <v>0</v>
      </c>
      <c r="L950" s="0" t="n">
        <v>1.81182444925204</v>
      </c>
      <c r="M950" s="0" t="n">
        <v>1014.85219777215</v>
      </c>
      <c r="N950" s="0" t="n">
        <v>5.09718666254059</v>
      </c>
      <c r="O950" s="0" t="n">
        <v>933</v>
      </c>
      <c r="P950" s="0" t="n">
        <v>469</v>
      </c>
      <c r="Q950" s="0" t="n">
        <v>464</v>
      </c>
      <c r="R950" s="0" t="n">
        <v>821.784888581359</v>
      </c>
      <c r="S950" s="0" t="n">
        <v>1152.33139553891</v>
      </c>
      <c r="T950" s="0" t="n">
        <v>22</v>
      </c>
      <c r="U950" s="0" t="n">
        <v>26</v>
      </c>
      <c r="V950" s="0" t="n">
        <v>37.3538415928611</v>
      </c>
      <c r="W950" s="0" t="n">
        <v>44.3202678273895</v>
      </c>
      <c r="X950" s="0" t="n">
        <v>0</v>
      </c>
      <c r="Y950" s="0" t="n">
        <v>0</v>
      </c>
      <c r="Z950" s="0" t="n">
        <v>5.09718666254059</v>
      </c>
      <c r="AA950" s="0" t="n">
        <v>0</v>
      </c>
      <c r="AB950" s="0" t="n">
        <v>0</v>
      </c>
      <c r="AC950" s="0" t="n">
        <v>0</v>
      </c>
      <c r="AD950" s="0" t="n">
        <v>1</v>
      </c>
      <c r="AE950" s="0" t="n">
        <v>0</v>
      </c>
      <c r="AF950" s="0" t="n">
        <v>0</v>
      </c>
      <c r="AG950" s="0" t="n">
        <v>0</v>
      </c>
      <c r="AH950" s="0" t="n">
        <v>7.12204837645574</v>
      </c>
      <c r="AI950" s="0" t="n">
        <v>0</v>
      </c>
      <c r="AK950" s="0" t="n">
        <f aca="false">A950</f>
        <v>933</v>
      </c>
      <c r="AL950" s="0" t="n">
        <v>0</v>
      </c>
      <c r="AM950" s="0" t="n">
        <v>1</v>
      </c>
      <c r="AO950" s="0" t="n">
        <v>933</v>
      </c>
      <c r="AP950" s="0" t="n">
        <v>0</v>
      </c>
      <c r="AQ950" s="0" t="n">
        <v>0.210307490787136</v>
      </c>
      <c r="AR950" s="0" t="n">
        <v>832.55655370067</v>
      </c>
      <c r="AS950" s="0" t="n">
        <v>108</v>
      </c>
      <c r="AT950" s="0" t="n">
        <v>110</v>
      </c>
    </row>
    <row r="951" customFormat="false" ht="12" hidden="false" customHeight="false" outlineLevel="0" collapsed="false">
      <c r="A951" s="0" t="n">
        <v>934</v>
      </c>
      <c r="B951" s="0" t="n">
        <v>0</v>
      </c>
      <c r="C951" s="0" t="n">
        <v>0.957968785525384</v>
      </c>
      <c r="D951" s="0" t="n">
        <v>1010.71297989514</v>
      </c>
      <c r="E951" s="0" t="n">
        <v>4</v>
      </c>
      <c r="F951" s="0" t="n">
        <v>8</v>
      </c>
      <c r="G951" s="0" t="n">
        <v>0.5</v>
      </c>
      <c r="H951" s="0" t="n">
        <v>0</v>
      </c>
      <c r="I951" s="0" t="n">
        <v>1.96543163910057</v>
      </c>
      <c r="J951" s="0" t="n">
        <v>1014.2369596403</v>
      </c>
      <c r="K951" s="0" t="n">
        <v>3.52397974516441</v>
      </c>
      <c r="L951" s="0" t="n">
        <v>0</v>
      </c>
      <c r="M951" s="0" t="n">
        <v>1014.85219777215</v>
      </c>
      <c r="N951" s="0" t="n">
        <v>0</v>
      </c>
      <c r="O951" s="0" t="n">
        <v>934</v>
      </c>
      <c r="P951" s="0" t="n">
        <v>470</v>
      </c>
      <c r="Q951" s="0" t="n">
        <v>464</v>
      </c>
      <c r="R951" s="0" t="n">
        <v>1100.80267656407</v>
      </c>
      <c r="S951" s="0" t="n">
        <v>868.752808812733</v>
      </c>
      <c r="T951" s="0" t="n">
        <v>23</v>
      </c>
      <c r="U951" s="0" t="n">
        <v>25</v>
      </c>
      <c r="V951" s="0" t="n">
        <v>47.8609651284532</v>
      </c>
      <c r="W951" s="0" t="n">
        <v>34.7499733526159</v>
      </c>
      <c r="X951" s="0" t="n">
        <v>0</v>
      </c>
      <c r="Y951" s="0" t="n">
        <v>3.52397974516441</v>
      </c>
      <c r="Z951" s="0" t="n">
        <v>0</v>
      </c>
      <c r="AA951" s="0" t="n">
        <v>0</v>
      </c>
      <c r="AB951" s="0" t="n">
        <v>0</v>
      </c>
      <c r="AC951" s="0" t="n">
        <v>1</v>
      </c>
      <c r="AD951" s="0" t="n">
        <v>0</v>
      </c>
      <c r="AE951" s="0" t="n">
        <v>0</v>
      </c>
      <c r="AF951" s="0" t="n">
        <v>0</v>
      </c>
      <c r="AG951" s="0" t="n">
        <v>22.4171691051637</v>
      </c>
      <c r="AH951" s="0" t="n">
        <v>0</v>
      </c>
      <c r="AI951" s="0" t="n">
        <v>0</v>
      </c>
      <c r="AK951" s="0" t="n">
        <f aca="false">A951</f>
        <v>934</v>
      </c>
      <c r="AL951" s="0" t="n">
        <v>2</v>
      </c>
      <c r="AM951" s="0" t="n">
        <v>3</v>
      </c>
      <c r="AO951" s="0" t="n">
        <v>934</v>
      </c>
      <c r="AP951" s="0" t="n">
        <v>1</v>
      </c>
      <c r="AQ951" s="0" t="n">
        <v>3.35787042685402</v>
      </c>
      <c r="AR951" s="0" t="n">
        <v>835.914424127524</v>
      </c>
      <c r="AS951" s="0" t="n">
        <v>104</v>
      </c>
      <c r="AT951" s="0" t="n">
        <v>110</v>
      </c>
    </row>
    <row r="952" customFormat="false" ht="12" hidden="false" customHeight="false" outlineLevel="0" collapsed="false">
      <c r="A952" s="0" t="n">
        <v>935</v>
      </c>
      <c r="B952" s="0" t="n">
        <v>1</v>
      </c>
      <c r="C952" s="0" t="n">
        <v>0.12743132395286</v>
      </c>
      <c r="D952" s="0" t="n">
        <v>1010.84041121909</v>
      </c>
      <c r="E952" s="0" t="n">
        <v>6</v>
      </c>
      <c r="F952" s="0" t="n">
        <v>8</v>
      </c>
      <c r="G952" s="0" t="n">
        <v>0.5</v>
      </c>
      <c r="H952" s="0" t="n">
        <v>0</v>
      </c>
      <c r="I952" s="0" t="n">
        <v>2.14773100897577</v>
      </c>
      <c r="J952" s="0" t="n">
        <v>1016.38469064928</v>
      </c>
      <c r="K952" s="0" t="n">
        <v>5.54427943018732</v>
      </c>
      <c r="L952" s="0" t="n">
        <v>0</v>
      </c>
      <c r="M952" s="0" t="n">
        <v>1014.85219777215</v>
      </c>
      <c r="N952" s="0" t="n">
        <v>0</v>
      </c>
      <c r="O952" s="0" t="n">
        <v>935</v>
      </c>
      <c r="P952" s="0" t="n">
        <v>471</v>
      </c>
      <c r="Q952" s="0" t="n">
        <v>464</v>
      </c>
      <c r="R952" s="0" t="n">
        <v>628.311646286491</v>
      </c>
      <c r="S952" s="0" t="n">
        <v>1350.06818132356</v>
      </c>
      <c r="T952" s="0" t="n">
        <v>19</v>
      </c>
      <c r="U952" s="0" t="n">
        <v>29</v>
      </c>
      <c r="V952" s="0" t="n">
        <v>33.0690166103329</v>
      </c>
      <c r="W952" s="0" t="n">
        <v>46.5539146873135</v>
      </c>
      <c r="X952" s="0" t="n">
        <v>5.54427943018732</v>
      </c>
      <c r="Y952" s="0" t="n">
        <v>0</v>
      </c>
      <c r="Z952" s="0" t="n">
        <v>0</v>
      </c>
      <c r="AA952" s="0" t="n">
        <v>0</v>
      </c>
      <c r="AB952" s="0" t="n">
        <v>1</v>
      </c>
      <c r="AC952" s="0" t="n">
        <v>0</v>
      </c>
      <c r="AD952" s="0" t="n">
        <v>0</v>
      </c>
      <c r="AE952" s="0" t="n">
        <v>0</v>
      </c>
      <c r="AF952" s="0" t="n">
        <v>3.54674623257852</v>
      </c>
      <c r="AG952" s="0" t="n">
        <v>0</v>
      </c>
      <c r="AH952" s="0" t="n">
        <v>0</v>
      </c>
      <c r="AI952" s="0" t="n">
        <v>0</v>
      </c>
      <c r="AK952" s="0" t="n">
        <f aca="false">A952</f>
        <v>935</v>
      </c>
      <c r="AL952" s="0" t="n">
        <v>1</v>
      </c>
      <c r="AM952" s="0" t="n">
        <v>2</v>
      </c>
      <c r="AO952" s="0" t="n">
        <v>935</v>
      </c>
      <c r="AP952" s="0" t="n">
        <v>1</v>
      </c>
      <c r="AQ952" s="0" t="n">
        <v>1.69809265795581</v>
      </c>
      <c r="AR952" s="0" t="n">
        <v>837.61251678548</v>
      </c>
      <c r="AS952" s="0" t="n">
        <v>104</v>
      </c>
      <c r="AT952" s="0" t="n">
        <v>108</v>
      </c>
    </row>
    <row r="953" customFormat="false" ht="12" hidden="false" customHeight="false" outlineLevel="0" collapsed="false">
      <c r="A953" s="0" t="n">
        <v>936</v>
      </c>
      <c r="B953" s="0" t="n">
        <v>0</v>
      </c>
      <c r="C953" s="0" t="n">
        <v>1.55509487486945</v>
      </c>
      <c r="D953" s="0" t="n">
        <v>1012.39550609396</v>
      </c>
      <c r="E953" s="0" t="n">
        <v>6</v>
      </c>
      <c r="F953" s="0" t="n">
        <v>6</v>
      </c>
      <c r="G953" s="0" t="n">
        <v>0.5</v>
      </c>
      <c r="H953" s="0" t="n">
        <v>1</v>
      </c>
      <c r="I953" s="0" t="n">
        <v>0</v>
      </c>
      <c r="J953" s="0" t="n">
        <v>1016.38469064928</v>
      </c>
      <c r="K953" s="0" t="n">
        <v>0</v>
      </c>
      <c r="L953" s="0" t="n">
        <v>2.06783058494135</v>
      </c>
      <c r="M953" s="0" t="n">
        <v>1016.9200283571</v>
      </c>
      <c r="N953" s="0" t="n">
        <v>4.52452226313426</v>
      </c>
      <c r="O953" s="0" t="n">
        <v>936</v>
      </c>
      <c r="P953" s="0" t="n">
        <v>471</v>
      </c>
      <c r="Q953" s="0" t="n">
        <v>465</v>
      </c>
      <c r="R953" s="0" t="n">
        <v>1238.31917140639</v>
      </c>
      <c r="S953" s="0" t="n">
        <v>716.352620954171</v>
      </c>
      <c r="T953" s="0" t="n">
        <v>29</v>
      </c>
      <c r="U953" s="0" t="n">
        <v>19</v>
      </c>
      <c r="V953" s="0" t="n">
        <v>42.7006463586181</v>
      </c>
      <c r="W953" s="0" t="n">
        <v>37.7025710893191</v>
      </c>
      <c r="X953" s="0" t="n">
        <v>0</v>
      </c>
      <c r="Y953" s="0" t="n">
        <v>0</v>
      </c>
      <c r="Z953" s="0" t="n">
        <v>0</v>
      </c>
      <c r="AA953" s="0" t="n">
        <v>4.52452226313426</v>
      </c>
      <c r="AB953" s="0" t="n">
        <v>0</v>
      </c>
      <c r="AC953" s="0" t="n">
        <v>0</v>
      </c>
      <c r="AD953" s="0" t="n">
        <v>0</v>
      </c>
      <c r="AE953" s="0" t="n">
        <v>1</v>
      </c>
      <c r="AF953" s="0" t="n">
        <v>0</v>
      </c>
      <c r="AG953" s="0" t="n">
        <v>0</v>
      </c>
      <c r="AH953" s="0" t="n">
        <v>0</v>
      </c>
      <c r="AI953" s="0" t="n">
        <v>10.2840697068148</v>
      </c>
      <c r="AK953" s="0" t="n">
        <f aca="false">A953</f>
        <v>936</v>
      </c>
      <c r="AL953" s="0" t="n">
        <v>0</v>
      </c>
      <c r="AM953" s="0" t="n">
        <v>0</v>
      </c>
      <c r="AO953" s="0" t="n">
        <v>936</v>
      </c>
      <c r="AP953" s="0" t="n">
        <v>0</v>
      </c>
      <c r="AQ953" s="0" t="n">
        <v>0.699258489070717</v>
      </c>
      <c r="AR953" s="0" t="n">
        <v>838.311775274551</v>
      </c>
      <c r="AS953" s="0" t="n">
        <v>106</v>
      </c>
      <c r="AT953" s="0" t="n">
        <v>106</v>
      </c>
    </row>
    <row r="954" customFormat="false" ht="12" hidden="false" customHeight="false" outlineLevel="0" collapsed="false">
      <c r="A954" s="0" t="n">
        <v>937</v>
      </c>
      <c r="B954" s="0" t="n">
        <v>0</v>
      </c>
      <c r="C954" s="0" t="n">
        <v>0.18228216660127</v>
      </c>
      <c r="D954" s="0" t="n">
        <v>1012.57778826056</v>
      </c>
      <c r="E954" s="0" t="n">
        <v>6</v>
      </c>
      <c r="F954" s="0" t="n">
        <v>8</v>
      </c>
      <c r="G954" s="0" t="n">
        <v>0.5</v>
      </c>
      <c r="H954" s="0" t="n">
        <v>1</v>
      </c>
      <c r="I954" s="0" t="n">
        <v>0</v>
      </c>
      <c r="J954" s="0" t="n">
        <v>1016.38469064928</v>
      </c>
      <c r="K954" s="0" t="n">
        <v>0</v>
      </c>
      <c r="L954" s="0" t="n">
        <v>2.0463002770067</v>
      </c>
      <c r="M954" s="0" t="n">
        <v>1018.9663286341</v>
      </c>
      <c r="N954" s="0" t="n">
        <v>6.38854037353974</v>
      </c>
      <c r="O954" s="0" t="n">
        <v>937</v>
      </c>
      <c r="P954" s="0" t="n">
        <v>471</v>
      </c>
      <c r="Q954" s="0" t="n">
        <v>466</v>
      </c>
      <c r="R954" s="0" t="n">
        <v>900.601781289627</v>
      </c>
      <c r="S954" s="0" t="n">
        <v>1054.31713685637</v>
      </c>
      <c r="T954" s="0" t="n">
        <v>22</v>
      </c>
      <c r="U954" s="0" t="n">
        <v>26</v>
      </c>
      <c r="V954" s="0" t="n">
        <v>40.9364259966076</v>
      </c>
      <c r="W954" s="0" t="n">
        <v>40.5505031463868</v>
      </c>
      <c r="X954" s="0" t="n">
        <v>0</v>
      </c>
      <c r="Y954" s="0" t="n">
        <v>0</v>
      </c>
      <c r="Z954" s="0" t="n">
        <v>0</v>
      </c>
      <c r="AA954" s="0" t="n">
        <v>6.38854037353974</v>
      </c>
      <c r="AB954" s="0" t="n">
        <v>0</v>
      </c>
      <c r="AC954" s="0" t="n">
        <v>0</v>
      </c>
      <c r="AD954" s="0" t="n">
        <v>0</v>
      </c>
      <c r="AE954" s="0" t="n">
        <v>1</v>
      </c>
      <c r="AF954" s="0" t="n">
        <v>0</v>
      </c>
      <c r="AG954" s="0" t="n">
        <v>0</v>
      </c>
      <c r="AH954" s="0" t="n">
        <v>0</v>
      </c>
      <c r="AI954" s="0" t="n">
        <v>1.80327402303272</v>
      </c>
      <c r="AK954" s="0" t="n">
        <f aca="false">A954</f>
        <v>937</v>
      </c>
      <c r="AL954" s="0" t="n">
        <v>1</v>
      </c>
      <c r="AM954" s="0" t="n">
        <v>0</v>
      </c>
      <c r="AO954" s="0" t="n">
        <v>937</v>
      </c>
      <c r="AP954" s="0" t="n">
        <v>0</v>
      </c>
      <c r="AQ954" s="0" t="n">
        <v>1.55126940426972</v>
      </c>
      <c r="AR954" s="0" t="n">
        <v>839.86304467882</v>
      </c>
      <c r="AS954" s="0" t="n">
        <v>106</v>
      </c>
      <c r="AT954" s="0" t="n">
        <v>106</v>
      </c>
    </row>
    <row r="955" customFormat="false" ht="12" hidden="false" customHeight="false" outlineLevel="0" collapsed="false">
      <c r="A955" s="0" t="n">
        <v>938</v>
      </c>
      <c r="B955" s="0" t="n">
        <v>0</v>
      </c>
      <c r="C955" s="0" t="n">
        <v>1.99894864552724</v>
      </c>
      <c r="D955" s="0" t="n">
        <v>1014.57673690609</v>
      </c>
      <c r="E955" s="0" t="n">
        <v>4</v>
      </c>
      <c r="F955" s="0" t="n">
        <v>8</v>
      </c>
      <c r="G955" s="0" t="n">
        <v>0.5</v>
      </c>
      <c r="H955" s="0" t="n">
        <v>1</v>
      </c>
      <c r="I955" s="0" t="n">
        <v>0</v>
      </c>
      <c r="J955" s="0" t="n">
        <v>1016.38469064928</v>
      </c>
      <c r="K955" s="0" t="n">
        <v>0</v>
      </c>
      <c r="L955" s="0" t="n">
        <v>1.86359831530934</v>
      </c>
      <c r="M955" s="0" t="n">
        <v>1020.82992694941</v>
      </c>
      <c r="N955" s="0" t="n">
        <v>6.25319004332187</v>
      </c>
      <c r="O955" s="0" t="n">
        <v>938</v>
      </c>
      <c r="P955" s="0" t="n">
        <v>471</v>
      </c>
      <c r="Q955" s="0" t="n">
        <v>467</v>
      </c>
      <c r="R955" s="0" t="n">
        <v>1037.83637154178</v>
      </c>
      <c r="S955" s="0" t="n">
        <v>938.170018998024</v>
      </c>
      <c r="T955" s="0" t="n">
        <v>24</v>
      </c>
      <c r="U955" s="0" t="n">
        <v>24</v>
      </c>
      <c r="V955" s="0" t="n">
        <v>43.2431641295889</v>
      </c>
      <c r="W955" s="0" t="n">
        <v>39.0902545821903</v>
      </c>
      <c r="X955" s="0" t="n">
        <v>0</v>
      </c>
      <c r="Y955" s="0" t="n">
        <v>0</v>
      </c>
      <c r="Z955" s="0" t="n">
        <v>0</v>
      </c>
      <c r="AA955" s="0" t="n">
        <v>6.25319004332187</v>
      </c>
      <c r="AB955" s="0" t="n">
        <v>0</v>
      </c>
      <c r="AC955" s="0" t="n">
        <v>0</v>
      </c>
      <c r="AD955" s="0" t="n">
        <v>0</v>
      </c>
      <c r="AE955" s="0" t="n">
        <v>1</v>
      </c>
      <c r="AF955" s="0" t="n">
        <v>0</v>
      </c>
      <c r="AG955" s="0" t="n">
        <v>0</v>
      </c>
      <c r="AH955" s="0" t="n">
        <v>0</v>
      </c>
      <c r="AI955" s="0" t="n">
        <v>2.18510692896583</v>
      </c>
      <c r="AK955" s="0" t="n">
        <f aca="false">A955</f>
        <v>938</v>
      </c>
      <c r="AL955" s="0" t="n">
        <v>2</v>
      </c>
      <c r="AM955" s="0" t="n">
        <v>1</v>
      </c>
      <c r="AO955" s="0" t="n">
        <v>938</v>
      </c>
      <c r="AP955" s="0" t="n">
        <v>1</v>
      </c>
      <c r="AQ955" s="0" t="n">
        <v>0.155618057803684</v>
      </c>
      <c r="AR955" s="0" t="n">
        <v>840.018662736624</v>
      </c>
      <c r="AS955" s="0" t="n">
        <v>108</v>
      </c>
      <c r="AT955" s="0" t="n">
        <v>106</v>
      </c>
    </row>
    <row r="956" customFormat="false" ht="12" hidden="false" customHeight="false" outlineLevel="0" collapsed="false">
      <c r="A956" s="0" t="n">
        <v>939</v>
      </c>
      <c r="B956" s="0" t="n">
        <v>0</v>
      </c>
      <c r="C956" s="0" t="n">
        <v>0.816617085963893</v>
      </c>
      <c r="D956" s="0" t="n">
        <v>1015.39335399205</v>
      </c>
      <c r="E956" s="0" t="n">
        <v>4</v>
      </c>
      <c r="F956" s="0" t="n">
        <v>8</v>
      </c>
      <c r="G956" s="0" t="n">
        <v>0.5</v>
      </c>
      <c r="H956" s="0" t="n">
        <v>0</v>
      </c>
      <c r="I956" s="0" t="n">
        <v>2.22052100816622</v>
      </c>
      <c r="J956" s="0" t="n">
        <v>1018.60521165745</v>
      </c>
      <c r="K956" s="0" t="n">
        <v>3.21185766539168</v>
      </c>
      <c r="L956" s="0" t="n">
        <v>0</v>
      </c>
      <c r="M956" s="0" t="n">
        <v>1020.82992694941</v>
      </c>
      <c r="N956" s="0" t="n">
        <v>0</v>
      </c>
      <c r="O956" s="0" t="n">
        <v>939</v>
      </c>
      <c r="P956" s="0" t="n">
        <v>472</v>
      </c>
      <c r="Q956" s="0" t="n">
        <v>467</v>
      </c>
      <c r="R956" s="0" t="n">
        <v>1070.36035739093</v>
      </c>
      <c r="S956" s="0" t="n">
        <v>878.206159629976</v>
      </c>
      <c r="T956" s="0" t="n">
        <v>25</v>
      </c>
      <c r="U956" s="0" t="n">
        <v>23</v>
      </c>
      <c r="V956" s="0" t="n">
        <v>42.8143971698785</v>
      </c>
      <c r="W956" s="0" t="n">
        <v>38.1827104938664</v>
      </c>
      <c r="X956" s="0" t="n">
        <v>0</v>
      </c>
      <c r="Y956" s="0" t="n">
        <v>3.21185766539168</v>
      </c>
      <c r="Z956" s="0" t="n">
        <v>0</v>
      </c>
      <c r="AA956" s="0" t="n">
        <v>0</v>
      </c>
      <c r="AB956" s="0" t="n">
        <v>0</v>
      </c>
      <c r="AC956" s="0" t="n">
        <v>1</v>
      </c>
      <c r="AD956" s="0" t="n">
        <v>0</v>
      </c>
      <c r="AE956" s="0" t="n">
        <v>0</v>
      </c>
      <c r="AF956" s="0" t="n">
        <v>0</v>
      </c>
      <c r="AG956" s="0" t="n">
        <v>25.470183947727</v>
      </c>
      <c r="AH956" s="0" t="n">
        <v>0</v>
      </c>
      <c r="AI956" s="0" t="n">
        <v>0</v>
      </c>
      <c r="AK956" s="0" t="n">
        <f aca="false">A956</f>
        <v>939</v>
      </c>
      <c r="AL956" s="0" t="n">
        <v>2</v>
      </c>
      <c r="AM956" s="0" t="n">
        <v>1</v>
      </c>
      <c r="AO956" s="0" t="n">
        <v>939</v>
      </c>
      <c r="AP956" s="0" t="n">
        <v>0</v>
      </c>
      <c r="AQ956" s="0" t="n">
        <v>1.18345499976288</v>
      </c>
      <c r="AR956" s="0" t="n">
        <v>841.202117736387</v>
      </c>
      <c r="AS956" s="0" t="n">
        <v>108</v>
      </c>
      <c r="AT956" s="0" t="n">
        <v>106</v>
      </c>
    </row>
    <row r="957" customFormat="false" ht="12" hidden="false" customHeight="false" outlineLevel="0" collapsed="false">
      <c r="A957" s="0" t="n">
        <v>940</v>
      </c>
      <c r="B957" s="0" t="n">
        <v>1</v>
      </c>
      <c r="C957" s="0" t="n">
        <v>2.20347337060984</v>
      </c>
      <c r="D957" s="0" t="n">
        <v>1017.59682736266</v>
      </c>
      <c r="E957" s="0" t="n">
        <v>4</v>
      </c>
      <c r="F957" s="0" t="n">
        <v>6</v>
      </c>
      <c r="G957" s="0" t="n">
        <v>0.5</v>
      </c>
      <c r="H957" s="0" t="n">
        <v>0</v>
      </c>
      <c r="I957" s="0" t="n">
        <v>2.19298750038536</v>
      </c>
      <c r="J957" s="0" t="n">
        <v>1020.79819915783</v>
      </c>
      <c r="K957" s="0" t="n">
        <v>3.20137179516723</v>
      </c>
      <c r="L957" s="0" t="n">
        <v>0</v>
      </c>
      <c r="M957" s="0" t="n">
        <v>1020.82992694941</v>
      </c>
      <c r="N957" s="0" t="n">
        <v>0</v>
      </c>
      <c r="O957" s="0" t="n">
        <v>940</v>
      </c>
      <c r="P957" s="0" t="n">
        <v>473</v>
      </c>
      <c r="Q957" s="0" t="n">
        <v>467</v>
      </c>
      <c r="R957" s="0" t="n">
        <v>944.437462983369</v>
      </c>
      <c r="S957" s="0" t="n">
        <v>1012.30474869947</v>
      </c>
      <c r="T957" s="0" t="n">
        <v>26</v>
      </c>
      <c r="U957" s="0" t="n">
        <v>22</v>
      </c>
      <c r="V957" s="0" t="n">
        <v>36.3245038360896</v>
      </c>
      <c r="W957" s="0" t="n">
        <v>46.0136430606891</v>
      </c>
      <c r="X957" s="0" t="n">
        <v>3.20137179516723</v>
      </c>
      <c r="Y957" s="0" t="n">
        <v>0</v>
      </c>
      <c r="Z957" s="0" t="n">
        <v>0</v>
      </c>
      <c r="AA957" s="0" t="n">
        <v>0</v>
      </c>
      <c r="AB957" s="0" t="n">
        <v>1</v>
      </c>
      <c r="AC957" s="0" t="n">
        <v>0</v>
      </c>
      <c r="AD957" s="0" t="n">
        <v>0</v>
      </c>
      <c r="AE957" s="0" t="n">
        <v>0</v>
      </c>
      <c r="AF957" s="0" t="n">
        <v>17.860667927405</v>
      </c>
      <c r="AG957" s="0" t="n">
        <v>0</v>
      </c>
      <c r="AH957" s="0" t="n">
        <v>0</v>
      </c>
      <c r="AI957" s="0" t="n">
        <v>0</v>
      </c>
      <c r="AK957" s="0" t="n">
        <f aca="false">A957</f>
        <v>940</v>
      </c>
      <c r="AL957" s="0" t="n">
        <v>1</v>
      </c>
      <c r="AM957" s="0" t="n">
        <v>1</v>
      </c>
      <c r="AO957" s="0" t="n">
        <v>940</v>
      </c>
      <c r="AP957" s="0" t="n">
        <v>1</v>
      </c>
      <c r="AQ957" s="0" t="n">
        <v>0.259514639421479</v>
      </c>
      <c r="AR957" s="0" t="n">
        <v>841.461632375808</v>
      </c>
      <c r="AS957" s="0" t="n">
        <v>106</v>
      </c>
      <c r="AT957" s="0" t="n">
        <v>108</v>
      </c>
    </row>
    <row r="958" customFormat="false" ht="12" hidden="false" customHeight="false" outlineLevel="0" collapsed="false">
      <c r="A958" s="0" t="n">
        <v>941</v>
      </c>
      <c r="B958" s="0" t="n">
        <v>1</v>
      </c>
      <c r="C958" s="0" t="n">
        <v>0.24041227653561</v>
      </c>
      <c r="D958" s="0" t="n">
        <v>1017.8372396392</v>
      </c>
      <c r="E958" s="0" t="n">
        <v>6</v>
      </c>
      <c r="F958" s="0" t="n">
        <v>6</v>
      </c>
      <c r="G958" s="0" t="n">
        <v>0.5</v>
      </c>
      <c r="H958" s="0" t="n">
        <v>1</v>
      </c>
      <c r="I958" s="0" t="n">
        <v>0</v>
      </c>
      <c r="J958" s="0" t="n">
        <v>1020.79819915783</v>
      </c>
      <c r="K958" s="0" t="n">
        <v>0</v>
      </c>
      <c r="L958" s="0" t="n">
        <v>1.98998897251529</v>
      </c>
      <c r="M958" s="0" t="n">
        <v>1022.81991592193</v>
      </c>
      <c r="N958" s="0" t="n">
        <v>4.98267628272788</v>
      </c>
      <c r="O958" s="0" t="n">
        <v>941</v>
      </c>
      <c r="P958" s="0" t="n">
        <v>473</v>
      </c>
      <c r="Q958" s="0" t="n">
        <v>468</v>
      </c>
      <c r="R958" s="0" t="n">
        <v>830.910507712625</v>
      </c>
      <c r="S958" s="0" t="n">
        <v>1118.10330945714</v>
      </c>
      <c r="T958" s="0" t="n">
        <v>24</v>
      </c>
      <c r="U958" s="0" t="n">
        <v>24</v>
      </c>
      <c r="V958" s="0" t="n">
        <v>34.6212567291691</v>
      </c>
      <c r="W958" s="0" t="n">
        <v>46.5874437796985</v>
      </c>
      <c r="X958" s="0" t="n">
        <v>0</v>
      </c>
      <c r="Y958" s="0" t="n">
        <v>0</v>
      </c>
      <c r="Z958" s="0" t="n">
        <v>4.98267628272788</v>
      </c>
      <c r="AA958" s="0" t="n">
        <v>0</v>
      </c>
      <c r="AB958" s="0" t="n">
        <v>0</v>
      </c>
      <c r="AC958" s="0" t="n">
        <v>0</v>
      </c>
      <c r="AD958" s="0" t="n">
        <v>1</v>
      </c>
      <c r="AE958" s="0" t="n">
        <v>0</v>
      </c>
      <c r="AF958" s="0" t="n">
        <v>0</v>
      </c>
      <c r="AG958" s="0" t="n">
        <v>0</v>
      </c>
      <c r="AH958" s="0" t="n">
        <v>7.7463525101594</v>
      </c>
      <c r="AI958" s="0" t="n">
        <v>0</v>
      </c>
      <c r="AK958" s="0" t="n">
        <f aca="false">A958</f>
        <v>941</v>
      </c>
      <c r="AL958" s="0" t="n">
        <v>0</v>
      </c>
      <c r="AM958" s="0" t="n">
        <v>0</v>
      </c>
      <c r="AO958" s="0" t="n">
        <v>941</v>
      </c>
      <c r="AP958" s="0" t="n">
        <v>1</v>
      </c>
      <c r="AQ958" s="0" t="n">
        <v>0.0978935459198518</v>
      </c>
      <c r="AR958" s="0" t="n">
        <v>841.559525921728</v>
      </c>
      <c r="AS958" s="0" t="n">
        <v>108</v>
      </c>
      <c r="AT958" s="0" t="n">
        <v>108</v>
      </c>
    </row>
    <row r="959" customFormat="false" ht="12" hidden="false" customHeight="false" outlineLevel="0" collapsed="false">
      <c r="A959" s="0" t="n">
        <v>942</v>
      </c>
      <c r="B959" s="0" t="n">
        <v>0</v>
      </c>
      <c r="C959" s="0" t="n">
        <v>0.792619467586735</v>
      </c>
      <c r="D959" s="0" t="n">
        <v>1018.62985910679</v>
      </c>
      <c r="E959" s="0" t="n">
        <v>4</v>
      </c>
      <c r="F959" s="0" t="n">
        <v>8</v>
      </c>
      <c r="G959" s="0" t="n">
        <v>0.5</v>
      </c>
      <c r="H959" s="0" t="n">
        <v>1</v>
      </c>
      <c r="I959" s="0" t="n">
        <v>0</v>
      </c>
      <c r="J959" s="0" t="n">
        <v>1020.79819915783</v>
      </c>
      <c r="K959" s="0" t="n">
        <v>0</v>
      </c>
      <c r="L959" s="0" t="n">
        <v>2.02210605652719</v>
      </c>
      <c r="M959" s="0" t="n">
        <v>1024.84202197845</v>
      </c>
      <c r="N959" s="0" t="n">
        <v>6.2121628716684</v>
      </c>
      <c r="O959" s="0" t="n">
        <v>942</v>
      </c>
      <c r="P959" s="0" t="n">
        <v>473</v>
      </c>
      <c r="Q959" s="0" t="n">
        <v>469</v>
      </c>
      <c r="R959" s="0" t="n">
        <v>989.175173109368</v>
      </c>
      <c r="S959" s="0" t="n">
        <v>973.514646327399</v>
      </c>
      <c r="T959" s="0" t="n">
        <v>22</v>
      </c>
      <c r="U959" s="0" t="n">
        <v>26</v>
      </c>
      <c r="V959" s="0" t="n">
        <v>44.9624874311134</v>
      </c>
      <c r="W959" s="0" t="n">
        <v>37.4427270021038</v>
      </c>
      <c r="X959" s="0" t="n">
        <v>0</v>
      </c>
      <c r="Y959" s="0" t="n">
        <v>0</v>
      </c>
      <c r="Z959" s="0" t="n">
        <v>0</v>
      </c>
      <c r="AA959" s="0" t="n">
        <v>6.2121628716684</v>
      </c>
      <c r="AB959" s="0" t="n">
        <v>0</v>
      </c>
      <c r="AC959" s="0" t="n">
        <v>0</v>
      </c>
      <c r="AD959" s="0" t="n">
        <v>0</v>
      </c>
      <c r="AE959" s="0" t="n">
        <v>1</v>
      </c>
      <c r="AF959" s="0" t="n">
        <v>0</v>
      </c>
      <c r="AG959" s="0" t="n">
        <v>0</v>
      </c>
      <c r="AH959" s="0" t="n">
        <v>0</v>
      </c>
      <c r="AI959" s="0" t="n">
        <v>2.30808376757431</v>
      </c>
      <c r="AK959" s="0" t="n">
        <f aca="false">A959</f>
        <v>942</v>
      </c>
      <c r="AL959" s="0" t="n">
        <v>2</v>
      </c>
      <c r="AM959" s="0" t="n">
        <v>1</v>
      </c>
      <c r="AO959" s="0" t="n">
        <v>942</v>
      </c>
      <c r="AP959" s="0" t="n">
        <v>1</v>
      </c>
      <c r="AQ959" s="0" t="n">
        <v>0.437489123012381</v>
      </c>
      <c r="AR959" s="0" t="n">
        <v>841.997015044741</v>
      </c>
      <c r="AS959" s="0" t="n">
        <v>110</v>
      </c>
      <c r="AT959" s="0" t="n">
        <v>108</v>
      </c>
    </row>
    <row r="960" customFormat="false" ht="12" hidden="false" customHeight="false" outlineLevel="0" collapsed="false">
      <c r="A960" s="0" t="n">
        <v>943</v>
      </c>
      <c r="B960" s="0" t="n">
        <v>1</v>
      </c>
      <c r="C960" s="0" t="n">
        <v>0.85543453009667</v>
      </c>
      <c r="D960" s="0" t="n">
        <v>1019.48529363688</v>
      </c>
      <c r="E960" s="0" t="n">
        <v>4</v>
      </c>
      <c r="F960" s="0" t="n">
        <v>8</v>
      </c>
      <c r="G960" s="0" t="n">
        <v>0.5</v>
      </c>
      <c r="H960" s="0" t="n">
        <v>0</v>
      </c>
      <c r="I960" s="0" t="n">
        <v>2.23185603938871</v>
      </c>
      <c r="J960" s="0" t="n">
        <v>1023.03005519722</v>
      </c>
      <c r="K960" s="0" t="n">
        <v>3.54476156033695</v>
      </c>
      <c r="L960" s="0" t="n">
        <v>0</v>
      </c>
      <c r="M960" s="0" t="n">
        <v>1024.84202197845</v>
      </c>
      <c r="N960" s="0" t="n">
        <v>0</v>
      </c>
      <c r="O960" s="0" t="n">
        <v>943</v>
      </c>
      <c r="P960" s="0" t="n">
        <v>474</v>
      </c>
      <c r="Q960" s="0" t="n">
        <v>469</v>
      </c>
      <c r="R960" s="0" t="n">
        <v>882.321430326441</v>
      </c>
      <c r="S960" s="0" t="n">
        <v>1077.4581709297</v>
      </c>
      <c r="T960" s="0" t="n">
        <v>23</v>
      </c>
      <c r="U960" s="0" t="n">
        <v>25</v>
      </c>
      <c r="V960" s="0" t="n">
        <v>38.3617846395041</v>
      </c>
      <c r="W960" s="0" t="n">
        <v>43.09815444457</v>
      </c>
      <c r="X960" s="0" t="n">
        <v>3.54476156033695</v>
      </c>
      <c r="Y960" s="0" t="n">
        <v>0</v>
      </c>
      <c r="Z960" s="0" t="n">
        <v>0</v>
      </c>
      <c r="AA960" s="0" t="n">
        <v>0</v>
      </c>
      <c r="AB960" s="0" t="n">
        <v>1</v>
      </c>
      <c r="AC960" s="0" t="n">
        <v>0</v>
      </c>
      <c r="AD960" s="0" t="n">
        <v>0</v>
      </c>
      <c r="AE960" s="0" t="n">
        <v>0</v>
      </c>
      <c r="AF960" s="0" t="n">
        <v>15.0761248115239</v>
      </c>
      <c r="AG960" s="0" t="n">
        <v>0</v>
      </c>
      <c r="AH960" s="0" t="n">
        <v>0</v>
      </c>
      <c r="AI960" s="0" t="n">
        <v>0</v>
      </c>
      <c r="AK960" s="0" t="n">
        <f aca="false">A960</f>
        <v>943</v>
      </c>
      <c r="AL960" s="0" t="n">
        <v>2</v>
      </c>
      <c r="AM960" s="0" t="n">
        <v>1</v>
      </c>
      <c r="AO960" s="0" t="n">
        <v>943</v>
      </c>
      <c r="AP960" s="0" t="n">
        <v>0</v>
      </c>
      <c r="AQ960" s="0" t="n">
        <v>1.28380460429002</v>
      </c>
      <c r="AR960" s="0" t="n">
        <v>843.280819649031</v>
      </c>
      <c r="AS960" s="0" t="n">
        <v>110</v>
      </c>
      <c r="AT960" s="0" t="n">
        <v>108</v>
      </c>
    </row>
    <row r="961" customFormat="false" ht="12" hidden="false" customHeight="false" outlineLevel="0" collapsed="false">
      <c r="A961" s="0" t="n">
        <v>944</v>
      </c>
      <c r="B961" s="0" t="n">
        <v>0</v>
      </c>
      <c r="C961" s="0" t="n">
        <v>0.383277291090274</v>
      </c>
      <c r="D961" s="0" t="n">
        <v>1019.86857092797</v>
      </c>
      <c r="E961" s="0" t="n">
        <v>6</v>
      </c>
      <c r="F961" s="0" t="n">
        <v>8</v>
      </c>
      <c r="G961" s="0" t="n">
        <v>0.5</v>
      </c>
      <c r="H961" s="0" t="n">
        <v>0</v>
      </c>
      <c r="I961" s="0" t="n">
        <v>2.15344767666559</v>
      </c>
      <c r="J961" s="0" t="n">
        <v>1025.18350287389</v>
      </c>
      <c r="K961" s="0" t="n">
        <v>5.31493194591224</v>
      </c>
      <c r="L961" s="0" t="n">
        <v>0</v>
      </c>
      <c r="M961" s="0" t="n">
        <v>1024.84202197845</v>
      </c>
      <c r="N961" s="0" t="n">
        <v>0</v>
      </c>
      <c r="O961" s="0" t="n">
        <v>944</v>
      </c>
      <c r="P961" s="0" t="n">
        <v>475</v>
      </c>
      <c r="Q961" s="0" t="n">
        <v>469</v>
      </c>
      <c r="R961" s="0" t="n">
        <v>1037.81095182731</v>
      </c>
      <c r="S961" s="0" t="n">
        <v>904.212241764976</v>
      </c>
      <c r="T961" s="0" t="n">
        <v>24</v>
      </c>
      <c r="U961" s="0" t="n">
        <v>24</v>
      </c>
      <c r="V961" s="0" t="n">
        <v>43.242104975261</v>
      </c>
      <c r="W961" s="0" t="n">
        <v>37.6753530929028</v>
      </c>
      <c r="X961" s="0" t="n">
        <v>0</v>
      </c>
      <c r="Y961" s="0" t="n">
        <v>5.31493194591224</v>
      </c>
      <c r="Z961" s="0" t="n">
        <v>0</v>
      </c>
      <c r="AA961" s="0" t="n">
        <v>0</v>
      </c>
      <c r="AB961" s="0" t="n">
        <v>0</v>
      </c>
      <c r="AC961" s="0" t="n">
        <v>1</v>
      </c>
      <c r="AD961" s="0" t="n">
        <v>0</v>
      </c>
      <c r="AE961" s="0" t="n">
        <v>0</v>
      </c>
      <c r="AF961" s="0" t="n">
        <v>0</v>
      </c>
      <c r="AG961" s="0" t="n">
        <v>8.66551744133276</v>
      </c>
      <c r="AH961" s="0" t="n">
        <v>0</v>
      </c>
      <c r="AI961" s="0" t="n">
        <v>0</v>
      </c>
      <c r="AK961" s="0" t="n">
        <f aca="false">A961</f>
        <v>944</v>
      </c>
      <c r="AL961" s="0" t="n">
        <v>1</v>
      </c>
      <c r="AM961" s="0" t="n">
        <v>1</v>
      </c>
      <c r="AO961" s="0" t="n">
        <v>944</v>
      </c>
      <c r="AP961" s="0" t="n">
        <v>0</v>
      </c>
      <c r="AQ961" s="0" t="n">
        <v>0.55347331830508</v>
      </c>
      <c r="AR961" s="0" t="n">
        <v>843.834292967336</v>
      </c>
      <c r="AS961" s="0" t="n">
        <v>110</v>
      </c>
      <c r="AT961" s="0" t="n">
        <v>108</v>
      </c>
    </row>
    <row r="962" customFormat="false" ht="12" hidden="false" customHeight="false" outlineLevel="0" collapsed="false">
      <c r="A962" s="0" t="n">
        <v>945</v>
      </c>
      <c r="B962" s="0" t="n">
        <v>0</v>
      </c>
      <c r="C962" s="0" t="n">
        <v>1.66122697356384</v>
      </c>
      <c r="D962" s="0" t="n">
        <v>1021.52979790154</v>
      </c>
      <c r="E962" s="0" t="n">
        <v>6</v>
      </c>
      <c r="F962" s="0" t="n">
        <v>6</v>
      </c>
      <c r="G962" s="0" t="n">
        <v>0.5</v>
      </c>
      <c r="H962" s="0" t="n">
        <v>0</v>
      </c>
      <c r="I962" s="0" t="n">
        <v>1.80080536794009</v>
      </c>
      <c r="J962" s="0" t="n">
        <v>1026.98430824183</v>
      </c>
      <c r="K962" s="0" t="n">
        <v>5.45451034028838</v>
      </c>
      <c r="L962" s="0" t="n">
        <v>0</v>
      </c>
      <c r="M962" s="0" t="n">
        <v>1024.84202197845</v>
      </c>
      <c r="N962" s="0" t="n">
        <v>0</v>
      </c>
      <c r="O962" s="0" t="n">
        <v>945</v>
      </c>
      <c r="P962" s="0" t="n">
        <v>476</v>
      </c>
      <c r="Q962" s="0" t="n">
        <v>469</v>
      </c>
      <c r="R962" s="0" t="n">
        <v>772.554253286149</v>
      </c>
      <c r="S962" s="0" t="n">
        <v>1190.28382618813</v>
      </c>
      <c r="T962" s="0" t="n">
        <v>21</v>
      </c>
      <c r="U962" s="0" t="n">
        <v>27</v>
      </c>
      <c r="V962" s="0" t="n">
        <v>36.7882802573022</v>
      </c>
      <c r="W962" s="0" t="n">
        <v>44.0844228794757</v>
      </c>
      <c r="X962" s="0" t="n">
        <v>0</v>
      </c>
      <c r="Y962" s="0" t="n">
        <v>5.45451034028838</v>
      </c>
      <c r="Z962" s="0" t="n">
        <v>0</v>
      </c>
      <c r="AA962" s="0" t="n">
        <v>0</v>
      </c>
      <c r="AB962" s="0" t="n">
        <v>0</v>
      </c>
      <c r="AC962" s="0" t="n">
        <v>1</v>
      </c>
      <c r="AD962" s="0" t="n">
        <v>0</v>
      </c>
      <c r="AE962" s="0" t="n">
        <v>0</v>
      </c>
      <c r="AF962" s="0" t="n">
        <v>0</v>
      </c>
      <c r="AG962" s="0" t="n">
        <v>7.8632387247162</v>
      </c>
      <c r="AH962" s="0" t="n">
        <v>0</v>
      </c>
      <c r="AI962" s="0" t="n">
        <v>0</v>
      </c>
      <c r="AK962" s="0" t="n">
        <f aca="false">A962</f>
        <v>945</v>
      </c>
      <c r="AL962" s="0" t="n">
        <v>0</v>
      </c>
      <c r="AM962" s="0" t="n">
        <v>1</v>
      </c>
      <c r="AO962" s="0" t="n">
        <v>945</v>
      </c>
      <c r="AP962" s="0" t="n">
        <v>1</v>
      </c>
      <c r="AQ962" s="0" t="n">
        <v>0.684639653731027</v>
      </c>
      <c r="AR962" s="0" t="n">
        <v>844.518932621067</v>
      </c>
      <c r="AS962" s="0" t="n">
        <v>110</v>
      </c>
      <c r="AT962" s="0" t="n">
        <v>108</v>
      </c>
    </row>
    <row r="963" customFormat="false" ht="12" hidden="false" customHeight="false" outlineLevel="0" collapsed="false">
      <c r="A963" s="0" t="n">
        <v>946</v>
      </c>
      <c r="B963" s="0" t="n">
        <v>1</v>
      </c>
      <c r="C963" s="0" t="n">
        <v>0.689380879207419</v>
      </c>
      <c r="D963" s="0" t="n">
        <v>1022.21917878074</v>
      </c>
      <c r="E963" s="0" t="n">
        <v>8</v>
      </c>
      <c r="F963" s="0" t="n">
        <v>6</v>
      </c>
      <c r="G963" s="0" t="n">
        <v>0.5</v>
      </c>
      <c r="H963" s="0" t="n">
        <v>1</v>
      </c>
      <c r="I963" s="0" t="n">
        <v>0</v>
      </c>
      <c r="J963" s="0" t="n">
        <v>1026.98430824183</v>
      </c>
      <c r="K963" s="0" t="n">
        <v>0</v>
      </c>
      <c r="L963" s="0" t="n">
        <v>1.83174237664491</v>
      </c>
      <c r="M963" s="0" t="n">
        <v>1026.6737643551</v>
      </c>
      <c r="N963" s="0" t="n">
        <v>4.45458557435495</v>
      </c>
      <c r="O963" s="0" t="n">
        <v>946</v>
      </c>
      <c r="P963" s="0" t="n">
        <v>476</v>
      </c>
      <c r="Q963" s="0" t="n">
        <v>470</v>
      </c>
      <c r="R963" s="0" t="n">
        <v>981.371029798201</v>
      </c>
      <c r="S963" s="0" t="n">
        <v>986.856063363476</v>
      </c>
      <c r="T963" s="0" t="n">
        <v>26</v>
      </c>
      <c r="U963" s="0" t="n">
        <v>22</v>
      </c>
      <c r="V963" s="0" t="n">
        <v>37.7450250903058</v>
      </c>
      <c r="W963" s="0" t="n">
        <v>44.8568898942949</v>
      </c>
      <c r="X963" s="0" t="n">
        <v>0</v>
      </c>
      <c r="Y963" s="0" t="n">
        <v>0</v>
      </c>
      <c r="Z963" s="0" t="n">
        <v>4.45458557435495</v>
      </c>
      <c r="AA963" s="0" t="n">
        <v>0</v>
      </c>
      <c r="AB963" s="0" t="n">
        <v>0</v>
      </c>
      <c r="AC963" s="0" t="n">
        <v>0</v>
      </c>
      <c r="AD963" s="0" t="n">
        <v>1</v>
      </c>
      <c r="AE963" s="0" t="n">
        <v>0</v>
      </c>
      <c r="AF963" s="0" t="n">
        <v>0</v>
      </c>
      <c r="AG963" s="0" t="n">
        <v>0</v>
      </c>
      <c r="AH963" s="0" t="n">
        <v>10.9648249379804</v>
      </c>
      <c r="AI963" s="0" t="n">
        <v>0</v>
      </c>
      <c r="AK963" s="0" t="n">
        <f aca="false">A963</f>
        <v>946</v>
      </c>
      <c r="AL963" s="0" t="n">
        <v>1</v>
      </c>
      <c r="AM963" s="0" t="n">
        <v>0</v>
      </c>
      <c r="AO963" s="0" t="n">
        <v>946</v>
      </c>
      <c r="AP963" s="0" t="n">
        <v>0</v>
      </c>
      <c r="AQ963" s="0" t="n">
        <v>4.30982490917914</v>
      </c>
      <c r="AR963" s="0" t="n">
        <v>848.828757530246</v>
      </c>
      <c r="AS963" s="0" t="n">
        <v>106</v>
      </c>
      <c r="AT963" s="0" t="n">
        <v>106</v>
      </c>
    </row>
    <row r="964" customFormat="false" ht="12" hidden="false" customHeight="false" outlineLevel="0" collapsed="false">
      <c r="A964" s="0" t="n">
        <v>947</v>
      </c>
      <c r="B964" s="0" t="n">
        <v>1</v>
      </c>
      <c r="C964" s="0" t="n">
        <v>0.694538776405094</v>
      </c>
      <c r="D964" s="0" t="n">
        <v>1022.91371755715</v>
      </c>
      <c r="E964" s="0" t="n">
        <v>8</v>
      </c>
      <c r="F964" s="0" t="n">
        <v>6</v>
      </c>
      <c r="G964" s="0" t="n">
        <v>0.5</v>
      </c>
      <c r="H964" s="0" t="n">
        <v>1</v>
      </c>
      <c r="I964" s="0" t="n">
        <v>0</v>
      </c>
      <c r="J964" s="0" t="n">
        <v>1026.98430824183</v>
      </c>
      <c r="K964" s="0" t="n">
        <v>0</v>
      </c>
      <c r="L964" s="0" t="n">
        <v>1.85079931458468</v>
      </c>
      <c r="M964" s="0" t="n">
        <v>1028.52456366968</v>
      </c>
      <c r="N964" s="0" t="n">
        <v>5.61084611253455</v>
      </c>
      <c r="O964" s="0" t="n">
        <v>947</v>
      </c>
      <c r="P964" s="0" t="n">
        <v>476</v>
      </c>
      <c r="Q964" s="0" t="n">
        <v>471</v>
      </c>
      <c r="R964" s="0" t="n">
        <v>1271.67511592598</v>
      </c>
      <c r="S964" s="0" t="n">
        <v>680.249063965891</v>
      </c>
      <c r="T964" s="0" t="n">
        <v>28</v>
      </c>
      <c r="U964" s="0" t="n">
        <v>20</v>
      </c>
      <c r="V964" s="0" t="n">
        <v>45.4169522055878</v>
      </c>
      <c r="W964" s="0" t="n">
        <v>34.0122831368789</v>
      </c>
      <c r="X964" s="0" t="n">
        <v>0</v>
      </c>
      <c r="Y964" s="0" t="n">
        <v>0</v>
      </c>
      <c r="Z964" s="0" t="n">
        <v>5.61084611253455</v>
      </c>
      <c r="AA964" s="0" t="n">
        <v>0</v>
      </c>
      <c r="AB964" s="0" t="n">
        <v>0</v>
      </c>
      <c r="AC964" s="0" t="n">
        <v>0</v>
      </c>
      <c r="AD964" s="0" t="n">
        <v>1</v>
      </c>
      <c r="AE964" s="0" t="n">
        <v>0</v>
      </c>
      <c r="AF964" s="0" t="n">
        <v>0</v>
      </c>
      <c r="AG964" s="0" t="n">
        <v>0</v>
      </c>
      <c r="AH964" s="0" t="n">
        <v>4.64427138870658</v>
      </c>
      <c r="AI964" s="0" t="n">
        <v>0</v>
      </c>
      <c r="AK964" s="0" t="n">
        <f aca="false">A964</f>
        <v>947</v>
      </c>
      <c r="AL964" s="0" t="n">
        <v>1</v>
      </c>
      <c r="AM964" s="0" t="n">
        <v>1</v>
      </c>
      <c r="AO964" s="0" t="n">
        <v>947</v>
      </c>
      <c r="AP964" s="0" t="n">
        <v>1</v>
      </c>
      <c r="AQ964" s="0" t="n">
        <v>1.97707770444891</v>
      </c>
      <c r="AR964" s="0" t="n">
        <v>850.805835234695</v>
      </c>
      <c r="AS964" s="0" t="n">
        <v>106</v>
      </c>
      <c r="AT964" s="0" t="n">
        <v>104</v>
      </c>
    </row>
    <row r="965" customFormat="false" ht="12" hidden="false" customHeight="false" outlineLevel="0" collapsed="false">
      <c r="A965" s="0" t="n">
        <v>948</v>
      </c>
      <c r="B965" s="0" t="n">
        <v>0</v>
      </c>
      <c r="C965" s="0" t="n">
        <v>0.26021852964605</v>
      </c>
      <c r="D965" s="0" t="n">
        <v>1023.1739360868</v>
      </c>
      <c r="E965" s="0" t="n">
        <v>6</v>
      </c>
      <c r="F965" s="0" t="n">
        <v>8</v>
      </c>
      <c r="G965" s="0" t="n">
        <v>0.5</v>
      </c>
      <c r="H965" s="0" t="n">
        <v>1</v>
      </c>
      <c r="I965" s="0" t="n">
        <v>0</v>
      </c>
      <c r="J965" s="0" t="n">
        <v>1026.98430824183</v>
      </c>
      <c r="K965" s="0" t="n">
        <v>0</v>
      </c>
      <c r="L965" s="0" t="n">
        <v>2.02688252293706</v>
      </c>
      <c r="M965" s="0" t="n">
        <v>1030.55144619262</v>
      </c>
      <c r="N965" s="0" t="n">
        <v>7.37751010582554</v>
      </c>
      <c r="O965" s="0" t="n">
        <v>948</v>
      </c>
      <c r="P965" s="0" t="n">
        <v>476</v>
      </c>
      <c r="Q965" s="0" t="n">
        <v>472</v>
      </c>
      <c r="R965" s="0" t="n">
        <v>901.619334514077</v>
      </c>
      <c r="S965" s="0" t="n">
        <v>1080.49897949014</v>
      </c>
      <c r="T965" s="0" t="n">
        <v>23</v>
      </c>
      <c r="U965" s="0" t="n">
        <v>25</v>
      </c>
      <c r="V965" s="0" t="n">
        <v>39.2008235872105</v>
      </c>
      <c r="W965" s="0" t="n">
        <v>43.2197863004604</v>
      </c>
      <c r="X965" s="0" t="n">
        <v>0</v>
      </c>
      <c r="Y965" s="0" t="n">
        <v>0</v>
      </c>
      <c r="Z965" s="0" t="n">
        <v>0</v>
      </c>
      <c r="AA965" s="0" t="n">
        <v>7.37751010582554</v>
      </c>
      <c r="AB965" s="0" t="n">
        <v>0</v>
      </c>
      <c r="AC965" s="0" t="n">
        <v>0</v>
      </c>
      <c r="AD965" s="0" t="n">
        <v>0</v>
      </c>
      <c r="AE965" s="0" t="n">
        <v>1</v>
      </c>
      <c r="AF965" s="0" t="n">
        <v>0</v>
      </c>
      <c r="AG965" s="0" t="n">
        <v>0</v>
      </c>
      <c r="AH965" s="0" t="n">
        <v>0</v>
      </c>
      <c r="AI965" s="0" t="n">
        <v>0.125238596563718</v>
      </c>
      <c r="AK965" s="0" t="n">
        <f aca="false">A965</f>
        <v>948</v>
      </c>
      <c r="AL965" s="0" t="n">
        <v>1</v>
      </c>
      <c r="AM965" s="0" t="n">
        <v>1</v>
      </c>
      <c r="AO965" s="0" t="n">
        <v>948</v>
      </c>
      <c r="AP965" s="0" t="n">
        <v>0</v>
      </c>
      <c r="AQ965" s="0" t="n">
        <v>1.11592130341413</v>
      </c>
      <c r="AR965" s="0" t="n">
        <v>851.921756538109</v>
      </c>
      <c r="AS965" s="0" t="n">
        <v>104</v>
      </c>
      <c r="AT965" s="0" t="n">
        <v>106</v>
      </c>
    </row>
    <row r="966" customFormat="false" ht="12" hidden="false" customHeight="false" outlineLevel="0" collapsed="false">
      <c r="A966" s="0" t="n">
        <v>949</v>
      </c>
      <c r="B966" s="0" t="n">
        <v>0</v>
      </c>
      <c r="C966" s="0" t="n">
        <v>0.0739943158676807</v>
      </c>
      <c r="D966" s="0" t="n">
        <v>1023.24793040266</v>
      </c>
      <c r="E966" s="0" t="n">
        <v>6</v>
      </c>
      <c r="F966" s="0" t="n">
        <v>10</v>
      </c>
      <c r="G966" s="0" t="n">
        <v>0.5</v>
      </c>
      <c r="H966" s="0" t="n">
        <v>0</v>
      </c>
      <c r="I966" s="0" t="n">
        <v>1.84838855967421</v>
      </c>
      <c r="J966" s="0" t="n">
        <v>1028.8326968015</v>
      </c>
      <c r="K966" s="0" t="n">
        <v>5.58476639883634</v>
      </c>
      <c r="L966" s="0" t="n">
        <v>0</v>
      </c>
      <c r="M966" s="0" t="n">
        <v>1030.55144619262</v>
      </c>
      <c r="N966" s="0" t="n">
        <v>0</v>
      </c>
      <c r="O966" s="0" t="n">
        <v>949</v>
      </c>
      <c r="P966" s="0" t="n">
        <v>477</v>
      </c>
      <c r="Q966" s="0" t="n">
        <v>472</v>
      </c>
      <c r="R966" s="0" t="n">
        <v>1316.68253411308</v>
      </c>
      <c r="S966" s="0" t="n">
        <v>641.626734693456</v>
      </c>
      <c r="T966" s="0" t="n">
        <v>27</v>
      </c>
      <c r="U966" s="0" t="n">
        <v>21</v>
      </c>
      <c r="V966" s="0" t="n">
        <v>48.7660017204838</v>
      </c>
      <c r="W966" s="0" t="n">
        <v>30.5535085401239</v>
      </c>
      <c r="X966" s="0" t="n">
        <v>0</v>
      </c>
      <c r="Y966" s="0" t="n">
        <v>5.58476639883634</v>
      </c>
      <c r="Z966" s="0" t="n">
        <v>0</v>
      </c>
      <c r="AA966" s="0" t="n">
        <v>0</v>
      </c>
      <c r="AB966" s="0" t="n">
        <v>0</v>
      </c>
      <c r="AC966" s="0" t="n">
        <v>1</v>
      </c>
      <c r="AD966" s="0" t="n">
        <v>0</v>
      </c>
      <c r="AE966" s="0" t="n">
        <v>0</v>
      </c>
      <c r="AF966" s="0" t="n">
        <v>0</v>
      </c>
      <c r="AG966" s="0" t="n">
        <v>7.14969117159442</v>
      </c>
      <c r="AH966" s="0" t="n">
        <v>0</v>
      </c>
      <c r="AI966" s="0" t="n">
        <v>0</v>
      </c>
      <c r="AK966" s="0" t="n">
        <f aca="false">A966</f>
        <v>949</v>
      </c>
      <c r="AL966" s="0" t="n">
        <v>2</v>
      </c>
      <c r="AM966" s="0" t="n">
        <v>2</v>
      </c>
      <c r="AO966" s="0" t="n">
        <v>949</v>
      </c>
      <c r="AP966" s="0" t="n">
        <v>1</v>
      </c>
      <c r="AQ966" s="0" t="n">
        <v>1.5530204515954</v>
      </c>
      <c r="AR966" s="0" t="n">
        <v>853.474776989704</v>
      </c>
      <c r="AS966" s="0" t="n">
        <v>102</v>
      </c>
      <c r="AT966" s="0" t="n">
        <v>106</v>
      </c>
    </row>
    <row r="967" customFormat="false" ht="12" hidden="false" customHeight="false" outlineLevel="0" collapsed="false">
      <c r="A967" s="0" t="n">
        <v>950</v>
      </c>
      <c r="B967" s="0" t="n">
        <v>0</v>
      </c>
      <c r="C967" s="0" t="n">
        <v>0.560393114210947</v>
      </c>
      <c r="D967" s="0" t="n">
        <v>1023.80832351687</v>
      </c>
      <c r="E967" s="0" t="n">
        <v>8</v>
      </c>
      <c r="F967" s="0" t="n">
        <v>10</v>
      </c>
      <c r="G967" s="0" t="n">
        <v>0.5</v>
      </c>
      <c r="H967" s="0" t="n">
        <v>0</v>
      </c>
      <c r="I967" s="0" t="n">
        <v>1.92351781808118</v>
      </c>
      <c r="J967" s="0" t="n">
        <v>1030.75621461958</v>
      </c>
      <c r="K967" s="0" t="n">
        <v>6.94789110270654</v>
      </c>
      <c r="L967" s="0" t="n">
        <v>0</v>
      </c>
      <c r="M967" s="0" t="n">
        <v>1030.55144619262</v>
      </c>
      <c r="N967" s="0" t="n">
        <v>0</v>
      </c>
      <c r="O967" s="0" t="n">
        <v>950</v>
      </c>
      <c r="P967" s="0" t="n">
        <v>478</v>
      </c>
      <c r="Q967" s="0" t="n">
        <v>472</v>
      </c>
      <c r="R967" s="0" t="n">
        <v>743.96842081065</v>
      </c>
      <c r="S967" s="0" t="n">
        <v>1227.77425301477</v>
      </c>
      <c r="T967" s="0" t="n">
        <v>21</v>
      </c>
      <c r="U967" s="0" t="n">
        <v>27</v>
      </c>
      <c r="V967" s="0" t="n">
        <v>35.4270507876258</v>
      </c>
      <c r="W967" s="0" t="n">
        <v>45.4729520636875</v>
      </c>
      <c r="X967" s="0" t="n">
        <v>0</v>
      </c>
      <c r="Y967" s="0" t="n">
        <v>6.94789110270654</v>
      </c>
      <c r="Z967" s="0" t="n">
        <v>0</v>
      </c>
      <c r="AA967" s="0" t="n">
        <v>0</v>
      </c>
      <c r="AB967" s="0" t="n">
        <v>0</v>
      </c>
      <c r="AC967" s="0" t="n">
        <v>1</v>
      </c>
      <c r="AD967" s="0" t="n">
        <v>0</v>
      </c>
      <c r="AE967" s="0" t="n">
        <v>0</v>
      </c>
      <c r="AF967" s="0" t="n">
        <v>0</v>
      </c>
      <c r="AG967" s="0" t="n">
        <v>1.71810734761003</v>
      </c>
      <c r="AH967" s="0" t="n">
        <v>0</v>
      </c>
      <c r="AI967" s="0" t="n">
        <v>0</v>
      </c>
      <c r="AK967" s="0" t="n">
        <f aca="false">A967</f>
        <v>950</v>
      </c>
      <c r="AL967" s="0" t="n">
        <v>1</v>
      </c>
      <c r="AM967" s="0" t="n">
        <v>0</v>
      </c>
      <c r="AO967" s="0" t="n">
        <v>950</v>
      </c>
      <c r="AP967" s="0" t="n">
        <v>0</v>
      </c>
      <c r="AQ967" s="0" t="n">
        <v>0.904965317110071</v>
      </c>
      <c r="AR967" s="0" t="n">
        <v>854.379742306815</v>
      </c>
      <c r="AS967" s="0" t="n">
        <v>104</v>
      </c>
      <c r="AT967" s="0" t="n">
        <v>104</v>
      </c>
    </row>
    <row r="968" customFormat="false" ht="12" hidden="false" customHeight="false" outlineLevel="0" collapsed="false">
      <c r="A968" s="0" t="n">
        <v>951</v>
      </c>
      <c r="B968" s="0" t="n">
        <v>1</v>
      </c>
      <c r="C968" s="0" t="n">
        <v>0.77303337220709</v>
      </c>
      <c r="D968" s="0" t="n">
        <v>1024.58135688908</v>
      </c>
      <c r="E968" s="0" t="n">
        <v>10</v>
      </c>
      <c r="F968" s="0" t="n">
        <v>10</v>
      </c>
      <c r="G968" s="0" t="n">
        <v>0.5</v>
      </c>
      <c r="H968" s="0" t="n">
        <v>1</v>
      </c>
      <c r="I968" s="0" t="n">
        <v>0</v>
      </c>
      <c r="J968" s="0" t="n">
        <v>1030.75621461958</v>
      </c>
      <c r="K968" s="0" t="n">
        <v>0</v>
      </c>
      <c r="L968" s="0" t="n">
        <v>1.83862107188537</v>
      </c>
      <c r="M968" s="0" t="n">
        <v>1032.39006726451</v>
      </c>
      <c r="N968" s="0" t="n">
        <v>7.80871037542534</v>
      </c>
      <c r="O968" s="0" t="n">
        <v>951</v>
      </c>
      <c r="P968" s="0" t="n">
        <v>478</v>
      </c>
      <c r="Q968" s="0" t="n">
        <v>473</v>
      </c>
      <c r="R968" s="0" t="n">
        <v>731.371321645803</v>
      </c>
      <c r="S968" s="0" t="n">
        <v>1241.29336213489</v>
      </c>
      <c r="T968" s="0" t="n">
        <v>23</v>
      </c>
      <c r="U968" s="0" t="n">
        <v>25</v>
      </c>
      <c r="V968" s="0" t="n">
        <v>31.7987392894961</v>
      </c>
      <c r="W968" s="0" t="n">
        <v>49.6515358792521</v>
      </c>
      <c r="X968" s="0" t="n">
        <v>0</v>
      </c>
      <c r="Y968" s="0" t="n">
        <v>0</v>
      </c>
      <c r="Z968" s="0" t="n">
        <v>7.80871037542534</v>
      </c>
      <c r="AA968" s="0" t="n">
        <v>0</v>
      </c>
      <c r="AB968" s="0" t="n">
        <v>0</v>
      </c>
      <c r="AC968" s="0" t="n">
        <v>0</v>
      </c>
      <c r="AD968" s="0" t="n">
        <v>1</v>
      </c>
      <c r="AE968" s="0" t="n">
        <v>0</v>
      </c>
      <c r="AF968" s="0" t="n">
        <v>0</v>
      </c>
      <c r="AG968" s="0" t="n">
        <v>0</v>
      </c>
      <c r="AH968" s="0" t="n">
        <v>0.00183244754464197</v>
      </c>
      <c r="AI968" s="0" t="n">
        <v>0</v>
      </c>
      <c r="AK968" s="0" t="n">
        <f aca="false">A968</f>
        <v>951</v>
      </c>
      <c r="AL968" s="0" t="n">
        <v>0</v>
      </c>
      <c r="AM968" s="0" t="n">
        <v>1</v>
      </c>
      <c r="AO968" s="0" t="n">
        <v>951</v>
      </c>
      <c r="AP968" s="0" t="n">
        <v>1</v>
      </c>
      <c r="AQ968" s="0" t="n">
        <v>0.410361557507484</v>
      </c>
      <c r="AR968" s="0" t="n">
        <v>854.790103864322</v>
      </c>
      <c r="AS968" s="0" t="n">
        <v>104</v>
      </c>
      <c r="AT968" s="0" t="n">
        <v>106</v>
      </c>
    </row>
    <row r="969" customFormat="false" ht="12" hidden="false" customHeight="false" outlineLevel="0" collapsed="false">
      <c r="A969" s="0" t="n">
        <v>952</v>
      </c>
      <c r="B969" s="0" t="n">
        <v>1</v>
      </c>
      <c r="C969" s="0" t="n">
        <v>2.48572716198851</v>
      </c>
      <c r="D969" s="0" t="n">
        <v>1027.06708405107</v>
      </c>
      <c r="E969" s="0" t="n">
        <v>6</v>
      </c>
      <c r="F969" s="0" t="n">
        <v>8</v>
      </c>
      <c r="G969" s="0" t="n">
        <v>0.5</v>
      </c>
      <c r="H969" s="0" t="n">
        <v>0</v>
      </c>
      <c r="I969" s="0" t="n">
        <v>1.97129890680154</v>
      </c>
      <c r="J969" s="0" t="n">
        <v>1032.72751352638</v>
      </c>
      <c r="K969" s="0" t="n">
        <v>5.66042947531264</v>
      </c>
      <c r="L969" s="0" t="n">
        <v>0</v>
      </c>
      <c r="M969" s="0" t="n">
        <v>1032.39006726451</v>
      </c>
      <c r="N969" s="0" t="n">
        <v>0</v>
      </c>
      <c r="O969" s="0" t="n">
        <v>952</v>
      </c>
      <c r="P969" s="0" t="n">
        <v>479</v>
      </c>
      <c r="Q969" s="0" t="n">
        <v>473</v>
      </c>
      <c r="R969" s="0" t="n">
        <v>1218.0926227578</v>
      </c>
      <c r="S969" s="0" t="n">
        <v>756.718173228977</v>
      </c>
      <c r="T969" s="0" t="n">
        <v>29</v>
      </c>
      <c r="U969" s="0" t="n">
        <v>19</v>
      </c>
      <c r="V969" s="0" t="n">
        <v>42.0031794043452</v>
      </c>
      <c r="W969" s="0" t="n">
        <v>39.8270626590901</v>
      </c>
      <c r="X969" s="0" t="n">
        <v>5.66042947531264</v>
      </c>
      <c r="Y969" s="0" t="n">
        <v>0</v>
      </c>
      <c r="Z969" s="0" t="n">
        <v>0</v>
      </c>
      <c r="AA969" s="0" t="n">
        <v>0</v>
      </c>
      <c r="AB969" s="0" t="n">
        <v>1</v>
      </c>
      <c r="AC969" s="0" t="n">
        <v>0</v>
      </c>
      <c r="AD969" s="0" t="n">
        <v>0</v>
      </c>
      <c r="AE969" s="0" t="n">
        <v>0</v>
      </c>
      <c r="AF969" s="0" t="n">
        <v>3.12275078666574</v>
      </c>
      <c r="AG969" s="0" t="n">
        <v>0</v>
      </c>
      <c r="AH969" s="0" t="n">
        <v>0</v>
      </c>
      <c r="AI969" s="0" t="n">
        <v>0</v>
      </c>
      <c r="AK969" s="0" t="n">
        <f aca="false">A969</f>
        <v>952</v>
      </c>
      <c r="AL969" s="0" t="n">
        <v>1</v>
      </c>
      <c r="AM969" s="0" t="n">
        <v>1</v>
      </c>
      <c r="AO969" s="0" t="n">
        <v>952</v>
      </c>
      <c r="AP969" s="0" t="n">
        <v>0</v>
      </c>
      <c r="AQ969" s="0" t="n">
        <v>2.93432190940984</v>
      </c>
      <c r="AR969" s="0" t="n">
        <v>857.724425773732</v>
      </c>
      <c r="AS969" s="0" t="n">
        <v>102</v>
      </c>
      <c r="AT969" s="0" t="n">
        <v>104</v>
      </c>
    </row>
    <row r="970" customFormat="false" ht="12" hidden="false" customHeight="false" outlineLevel="0" collapsed="false">
      <c r="A970" s="0" t="n">
        <v>953</v>
      </c>
      <c r="B970" s="0" t="n">
        <v>0</v>
      </c>
      <c r="C970" s="0" t="n">
        <v>1.8547651881074</v>
      </c>
      <c r="D970" s="0" t="n">
        <v>1028.92184923918</v>
      </c>
      <c r="E970" s="0" t="n">
        <v>6</v>
      </c>
      <c r="F970" s="0" t="n">
        <v>6</v>
      </c>
      <c r="G970" s="0" t="n">
        <v>0.5</v>
      </c>
      <c r="H970" s="0" t="n">
        <v>0</v>
      </c>
      <c r="I970" s="0" t="n">
        <v>2.15427669032813</v>
      </c>
      <c r="J970" s="0" t="n">
        <v>1034.88179021671</v>
      </c>
      <c r="K970" s="0" t="n">
        <v>5.95994097753328</v>
      </c>
      <c r="L970" s="0" t="n">
        <v>0</v>
      </c>
      <c r="M970" s="0" t="n">
        <v>1032.39006726451</v>
      </c>
      <c r="N970" s="0" t="n">
        <v>0</v>
      </c>
      <c r="O970" s="0" t="n">
        <v>953</v>
      </c>
      <c r="P970" s="0" t="n">
        <v>480</v>
      </c>
      <c r="Q970" s="0" t="n">
        <v>473</v>
      </c>
      <c r="R970" s="0" t="n">
        <v>801.22083541663</v>
      </c>
      <c r="S970" s="0" t="n">
        <v>1170.98911769105</v>
      </c>
      <c r="T970" s="0" t="n">
        <v>20</v>
      </c>
      <c r="U970" s="0" t="n">
        <v>28</v>
      </c>
      <c r="V970" s="0" t="n">
        <v>40.0610217403206</v>
      </c>
      <c r="W970" s="0" t="n">
        <v>41.8208905572141</v>
      </c>
      <c r="X970" s="0" t="n">
        <v>0</v>
      </c>
      <c r="Y970" s="0" t="n">
        <v>5.95994097753328</v>
      </c>
      <c r="Z970" s="0" t="n">
        <v>0</v>
      </c>
      <c r="AA970" s="0" t="n">
        <v>0</v>
      </c>
      <c r="AB970" s="0" t="n">
        <v>0</v>
      </c>
      <c r="AC970" s="0" t="n">
        <v>1</v>
      </c>
      <c r="AD970" s="0" t="n">
        <v>0</v>
      </c>
      <c r="AE970" s="0" t="n">
        <v>0</v>
      </c>
      <c r="AF970" s="0" t="n">
        <v>0</v>
      </c>
      <c r="AG970" s="0" t="n">
        <v>5.28409554503413</v>
      </c>
      <c r="AH970" s="0" t="n">
        <v>0</v>
      </c>
      <c r="AI970" s="0" t="n">
        <v>0</v>
      </c>
      <c r="AK970" s="0" t="n">
        <f aca="false">A970</f>
        <v>953</v>
      </c>
      <c r="AL970" s="0" t="n">
        <v>0</v>
      </c>
      <c r="AM970" s="0" t="n">
        <v>1</v>
      </c>
      <c r="AO970" s="0" t="n">
        <v>953</v>
      </c>
      <c r="AP970" s="0" t="n">
        <v>1</v>
      </c>
      <c r="AQ970" s="0" t="n">
        <v>1.42672646410578</v>
      </c>
      <c r="AR970" s="0" t="n">
        <v>859.151152237838</v>
      </c>
      <c r="AS970" s="0" t="n">
        <v>104</v>
      </c>
      <c r="AT970" s="0" t="n">
        <v>102</v>
      </c>
    </row>
    <row r="971" customFormat="false" ht="12" hidden="false" customHeight="false" outlineLevel="0" collapsed="false">
      <c r="A971" s="0" t="n">
        <v>954</v>
      </c>
      <c r="B971" s="0" t="n">
        <v>1</v>
      </c>
      <c r="C971" s="0" t="n">
        <v>0.549026356404124</v>
      </c>
      <c r="D971" s="0" t="n">
        <v>1029.47087559558</v>
      </c>
      <c r="E971" s="0" t="n">
        <v>8</v>
      </c>
      <c r="F971" s="0" t="n">
        <v>6</v>
      </c>
      <c r="G971" s="0" t="n">
        <v>0.5</v>
      </c>
      <c r="H971" s="0" t="n">
        <v>1</v>
      </c>
      <c r="I971" s="0" t="n">
        <v>0</v>
      </c>
      <c r="J971" s="0" t="n">
        <v>1034.88179021671</v>
      </c>
      <c r="K971" s="0" t="n">
        <v>0</v>
      </c>
      <c r="L971" s="0" t="n">
        <v>1.99123965206228</v>
      </c>
      <c r="M971" s="0" t="n">
        <v>1034.38130691657</v>
      </c>
      <c r="N971" s="0" t="n">
        <v>4.91043132098753</v>
      </c>
      <c r="O971" s="0" t="n">
        <v>954</v>
      </c>
      <c r="P971" s="0" t="n">
        <v>480</v>
      </c>
      <c r="Q971" s="0" t="n">
        <v>474</v>
      </c>
      <c r="R971" s="0" t="n">
        <v>1150.86333477638</v>
      </c>
      <c r="S971" s="0" t="n">
        <v>847.687764781015</v>
      </c>
      <c r="T971" s="0" t="n">
        <v>23</v>
      </c>
      <c r="U971" s="0" t="n">
        <v>25</v>
      </c>
      <c r="V971" s="0" t="n">
        <v>50.037514539184</v>
      </c>
      <c r="W971" s="0" t="n">
        <v>33.9073749617407</v>
      </c>
      <c r="X971" s="0" t="n">
        <v>0</v>
      </c>
      <c r="Y971" s="0" t="n">
        <v>0</v>
      </c>
      <c r="Z971" s="0" t="n">
        <v>4.91043132098753</v>
      </c>
      <c r="AA971" s="0" t="n">
        <v>0</v>
      </c>
      <c r="AB971" s="0" t="n">
        <v>0</v>
      </c>
      <c r="AC971" s="0" t="n">
        <v>0</v>
      </c>
      <c r="AD971" s="0" t="n">
        <v>1</v>
      </c>
      <c r="AE971" s="0" t="n">
        <v>0</v>
      </c>
      <c r="AF971" s="0" t="n">
        <v>0</v>
      </c>
      <c r="AG971" s="0" t="n">
        <v>0</v>
      </c>
      <c r="AH971" s="0" t="n">
        <v>8.15372010030908</v>
      </c>
      <c r="AI971" s="0" t="n">
        <v>0</v>
      </c>
      <c r="AK971" s="0" t="n">
        <f aca="false">A971</f>
        <v>954</v>
      </c>
      <c r="AL971" s="0" t="n">
        <v>1</v>
      </c>
      <c r="AM971" s="0" t="n">
        <v>0</v>
      </c>
      <c r="AO971" s="0" t="n">
        <v>954</v>
      </c>
      <c r="AP971" s="0" t="n">
        <v>0</v>
      </c>
      <c r="AQ971" s="0" t="n">
        <v>0.326688508055472</v>
      </c>
      <c r="AR971" s="0" t="n">
        <v>859.477840745893</v>
      </c>
      <c r="AS971" s="0" t="n">
        <v>104</v>
      </c>
      <c r="AT971" s="0" t="n">
        <v>104</v>
      </c>
    </row>
    <row r="972" customFormat="false" ht="12" hidden="false" customHeight="false" outlineLevel="0" collapsed="false">
      <c r="A972" s="0" t="n">
        <v>955</v>
      </c>
      <c r="B972" s="0" t="n">
        <v>1</v>
      </c>
      <c r="C972" s="0" t="n">
        <v>0.782427176408957</v>
      </c>
      <c r="D972" s="0" t="n">
        <v>1030.25330277199</v>
      </c>
      <c r="E972" s="0" t="n">
        <v>8</v>
      </c>
      <c r="F972" s="0" t="n">
        <v>8</v>
      </c>
      <c r="G972" s="0" t="n">
        <v>0.5</v>
      </c>
      <c r="H972" s="0" t="n">
        <v>0</v>
      </c>
      <c r="I972" s="0" t="n">
        <v>2.07459984637462</v>
      </c>
      <c r="J972" s="0" t="n">
        <v>1036.95639006308</v>
      </c>
      <c r="K972" s="0" t="n">
        <v>6.70308729109502</v>
      </c>
      <c r="L972" s="0" t="n">
        <v>0</v>
      </c>
      <c r="M972" s="0" t="n">
        <v>1034.38130691657</v>
      </c>
      <c r="N972" s="0" t="n">
        <v>0</v>
      </c>
      <c r="O972" s="0" t="n">
        <v>955</v>
      </c>
      <c r="P972" s="0" t="n">
        <v>481</v>
      </c>
      <c r="Q972" s="0" t="n">
        <v>474</v>
      </c>
      <c r="R972" s="0" t="n">
        <v>1073.10891935536</v>
      </c>
      <c r="S972" s="0" t="n">
        <v>905.211082091983</v>
      </c>
      <c r="T972" s="0" t="n">
        <v>23</v>
      </c>
      <c r="U972" s="0" t="n">
        <v>25</v>
      </c>
      <c r="V972" s="0" t="n">
        <v>46.6568892515857</v>
      </c>
      <c r="W972" s="0" t="n">
        <v>36.2082984504855</v>
      </c>
      <c r="X972" s="0" t="n">
        <v>6.70308729109502</v>
      </c>
      <c r="Y972" s="0" t="n">
        <v>0</v>
      </c>
      <c r="Z972" s="0" t="n">
        <v>0</v>
      </c>
      <c r="AA972" s="0" t="n">
        <v>0</v>
      </c>
      <c r="AB972" s="0" t="n">
        <v>1</v>
      </c>
      <c r="AC972" s="0" t="n">
        <v>0</v>
      </c>
      <c r="AD972" s="0" t="n">
        <v>0</v>
      </c>
      <c r="AE972" s="0" t="n">
        <v>0</v>
      </c>
      <c r="AF972" s="0" t="n">
        <v>0.524860909041299</v>
      </c>
      <c r="AG972" s="0" t="n">
        <v>0</v>
      </c>
      <c r="AH972" s="0" t="n">
        <v>0</v>
      </c>
      <c r="AI972" s="0" t="n">
        <v>0</v>
      </c>
      <c r="AK972" s="0" t="n">
        <f aca="false">A972</f>
        <v>955</v>
      </c>
      <c r="AL972" s="0" t="n">
        <v>0</v>
      </c>
      <c r="AM972" s="0" t="n">
        <v>1</v>
      </c>
      <c r="AO972" s="0" t="n">
        <v>955</v>
      </c>
      <c r="AP972" s="0" t="n">
        <v>0</v>
      </c>
      <c r="AQ972" s="0" t="n">
        <v>1.99459004593055</v>
      </c>
      <c r="AR972" s="0" t="n">
        <v>861.472430791824</v>
      </c>
      <c r="AS972" s="0" t="n">
        <v>104</v>
      </c>
      <c r="AT972" s="0" t="n">
        <v>102</v>
      </c>
    </row>
    <row r="973" customFormat="false" ht="12" hidden="false" customHeight="false" outlineLevel="0" collapsed="false">
      <c r="A973" s="0" t="n">
        <v>956</v>
      </c>
      <c r="B973" s="0" t="n">
        <v>1</v>
      </c>
      <c r="C973" s="0" t="n">
        <v>1.16652365627513</v>
      </c>
      <c r="D973" s="0" t="n">
        <v>1031.41982642827</v>
      </c>
      <c r="E973" s="0" t="n">
        <v>8</v>
      </c>
      <c r="F973" s="0" t="n">
        <v>6</v>
      </c>
      <c r="G973" s="0" t="n">
        <v>0.5</v>
      </c>
      <c r="H973" s="0" t="n">
        <v>1</v>
      </c>
      <c r="I973" s="0" t="n">
        <v>0</v>
      </c>
      <c r="J973" s="0" t="n">
        <v>1036.95639006308</v>
      </c>
      <c r="K973" s="0" t="n">
        <v>0</v>
      </c>
      <c r="L973" s="0" t="n">
        <v>1.7903978947036</v>
      </c>
      <c r="M973" s="0" t="n">
        <v>1036.17170481127</v>
      </c>
      <c r="N973" s="0" t="n">
        <v>4.75187838300712</v>
      </c>
      <c r="O973" s="0" t="n">
        <v>956</v>
      </c>
      <c r="P973" s="0" t="n">
        <v>481</v>
      </c>
      <c r="Q973" s="0" t="n">
        <v>475</v>
      </c>
      <c r="R973" s="0" t="n">
        <v>929.4314711918</v>
      </c>
      <c r="S973" s="0" t="n">
        <v>1055.51067088591</v>
      </c>
      <c r="T973" s="0" t="n">
        <v>25</v>
      </c>
      <c r="U973" s="0" t="n">
        <v>23</v>
      </c>
      <c r="V973" s="0" t="n">
        <v>37.1772439767744</v>
      </c>
      <c r="W973" s="0" t="n">
        <v>45.8915687708275</v>
      </c>
      <c r="X973" s="0" t="n">
        <v>0</v>
      </c>
      <c r="Y973" s="0" t="n">
        <v>0</v>
      </c>
      <c r="Z973" s="0" t="n">
        <v>4.75187838300712</v>
      </c>
      <c r="AA973" s="0" t="n">
        <v>0</v>
      </c>
      <c r="AB973" s="0" t="n">
        <v>0</v>
      </c>
      <c r="AC973" s="0" t="n">
        <v>0</v>
      </c>
      <c r="AD973" s="0" t="n">
        <v>1</v>
      </c>
      <c r="AE973" s="0" t="n">
        <v>0</v>
      </c>
      <c r="AF973" s="0" t="n">
        <v>0</v>
      </c>
      <c r="AG973" s="0" t="n">
        <v>0</v>
      </c>
      <c r="AH973" s="0" t="n">
        <v>9.08434607082919</v>
      </c>
      <c r="AI973" s="0" t="n">
        <v>0</v>
      </c>
      <c r="AK973" s="0" t="n">
        <f aca="false">A973</f>
        <v>956</v>
      </c>
      <c r="AL973" s="0" t="n">
        <v>1</v>
      </c>
      <c r="AM973" s="0" t="n">
        <v>2</v>
      </c>
      <c r="AO973" s="0" t="n">
        <v>956</v>
      </c>
      <c r="AP973" s="0" t="n">
        <v>0</v>
      </c>
      <c r="AQ973" s="0" t="n">
        <v>1.43920790995823</v>
      </c>
      <c r="AR973" s="0" t="n">
        <v>862.911638701782</v>
      </c>
      <c r="AS973" s="0" t="n">
        <v>104</v>
      </c>
      <c r="AT973" s="0" t="n">
        <v>100</v>
      </c>
    </row>
    <row r="974" customFormat="false" ht="12" hidden="false" customHeight="false" outlineLevel="0" collapsed="false">
      <c r="A974" s="0" t="n">
        <v>957</v>
      </c>
      <c r="B974" s="0" t="n">
        <v>1</v>
      </c>
      <c r="C974" s="0" t="n">
        <v>3.49826328026922</v>
      </c>
      <c r="D974" s="0" t="n">
        <v>1034.91808970853</v>
      </c>
      <c r="E974" s="0" t="n">
        <v>4</v>
      </c>
      <c r="F974" s="0" t="n">
        <v>4</v>
      </c>
      <c r="G974" s="0" t="n">
        <v>0.5</v>
      </c>
      <c r="H974" s="0" t="n">
        <v>0</v>
      </c>
      <c r="I974" s="0" t="n">
        <v>2.16905876682025</v>
      </c>
      <c r="J974" s="0" t="n">
        <v>1039.12544882991</v>
      </c>
      <c r="K974" s="0" t="n">
        <v>4.20735912137093</v>
      </c>
      <c r="L974" s="0" t="n">
        <v>0</v>
      </c>
      <c r="M974" s="0" t="n">
        <v>1036.17170481127</v>
      </c>
      <c r="N974" s="0" t="n">
        <v>0</v>
      </c>
      <c r="O974" s="0" t="n">
        <v>957</v>
      </c>
      <c r="P974" s="0" t="n">
        <v>482</v>
      </c>
      <c r="Q974" s="0" t="n">
        <v>475</v>
      </c>
      <c r="R974" s="0" t="n">
        <v>1072.67018479176</v>
      </c>
      <c r="S974" s="0" t="n">
        <v>914.164744103284</v>
      </c>
      <c r="T974" s="0" t="n">
        <v>27</v>
      </c>
      <c r="U974" s="0" t="n">
        <v>21</v>
      </c>
      <c r="V974" s="0" t="n">
        <v>39.7285106483946</v>
      </c>
      <c r="W974" s="0" t="n">
        <v>43.5314471885031</v>
      </c>
      <c r="X974" s="0" t="n">
        <v>4.20735912137093</v>
      </c>
      <c r="Y974" s="0" t="n">
        <v>0</v>
      </c>
      <c r="Z974" s="0" t="n">
        <v>0</v>
      </c>
      <c r="AA974" s="0" t="n">
        <v>0</v>
      </c>
      <c r="AB974" s="0" t="n">
        <v>1</v>
      </c>
      <c r="AC974" s="0" t="n">
        <v>0</v>
      </c>
      <c r="AD974" s="0" t="n">
        <v>0</v>
      </c>
      <c r="AE974" s="0" t="n">
        <v>0</v>
      </c>
      <c r="AF974" s="0" t="n">
        <v>10.36969460145</v>
      </c>
      <c r="AG974" s="0" t="n">
        <v>0</v>
      </c>
      <c r="AH974" s="0" t="n">
        <v>0</v>
      </c>
      <c r="AI974" s="0" t="n">
        <v>0</v>
      </c>
      <c r="AK974" s="0" t="n">
        <f aca="false">A974</f>
        <v>957</v>
      </c>
      <c r="AL974" s="0" t="n">
        <v>0</v>
      </c>
      <c r="AM974" s="0" t="n">
        <v>1</v>
      </c>
      <c r="AO974" s="0" t="n">
        <v>957</v>
      </c>
      <c r="AP974" s="0" t="n">
        <v>0</v>
      </c>
      <c r="AQ974" s="0" t="n">
        <v>0.238047065002696</v>
      </c>
      <c r="AR974" s="0" t="n">
        <v>863.149685766784</v>
      </c>
      <c r="AS974" s="0" t="n">
        <v>104</v>
      </c>
      <c r="AT974" s="0" t="n">
        <v>102</v>
      </c>
    </row>
    <row r="975" customFormat="false" ht="12" hidden="false" customHeight="false" outlineLevel="0" collapsed="false">
      <c r="A975" s="0" t="n">
        <v>958</v>
      </c>
      <c r="B975" s="0" t="n">
        <v>1</v>
      </c>
      <c r="C975" s="0" t="n">
        <v>0.614580010986694</v>
      </c>
      <c r="D975" s="0" t="n">
        <v>1035.53266971952</v>
      </c>
      <c r="E975" s="0" t="n">
        <v>6</v>
      </c>
      <c r="F975" s="0" t="n">
        <v>4</v>
      </c>
      <c r="G975" s="0" t="n">
        <v>0.5</v>
      </c>
      <c r="H975" s="0" t="n">
        <v>1</v>
      </c>
      <c r="I975" s="0" t="n">
        <v>0</v>
      </c>
      <c r="J975" s="0" t="n">
        <v>1039.12544882991</v>
      </c>
      <c r="K975" s="0" t="n">
        <v>0</v>
      </c>
      <c r="L975" s="0" t="n">
        <v>2.1578825053523</v>
      </c>
      <c r="M975" s="0" t="n">
        <v>1038.32958731662</v>
      </c>
      <c r="N975" s="0" t="n">
        <v>2.79691759710363</v>
      </c>
      <c r="O975" s="0" t="n">
        <v>958</v>
      </c>
      <c r="P975" s="0" t="n">
        <v>482</v>
      </c>
      <c r="Q975" s="0" t="n">
        <v>476</v>
      </c>
      <c r="R975" s="0" t="n">
        <v>840.846992972869</v>
      </c>
      <c r="S975" s="0" t="n">
        <v>1150.68081140571</v>
      </c>
      <c r="T975" s="0" t="n">
        <v>21</v>
      </c>
      <c r="U975" s="0" t="n">
        <v>27</v>
      </c>
      <c r="V975" s="0" t="n">
        <v>40.0403139318919</v>
      </c>
      <c r="W975" s="0" t="n">
        <v>42.617649986693</v>
      </c>
      <c r="X975" s="0" t="n">
        <v>0</v>
      </c>
      <c r="Y975" s="0" t="n">
        <v>0</v>
      </c>
      <c r="Z975" s="0" t="n">
        <v>2.79691759710363</v>
      </c>
      <c r="AA975" s="0" t="n">
        <v>0</v>
      </c>
      <c r="AB975" s="0" t="n">
        <v>0</v>
      </c>
      <c r="AC975" s="0" t="n">
        <v>0</v>
      </c>
      <c r="AD975" s="0" t="n">
        <v>1</v>
      </c>
      <c r="AE975" s="0" t="n">
        <v>0</v>
      </c>
      <c r="AF975" s="0" t="n">
        <v>0</v>
      </c>
      <c r="AG975" s="0" t="n">
        <v>0</v>
      </c>
      <c r="AH975" s="0" t="n">
        <v>24.6908187022162</v>
      </c>
      <c r="AI975" s="0" t="n">
        <v>0</v>
      </c>
      <c r="AK975" s="0" t="n">
        <f aca="false">A975</f>
        <v>958</v>
      </c>
      <c r="AL975" s="0" t="n">
        <v>1</v>
      </c>
      <c r="AM975" s="0" t="n">
        <v>0</v>
      </c>
      <c r="AO975" s="0" t="n">
        <v>958</v>
      </c>
      <c r="AP975" s="0" t="n">
        <v>1</v>
      </c>
      <c r="AQ975" s="0" t="n">
        <v>0.983002864126465</v>
      </c>
      <c r="AR975" s="0" t="n">
        <v>864.132688630911</v>
      </c>
      <c r="AS975" s="0" t="n">
        <v>102</v>
      </c>
      <c r="AT975" s="0" t="n">
        <v>102</v>
      </c>
    </row>
    <row r="976" customFormat="false" ht="12" hidden="false" customHeight="false" outlineLevel="0" collapsed="false">
      <c r="A976" s="0" t="n">
        <v>959</v>
      </c>
      <c r="B976" s="0" t="n">
        <v>1</v>
      </c>
      <c r="C976" s="0" t="n">
        <v>1.04287000686989</v>
      </c>
      <c r="D976" s="0" t="n">
        <v>1036.57553972639</v>
      </c>
      <c r="E976" s="0" t="n">
        <v>6</v>
      </c>
      <c r="F976" s="0" t="n">
        <v>4</v>
      </c>
      <c r="G976" s="0" t="n">
        <v>0.5</v>
      </c>
      <c r="H976" s="0" t="n">
        <v>1</v>
      </c>
      <c r="I976" s="0" t="n">
        <v>0</v>
      </c>
      <c r="J976" s="0" t="n">
        <v>1039.12544882991</v>
      </c>
      <c r="K976" s="0" t="n">
        <v>0</v>
      </c>
      <c r="L976" s="0" t="n">
        <v>1.86746960449048</v>
      </c>
      <c r="M976" s="0" t="n">
        <v>1040.19705692111</v>
      </c>
      <c r="N976" s="0" t="n">
        <v>3.62151719472422</v>
      </c>
      <c r="O976" s="0" t="n">
        <v>959</v>
      </c>
      <c r="P976" s="0" t="n">
        <v>482</v>
      </c>
      <c r="Q976" s="0" t="n">
        <v>477</v>
      </c>
      <c r="R976" s="0" t="n">
        <v>1053.3163319918</v>
      </c>
      <c r="S976" s="0" t="n">
        <v>946.22691292227</v>
      </c>
      <c r="T976" s="0" t="n">
        <v>23</v>
      </c>
      <c r="U976" s="0" t="n">
        <v>25</v>
      </c>
      <c r="V976" s="0" t="n">
        <v>45.7963423490598</v>
      </c>
      <c r="W976" s="0" t="n">
        <v>37.8489251211903</v>
      </c>
      <c r="X976" s="0" t="n">
        <v>0</v>
      </c>
      <c r="Y976" s="0" t="n">
        <v>0</v>
      </c>
      <c r="Z976" s="0" t="n">
        <v>3.62151719472422</v>
      </c>
      <c r="AA976" s="0" t="n">
        <v>0</v>
      </c>
      <c r="AB976" s="0" t="n">
        <v>0</v>
      </c>
      <c r="AC976" s="0" t="n">
        <v>0</v>
      </c>
      <c r="AD976" s="0" t="n">
        <v>1</v>
      </c>
      <c r="AE976" s="0" t="n">
        <v>0</v>
      </c>
      <c r="AF976" s="0" t="n">
        <v>0</v>
      </c>
      <c r="AG976" s="0" t="n">
        <v>0</v>
      </c>
      <c r="AH976" s="0" t="n">
        <v>17.1759360116396</v>
      </c>
      <c r="AI976" s="0" t="n">
        <v>0</v>
      </c>
      <c r="AK976" s="0" t="n">
        <f aca="false">A976</f>
        <v>959</v>
      </c>
      <c r="AL976" s="0" t="n">
        <v>1</v>
      </c>
      <c r="AM976" s="0" t="n">
        <v>1</v>
      </c>
      <c r="AO976" s="0" t="n">
        <v>959</v>
      </c>
      <c r="AP976" s="0" t="n">
        <v>1</v>
      </c>
      <c r="AQ976" s="0" t="n">
        <v>0.358788037462339</v>
      </c>
      <c r="AR976" s="0" t="n">
        <v>864.491476668373</v>
      </c>
      <c r="AS976" s="0" t="n">
        <v>104</v>
      </c>
      <c r="AT976" s="0" t="n">
        <v>102</v>
      </c>
    </row>
    <row r="977" customFormat="false" ht="12" hidden="false" customHeight="false" outlineLevel="0" collapsed="false">
      <c r="A977" s="0" t="n">
        <v>960</v>
      </c>
      <c r="B977" s="0" t="n">
        <v>0</v>
      </c>
      <c r="C977" s="0" t="n">
        <v>0.0962266562050088</v>
      </c>
      <c r="D977" s="0" t="n">
        <v>1036.6717663826</v>
      </c>
      <c r="E977" s="0" t="n">
        <v>6</v>
      </c>
      <c r="F977" s="0" t="n">
        <v>6</v>
      </c>
      <c r="G977" s="0" t="n">
        <v>0.5</v>
      </c>
      <c r="H977" s="0" t="n">
        <v>0</v>
      </c>
      <c r="I977" s="0" t="n">
        <v>1.86614755597209</v>
      </c>
      <c r="J977" s="0" t="n">
        <v>1040.99159638588</v>
      </c>
      <c r="K977" s="0" t="n">
        <v>4.31983000328137</v>
      </c>
      <c r="L977" s="0" t="n">
        <v>0</v>
      </c>
      <c r="M977" s="0" t="n">
        <v>1040.19705692111</v>
      </c>
      <c r="N977" s="0" t="n">
        <v>0</v>
      </c>
      <c r="O977" s="0" t="n">
        <v>960</v>
      </c>
      <c r="P977" s="0" t="n">
        <v>483</v>
      </c>
      <c r="Q977" s="0" t="n">
        <v>477</v>
      </c>
      <c r="R977" s="0" t="n">
        <v>865.577607924822</v>
      </c>
      <c r="S977" s="0" t="n">
        <v>1130.4579583579</v>
      </c>
      <c r="T977" s="0" t="n">
        <v>24</v>
      </c>
      <c r="U977" s="0" t="n">
        <v>24</v>
      </c>
      <c r="V977" s="0" t="n">
        <v>36.0657186361515</v>
      </c>
      <c r="W977" s="0" t="n">
        <v>47.1022186723348</v>
      </c>
      <c r="X977" s="0" t="n">
        <v>0</v>
      </c>
      <c r="Y977" s="0" t="n">
        <v>4.31983000328137</v>
      </c>
      <c r="Z977" s="0" t="n">
        <v>0</v>
      </c>
      <c r="AA977" s="0" t="n">
        <v>0</v>
      </c>
      <c r="AB977" s="0" t="n">
        <v>0</v>
      </c>
      <c r="AC977" s="0" t="n">
        <v>1</v>
      </c>
      <c r="AD977" s="0" t="n">
        <v>0</v>
      </c>
      <c r="AE977" s="0" t="n">
        <v>0</v>
      </c>
      <c r="AF977" s="0" t="n">
        <v>0</v>
      </c>
      <c r="AG977" s="0" t="n">
        <v>15.5143584409354</v>
      </c>
      <c r="AH977" s="0" t="n">
        <v>0</v>
      </c>
      <c r="AI977" s="0" t="n">
        <v>0</v>
      </c>
      <c r="AK977" s="0" t="n">
        <f aca="false">A977</f>
        <v>960</v>
      </c>
      <c r="AL977" s="0" t="n">
        <v>0</v>
      </c>
      <c r="AM977" s="0" t="n">
        <v>0</v>
      </c>
      <c r="AO977" s="0" t="n">
        <v>960</v>
      </c>
      <c r="AP977" s="0" t="n">
        <v>1</v>
      </c>
      <c r="AQ977" s="0" t="n">
        <v>1.34301063410969</v>
      </c>
      <c r="AR977" s="0" t="n">
        <v>865.834487302483</v>
      </c>
      <c r="AS977" s="0" t="n">
        <v>104</v>
      </c>
      <c r="AT977" s="0" t="n">
        <v>104</v>
      </c>
    </row>
    <row r="978" customFormat="false" ht="12" hidden="false" customHeight="false" outlineLevel="0" collapsed="false">
      <c r="A978" s="0" t="n">
        <v>961</v>
      </c>
      <c r="B978" s="0" t="n">
        <v>0</v>
      </c>
      <c r="C978" s="0" t="n">
        <v>0.447967330341723</v>
      </c>
      <c r="D978" s="0" t="n">
        <v>1037.11973371294</v>
      </c>
      <c r="E978" s="0" t="n">
        <v>6</v>
      </c>
      <c r="F978" s="0" t="n">
        <v>6</v>
      </c>
      <c r="G978" s="0" t="n">
        <v>0.5</v>
      </c>
      <c r="H978" s="0" t="n">
        <v>0</v>
      </c>
      <c r="I978" s="0" t="n">
        <v>1.9266029770232</v>
      </c>
      <c r="J978" s="0" t="n">
        <v>1042.9181993629</v>
      </c>
      <c r="K978" s="0" t="n">
        <v>5.79846564996274</v>
      </c>
      <c r="L978" s="0" t="n">
        <v>0</v>
      </c>
      <c r="M978" s="0" t="n">
        <v>1040.19705692111</v>
      </c>
      <c r="N978" s="0" t="n">
        <v>0</v>
      </c>
      <c r="O978" s="0" t="n">
        <v>961</v>
      </c>
      <c r="P978" s="0" t="n">
        <v>484</v>
      </c>
      <c r="Q978" s="0" t="n">
        <v>477</v>
      </c>
      <c r="R978" s="0" t="n">
        <v>1034.812917503</v>
      </c>
      <c r="S978" s="0" t="n">
        <v>958.337046491223</v>
      </c>
      <c r="T978" s="0" t="n">
        <v>24</v>
      </c>
      <c r="U978" s="0" t="n">
        <v>24</v>
      </c>
      <c r="V978" s="0" t="n">
        <v>43.1171869304637</v>
      </c>
      <c r="W978" s="0" t="n">
        <v>39.9305438932014</v>
      </c>
      <c r="X978" s="0" t="n">
        <v>0</v>
      </c>
      <c r="Y978" s="0" t="n">
        <v>5.79846564996274</v>
      </c>
      <c r="Z978" s="0" t="n">
        <v>0</v>
      </c>
      <c r="AA978" s="0" t="n">
        <v>0</v>
      </c>
      <c r="AB978" s="0" t="n">
        <v>0</v>
      </c>
      <c r="AC978" s="0" t="n">
        <v>1</v>
      </c>
      <c r="AD978" s="0" t="n">
        <v>0</v>
      </c>
      <c r="AE978" s="0" t="n">
        <v>0</v>
      </c>
      <c r="AF978" s="0" t="n">
        <v>0</v>
      </c>
      <c r="AG978" s="0" t="n">
        <v>6.05254168545078</v>
      </c>
      <c r="AH978" s="0" t="n">
        <v>0</v>
      </c>
      <c r="AI978" s="0" t="n">
        <v>0</v>
      </c>
      <c r="AK978" s="0" t="n">
        <f aca="false">A978</f>
        <v>961</v>
      </c>
      <c r="AL978" s="0" t="n">
        <v>0</v>
      </c>
      <c r="AM978" s="0" t="n">
        <v>1</v>
      </c>
      <c r="AO978" s="0" t="n">
        <v>961</v>
      </c>
      <c r="AP978" s="0" t="n">
        <v>1</v>
      </c>
      <c r="AQ978" s="0" t="n">
        <v>1.06501494983329</v>
      </c>
      <c r="AR978" s="0" t="n">
        <v>866.899502252316</v>
      </c>
      <c r="AS978" s="0" t="n">
        <v>104</v>
      </c>
      <c r="AT978" s="0" t="n">
        <v>102</v>
      </c>
    </row>
    <row r="979" customFormat="false" ht="12" hidden="false" customHeight="false" outlineLevel="0" collapsed="false">
      <c r="A979" s="0" t="n">
        <v>962</v>
      </c>
      <c r="B979" s="0" t="n">
        <v>1</v>
      </c>
      <c r="C979" s="0" t="n">
        <v>2.09265626997256</v>
      </c>
      <c r="D979" s="0" t="n">
        <v>1039.21238998291</v>
      </c>
      <c r="E979" s="0" t="n">
        <v>6</v>
      </c>
      <c r="F979" s="0" t="n">
        <v>4</v>
      </c>
      <c r="G979" s="0" t="n">
        <v>0.5</v>
      </c>
      <c r="H979" s="0" t="n">
        <v>1</v>
      </c>
      <c r="I979" s="0" t="n">
        <v>0</v>
      </c>
      <c r="J979" s="0" t="n">
        <v>1042.9181993629</v>
      </c>
      <c r="K979" s="0" t="n">
        <v>0</v>
      </c>
      <c r="L979" s="0" t="n">
        <v>2.03083358718626</v>
      </c>
      <c r="M979" s="0" t="n">
        <v>1042.2278905083</v>
      </c>
      <c r="N979" s="0" t="n">
        <v>3.01550052539096</v>
      </c>
      <c r="O979" s="0" t="n">
        <v>962</v>
      </c>
      <c r="P979" s="0" t="n">
        <v>484</v>
      </c>
      <c r="Q979" s="0" t="n">
        <v>478</v>
      </c>
      <c r="R979" s="0" t="n">
        <v>726.722170987001</v>
      </c>
      <c r="S979" s="0" t="n">
        <v>1255.73168596255</v>
      </c>
      <c r="T979" s="0" t="n">
        <v>20</v>
      </c>
      <c r="U979" s="0" t="n">
        <v>28</v>
      </c>
      <c r="V979" s="0" t="n">
        <v>36.3360903813049</v>
      </c>
      <c r="W979" s="0" t="n">
        <v>44.8474000436625</v>
      </c>
      <c r="X979" s="0" t="n">
        <v>0</v>
      </c>
      <c r="Y979" s="0" t="n">
        <v>0</v>
      </c>
      <c r="Z979" s="0" t="n">
        <v>3.01550052539096</v>
      </c>
      <c r="AA979" s="0" t="n">
        <v>0</v>
      </c>
      <c r="AB979" s="0" t="n">
        <v>0</v>
      </c>
      <c r="AC979" s="0" t="n">
        <v>0</v>
      </c>
      <c r="AD979" s="0" t="n">
        <v>1</v>
      </c>
      <c r="AE979" s="0" t="n">
        <v>0</v>
      </c>
      <c r="AF979" s="0" t="n">
        <v>0</v>
      </c>
      <c r="AG979" s="0" t="n">
        <v>0</v>
      </c>
      <c r="AH979" s="0" t="n">
        <v>22.566326317027</v>
      </c>
      <c r="AI979" s="0" t="n">
        <v>0</v>
      </c>
      <c r="AK979" s="0" t="n">
        <f aca="false">A979</f>
        <v>962</v>
      </c>
      <c r="AL979" s="0" t="n">
        <v>1</v>
      </c>
      <c r="AM979" s="0" t="n">
        <v>1</v>
      </c>
      <c r="AO979" s="0" t="n">
        <v>962</v>
      </c>
      <c r="AP979" s="0" t="n">
        <v>1</v>
      </c>
      <c r="AQ979" s="0" t="n">
        <v>1.11677231538242</v>
      </c>
      <c r="AR979" s="0" t="n">
        <v>868.016274567699</v>
      </c>
      <c r="AS979" s="0" t="n">
        <v>104</v>
      </c>
      <c r="AT979" s="0" t="n">
        <v>102</v>
      </c>
    </row>
    <row r="980" customFormat="false" ht="12" hidden="false" customHeight="false" outlineLevel="0" collapsed="false">
      <c r="A980" s="0" t="n">
        <v>963</v>
      </c>
      <c r="B980" s="0" t="n">
        <v>1</v>
      </c>
      <c r="C980" s="0" t="n">
        <v>0.215434424887492</v>
      </c>
      <c r="D980" s="0" t="n">
        <v>1039.4278244078</v>
      </c>
      <c r="E980" s="0" t="n">
        <v>6</v>
      </c>
      <c r="F980" s="0" t="n">
        <v>6</v>
      </c>
      <c r="G980" s="0" t="n">
        <v>0.5</v>
      </c>
      <c r="H980" s="0" t="n">
        <v>1</v>
      </c>
      <c r="I980" s="0" t="n">
        <v>0</v>
      </c>
      <c r="J980" s="0" t="n">
        <v>1042.9181993629</v>
      </c>
      <c r="K980" s="0" t="n">
        <v>0</v>
      </c>
      <c r="L980" s="0" t="n">
        <v>1.76022095174869</v>
      </c>
      <c r="M980" s="0" t="n">
        <v>1043.98811146005</v>
      </c>
      <c r="N980" s="0" t="n">
        <v>4.56028705225208</v>
      </c>
      <c r="O980" s="0" t="n">
        <v>963</v>
      </c>
      <c r="P980" s="0" t="n">
        <v>484</v>
      </c>
      <c r="Q980" s="0" t="n">
        <v>479</v>
      </c>
      <c r="R980" s="0" t="n">
        <v>1386.55289747082</v>
      </c>
      <c r="S980" s="0" t="n">
        <v>611.158045809755</v>
      </c>
      <c r="T980" s="0" t="n">
        <v>31</v>
      </c>
      <c r="U980" s="0" t="n">
        <v>17</v>
      </c>
      <c r="V980" s="0" t="n">
        <v>44.7274983934141</v>
      </c>
      <c r="W980" s="0" t="n">
        <v>35.9502618107985</v>
      </c>
      <c r="X980" s="0" t="n">
        <v>0</v>
      </c>
      <c r="Y980" s="0" t="n">
        <v>0</v>
      </c>
      <c r="Z980" s="0" t="n">
        <v>4.56028705225208</v>
      </c>
      <c r="AA980" s="0" t="n">
        <v>0</v>
      </c>
      <c r="AB980" s="0" t="n">
        <v>0</v>
      </c>
      <c r="AC980" s="0" t="n">
        <v>0</v>
      </c>
      <c r="AD980" s="0" t="n">
        <v>1</v>
      </c>
      <c r="AE980" s="0" t="n">
        <v>0</v>
      </c>
      <c r="AF980" s="0" t="n">
        <v>0</v>
      </c>
      <c r="AG980" s="0" t="n">
        <v>0</v>
      </c>
      <c r="AH980" s="0" t="n">
        <v>10.2759753901737</v>
      </c>
      <c r="AI980" s="0" t="n">
        <v>0</v>
      </c>
      <c r="AK980" s="0" t="n">
        <f aca="false">A980</f>
        <v>963</v>
      </c>
      <c r="AL980" s="0" t="n">
        <v>0</v>
      </c>
      <c r="AM980" s="0" t="n">
        <v>1</v>
      </c>
      <c r="AO980" s="0" t="n">
        <v>963</v>
      </c>
      <c r="AP980" s="0" t="n">
        <v>0</v>
      </c>
      <c r="AQ980" s="0" t="n">
        <v>2.00540792097952</v>
      </c>
      <c r="AR980" s="0" t="n">
        <v>870.021682488678</v>
      </c>
      <c r="AS980" s="0" t="n">
        <v>100</v>
      </c>
      <c r="AT980" s="0" t="n">
        <v>102</v>
      </c>
    </row>
    <row r="981" customFormat="false" ht="12" hidden="false" customHeight="false" outlineLevel="0" collapsed="false">
      <c r="A981" s="0" t="n">
        <v>964</v>
      </c>
      <c r="B981" s="0" t="n">
        <v>0</v>
      </c>
      <c r="C981" s="0" t="n">
        <v>1.61936796056975</v>
      </c>
      <c r="D981" s="0" t="n">
        <v>1041.04719236837</v>
      </c>
      <c r="E981" s="0" t="n">
        <v>4</v>
      </c>
      <c r="F981" s="0" t="n">
        <v>6</v>
      </c>
      <c r="G981" s="0" t="n">
        <v>0.5</v>
      </c>
      <c r="H981" s="0" t="n">
        <v>0</v>
      </c>
      <c r="I981" s="0" t="n">
        <v>2.23146492836354</v>
      </c>
      <c r="J981" s="0" t="n">
        <v>1045.14966429126</v>
      </c>
      <c r="K981" s="0" t="n">
        <v>4.10247192289648</v>
      </c>
      <c r="L981" s="0" t="n">
        <v>0</v>
      </c>
      <c r="M981" s="0" t="n">
        <v>1043.98811146005</v>
      </c>
      <c r="N981" s="0" t="n">
        <v>0</v>
      </c>
      <c r="O981" s="0" t="n">
        <v>964</v>
      </c>
      <c r="P981" s="0" t="n">
        <v>485</v>
      </c>
      <c r="Q981" s="0" t="n">
        <v>479</v>
      </c>
      <c r="R981" s="0" t="n">
        <v>664.629730077082</v>
      </c>
      <c r="S981" s="0" t="n">
        <v>1337.5168573315</v>
      </c>
      <c r="T981" s="0" t="n">
        <v>21</v>
      </c>
      <c r="U981" s="0" t="n">
        <v>27</v>
      </c>
      <c r="V981" s="0" t="n">
        <v>31.6490196946136</v>
      </c>
      <c r="W981" s="0" t="n">
        <v>49.5374779105078</v>
      </c>
      <c r="X981" s="0" t="n">
        <v>0</v>
      </c>
      <c r="Y981" s="0" t="n">
        <v>4.10247192289648</v>
      </c>
      <c r="Z981" s="0" t="n">
        <v>0</v>
      </c>
      <c r="AA981" s="0" t="n">
        <v>0</v>
      </c>
      <c r="AB981" s="0" t="n">
        <v>0</v>
      </c>
      <c r="AC981" s="0" t="n">
        <v>1</v>
      </c>
      <c r="AD981" s="0" t="n">
        <v>0</v>
      </c>
      <c r="AE981" s="0" t="n">
        <v>0</v>
      </c>
      <c r="AF981" s="0" t="n">
        <v>0</v>
      </c>
      <c r="AG981" s="0" t="n">
        <v>17.2738747442516</v>
      </c>
      <c r="AH981" s="0" t="n">
        <v>0</v>
      </c>
      <c r="AI981" s="0" t="n">
        <v>0</v>
      </c>
      <c r="AK981" s="0" t="n">
        <f aca="false">A981</f>
        <v>964</v>
      </c>
      <c r="AL981" s="0" t="n">
        <v>1</v>
      </c>
      <c r="AM981" s="0" t="n">
        <v>0</v>
      </c>
      <c r="AO981" s="0" t="n">
        <v>964</v>
      </c>
      <c r="AP981" s="0" t="n">
        <v>0</v>
      </c>
      <c r="AQ981" s="0" t="n">
        <v>2.42122951593684</v>
      </c>
      <c r="AR981" s="0" t="n">
        <v>872.442912004615</v>
      </c>
      <c r="AS981" s="0" t="n">
        <v>100</v>
      </c>
      <c r="AT981" s="0" t="n">
        <v>100</v>
      </c>
    </row>
    <row r="982" customFormat="false" ht="12" hidden="false" customHeight="false" outlineLevel="0" collapsed="false">
      <c r="A982" s="0" t="n">
        <v>965</v>
      </c>
      <c r="B982" s="0" t="n">
        <v>0</v>
      </c>
      <c r="C982" s="0" t="n">
        <v>1.12130781918968</v>
      </c>
      <c r="D982" s="0" t="n">
        <v>1042.16850018756</v>
      </c>
      <c r="E982" s="0" t="n">
        <v>6</v>
      </c>
      <c r="F982" s="0" t="n">
        <v>6</v>
      </c>
      <c r="G982" s="0" t="n">
        <v>0.5</v>
      </c>
      <c r="H982" s="0" t="n">
        <v>1</v>
      </c>
      <c r="I982" s="0" t="n">
        <v>0</v>
      </c>
      <c r="J982" s="0" t="n">
        <v>1045.14966429126</v>
      </c>
      <c r="K982" s="0" t="n">
        <v>0</v>
      </c>
      <c r="L982" s="0" t="n">
        <v>2.15617759315071</v>
      </c>
      <c r="M982" s="0" t="n">
        <v>1046.1442890532</v>
      </c>
      <c r="N982" s="0" t="n">
        <v>3.97578886564338</v>
      </c>
      <c r="O982" s="0" t="n">
        <v>965</v>
      </c>
      <c r="P982" s="0" t="n">
        <v>485</v>
      </c>
      <c r="Q982" s="0" t="n">
        <v>480</v>
      </c>
      <c r="R982" s="0" t="n">
        <v>1046.68747740722</v>
      </c>
      <c r="S982" s="0" t="n">
        <v>950.939201043711</v>
      </c>
      <c r="T982" s="0" t="n">
        <v>23</v>
      </c>
      <c r="U982" s="0" t="n">
        <v>25</v>
      </c>
      <c r="V982" s="0" t="n">
        <v>45.5081314054743</v>
      </c>
      <c r="W982" s="0" t="n">
        <v>38.0374158920849</v>
      </c>
      <c r="X982" s="0" t="n">
        <v>0</v>
      </c>
      <c r="Y982" s="0" t="n">
        <v>0</v>
      </c>
      <c r="Z982" s="0" t="n">
        <v>0</v>
      </c>
      <c r="AA982" s="0" t="n">
        <v>3.97578886564338</v>
      </c>
      <c r="AB982" s="0" t="n">
        <v>0</v>
      </c>
      <c r="AC982" s="0" t="n">
        <v>0</v>
      </c>
      <c r="AD982" s="0" t="n">
        <v>0</v>
      </c>
      <c r="AE982" s="0" t="n">
        <v>1</v>
      </c>
      <c r="AF982" s="0" t="n">
        <v>0</v>
      </c>
      <c r="AG982" s="0" t="n">
        <v>0</v>
      </c>
      <c r="AH982" s="0" t="n">
        <v>0</v>
      </c>
      <c r="AI982" s="0" t="n">
        <v>14.1046207164387</v>
      </c>
      <c r="AK982" s="0" t="n">
        <f aca="false">A982</f>
        <v>965</v>
      </c>
      <c r="AL982" s="0" t="n">
        <v>0</v>
      </c>
      <c r="AM982" s="0" t="n">
        <v>1</v>
      </c>
      <c r="AO982" s="0" t="n">
        <v>965</v>
      </c>
      <c r="AP982" s="0" t="n">
        <v>0</v>
      </c>
      <c r="AQ982" s="0" t="n">
        <v>1.16572006992956</v>
      </c>
      <c r="AR982" s="0" t="n">
        <v>873.608632074544</v>
      </c>
      <c r="AS982" s="0" t="n">
        <v>102</v>
      </c>
      <c r="AT982" s="0" t="n">
        <v>100</v>
      </c>
    </row>
    <row r="983" customFormat="false" ht="12" hidden="false" customHeight="false" outlineLevel="0" collapsed="false">
      <c r="A983" s="0" t="n">
        <v>966</v>
      </c>
      <c r="B983" s="0" t="n">
        <v>0</v>
      </c>
      <c r="C983" s="0" t="n">
        <v>0.0244401925791178</v>
      </c>
      <c r="D983" s="0" t="n">
        <v>1042.19294038014</v>
      </c>
      <c r="E983" s="0" t="n">
        <v>6</v>
      </c>
      <c r="F983" s="0" t="n">
        <v>8</v>
      </c>
      <c r="G983" s="0" t="n">
        <v>0.5</v>
      </c>
      <c r="H983" s="0" t="n">
        <v>1</v>
      </c>
      <c r="I983" s="0" t="n">
        <v>0</v>
      </c>
      <c r="J983" s="0" t="n">
        <v>1045.14966429126</v>
      </c>
      <c r="K983" s="0" t="n">
        <v>0</v>
      </c>
      <c r="L983" s="0" t="n">
        <v>2.12825800266487</v>
      </c>
      <c r="M983" s="0" t="n">
        <v>1048.27254705587</v>
      </c>
      <c r="N983" s="0" t="n">
        <v>6.07960667572911</v>
      </c>
      <c r="O983" s="0" t="n">
        <v>966</v>
      </c>
      <c r="P983" s="0" t="n">
        <v>485</v>
      </c>
      <c r="Q983" s="0" t="n">
        <v>481</v>
      </c>
      <c r="R983" s="0" t="n">
        <v>1183.81466449528</v>
      </c>
      <c r="S983" s="0" t="n">
        <v>839.003272963689</v>
      </c>
      <c r="T983" s="0" t="n">
        <v>27</v>
      </c>
      <c r="U983" s="0" t="n">
        <v>21</v>
      </c>
      <c r="V983" s="0" t="n">
        <v>43.8449713350209</v>
      </c>
      <c r="W983" s="0" t="n">
        <v>39.9523465585254</v>
      </c>
      <c r="X983" s="0" t="n">
        <v>0</v>
      </c>
      <c r="Y983" s="0" t="n">
        <v>0</v>
      </c>
      <c r="Z983" s="0" t="n">
        <v>0</v>
      </c>
      <c r="AA983" s="0" t="n">
        <v>6.07960667572911</v>
      </c>
      <c r="AB983" s="0" t="n">
        <v>0</v>
      </c>
      <c r="AC983" s="0" t="n">
        <v>0</v>
      </c>
      <c r="AD983" s="0" t="n">
        <v>0</v>
      </c>
      <c r="AE983" s="0" t="n">
        <v>1</v>
      </c>
      <c r="AF983" s="0" t="n">
        <v>0</v>
      </c>
      <c r="AG983" s="0" t="n">
        <v>0</v>
      </c>
      <c r="AH983" s="0" t="n">
        <v>0</v>
      </c>
      <c r="AI983" s="0" t="n">
        <v>2.7284237036081</v>
      </c>
      <c r="AK983" s="0" t="n">
        <f aca="false">A983</f>
        <v>966</v>
      </c>
      <c r="AL983" s="0" t="n">
        <v>1</v>
      </c>
      <c r="AM983" s="0" t="n">
        <v>2</v>
      </c>
      <c r="AO983" s="0" t="n">
        <v>966</v>
      </c>
      <c r="AP983" s="0" t="n">
        <v>1</v>
      </c>
      <c r="AQ983" s="0" t="n">
        <v>1.29825382313702</v>
      </c>
      <c r="AR983" s="0" t="n">
        <v>874.906885897681</v>
      </c>
      <c r="AS983" s="0" t="n">
        <v>102</v>
      </c>
      <c r="AT983" s="0" t="n">
        <v>98</v>
      </c>
    </row>
    <row r="984" customFormat="false" ht="12" hidden="false" customHeight="false" outlineLevel="0" collapsed="false">
      <c r="A984" s="0" t="n">
        <v>967</v>
      </c>
      <c r="B984" s="0" t="n">
        <v>1</v>
      </c>
      <c r="C984" s="0" t="n">
        <v>0.742342842416703</v>
      </c>
      <c r="D984" s="0" t="n">
        <v>1042.93528322255</v>
      </c>
      <c r="E984" s="0" t="n">
        <v>4</v>
      </c>
      <c r="F984" s="0" t="n">
        <v>8</v>
      </c>
      <c r="G984" s="0" t="n">
        <v>0.5</v>
      </c>
      <c r="H984" s="0" t="n">
        <v>0</v>
      </c>
      <c r="I984" s="0" t="n">
        <v>2.10194553979818</v>
      </c>
      <c r="J984" s="0" t="n">
        <v>1047.25160983106</v>
      </c>
      <c r="K984" s="0" t="n">
        <v>4.31632660850914</v>
      </c>
      <c r="L984" s="0" t="n">
        <v>0</v>
      </c>
      <c r="M984" s="0" t="n">
        <v>1048.27254705587</v>
      </c>
      <c r="N984" s="0" t="n">
        <v>0</v>
      </c>
      <c r="O984" s="0" t="n">
        <v>967</v>
      </c>
      <c r="P984" s="0" t="n">
        <v>486</v>
      </c>
      <c r="Q984" s="0" t="n">
        <v>481</v>
      </c>
      <c r="R984" s="0" t="n">
        <v>1051.13466026334</v>
      </c>
      <c r="S984" s="0" t="n">
        <v>968.707145859992</v>
      </c>
      <c r="T984" s="0" t="n">
        <v>24</v>
      </c>
      <c r="U984" s="0" t="n">
        <v>24</v>
      </c>
      <c r="V984" s="0" t="n">
        <v>43.7972592621145</v>
      </c>
      <c r="W984" s="0" t="n">
        <v>40.3626295665431</v>
      </c>
      <c r="X984" s="0" t="n">
        <v>4.31632660850914</v>
      </c>
      <c r="Y984" s="0" t="n">
        <v>0</v>
      </c>
      <c r="Z984" s="0" t="n">
        <v>0</v>
      </c>
      <c r="AA984" s="0" t="n">
        <v>0</v>
      </c>
      <c r="AB984" s="0" t="n">
        <v>1</v>
      </c>
      <c r="AC984" s="0" t="n">
        <v>0</v>
      </c>
      <c r="AD984" s="0" t="n">
        <v>0</v>
      </c>
      <c r="AE984" s="0" t="n">
        <v>0</v>
      </c>
      <c r="AF984" s="0" t="n">
        <v>9.67977408850716</v>
      </c>
      <c r="AG984" s="0" t="n">
        <v>0</v>
      </c>
      <c r="AH984" s="0" t="n">
        <v>0</v>
      </c>
      <c r="AI984" s="0" t="n">
        <v>0</v>
      </c>
      <c r="AK984" s="0" t="n">
        <f aca="false">A984</f>
        <v>967</v>
      </c>
      <c r="AL984" s="0" t="n">
        <v>2</v>
      </c>
      <c r="AM984" s="0" t="n">
        <v>1</v>
      </c>
      <c r="AO984" s="0" t="n">
        <v>967</v>
      </c>
      <c r="AP984" s="0" t="n">
        <v>0</v>
      </c>
      <c r="AQ984" s="0" t="n">
        <v>0.956923868060699</v>
      </c>
      <c r="AR984" s="0" t="n">
        <v>875.863809765742</v>
      </c>
      <c r="AS984" s="0" t="n">
        <v>100</v>
      </c>
      <c r="AT984" s="0" t="n">
        <v>98</v>
      </c>
    </row>
    <row r="985" customFormat="false" ht="12" hidden="false" customHeight="false" outlineLevel="0" collapsed="false">
      <c r="A985" s="0" t="n">
        <v>968</v>
      </c>
      <c r="B985" s="0" t="n">
        <v>0</v>
      </c>
      <c r="C985" s="0" t="n">
        <v>0.920669427195427</v>
      </c>
      <c r="D985" s="0" t="n">
        <v>1043.85595264975</v>
      </c>
      <c r="E985" s="0" t="n">
        <v>6</v>
      </c>
      <c r="F985" s="0" t="n">
        <v>8</v>
      </c>
      <c r="G985" s="0" t="n">
        <v>0.5</v>
      </c>
      <c r="H985" s="0" t="n">
        <v>1</v>
      </c>
      <c r="I985" s="0" t="n">
        <v>0</v>
      </c>
      <c r="J985" s="0" t="n">
        <v>1047.25160983106</v>
      </c>
      <c r="K985" s="0" t="n">
        <v>0</v>
      </c>
      <c r="L985" s="0" t="n">
        <v>1.83496736901808</v>
      </c>
      <c r="M985" s="0" t="n">
        <v>1050.10751442488</v>
      </c>
      <c r="N985" s="0" t="n">
        <v>6.25156177513509</v>
      </c>
      <c r="O985" s="0" t="n">
        <v>968</v>
      </c>
      <c r="P985" s="0" t="n">
        <v>486</v>
      </c>
      <c r="Q985" s="0" t="n">
        <v>482</v>
      </c>
      <c r="R985" s="0" t="n">
        <v>900.48930519256</v>
      </c>
      <c r="S985" s="0" t="n">
        <v>1116.87548193443</v>
      </c>
      <c r="T985" s="0" t="n">
        <v>21</v>
      </c>
      <c r="U985" s="0" t="n">
        <v>27</v>
      </c>
      <c r="V985" s="0" t="n">
        <v>42.8804226851587</v>
      </c>
      <c r="W985" s="0" t="n">
        <v>41.3656053842181</v>
      </c>
      <c r="X985" s="0" t="n">
        <v>0</v>
      </c>
      <c r="Y985" s="0" t="n">
        <v>0</v>
      </c>
      <c r="Z985" s="0" t="n">
        <v>0</v>
      </c>
      <c r="AA985" s="0" t="n">
        <v>6.25156177513509</v>
      </c>
      <c r="AB985" s="0" t="n">
        <v>0</v>
      </c>
      <c r="AC985" s="0" t="n">
        <v>0</v>
      </c>
      <c r="AD985" s="0" t="n">
        <v>0</v>
      </c>
      <c r="AE985" s="0" t="n">
        <v>1</v>
      </c>
      <c r="AF985" s="0" t="n">
        <v>0</v>
      </c>
      <c r="AG985" s="0" t="n">
        <v>0</v>
      </c>
      <c r="AH985" s="0" t="n">
        <v>0</v>
      </c>
      <c r="AI985" s="0" t="n">
        <v>2.18992342719644</v>
      </c>
      <c r="AK985" s="0" t="n">
        <f aca="false">A985</f>
        <v>968</v>
      </c>
      <c r="AL985" s="0" t="n">
        <v>1</v>
      </c>
      <c r="AM985" s="0" t="n">
        <v>2</v>
      </c>
      <c r="AO985" s="0" t="n">
        <v>968</v>
      </c>
      <c r="AP985" s="0" t="n">
        <v>0</v>
      </c>
      <c r="AQ985" s="0" t="n">
        <v>1.34205466999088</v>
      </c>
      <c r="AR985" s="0" t="n">
        <v>877.205864435733</v>
      </c>
      <c r="AS985" s="0" t="n">
        <v>102</v>
      </c>
      <c r="AT985" s="0" t="n">
        <v>98</v>
      </c>
    </row>
    <row r="986" customFormat="false" ht="12" hidden="false" customHeight="false" outlineLevel="0" collapsed="false">
      <c r="A986" s="0" t="n">
        <v>969</v>
      </c>
      <c r="B986" s="0" t="n">
        <v>0</v>
      </c>
      <c r="C986" s="0" t="n">
        <v>0.489978246019617</v>
      </c>
      <c r="D986" s="0" t="n">
        <v>1044.34593089577</v>
      </c>
      <c r="E986" s="0" t="n">
        <v>6</v>
      </c>
      <c r="F986" s="0" t="n">
        <v>8</v>
      </c>
      <c r="G986" s="0" t="n">
        <v>0.5</v>
      </c>
      <c r="H986" s="0" t="n">
        <v>1</v>
      </c>
      <c r="I986" s="0" t="n">
        <v>0</v>
      </c>
      <c r="J986" s="0" t="n">
        <v>1047.25160983106</v>
      </c>
      <c r="K986" s="0" t="n">
        <v>0</v>
      </c>
      <c r="L986" s="0" t="n">
        <v>1.82009251838168</v>
      </c>
      <c r="M986" s="0" t="n">
        <v>1051.92760694327</v>
      </c>
      <c r="N986" s="0" t="n">
        <v>7.58167604749724</v>
      </c>
      <c r="O986" s="0" t="n">
        <v>969</v>
      </c>
      <c r="P986" s="0" t="n">
        <v>486</v>
      </c>
      <c r="Q986" s="0" t="n">
        <v>483</v>
      </c>
      <c r="R986" s="0" t="n">
        <v>1078.83650644795</v>
      </c>
      <c r="S986" s="0" t="n">
        <v>925.255964970423</v>
      </c>
      <c r="T986" s="0" t="n">
        <v>23</v>
      </c>
      <c r="U986" s="0" t="n">
        <v>25</v>
      </c>
      <c r="V986" s="0" t="n">
        <v>46.9059146690784</v>
      </c>
      <c r="W986" s="0" t="n">
        <v>37.0100905584547</v>
      </c>
      <c r="X986" s="0" t="n">
        <v>0</v>
      </c>
      <c r="Y986" s="0" t="n">
        <v>0</v>
      </c>
      <c r="Z986" s="0" t="n">
        <v>0</v>
      </c>
      <c r="AA986" s="0" t="n">
        <v>7.58167604749724</v>
      </c>
      <c r="AB986" s="0" t="n">
        <v>0</v>
      </c>
      <c r="AC986" s="0" t="n">
        <v>0</v>
      </c>
      <c r="AD986" s="0" t="n">
        <v>0</v>
      </c>
      <c r="AE986" s="0" t="n">
        <v>1</v>
      </c>
      <c r="AF986" s="0" t="n">
        <v>0</v>
      </c>
      <c r="AG986" s="0" t="n">
        <v>0</v>
      </c>
      <c r="AH986" s="0" t="n">
        <v>0</v>
      </c>
      <c r="AI986" s="0" t="n">
        <v>0.0224174901482172</v>
      </c>
      <c r="AK986" s="0" t="n">
        <f aca="false">A986</f>
        <v>969</v>
      </c>
      <c r="AL986" s="0" t="n">
        <v>1</v>
      </c>
      <c r="AM986" s="0" t="n">
        <v>2</v>
      </c>
      <c r="AO986" s="0" t="n">
        <v>969</v>
      </c>
      <c r="AP986" s="0" t="n">
        <v>1</v>
      </c>
      <c r="AQ986" s="0" t="n">
        <v>0.597308030246145</v>
      </c>
      <c r="AR986" s="0" t="n">
        <v>877.803172465979</v>
      </c>
      <c r="AS986" s="0" t="n">
        <v>102</v>
      </c>
      <c r="AT986" s="0" t="n">
        <v>98</v>
      </c>
    </row>
    <row r="987" customFormat="false" ht="12" hidden="false" customHeight="false" outlineLevel="0" collapsed="false">
      <c r="A987" s="0" t="n">
        <v>970</v>
      </c>
      <c r="B987" s="0" t="n">
        <v>0</v>
      </c>
      <c r="C987" s="0" t="n">
        <v>0.460855942985902</v>
      </c>
      <c r="D987" s="0" t="n">
        <v>1044.80678683875</v>
      </c>
      <c r="E987" s="0" t="n">
        <v>6</v>
      </c>
      <c r="F987" s="0" t="n">
        <v>10</v>
      </c>
      <c r="G987" s="0" t="n">
        <v>0.5</v>
      </c>
      <c r="H987" s="0" t="n">
        <v>0</v>
      </c>
      <c r="I987" s="0" t="n">
        <v>2.05848754056906</v>
      </c>
      <c r="J987" s="0" t="n">
        <v>1049.31009737163</v>
      </c>
      <c r="K987" s="0" t="n">
        <v>4.50331053287732</v>
      </c>
      <c r="L987" s="0" t="n">
        <v>0</v>
      </c>
      <c r="M987" s="0" t="n">
        <v>1051.92760694327</v>
      </c>
      <c r="N987" s="0" t="n">
        <v>0</v>
      </c>
      <c r="O987" s="0" t="n">
        <v>970</v>
      </c>
      <c r="P987" s="0" t="n">
        <v>487</v>
      </c>
      <c r="Q987" s="0" t="n">
        <v>483</v>
      </c>
      <c r="R987" s="0" t="n">
        <v>1087.42514498727</v>
      </c>
      <c r="S987" s="0" t="n">
        <v>930.166751967024</v>
      </c>
      <c r="T987" s="0" t="n">
        <v>27</v>
      </c>
      <c r="U987" s="0" t="n">
        <v>21</v>
      </c>
      <c r="V987" s="0" t="n">
        <v>40.2749904532358</v>
      </c>
      <c r="W987" s="0" t="n">
        <v>44.293443934411</v>
      </c>
      <c r="X987" s="0" t="n">
        <v>0</v>
      </c>
      <c r="Y987" s="0" t="n">
        <v>4.50331053287732</v>
      </c>
      <c r="Z987" s="0" t="n">
        <v>0</v>
      </c>
      <c r="AA987" s="0" t="n">
        <v>0</v>
      </c>
      <c r="AB987" s="0" t="n">
        <v>0</v>
      </c>
      <c r="AC987" s="0" t="n">
        <v>1</v>
      </c>
      <c r="AD987" s="0" t="n">
        <v>0</v>
      </c>
      <c r="AE987" s="0" t="n">
        <v>0</v>
      </c>
      <c r="AF987" s="0" t="n">
        <v>0</v>
      </c>
      <c r="AG987" s="0" t="n">
        <v>14.1026274035746</v>
      </c>
      <c r="AH987" s="0" t="n">
        <v>0</v>
      </c>
      <c r="AI987" s="0" t="n">
        <v>0</v>
      </c>
      <c r="AK987" s="0" t="n">
        <f aca="false">A987</f>
        <v>970</v>
      </c>
      <c r="AL987" s="0" t="n">
        <v>2</v>
      </c>
      <c r="AM987" s="0" t="n">
        <v>2</v>
      </c>
      <c r="AO987" s="0" t="n">
        <v>970</v>
      </c>
      <c r="AP987" s="0" t="n">
        <v>0</v>
      </c>
      <c r="AQ987" s="0" t="n">
        <v>2.85549140891814</v>
      </c>
      <c r="AR987" s="0" t="n">
        <v>880.658663874897</v>
      </c>
      <c r="AS987" s="0" t="n">
        <v>100</v>
      </c>
      <c r="AT987" s="0" t="n">
        <v>96</v>
      </c>
    </row>
    <row r="988" customFormat="false" ht="12" hidden="false" customHeight="false" outlineLevel="0" collapsed="false">
      <c r="A988" s="0" t="n">
        <v>971</v>
      </c>
      <c r="B988" s="0" t="n">
        <v>0</v>
      </c>
      <c r="C988" s="0" t="n">
        <v>0.813272023473514</v>
      </c>
      <c r="D988" s="0" t="n">
        <v>1045.62005886223</v>
      </c>
      <c r="E988" s="0" t="n">
        <v>6</v>
      </c>
      <c r="F988" s="0" t="n">
        <v>10</v>
      </c>
      <c r="G988" s="0" t="n">
        <v>0.5</v>
      </c>
      <c r="H988" s="0" t="n">
        <v>0</v>
      </c>
      <c r="I988" s="0" t="n">
        <v>2.14341565223357</v>
      </c>
      <c r="J988" s="0" t="n">
        <v>1051.45351302386</v>
      </c>
      <c r="K988" s="0" t="n">
        <v>5.83345416163752</v>
      </c>
      <c r="L988" s="0" t="n">
        <v>0</v>
      </c>
      <c r="M988" s="0" t="n">
        <v>1051.92760694327</v>
      </c>
      <c r="N988" s="0" t="n">
        <v>0</v>
      </c>
      <c r="O988" s="0" t="n">
        <v>971</v>
      </c>
      <c r="P988" s="0" t="n">
        <v>488</v>
      </c>
      <c r="Q988" s="0" t="n">
        <v>483</v>
      </c>
      <c r="R988" s="0" t="n">
        <v>891.734768968352</v>
      </c>
      <c r="S988" s="0" t="n">
        <v>1130.21064191108</v>
      </c>
      <c r="T988" s="0" t="n">
        <v>19</v>
      </c>
      <c r="U988" s="0" t="n">
        <v>29</v>
      </c>
      <c r="V988" s="0" t="n">
        <v>46.93338419129</v>
      </c>
      <c r="W988" s="0" t="n">
        <v>38.9726463671186</v>
      </c>
      <c r="X988" s="0" t="n">
        <v>0</v>
      </c>
      <c r="Y988" s="0" t="n">
        <v>5.83345416163752</v>
      </c>
      <c r="Z988" s="0" t="n">
        <v>0</v>
      </c>
      <c r="AA988" s="0" t="n">
        <v>0</v>
      </c>
      <c r="AB988" s="0" t="n">
        <v>0</v>
      </c>
      <c r="AC988" s="0" t="n">
        <v>1</v>
      </c>
      <c r="AD988" s="0" t="n">
        <v>0</v>
      </c>
      <c r="AE988" s="0" t="n">
        <v>0</v>
      </c>
      <c r="AF988" s="0" t="n">
        <v>0</v>
      </c>
      <c r="AG988" s="0" t="n">
        <v>5.88160901091505</v>
      </c>
      <c r="AH988" s="0" t="n">
        <v>0</v>
      </c>
      <c r="AI988" s="0" t="n">
        <v>0</v>
      </c>
      <c r="AK988" s="0" t="n">
        <f aca="false">A988</f>
        <v>971</v>
      </c>
      <c r="AL988" s="0" t="n">
        <v>2</v>
      </c>
      <c r="AM988" s="0" t="n">
        <v>1</v>
      </c>
      <c r="AO988" s="0" t="n">
        <v>971</v>
      </c>
      <c r="AP988" s="0" t="n">
        <v>0</v>
      </c>
      <c r="AQ988" s="0" t="n">
        <v>1.3882927345953</v>
      </c>
      <c r="AR988" s="0" t="n">
        <v>882.046956609493</v>
      </c>
      <c r="AS988" s="0" t="n">
        <v>98</v>
      </c>
      <c r="AT988" s="0" t="n">
        <v>96</v>
      </c>
    </row>
    <row r="989" customFormat="false" ht="12" hidden="false" customHeight="false" outlineLevel="0" collapsed="false">
      <c r="A989" s="0" t="n">
        <v>972</v>
      </c>
      <c r="B989" s="0" t="n">
        <v>1</v>
      </c>
      <c r="C989" s="0" t="n">
        <v>2.1992687572982</v>
      </c>
      <c r="D989" s="0" t="n">
        <v>1047.81932761953</v>
      </c>
      <c r="E989" s="0" t="n">
        <v>6</v>
      </c>
      <c r="F989" s="0" t="n">
        <v>8</v>
      </c>
      <c r="G989" s="0" t="n">
        <v>0.5</v>
      </c>
      <c r="H989" s="0" t="n">
        <v>0</v>
      </c>
      <c r="I989" s="0" t="n">
        <v>2.19719486569293</v>
      </c>
      <c r="J989" s="0" t="n">
        <v>1053.65070788956</v>
      </c>
      <c r="K989" s="0" t="n">
        <v>5.83138027003224</v>
      </c>
      <c r="L989" s="0" t="n">
        <v>0</v>
      </c>
      <c r="M989" s="0" t="n">
        <v>1051.92760694327</v>
      </c>
      <c r="N989" s="0" t="n">
        <v>0</v>
      </c>
      <c r="O989" s="0" t="n">
        <v>972</v>
      </c>
      <c r="P989" s="0" t="n">
        <v>489</v>
      </c>
      <c r="Q989" s="0" t="n">
        <v>483</v>
      </c>
      <c r="R989" s="0" t="n">
        <v>1165.74165898</v>
      </c>
      <c r="S989" s="0" t="n">
        <v>856.100771948669</v>
      </c>
      <c r="T989" s="0" t="n">
        <v>27</v>
      </c>
      <c r="U989" s="0" t="n">
        <v>21</v>
      </c>
      <c r="V989" s="0" t="n">
        <v>43.1756010082958</v>
      </c>
      <c r="W989" s="0" t="n">
        <v>40.7665092998924</v>
      </c>
      <c r="X989" s="0" t="n">
        <v>5.83138027003224</v>
      </c>
      <c r="Y989" s="0" t="n">
        <v>0</v>
      </c>
      <c r="Z989" s="0" t="n">
        <v>0</v>
      </c>
      <c r="AA989" s="0" t="n">
        <v>0</v>
      </c>
      <c r="AB989" s="0" t="n">
        <v>1</v>
      </c>
      <c r="AC989" s="0" t="n">
        <v>0</v>
      </c>
      <c r="AD989" s="0" t="n">
        <v>0</v>
      </c>
      <c r="AE989" s="0" t="n">
        <v>0</v>
      </c>
      <c r="AF989" s="0" t="n">
        <v>2.54779017782082</v>
      </c>
      <c r="AG989" s="0" t="n">
        <v>0</v>
      </c>
      <c r="AH989" s="0" t="n">
        <v>0</v>
      </c>
      <c r="AI989" s="0" t="n">
        <v>0</v>
      </c>
      <c r="AK989" s="0" t="n">
        <f aca="false">A989</f>
        <v>972</v>
      </c>
      <c r="AL989" s="0" t="n">
        <v>1</v>
      </c>
      <c r="AM989" s="0" t="n">
        <v>0</v>
      </c>
      <c r="AO989" s="0" t="n">
        <v>972</v>
      </c>
      <c r="AP989" s="0" t="n">
        <v>1</v>
      </c>
      <c r="AQ989" s="0" t="n">
        <v>1.26950911198833</v>
      </c>
      <c r="AR989" s="0" t="n">
        <v>883.316465721481</v>
      </c>
      <c r="AS989" s="0" t="n">
        <v>98</v>
      </c>
      <c r="AT989" s="0" t="n">
        <v>98</v>
      </c>
    </row>
    <row r="990" customFormat="false" ht="12" hidden="false" customHeight="false" outlineLevel="0" collapsed="false">
      <c r="A990" s="0" t="n">
        <v>973</v>
      </c>
      <c r="B990" s="0" t="n">
        <v>0</v>
      </c>
      <c r="C990" s="0" t="n">
        <v>0.119901781722943</v>
      </c>
      <c r="D990" s="0" t="n">
        <v>1047.93922940125</v>
      </c>
      <c r="E990" s="0" t="n">
        <v>8</v>
      </c>
      <c r="F990" s="0" t="n">
        <v>8</v>
      </c>
      <c r="G990" s="0" t="n">
        <v>0.5</v>
      </c>
      <c r="H990" s="0" t="n">
        <v>1</v>
      </c>
      <c r="I990" s="0" t="n">
        <v>0</v>
      </c>
      <c r="J990" s="0" t="n">
        <v>1053.65070788956</v>
      </c>
      <c r="K990" s="0" t="n">
        <v>0</v>
      </c>
      <c r="L990" s="0" t="n">
        <v>1.89708917842727</v>
      </c>
      <c r="M990" s="0" t="n">
        <v>1053.82469612169</v>
      </c>
      <c r="N990" s="0" t="n">
        <v>5.8854667204439</v>
      </c>
      <c r="O990" s="0" t="n">
        <v>973</v>
      </c>
      <c r="P990" s="0" t="n">
        <v>489</v>
      </c>
      <c r="Q990" s="0" t="n">
        <v>484</v>
      </c>
      <c r="R990" s="0" t="n">
        <v>1074.01554197017</v>
      </c>
      <c r="S990" s="0" t="n">
        <v>958.472574124417</v>
      </c>
      <c r="T990" s="0" t="n">
        <v>25</v>
      </c>
      <c r="U990" s="0" t="n">
        <v>23</v>
      </c>
      <c r="V990" s="0" t="n">
        <v>42.9606044945648</v>
      </c>
      <c r="W990" s="0" t="n">
        <v>41.6725394291511</v>
      </c>
      <c r="X990" s="0" t="n">
        <v>0</v>
      </c>
      <c r="Y990" s="0" t="n">
        <v>0</v>
      </c>
      <c r="Z990" s="0" t="n">
        <v>0</v>
      </c>
      <c r="AA990" s="0" t="n">
        <v>5.8854667204439</v>
      </c>
      <c r="AB990" s="0" t="n">
        <v>0</v>
      </c>
      <c r="AC990" s="0" t="n">
        <v>0</v>
      </c>
      <c r="AD990" s="0" t="n">
        <v>0</v>
      </c>
      <c r="AE990" s="0" t="n">
        <v>1</v>
      </c>
      <c r="AF990" s="0" t="n">
        <v>0</v>
      </c>
      <c r="AG990" s="0" t="n">
        <v>0</v>
      </c>
      <c r="AH990" s="0" t="n">
        <v>0</v>
      </c>
      <c r="AI990" s="0" t="n">
        <v>3.40747248596407</v>
      </c>
      <c r="AK990" s="0" t="n">
        <f aca="false">A990</f>
        <v>973</v>
      </c>
      <c r="AL990" s="0" t="n">
        <v>0</v>
      </c>
      <c r="AM990" s="0" t="n">
        <v>0</v>
      </c>
      <c r="AO990" s="0" t="n">
        <v>973</v>
      </c>
      <c r="AP990" s="0" t="n">
        <v>1</v>
      </c>
      <c r="AQ990" s="0" t="n">
        <v>0.617831263292084</v>
      </c>
      <c r="AR990" s="0" t="n">
        <v>883.934296984773</v>
      </c>
      <c r="AS990" s="0" t="n">
        <v>98</v>
      </c>
      <c r="AT990" s="0" t="n">
        <v>98</v>
      </c>
    </row>
    <row r="991" customFormat="false" ht="12" hidden="false" customHeight="false" outlineLevel="0" collapsed="false">
      <c r="A991" s="0" t="n">
        <v>974</v>
      </c>
      <c r="B991" s="0" t="n">
        <v>0</v>
      </c>
      <c r="C991" s="0" t="n">
        <v>0.297643708600183</v>
      </c>
      <c r="D991" s="0" t="n">
        <v>1048.23687310985</v>
      </c>
      <c r="E991" s="0" t="n">
        <v>8</v>
      </c>
      <c r="F991" s="0" t="n">
        <v>10</v>
      </c>
      <c r="G991" s="0" t="n">
        <v>0.5</v>
      </c>
      <c r="H991" s="0" t="n">
        <v>1</v>
      </c>
      <c r="I991" s="0" t="n">
        <v>0</v>
      </c>
      <c r="J991" s="0" t="n">
        <v>1053.65070788956</v>
      </c>
      <c r="K991" s="0" t="n">
        <v>0</v>
      </c>
      <c r="L991" s="0" t="n">
        <v>2.19813579434011</v>
      </c>
      <c r="M991" s="0" t="n">
        <v>1056.02283191603</v>
      </c>
      <c r="N991" s="0" t="n">
        <v>7.78595880618377</v>
      </c>
      <c r="O991" s="0" t="n">
        <v>974</v>
      </c>
      <c r="P991" s="0" t="n">
        <v>489</v>
      </c>
      <c r="Q991" s="0" t="n">
        <v>485</v>
      </c>
      <c r="R991" s="0" t="n">
        <v>913.441645361554</v>
      </c>
      <c r="S991" s="0" t="n">
        <v>1113.33383888276</v>
      </c>
      <c r="T991" s="0" t="n">
        <v>24</v>
      </c>
      <c r="U991" s="0" t="n">
        <v>24</v>
      </c>
      <c r="V991" s="0" t="n">
        <v>38.0600526983761</v>
      </c>
      <c r="W991" s="0" t="n">
        <v>46.3887166671289</v>
      </c>
      <c r="X991" s="0" t="n">
        <v>0</v>
      </c>
      <c r="Y991" s="0" t="n">
        <v>0</v>
      </c>
      <c r="Z991" s="0" t="n">
        <v>0</v>
      </c>
      <c r="AA991" s="0" t="n">
        <v>7.78595880618377</v>
      </c>
      <c r="AB991" s="0" t="n">
        <v>0</v>
      </c>
      <c r="AC991" s="0" t="n">
        <v>0</v>
      </c>
      <c r="AD991" s="0" t="n">
        <v>0</v>
      </c>
      <c r="AE991" s="0" t="n">
        <v>1</v>
      </c>
      <c r="AF991" s="0" t="n">
        <v>0</v>
      </c>
      <c r="AG991" s="0" t="n">
        <v>0</v>
      </c>
      <c r="AH991" s="0" t="n">
        <v>0</v>
      </c>
      <c r="AI991" s="0" t="n">
        <v>0.00297658017958897</v>
      </c>
      <c r="AK991" s="0" t="n">
        <f aca="false">A991</f>
        <v>974</v>
      </c>
      <c r="AL991" s="0" t="n">
        <v>1</v>
      </c>
      <c r="AM991" s="0" t="n">
        <v>2</v>
      </c>
      <c r="AO991" s="0" t="n">
        <v>974</v>
      </c>
      <c r="AP991" s="0" t="n">
        <v>1</v>
      </c>
      <c r="AQ991" s="0" t="n">
        <v>1.40361506408246</v>
      </c>
      <c r="AR991" s="0" t="n">
        <v>885.337912048855</v>
      </c>
      <c r="AS991" s="0" t="n">
        <v>96</v>
      </c>
      <c r="AT991" s="0" t="n">
        <v>100</v>
      </c>
    </row>
    <row r="992" customFormat="false" ht="12" hidden="false" customHeight="false" outlineLevel="0" collapsed="false">
      <c r="A992" s="0" t="n">
        <v>975</v>
      </c>
      <c r="B992" s="0" t="n">
        <v>0</v>
      </c>
      <c r="C992" s="0" t="n">
        <v>0.085167776476453</v>
      </c>
      <c r="D992" s="0" t="n">
        <v>1048.32204088632</v>
      </c>
      <c r="E992" s="0" t="n">
        <v>8</v>
      </c>
      <c r="F992" s="0" t="n">
        <v>10</v>
      </c>
      <c r="G992" s="0" t="n">
        <v>0.5</v>
      </c>
      <c r="H992" s="0" t="n">
        <v>1</v>
      </c>
      <c r="I992" s="0" t="n">
        <v>0</v>
      </c>
      <c r="J992" s="0" t="n">
        <v>1053.65070788956</v>
      </c>
      <c r="K992" s="0" t="n">
        <v>0</v>
      </c>
      <c r="L992" s="0" t="n">
        <v>2.2457235372996</v>
      </c>
      <c r="M992" s="0" t="n">
        <v>1058.26855545333</v>
      </c>
      <c r="N992" s="0" t="n">
        <v>9.94651456700694</v>
      </c>
      <c r="O992" s="0" t="n">
        <v>975</v>
      </c>
      <c r="P992" s="0" t="n">
        <v>489</v>
      </c>
      <c r="Q992" s="0" t="n">
        <v>486</v>
      </c>
      <c r="R992" s="0" t="n">
        <v>939.800550791516</v>
      </c>
      <c r="S992" s="0" t="n">
        <v>1080.61338804009</v>
      </c>
      <c r="T992" s="0" t="n">
        <v>24</v>
      </c>
      <c r="U992" s="0" t="n">
        <v>24</v>
      </c>
      <c r="V992" s="0" t="n">
        <v>39.1583399670048</v>
      </c>
      <c r="W992" s="0" t="n">
        <v>45.0253702292944</v>
      </c>
      <c r="X992" s="0" t="n">
        <v>0</v>
      </c>
      <c r="Y992" s="0" t="n">
        <v>0</v>
      </c>
      <c r="Z992" s="0" t="n">
        <v>0</v>
      </c>
      <c r="AA992" s="0" t="n">
        <v>9.94651456700694</v>
      </c>
      <c r="AB992" s="0" t="n">
        <v>0</v>
      </c>
      <c r="AC992" s="0" t="n">
        <v>0</v>
      </c>
      <c r="AD992" s="0" t="n">
        <v>0</v>
      </c>
      <c r="AE992" s="0" t="n">
        <v>1</v>
      </c>
      <c r="AF992" s="0" t="n">
        <v>0</v>
      </c>
      <c r="AG992" s="0" t="n">
        <v>0</v>
      </c>
      <c r="AH992" s="0" t="n">
        <v>0</v>
      </c>
      <c r="AI992" s="0" t="n">
        <v>4.90672916890622</v>
      </c>
      <c r="AK992" s="0" t="n">
        <f aca="false">A992</f>
        <v>975</v>
      </c>
      <c r="AL992" s="0" t="n">
        <v>1</v>
      </c>
      <c r="AM992" s="0" t="n">
        <v>1</v>
      </c>
      <c r="AO992" s="0" t="n">
        <v>975</v>
      </c>
      <c r="AP992" s="0" t="n">
        <v>0</v>
      </c>
      <c r="AQ992" s="0" t="n">
        <v>0.154524144431814</v>
      </c>
      <c r="AR992" s="0" t="n">
        <v>885.492436193287</v>
      </c>
      <c r="AS992" s="0" t="n">
        <v>98</v>
      </c>
      <c r="AT992" s="0" t="n">
        <v>100</v>
      </c>
    </row>
    <row r="993" customFormat="false" ht="12" hidden="false" customHeight="false" outlineLevel="0" collapsed="false">
      <c r="A993" s="0" t="n">
        <v>976</v>
      </c>
      <c r="B993" s="0" t="n">
        <v>0</v>
      </c>
      <c r="C993" s="0" t="n">
        <v>4.54606398829806</v>
      </c>
      <c r="D993" s="0" t="n">
        <v>1052.86810487462</v>
      </c>
      <c r="E993" s="0" t="n">
        <v>4</v>
      </c>
      <c r="F993" s="0" t="n">
        <v>8</v>
      </c>
      <c r="G993" s="0" t="n">
        <v>0.5</v>
      </c>
      <c r="H993" s="0" t="n">
        <v>1</v>
      </c>
      <c r="I993" s="0" t="n">
        <v>0</v>
      </c>
      <c r="J993" s="0" t="n">
        <v>1053.65070788956</v>
      </c>
      <c r="K993" s="0" t="n">
        <v>0</v>
      </c>
      <c r="L993" s="0" t="n">
        <v>1.89043446315645</v>
      </c>
      <c r="M993" s="0" t="n">
        <v>1060.15898991649</v>
      </c>
      <c r="N993" s="0" t="n">
        <v>7.2908850418653</v>
      </c>
      <c r="O993" s="0" t="n">
        <v>976</v>
      </c>
      <c r="P993" s="0" t="n">
        <v>489</v>
      </c>
      <c r="Q993" s="0" t="n">
        <v>487</v>
      </c>
      <c r="R993" s="0" t="n">
        <v>1275.76643375907</v>
      </c>
      <c r="S993" s="0" t="n">
        <v>757.859084283066</v>
      </c>
      <c r="T993" s="0" t="n">
        <v>29</v>
      </c>
      <c r="U993" s="0" t="n">
        <v>19</v>
      </c>
      <c r="V993" s="0" t="n">
        <v>43.9919308220609</v>
      </c>
      <c r="W993" s="0" t="n">
        <v>39.8871102932651</v>
      </c>
      <c r="X993" s="0" t="n">
        <v>0</v>
      </c>
      <c r="Y993" s="0" t="n">
        <v>0</v>
      </c>
      <c r="Z993" s="0" t="n">
        <v>0</v>
      </c>
      <c r="AA993" s="0" t="n">
        <v>7.2908850418653</v>
      </c>
      <c r="AB993" s="0" t="n">
        <v>0</v>
      </c>
      <c r="AC993" s="0" t="n">
        <v>0</v>
      </c>
      <c r="AD993" s="0" t="n">
        <v>0</v>
      </c>
      <c r="AE993" s="0" t="n">
        <v>1</v>
      </c>
      <c r="AF993" s="0" t="n">
        <v>0</v>
      </c>
      <c r="AG993" s="0" t="n">
        <v>0</v>
      </c>
      <c r="AH993" s="0" t="n">
        <v>0</v>
      </c>
      <c r="AI993" s="0" t="n">
        <v>0.194054099730767</v>
      </c>
      <c r="AK993" s="0" t="n">
        <f aca="false">A993</f>
        <v>976</v>
      </c>
      <c r="AL993" s="0" t="n">
        <v>2</v>
      </c>
      <c r="AM993" s="0" t="n">
        <v>0</v>
      </c>
      <c r="AO993" s="0" t="n">
        <v>976</v>
      </c>
      <c r="AP993" s="0" t="n">
        <v>0</v>
      </c>
      <c r="AQ993" s="0" t="n">
        <v>1.33572663390123</v>
      </c>
      <c r="AR993" s="0" t="n">
        <v>886.828162827188</v>
      </c>
      <c r="AS993" s="0" t="n">
        <v>98</v>
      </c>
      <c r="AT993" s="0" t="n">
        <v>98</v>
      </c>
    </row>
    <row r="994" customFormat="false" ht="12" hidden="false" customHeight="false" outlineLevel="0" collapsed="false">
      <c r="A994" s="0" t="n">
        <v>977</v>
      </c>
      <c r="B994" s="0" t="n">
        <v>0</v>
      </c>
      <c r="C994" s="0" t="n">
        <v>0.243191080373999</v>
      </c>
      <c r="D994" s="0" t="n">
        <v>1053.111295955</v>
      </c>
      <c r="E994" s="0" t="n">
        <v>4</v>
      </c>
      <c r="F994" s="0" t="n">
        <v>10</v>
      </c>
      <c r="G994" s="0" t="n">
        <v>0.5</v>
      </c>
      <c r="H994" s="0" t="n">
        <v>0</v>
      </c>
      <c r="I994" s="0" t="n">
        <v>2.00078932156213</v>
      </c>
      <c r="J994" s="0" t="n">
        <v>1055.65149721112</v>
      </c>
      <c r="K994" s="0" t="n">
        <v>2.5402012561226</v>
      </c>
      <c r="L994" s="0" t="n">
        <v>0</v>
      </c>
      <c r="M994" s="0" t="n">
        <v>1060.15898991649</v>
      </c>
      <c r="N994" s="0" t="n">
        <v>0</v>
      </c>
      <c r="O994" s="0" t="n">
        <v>977</v>
      </c>
      <c r="P994" s="0" t="n">
        <v>490</v>
      </c>
      <c r="Q994" s="0" t="n">
        <v>487</v>
      </c>
      <c r="R994" s="0" t="n">
        <v>930.361729985364</v>
      </c>
      <c r="S994" s="0" t="n">
        <v>1069.40296125048</v>
      </c>
      <c r="T994" s="0" t="n">
        <v>22</v>
      </c>
      <c r="U994" s="0" t="n">
        <v>26</v>
      </c>
      <c r="V994" s="0" t="n">
        <v>42.2891503224482</v>
      </c>
      <c r="W994" s="0" t="n">
        <v>41.1307249299224</v>
      </c>
      <c r="X994" s="0" t="n">
        <v>0</v>
      </c>
      <c r="Y994" s="0" t="n">
        <v>2.5402012561226</v>
      </c>
      <c r="Z994" s="0" t="n">
        <v>0</v>
      </c>
      <c r="AA994" s="0" t="n">
        <v>0</v>
      </c>
      <c r="AB994" s="0" t="n">
        <v>0</v>
      </c>
      <c r="AC994" s="0" t="n">
        <v>1</v>
      </c>
      <c r="AD994" s="0" t="n">
        <v>0</v>
      </c>
      <c r="AE994" s="0" t="n">
        <v>0</v>
      </c>
      <c r="AF994" s="0" t="n">
        <v>0</v>
      </c>
      <c r="AG994" s="0" t="n">
        <v>32.7007365750266</v>
      </c>
      <c r="AH994" s="0" t="n">
        <v>0</v>
      </c>
      <c r="AI994" s="0" t="n">
        <v>0</v>
      </c>
      <c r="AK994" s="0" t="n">
        <f aca="false">A994</f>
        <v>977</v>
      </c>
      <c r="AL994" s="0" t="n">
        <v>3</v>
      </c>
      <c r="AM994" s="0" t="n">
        <v>1</v>
      </c>
      <c r="AO994" s="0" t="n">
        <v>977</v>
      </c>
      <c r="AP994" s="0" t="n">
        <v>0</v>
      </c>
      <c r="AQ994" s="0" t="n">
        <v>0.509959304639317</v>
      </c>
      <c r="AR994" s="0" t="n">
        <v>887.338122131828</v>
      </c>
      <c r="AS994" s="0" t="n">
        <v>100</v>
      </c>
      <c r="AT994" s="0" t="n">
        <v>98</v>
      </c>
    </row>
    <row r="995" customFormat="false" ht="12" hidden="false" customHeight="false" outlineLevel="0" collapsed="false">
      <c r="A995" s="0" t="n">
        <v>978</v>
      </c>
      <c r="B995" s="0" t="n">
        <v>0</v>
      </c>
      <c r="C995" s="0" t="n">
        <v>0.642689046793164</v>
      </c>
      <c r="D995" s="0" t="n">
        <v>1053.75398500179</v>
      </c>
      <c r="E995" s="0" t="n">
        <v>4</v>
      </c>
      <c r="F995" s="0" t="n">
        <v>10</v>
      </c>
      <c r="G995" s="0" t="n">
        <v>0.5</v>
      </c>
      <c r="H995" s="0" t="n">
        <v>1</v>
      </c>
      <c r="I995" s="0" t="n">
        <v>0</v>
      </c>
      <c r="J995" s="0" t="n">
        <v>1055.65149721112</v>
      </c>
      <c r="K995" s="0" t="n">
        <v>0</v>
      </c>
      <c r="L995" s="0" t="n">
        <v>1.8341689607765</v>
      </c>
      <c r="M995" s="0" t="n">
        <v>1061.99315887726</v>
      </c>
      <c r="N995" s="0" t="n">
        <v>8.23917387547476</v>
      </c>
      <c r="O995" s="0" t="n">
        <v>978</v>
      </c>
      <c r="P995" s="0" t="n">
        <v>490</v>
      </c>
      <c r="Q995" s="0" t="n">
        <v>488</v>
      </c>
      <c r="R995" s="0" t="n">
        <v>750.372289252607</v>
      </c>
      <c r="S995" s="0" t="n">
        <v>1270.68435838728</v>
      </c>
      <c r="T995" s="0" t="n">
        <v>24</v>
      </c>
      <c r="U995" s="0" t="n">
        <v>24</v>
      </c>
      <c r="V995" s="0" t="n">
        <v>31.2654990249007</v>
      </c>
      <c r="W995" s="0" t="n">
        <v>52.9449609954659</v>
      </c>
      <c r="X995" s="0" t="n">
        <v>0</v>
      </c>
      <c r="Y995" s="0" t="n">
        <v>0</v>
      </c>
      <c r="Z995" s="0" t="n">
        <v>0</v>
      </c>
      <c r="AA995" s="0" t="n">
        <v>8.23917387547476</v>
      </c>
      <c r="AB995" s="0" t="n">
        <v>0</v>
      </c>
      <c r="AC995" s="0" t="n">
        <v>0</v>
      </c>
      <c r="AD995" s="0" t="n">
        <v>0</v>
      </c>
      <c r="AE995" s="0" t="n">
        <v>1</v>
      </c>
      <c r="AF995" s="0" t="n">
        <v>0</v>
      </c>
      <c r="AG995" s="0" t="n">
        <v>0</v>
      </c>
      <c r="AH995" s="0" t="n">
        <v>0</v>
      </c>
      <c r="AI995" s="0" t="n">
        <v>0.257833534716019</v>
      </c>
      <c r="AK995" s="0" t="n">
        <f aca="false">A995</f>
        <v>978</v>
      </c>
      <c r="AL995" s="0" t="n">
        <v>3</v>
      </c>
      <c r="AM995" s="0" t="n">
        <v>0</v>
      </c>
      <c r="AO995" s="0" t="n">
        <v>978</v>
      </c>
      <c r="AP995" s="0" t="n">
        <v>1</v>
      </c>
      <c r="AQ995" s="0" t="n">
        <v>1.46638784559076</v>
      </c>
      <c r="AR995" s="0" t="n">
        <v>888.804509977419</v>
      </c>
      <c r="AS995" s="0" t="n">
        <v>98</v>
      </c>
      <c r="AT995" s="0" t="n">
        <v>98</v>
      </c>
    </row>
    <row r="996" customFormat="false" ht="12" hidden="false" customHeight="false" outlineLevel="0" collapsed="false">
      <c r="A996" s="0" t="n">
        <v>979</v>
      </c>
      <c r="B996" s="0" t="n">
        <v>0</v>
      </c>
      <c r="C996" s="0" t="n">
        <v>1.75041564123126</v>
      </c>
      <c r="D996" s="0" t="n">
        <v>1055.50440064302</v>
      </c>
      <c r="E996" s="0" t="n">
        <v>4</v>
      </c>
      <c r="F996" s="0" t="n">
        <v>10</v>
      </c>
      <c r="G996" s="0" t="n">
        <v>0.5</v>
      </c>
      <c r="H996" s="0" t="n">
        <v>1</v>
      </c>
      <c r="I996" s="0" t="n">
        <v>0</v>
      </c>
      <c r="J996" s="0" t="n">
        <v>1055.65149721112</v>
      </c>
      <c r="K996" s="0" t="n">
        <v>0</v>
      </c>
      <c r="L996" s="0" t="n">
        <v>1.91332064011371</v>
      </c>
      <c r="M996" s="0" t="n">
        <v>1063.90647951738</v>
      </c>
      <c r="N996" s="0" t="n">
        <v>8.40207887435713</v>
      </c>
      <c r="O996" s="0" t="n">
        <v>979</v>
      </c>
      <c r="P996" s="0" t="n">
        <v>490</v>
      </c>
      <c r="Q996" s="0" t="n">
        <v>489</v>
      </c>
      <c r="R996" s="0" t="n">
        <v>1127.0282952383</v>
      </c>
      <c r="S996" s="0" t="n">
        <v>895.228832522517</v>
      </c>
      <c r="T996" s="0" t="n">
        <v>27</v>
      </c>
      <c r="U996" s="0" t="n">
        <v>21</v>
      </c>
      <c r="V996" s="0" t="n">
        <v>41.7417732526137</v>
      </c>
      <c r="W996" s="0" t="n">
        <v>42.6297414070655</v>
      </c>
      <c r="X996" s="0" t="n">
        <v>0</v>
      </c>
      <c r="Y996" s="0" t="n">
        <v>0</v>
      </c>
      <c r="Z996" s="0" t="n">
        <v>0</v>
      </c>
      <c r="AA996" s="0" t="n">
        <v>8.40207887435713</v>
      </c>
      <c r="AB996" s="0" t="n">
        <v>0</v>
      </c>
      <c r="AC996" s="0" t="n">
        <v>0</v>
      </c>
      <c r="AD996" s="0" t="n">
        <v>0</v>
      </c>
      <c r="AE996" s="0" t="n">
        <v>1</v>
      </c>
      <c r="AF996" s="0" t="n">
        <v>0</v>
      </c>
      <c r="AG996" s="0" t="n">
        <v>0</v>
      </c>
      <c r="AH996" s="0" t="n">
        <v>0</v>
      </c>
      <c r="AI996" s="0" t="n">
        <v>0.449809130326459</v>
      </c>
      <c r="AK996" s="0" t="n">
        <f aca="false">A996</f>
        <v>979</v>
      </c>
      <c r="AL996" s="0" t="n">
        <v>3</v>
      </c>
      <c r="AM996" s="0" t="n">
        <v>1</v>
      </c>
      <c r="AO996" s="0" t="n">
        <v>979</v>
      </c>
      <c r="AP996" s="0" t="n">
        <v>0</v>
      </c>
      <c r="AQ996" s="0" t="n">
        <v>0.521867930206879</v>
      </c>
      <c r="AR996" s="0" t="n">
        <v>889.326377907625</v>
      </c>
      <c r="AS996" s="0" t="n">
        <v>100</v>
      </c>
      <c r="AT996" s="0" t="n">
        <v>98</v>
      </c>
    </row>
    <row r="997" customFormat="false" ht="12" hidden="false" customHeight="false" outlineLevel="0" collapsed="false">
      <c r="A997" s="0" t="n">
        <v>980</v>
      </c>
      <c r="B997" s="0" t="n">
        <v>0</v>
      </c>
      <c r="C997" s="0" t="n">
        <v>4.19751383975917</v>
      </c>
      <c r="D997" s="0" t="n">
        <v>1059.70191448278</v>
      </c>
      <c r="E997" s="0" t="n">
        <v>2</v>
      </c>
      <c r="F997" s="0" t="n">
        <v>8</v>
      </c>
      <c r="G997" s="0" t="n">
        <v>0.5</v>
      </c>
      <c r="H997" s="0" t="n">
        <v>1</v>
      </c>
      <c r="I997" s="0" t="n">
        <v>0</v>
      </c>
      <c r="J997" s="0" t="n">
        <v>1059.70191448278</v>
      </c>
      <c r="K997" s="0" t="n">
        <v>0</v>
      </c>
      <c r="L997" s="0" t="n">
        <v>2.13336460492979</v>
      </c>
      <c r="M997" s="0" t="n">
        <v>1066.03984412231</v>
      </c>
      <c r="N997" s="0" t="n">
        <v>6.3379296395276</v>
      </c>
      <c r="O997" s="0" t="n">
        <v>980</v>
      </c>
      <c r="P997" s="0" t="n">
        <v>490</v>
      </c>
      <c r="Q997" s="0" t="n">
        <v>490</v>
      </c>
      <c r="R997" s="0" t="n">
        <v>1035.61584338601</v>
      </c>
      <c r="S997" s="0" t="n">
        <v>988.923266180698</v>
      </c>
      <c r="T997" s="0" t="n">
        <v>26</v>
      </c>
      <c r="U997" s="0" t="n">
        <v>22</v>
      </c>
      <c r="V997" s="0" t="n">
        <v>39.8313632720144</v>
      </c>
      <c r="W997" s="0" t="n">
        <v>44.950853231608</v>
      </c>
      <c r="X997" s="0" t="n">
        <v>0</v>
      </c>
      <c r="Y997" s="0" t="n">
        <v>0</v>
      </c>
      <c r="Z997" s="0" t="n">
        <v>0</v>
      </c>
      <c r="AA997" s="0" t="n">
        <v>6.3379296395276</v>
      </c>
      <c r="AB997" s="0" t="n">
        <v>0</v>
      </c>
      <c r="AC997" s="0" t="n">
        <v>0</v>
      </c>
      <c r="AD997" s="0" t="n">
        <v>0</v>
      </c>
      <c r="AE997" s="0" t="n">
        <v>1</v>
      </c>
      <c r="AF997" s="0" t="n">
        <v>0</v>
      </c>
      <c r="AG997" s="0" t="n">
        <v>0</v>
      </c>
      <c r="AH997" s="0" t="n">
        <v>0</v>
      </c>
      <c r="AI997" s="0" t="n">
        <v>1.94176176930673</v>
      </c>
      <c r="AK997" s="0" t="n">
        <f aca="false">A997</f>
        <v>980</v>
      </c>
      <c r="AL997" s="0" t="n">
        <v>3</v>
      </c>
      <c r="AM997" s="0" t="n">
        <v>0</v>
      </c>
      <c r="AO997" s="0" t="n">
        <v>980</v>
      </c>
      <c r="AP997" s="0" t="n">
        <v>0</v>
      </c>
      <c r="AQ997" s="0" t="n">
        <v>0.0873848511370681</v>
      </c>
      <c r="AR997" s="0" t="n">
        <v>889.413762758763</v>
      </c>
      <c r="AS997" s="0" t="n">
        <v>100</v>
      </c>
      <c r="AT997" s="0" t="n">
        <v>100</v>
      </c>
    </row>
    <row r="998" customFormat="false" ht="12" hidden="false" customHeight="false" outlineLevel="0" collapsed="false">
      <c r="A998" s="0" t="n">
        <v>981</v>
      </c>
      <c r="B998" s="0" t="n">
        <v>0</v>
      </c>
      <c r="C998" s="0" t="n">
        <v>0.461416282348754</v>
      </c>
      <c r="D998" s="0" t="n">
        <v>1060.16333076513</v>
      </c>
      <c r="E998" s="0" t="n">
        <v>2</v>
      </c>
      <c r="F998" s="0" t="n">
        <v>8</v>
      </c>
      <c r="G998" s="0" t="n">
        <v>0.5</v>
      </c>
      <c r="H998" s="0" t="n">
        <v>1</v>
      </c>
      <c r="I998" s="0" t="n">
        <v>0</v>
      </c>
      <c r="J998" s="0" t="n">
        <v>1060.16333076513</v>
      </c>
      <c r="K998" s="0" t="n">
        <v>0</v>
      </c>
      <c r="L998" s="0" t="n">
        <v>2.0734493146237</v>
      </c>
      <c r="M998" s="0" t="n">
        <v>1068.11329343693</v>
      </c>
      <c r="N998" s="0" t="n">
        <v>7.9499626718025</v>
      </c>
      <c r="O998" s="0" t="n">
        <v>981</v>
      </c>
      <c r="P998" s="0" t="n">
        <v>490</v>
      </c>
      <c r="Q998" s="0" t="n">
        <v>491</v>
      </c>
      <c r="R998" s="0" t="n">
        <v>1197.53545017692</v>
      </c>
      <c r="S998" s="0" t="n">
        <v>811.856940075842</v>
      </c>
      <c r="T998" s="0" t="n">
        <v>25</v>
      </c>
      <c r="U998" s="0" t="n">
        <v>23</v>
      </c>
      <c r="V998" s="0" t="n">
        <v>47.9013988465174</v>
      </c>
      <c r="W998" s="0" t="n">
        <v>35.2979743599307</v>
      </c>
      <c r="X998" s="0" t="n">
        <v>0</v>
      </c>
      <c r="Y998" s="0" t="n">
        <v>0</v>
      </c>
      <c r="Z998" s="0" t="n">
        <v>0</v>
      </c>
      <c r="AA998" s="0" t="n">
        <v>7.9499626718025</v>
      </c>
      <c r="AB998" s="0" t="n">
        <v>0</v>
      </c>
      <c r="AC998" s="0" t="n">
        <v>0</v>
      </c>
      <c r="AD998" s="0" t="n">
        <v>0</v>
      </c>
      <c r="AE998" s="0" t="n">
        <v>1</v>
      </c>
      <c r="AF998" s="0" t="n">
        <v>0</v>
      </c>
      <c r="AG998" s="0" t="n">
        <v>0</v>
      </c>
      <c r="AH998" s="0" t="n">
        <v>0</v>
      </c>
      <c r="AI998" s="0" t="n">
        <v>0.0477693083942031</v>
      </c>
      <c r="AK998" s="0" t="n">
        <f aca="false">A998</f>
        <v>981</v>
      </c>
      <c r="AL998" s="0" t="n">
        <v>3</v>
      </c>
      <c r="AM998" s="0" t="n">
        <v>1</v>
      </c>
      <c r="AO998" s="0" t="n">
        <v>981</v>
      </c>
      <c r="AP998" s="0" t="n">
        <v>1</v>
      </c>
      <c r="AQ998" s="0" t="n">
        <v>2.00018426884945</v>
      </c>
      <c r="AR998" s="0" t="n">
        <v>891.413947027612</v>
      </c>
      <c r="AS998" s="0" t="n">
        <v>98</v>
      </c>
      <c r="AT998" s="0" t="n">
        <v>100</v>
      </c>
    </row>
    <row r="999" customFormat="false" ht="12" hidden="false" customHeight="false" outlineLevel="0" collapsed="false">
      <c r="A999" s="0" t="n">
        <v>982</v>
      </c>
      <c r="B999" s="0" t="n">
        <v>0</v>
      </c>
      <c r="C999" s="0" t="n">
        <v>0.38394341316137</v>
      </c>
      <c r="D999" s="0" t="n">
        <v>1060.54727417829</v>
      </c>
      <c r="E999" s="0" t="n">
        <v>2</v>
      </c>
      <c r="F999" s="0" t="n">
        <v>10</v>
      </c>
      <c r="G999" s="0" t="n">
        <v>0.5</v>
      </c>
      <c r="H999" s="0" t="n">
        <v>1</v>
      </c>
      <c r="I999" s="0" t="n">
        <v>0</v>
      </c>
      <c r="J999" s="0" t="n">
        <v>1060.54727417829</v>
      </c>
      <c r="K999" s="0" t="n">
        <v>0</v>
      </c>
      <c r="L999" s="0" t="n">
        <v>1.96812009347085</v>
      </c>
      <c r="M999" s="0" t="n">
        <v>1070.0814135304</v>
      </c>
      <c r="N999" s="0" t="n">
        <v>9.53413935211188</v>
      </c>
      <c r="O999" s="0" t="n">
        <v>982</v>
      </c>
      <c r="P999" s="0" t="n">
        <v>490</v>
      </c>
      <c r="Q999" s="0" t="n">
        <v>492</v>
      </c>
      <c r="R999" s="0" t="n">
        <v>1134.88915872226</v>
      </c>
      <c r="S999" s="0" t="n">
        <v>879.634255279432</v>
      </c>
      <c r="T999" s="0" t="n">
        <v>23</v>
      </c>
      <c r="U999" s="0" t="n">
        <v>25</v>
      </c>
      <c r="V999" s="0" t="n">
        <v>49.3429854474961</v>
      </c>
      <c r="W999" s="0" t="n">
        <v>35.1852294702594</v>
      </c>
      <c r="X999" s="0" t="n">
        <v>0</v>
      </c>
      <c r="Y999" s="0" t="n">
        <v>0</v>
      </c>
      <c r="Z999" s="0" t="n">
        <v>0</v>
      </c>
      <c r="AA999" s="0" t="n">
        <v>9.53413935211188</v>
      </c>
      <c r="AB999" s="0" t="n">
        <v>0</v>
      </c>
      <c r="AC999" s="0" t="n">
        <v>0</v>
      </c>
      <c r="AD999" s="0" t="n">
        <v>0</v>
      </c>
      <c r="AE999" s="0" t="n">
        <v>1</v>
      </c>
      <c r="AF999" s="0" t="n">
        <v>0</v>
      </c>
      <c r="AG999" s="0" t="n">
        <v>0</v>
      </c>
      <c r="AH999" s="0" t="n">
        <v>0</v>
      </c>
      <c r="AI999" s="0" t="n">
        <v>3.24986642409454</v>
      </c>
      <c r="AK999" s="0" t="n">
        <f aca="false">A999</f>
        <v>982</v>
      </c>
      <c r="AL999" s="0" t="n">
        <v>4</v>
      </c>
      <c r="AM999" s="0" t="n">
        <v>1</v>
      </c>
      <c r="AO999" s="0" t="n">
        <v>982</v>
      </c>
      <c r="AP999" s="0" t="n">
        <v>1</v>
      </c>
      <c r="AQ999" s="0" t="n">
        <v>0.689249940418215</v>
      </c>
      <c r="AR999" s="0" t="n">
        <v>892.10319696803</v>
      </c>
      <c r="AS999" s="0" t="n">
        <v>98</v>
      </c>
      <c r="AT999" s="0" t="n">
        <v>100</v>
      </c>
    </row>
    <row r="1000" customFormat="false" ht="12" hidden="false" customHeight="false" outlineLevel="0" collapsed="false">
      <c r="A1000" s="0" t="n">
        <v>983</v>
      </c>
      <c r="B1000" s="0" t="n">
        <v>0</v>
      </c>
      <c r="C1000" s="0" t="n">
        <v>1.00193030232249</v>
      </c>
      <c r="D1000" s="0" t="n">
        <v>1061.54920448061</v>
      </c>
      <c r="E1000" s="0" t="n">
        <v>2</v>
      </c>
      <c r="F1000" s="0" t="n">
        <v>12</v>
      </c>
      <c r="G1000" s="0" t="n">
        <v>0.5</v>
      </c>
      <c r="H1000" s="0" t="n">
        <v>0</v>
      </c>
      <c r="I1000" s="0" t="n">
        <v>1.83549056032666</v>
      </c>
      <c r="J1000" s="0" t="n">
        <v>1063.38469504094</v>
      </c>
      <c r="K1000" s="0" t="n">
        <v>1.83549056032666</v>
      </c>
      <c r="L1000" s="0" t="n">
        <v>0</v>
      </c>
      <c r="M1000" s="0" t="n">
        <v>1070.0814135304</v>
      </c>
      <c r="N1000" s="0" t="n">
        <v>0</v>
      </c>
      <c r="O1000" s="0" t="n">
        <v>983</v>
      </c>
      <c r="P1000" s="0" t="n">
        <v>491</v>
      </c>
      <c r="Q1000" s="0" t="n">
        <v>492</v>
      </c>
      <c r="R1000" s="0" t="n">
        <v>772.12728523447</v>
      </c>
      <c r="S1000" s="0" t="n">
        <v>1260.45536986368</v>
      </c>
      <c r="T1000" s="0" t="n">
        <v>17</v>
      </c>
      <c r="U1000" s="0" t="n">
        <v>31</v>
      </c>
      <c r="V1000" s="0" t="n">
        <v>45.4192253554245</v>
      </c>
      <c r="W1000" s="0" t="n">
        <v>40.6597194803786</v>
      </c>
      <c r="X1000" s="0" t="n">
        <v>0</v>
      </c>
      <c r="Y1000" s="0" t="n">
        <v>1.83549056032666</v>
      </c>
      <c r="Z1000" s="0" t="n">
        <v>0</v>
      </c>
      <c r="AA1000" s="0" t="n">
        <v>0</v>
      </c>
      <c r="AB1000" s="0" t="n">
        <v>0</v>
      </c>
      <c r="AC1000" s="0" t="n">
        <v>1</v>
      </c>
      <c r="AD1000" s="0" t="n">
        <v>0</v>
      </c>
      <c r="AE1000" s="0" t="n">
        <v>0</v>
      </c>
      <c r="AF1000" s="0" t="n">
        <v>0</v>
      </c>
      <c r="AG1000" s="0" t="n">
        <v>41.2570676512828</v>
      </c>
      <c r="AH1000" s="0" t="n">
        <v>0</v>
      </c>
      <c r="AI1000" s="0" t="n">
        <v>0</v>
      </c>
      <c r="AK1000" s="0" t="n">
        <f aca="false">A1000</f>
        <v>983</v>
      </c>
      <c r="AL1000" s="0" t="n">
        <v>5</v>
      </c>
      <c r="AM1000" s="0" t="n">
        <v>1</v>
      </c>
      <c r="AO1000" s="0" t="n">
        <v>983</v>
      </c>
      <c r="AP1000" s="0" t="n">
        <v>0</v>
      </c>
      <c r="AQ1000" s="0" t="n">
        <v>1.13973795573764</v>
      </c>
      <c r="AR1000" s="0" t="n">
        <v>893.242934923768</v>
      </c>
      <c r="AS1000" s="0" t="n">
        <v>100</v>
      </c>
      <c r="AT1000" s="0" t="n">
        <v>98</v>
      </c>
    </row>
    <row r="1001" customFormat="false" ht="12" hidden="false" customHeight="false" outlineLevel="0" collapsed="false">
      <c r="A1001" s="0" t="n">
        <v>984</v>
      </c>
      <c r="B1001" s="0" t="n">
        <v>1</v>
      </c>
      <c r="C1001" s="0" t="n">
        <v>0.566622140795042</v>
      </c>
      <c r="D1001" s="0" t="n">
        <v>1062.11582662141</v>
      </c>
      <c r="E1001" s="0" t="n">
        <v>4</v>
      </c>
      <c r="F1001" s="0" t="n">
        <v>10</v>
      </c>
      <c r="G1001" s="0" t="n">
        <v>0.5</v>
      </c>
      <c r="H1001" s="0" t="n">
        <v>0</v>
      </c>
      <c r="I1001" s="0" t="n">
        <v>1.88392911898401</v>
      </c>
      <c r="J1001" s="0" t="n">
        <v>1065.26862415992</v>
      </c>
      <c r="K1001" s="0" t="n">
        <v>3.15279753851564</v>
      </c>
      <c r="L1001" s="0" t="n">
        <v>0</v>
      </c>
      <c r="M1001" s="0" t="n">
        <v>1070.0814135304</v>
      </c>
      <c r="N1001" s="0" t="n">
        <v>0</v>
      </c>
      <c r="O1001" s="0" t="n">
        <v>984</v>
      </c>
      <c r="P1001" s="0" t="n">
        <v>492</v>
      </c>
      <c r="Q1001" s="0" t="n">
        <v>492</v>
      </c>
      <c r="R1001" s="0" t="n">
        <v>1199.47546584378</v>
      </c>
      <c r="S1001" s="0" t="n">
        <v>832.774503740322</v>
      </c>
      <c r="T1001" s="0" t="n">
        <v>28</v>
      </c>
      <c r="U1001" s="0" t="n">
        <v>20</v>
      </c>
      <c r="V1001" s="0" t="n">
        <v>42.838394194994</v>
      </c>
      <c r="W1001" s="0" t="n">
        <v>41.6385169944311</v>
      </c>
      <c r="X1001" s="0" t="n">
        <v>3.15279753851564</v>
      </c>
      <c r="Y1001" s="0" t="n">
        <v>0</v>
      </c>
      <c r="Z1001" s="0" t="n">
        <v>0</v>
      </c>
      <c r="AA1001" s="0" t="n">
        <v>0</v>
      </c>
      <c r="AB1001" s="0" t="n">
        <v>1</v>
      </c>
      <c r="AC1001" s="0" t="n">
        <v>0</v>
      </c>
      <c r="AD1001" s="0" t="n">
        <v>0</v>
      </c>
      <c r="AE1001" s="0" t="n">
        <v>0</v>
      </c>
      <c r="AF1001" s="0" t="n">
        <v>18.2735953004701</v>
      </c>
      <c r="AG1001" s="0" t="n">
        <v>0</v>
      </c>
      <c r="AH1001" s="0" t="n">
        <v>0</v>
      </c>
      <c r="AI1001" s="0" t="n">
        <v>0</v>
      </c>
      <c r="AK1001" s="0" t="n">
        <f aca="false">A1001</f>
        <v>984</v>
      </c>
      <c r="AL1001" s="0" t="n">
        <v>3</v>
      </c>
      <c r="AM1001" s="0" t="n">
        <v>2</v>
      </c>
      <c r="AO1001" s="0" t="n">
        <v>984</v>
      </c>
      <c r="AP1001" s="0" t="n">
        <v>1</v>
      </c>
      <c r="AQ1001" s="0" t="n">
        <v>0.330124114603514</v>
      </c>
      <c r="AR1001" s="0" t="n">
        <v>893.573059038371</v>
      </c>
      <c r="AS1001" s="0" t="n">
        <v>102</v>
      </c>
      <c r="AT1001" s="0" t="n">
        <v>98</v>
      </c>
    </row>
    <row r="1002" customFormat="false" ht="12" hidden="false" customHeight="false" outlineLevel="0" collapsed="false">
      <c r="A1002" s="0" t="n">
        <v>985</v>
      </c>
      <c r="B1002" s="0" t="n">
        <v>1</v>
      </c>
      <c r="C1002" s="0" t="n">
        <v>0.355674421360493</v>
      </c>
      <c r="D1002" s="0" t="n">
        <v>1062.47150104277</v>
      </c>
      <c r="E1002" s="0" t="n">
        <v>6</v>
      </c>
      <c r="F1002" s="0" t="n">
        <v>10</v>
      </c>
      <c r="G1002" s="0" t="n">
        <v>0.5</v>
      </c>
      <c r="H1002" s="0" t="n">
        <v>0</v>
      </c>
      <c r="I1002" s="0" t="n">
        <v>2.01947157423779</v>
      </c>
      <c r="J1002" s="0" t="n">
        <v>1067.28809573416</v>
      </c>
      <c r="K1002" s="0" t="n">
        <v>4.81659469139299</v>
      </c>
      <c r="L1002" s="0" t="n">
        <v>0</v>
      </c>
      <c r="M1002" s="0" t="n">
        <v>1070.0814135304</v>
      </c>
      <c r="N1002" s="0" t="n">
        <v>0</v>
      </c>
      <c r="O1002" s="0" t="n">
        <v>985</v>
      </c>
      <c r="P1002" s="0" t="n">
        <v>493</v>
      </c>
      <c r="Q1002" s="0" t="n">
        <v>492</v>
      </c>
      <c r="R1002" s="0" t="n">
        <v>851.520139935071</v>
      </c>
      <c r="S1002" s="0" t="n">
        <v>1172.47399863129</v>
      </c>
      <c r="T1002" s="0" t="n">
        <v>22</v>
      </c>
      <c r="U1002" s="0" t="n">
        <v>26</v>
      </c>
      <c r="V1002" s="0" t="n">
        <v>38.7054433127563</v>
      </c>
      <c r="W1002" s="0" t="n">
        <v>45.094980351279</v>
      </c>
      <c r="X1002" s="0" t="n">
        <v>4.81659469139299</v>
      </c>
      <c r="Y1002" s="0" t="n">
        <v>0</v>
      </c>
      <c r="Z1002" s="0" t="n">
        <v>0</v>
      </c>
      <c r="AA1002" s="0" t="n">
        <v>0</v>
      </c>
      <c r="AB1002" s="0" t="n">
        <v>1</v>
      </c>
      <c r="AC1002" s="0" t="n">
        <v>0</v>
      </c>
      <c r="AD1002" s="0" t="n">
        <v>0</v>
      </c>
      <c r="AE1002" s="0" t="n">
        <v>0</v>
      </c>
      <c r="AF1002" s="0" t="n">
        <v>6.81714057468741</v>
      </c>
      <c r="AG1002" s="0" t="n">
        <v>0</v>
      </c>
      <c r="AH1002" s="0" t="n">
        <v>0</v>
      </c>
      <c r="AI1002" s="0" t="n">
        <v>0</v>
      </c>
      <c r="AK1002" s="0" t="n">
        <f aca="false">A1002</f>
        <v>985</v>
      </c>
      <c r="AL1002" s="0" t="n">
        <v>2</v>
      </c>
      <c r="AM1002" s="0" t="n">
        <v>1</v>
      </c>
      <c r="AO1002" s="0" t="n">
        <v>985</v>
      </c>
      <c r="AP1002" s="0" t="n">
        <v>0</v>
      </c>
      <c r="AQ1002" s="0" t="n">
        <v>1.56606286802539</v>
      </c>
      <c r="AR1002" s="0" t="n">
        <v>895.139121906397</v>
      </c>
      <c r="AS1002" s="0" t="n">
        <v>100</v>
      </c>
      <c r="AT1002" s="0" t="n">
        <v>98</v>
      </c>
    </row>
    <row r="1003" customFormat="false" ht="12" hidden="false" customHeight="false" outlineLevel="0" collapsed="false">
      <c r="A1003" s="0" t="n">
        <v>986</v>
      </c>
      <c r="B1003" s="0" t="n">
        <v>0</v>
      </c>
      <c r="C1003" s="0" t="n">
        <v>0.952811290512787</v>
      </c>
      <c r="D1003" s="0" t="n">
        <v>1063.42431233328</v>
      </c>
      <c r="E1003" s="0" t="n">
        <v>6</v>
      </c>
      <c r="F1003" s="0" t="n">
        <v>10</v>
      </c>
      <c r="G1003" s="0" t="n">
        <v>0.5</v>
      </c>
      <c r="H1003" s="0" t="n">
        <v>1</v>
      </c>
      <c r="I1003" s="0" t="n">
        <v>0</v>
      </c>
      <c r="J1003" s="0" t="n">
        <v>1067.28809573416</v>
      </c>
      <c r="K1003" s="0" t="n">
        <v>0</v>
      </c>
      <c r="L1003" s="0" t="n">
        <v>1.96926925082614</v>
      </c>
      <c r="M1003" s="0" t="n">
        <v>1072.05068278123</v>
      </c>
      <c r="N1003" s="0" t="n">
        <v>8.62637044794724</v>
      </c>
      <c r="O1003" s="0" t="n">
        <v>986</v>
      </c>
      <c r="P1003" s="0" t="n">
        <v>493</v>
      </c>
      <c r="Q1003" s="0" t="n">
        <v>493</v>
      </c>
      <c r="R1003" s="0" t="n">
        <v>1195.38772061435</v>
      </c>
      <c r="S1003" s="0" t="n">
        <v>831.521467824604</v>
      </c>
      <c r="T1003" s="0" t="n">
        <v>27</v>
      </c>
      <c r="U1003" s="0" t="n">
        <v>21</v>
      </c>
      <c r="V1003" s="0" t="n">
        <v>44.2736028843822</v>
      </c>
      <c r="W1003" s="0" t="n">
        <v>39.5960718198773</v>
      </c>
      <c r="X1003" s="0" t="n">
        <v>0</v>
      </c>
      <c r="Y1003" s="0" t="n">
        <v>0</v>
      </c>
      <c r="Z1003" s="0" t="n">
        <v>0</v>
      </c>
      <c r="AA1003" s="0" t="n">
        <v>8.62637044794724</v>
      </c>
      <c r="AB1003" s="0" t="n">
        <v>0</v>
      </c>
      <c r="AC1003" s="0" t="n">
        <v>0</v>
      </c>
      <c r="AD1003" s="0" t="n">
        <v>0</v>
      </c>
      <c r="AE1003" s="0" t="n">
        <v>1</v>
      </c>
      <c r="AF1003" s="0" t="n">
        <v>0</v>
      </c>
      <c r="AG1003" s="0" t="n">
        <v>0</v>
      </c>
      <c r="AH1003" s="0" t="n">
        <v>0</v>
      </c>
      <c r="AI1003" s="0" t="n">
        <v>0.800970738673138</v>
      </c>
      <c r="AK1003" s="0" t="n">
        <f aca="false">A1003</f>
        <v>986</v>
      </c>
      <c r="AL1003" s="0" t="n">
        <v>2</v>
      </c>
      <c r="AM1003" s="0" t="n">
        <v>2</v>
      </c>
      <c r="AO1003" s="0" t="n">
        <v>986</v>
      </c>
      <c r="AP1003" s="0" t="n">
        <v>1</v>
      </c>
      <c r="AQ1003" s="0" t="n">
        <v>0.212056063190399</v>
      </c>
      <c r="AR1003" s="0" t="n">
        <v>895.351177969587</v>
      </c>
      <c r="AS1003" s="0" t="n">
        <v>102</v>
      </c>
      <c r="AT1003" s="0" t="n">
        <v>98</v>
      </c>
    </row>
    <row r="1004" customFormat="false" ht="12" hidden="false" customHeight="false" outlineLevel="0" collapsed="false">
      <c r="A1004" s="0" t="n">
        <v>987</v>
      </c>
      <c r="B1004" s="0" t="n">
        <v>1</v>
      </c>
      <c r="C1004" s="0" t="n">
        <v>0.704271364012091</v>
      </c>
      <c r="D1004" s="0" t="n">
        <v>1064.12858369729</v>
      </c>
      <c r="E1004" s="0" t="n">
        <v>6</v>
      </c>
      <c r="F1004" s="0" t="n">
        <v>10</v>
      </c>
      <c r="G1004" s="0" t="n">
        <v>0.5</v>
      </c>
      <c r="H1004" s="0" t="n">
        <v>0</v>
      </c>
      <c r="I1004" s="0" t="n">
        <v>2.07555828503804</v>
      </c>
      <c r="J1004" s="0" t="n">
        <v>1069.3636540192</v>
      </c>
      <c r="K1004" s="0" t="n">
        <v>5.23507032190628</v>
      </c>
      <c r="L1004" s="0" t="n">
        <v>0</v>
      </c>
      <c r="M1004" s="0" t="n">
        <v>1072.05068278123</v>
      </c>
      <c r="N1004" s="0" t="n">
        <v>0</v>
      </c>
      <c r="O1004" s="0" t="n">
        <v>987</v>
      </c>
      <c r="P1004" s="0" t="n">
        <v>494</v>
      </c>
      <c r="Q1004" s="0" t="n">
        <v>493</v>
      </c>
      <c r="R1004" s="0" t="n">
        <v>936.770733512323</v>
      </c>
      <c r="S1004" s="0" t="n">
        <v>1088.08572012219</v>
      </c>
      <c r="T1004" s="0" t="n">
        <v>23</v>
      </c>
      <c r="U1004" s="0" t="n">
        <v>25</v>
      </c>
      <c r="V1004" s="0" t="n">
        <v>40.729144618299</v>
      </c>
      <c r="W1004" s="0" t="n">
        <v>43.5232547118686</v>
      </c>
      <c r="X1004" s="0" t="n">
        <v>5.23507032190628</v>
      </c>
      <c r="Y1004" s="0" t="n">
        <v>0</v>
      </c>
      <c r="Z1004" s="0" t="n">
        <v>0</v>
      </c>
      <c r="AA1004" s="0" t="n">
        <v>0</v>
      </c>
      <c r="AB1004" s="0" t="n">
        <v>1</v>
      </c>
      <c r="AC1004" s="0" t="n">
        <v>0</v>
      </c>
      <c r="AD1004" s="0" t="n">
        <v>0</v>
      </c>
      <c r="AE1004" s="0" t="n">
        <v>0</v>
      </c>
      <c r="AF1004" s="0" t="n">
        <v>4.80701160317337</v>
      </c>
      <c r="AG1004" s="0" t="n">
        <v>0</v>
      </c>
      <c r="AH1004" s="0" t="n">
        <v>0</v>
      </c>
      <c r="AI1004" s="0" t="n">
        <v>0</v>
      </c>
      <c r="AK1004" s="0" t="n">
        <f aca="false">A1004</f>
        <v>987</v>
      </c>
      <c r="AL1004" s="0" t="n">
        <v>2</v>
      </c>
      <c r="AM1004" s="0" t="n">
        <v>0</v>
      </c>
      <c r="AO1004" s="0" t="n">
        <v>987</v>
      </c>
      <c r="AP1004" s="0" t="n">
        <v>0</v>
      </c>
      <c r="AQ1004" s="0" t="n">
        <v>1.12091309134659</v>
      </c>
      <c r="AR1004" s="0" t="n">
        <v>896.472091060934</v>
      </c>
      <c r="AS1004" s="0" t="n">
        <v>100</v>
      </c>
      <c r="AT1004" s="0" t="n">
        <v>100</v>
      </c>
    </row>
    <row r="1005" customFormat="false" ht="12" hidden="false" customHeight="false" outlineLevel="0" collapsed="false">
      <c r="A1005" s="0" t="n">
        <v>988</v>
      </c>
      <c r="B1005" s="0" t="n">
        <v>1</v>
      </c>
      <c r="C1005" s="0" t="n">
        <v>1.71950747041509</v>
      </c>
      <c r="D1005" s="0" t="n">
        <v>1065.84809116771</v>
      </c>
      <c r="E1005" s="0" t="n">
        <v>6</v>
      </c>
      <c r="F1005" s="0" t="n">
        <v>10</v>
      </c>
      <c r="G1005" s="0" t="n">
        <v>0.5</v>
      </c>
      <c r="H1005" s="0" t="n">
        <v>0</v>
      </c>
      <c r="I1005" s="0" t="n">
        <v>2.00858404784175</v>
      </c>
      <c r="J1005" s="0" t="n">
        <v>1071.37223806704</v>
      </c>
      <c r="K1005" s="0" t="n">
        <v>5.52414689933312</v>
      </c>
      <c r="L1005" s="0" t="n">
        <v>0</v>
      </c>
      <c r="M1005" s="0" t="n">
        <v>1072.05068278123</v>
      </c>
      <c r="N1005" s="0" t="n">
        <v>0</v>
      </c>
      <c r="O1005" s="0" t="n">
        <v>988</v>
      </c>
      <c r="P1005" s="0" t="n">
        <v>495</v>
      </c>
      <c r="Q1005" s="0" t="n">
        <v>493</v>
      </c>
      <c r="R1005" s="0" t="n">
        <v>848.4969918491</v>
      </c>
      <c r="S1005" s="0" t="n">
        <v>1199.16772196974</v>
      </c>
      <c r="T1005" s="0" t="n">
        <v>19</v>
      </c>
      <c r="U1005" s="0" t="n">
        <v>29</v>
      </c>
      <c r="V1005" s="0" t="n">
        <v>44.6577129090511</v>
      </c>
      <c r="W1005" s="0" t="n">
        <v>41.3504685145823</v>
      </c>
      <c r="X1005" s="0" t="n">
        <v>5.52414689933312</v>
      </c>
      <c r="Y1005" s="0" t="n">
        <v>0</v>
      </c>
      <c r="Z1005" s="0" t="n">
        <v>0</v>
      </c>
      <c r="AA1005" s="0" t="n">
        <v>0</v>
      </c>
      <c r="AB1005" s="0" t="n">
        <v>1</v>
      </c>
      <c r="AC1005" s="0" t="n">
        <v>0</v>
      </c>
      <c r="AD1005" s="0" t="n">
        <v>0</v>
      </c>
      <c r="AE1005" s="0" t="n">
        <v>0</v>
      </c>
      <c r="AF1005" s="0" t="n">
        <v>3.62298196537865</v>
      </c>
      <c r="AG1005" s="0" t="n">
        <v>0</v>
      </c>
      <c r="AH1005" s="0" t="n">
        <v>0</v>
      </c>
      <c r="AI1005" s="0" t="n">
        <v>0</v>
      </c>
      <c r="AK1005" s="0" t="n">
        <f aca="false">A1005</f>
        <v>988</v>
      </c>
      <c r="AL1005" s="0" t="n">
        <v>2</v>
      </c>
      <c r="AM1005" s="0" t="n">
        <v>0</v>
      </c>
      <c r="AO1005" s="0" t="n">
        <v>988</v>
      </c>
      <c r="AP1005" s="0" t="n">
        <v>1</v>
      </c>
      <c r="AQ1005" s="0" t="n">
        <v>4.77128243216927</v>
      </c>
      <c r="AR1005" s="0" t="n">
        <v>901.243373493103</v>
      </c>
      <c r="AS1005" s="0" t="n">
        <v>96</v>
      </c>
      <c r="AT1005" s="0" t="n">
        <v>96</v>
      </c>
    </row>
    <row r="1006" customFormat="false" ht="12" hidden="false" customHeight="false" outlineLevel="0" collapsed="false">
      <c r="A1006" s="0" t="n">
        <v>989</v>
      </c>
      <c r="B1006" s="0" t="n">
        <v>0</v>
      </c>
      <c r="C1006" s="0" t="n">
        <v>0.279845180610221</v>
      </c>
      <c r="D1006" s="0" t="n">
        <v>1066.12793634832</v>
      </c>
      <c r="E1006" s="0" t="n">
        <v>8</v>
      </c>
      <c r="F1006" s="0" t="n">
        <v>8</v>
      </c>
      <c r="G1006" s="0" t="n">
        <v>0.5</v>
      </c>
      <c r="H1006" s="0" t="n">
        <v>1</v>
      </c>
      <c r="I1006" s="0" t="n">
        <v>0</v>
      </c>
      <c r="J1006" s="0" t="n">
        <v>1071.37223806704</v>
      </c>
      <c r="K1006" s="0" t="n">
        <v>0</v>
      </c>
      <c r="L1006" s="0" t="n">
        <v>2.13374469390961</v>
      </c>
      <c r="M1006" s="0" t="n">
        <v>1074.18442747514</v>
      </c>
      <c r="N1006" s="0" t="n">
        <v>8.05649112681954</v>
      </c>
      <c r="O1006" s="0" t="n">
        <v>989</v>
      </c>
      <c r="P1006" s="0" t="n">
        <v>495</v>
      </c>
      <c r="Q1006" s="0" t="n">
        <v>494</v>
      </c>
      <c r="R1006" s="0" t="n">
        <v>1225.28385986792</v>
      </c>
      <c r="S1006" s="0" t="n">
        <v>804.399366412944</v>
      </c>
      <c r="T1006" s="0" t="n">
        <v>27</v>
      </c>
      <c r="U1006" s="0" t="n">
        <v>21</v>
      </c>
      <c r="V1006" s="0" t="n">
        <v>45.3808668910834</v>
      </c>
      <c r="W1006" s="0" t="n">
        <v>38.3045493313339</v>
      </c>
      <c r="X1006" s="0" t="n">
        <v>0</v>
      </c>
      <c r="Y1006" s="0" t="n">
        <v>0</v>
      </c>
      <c r="Z1006" s="0" t="n">
        <v>0</v>
      </c>
      <c r="AA1006" s="0" t="n">
        <v>8.05649112681954</v>
      </c>
      <c r="AB1006" s="0" t="n">
        <v>0</v>
      </c>
      <c r="AC1006" s="0" t="n">
        <v>0</v>
      </c>
      <c r="AD1006" s="0" t="n">
        <v>0</v>
      </c>
      <c r="AE1006" s="0" t="n">
        <v>1</v>
      </c>
      <c r="AF1006" s="0" t="n">
        <v>0</v>
      </c>
      <c r="AG1006" s="0" t="n">
        <v>0</v>
      </c>
      <c r="AH1006" s="0" t="n">
        <v>0</v>
      </c>
      <c r="AI1006" s="0" t="n">
        <v>0.105683745265314</v>
      </c>
      <c r="AK1006" s="0" t="n">
        <f aca="false">A1006</f>
        <v>989</v>
      </c>
      <c r="AL1006" s="0" t="n">
        <v>0</v>
      </c>
      <c r="AM1006" s="0" t="n">
        <v>1</v>
      </c>
      <c r="AO1006" s="0" t="n">
        <v>989</v>
      </c>
      <c r="AP1006" s="0" t="n">
        <v>1</v>
      </c>
      <c r="AQ1006" s="0" t="n">
        <v>0.15986927388594</v>
      </c>
      <c r="AR1006" s="0" t="n">
        <v>901.403242766989</v>
      </c>
      <c r="AS1006" s="0" t="n">
        <v>98</v>
      </c>
      <c r="AT1006" s="0" t="n">
        <v>96</v>
      </c>
    </row>
    <row r="1007" customFormat="false" ht="12" hidden="false" customHeight="false" outlineLevel="0" collapsed="false">
      <c r="A1007" s="0" t="n">
        <v>990</v>
      </c>
      <c r="B1007" s="0" t="n">
        <v>1</v>
      </c>
      <c r="C1007" s="0" t="n">
        <v>0.413668517949066</v>
      </c>
      <c r="D1007" s="0" t="n">
        <v>1066.54160486627</v>
      </c>
      <c r="E1007" s="0" t="n">
        <v>8</v>
      </c>
      <c r="F1007" s="0" t="n">
        <v>10</v>
      </c>
      <c r="G1007" s="0" t="n">
        <v>0.5</v>
      </c>
      <c r="H1007" s="0" t="n">
        <v>0</v>
      </c>
      <c r="I1007" s="0" t="n">
        <v>2.18904440435711</v>
      </c>
      <c r="J1007" s="0" t="n">
        <v>1073.5612824714</v>
      </c>
      <c r="K1007" s="0" t="n">
        <v>7.01967760513116</v>
      </c>
      <c r="L1007" s="0" t="n">
        <v>0</v>
      </c>
      <c r="M1007" s="0" t="n">
        <v>1074.18442747514</v>
      </c>
      <c r="N1007" s="0" t="n">
        <v>0</v>
      </c>
      <c r="O1007" s="0" t="n">
        <v>990</v>
      </c>
      <c r="P1007" s="0" t="n">
        <v>496</v>
      </c>
      <c r="Q1007" s="0" t="n">
        <v>494</v>
      </c>
      <c r="R1007" s="0" t="n">
        <v>1196.43732115319</v>
      </c>
      <c r="S1007" s="0" t="n">
        <v>827.632103398663</v>
      </c>
      <c r="T1007" s="0" t="n">
        <v>25</v>
      </c>
      <c r="U1007" s="0" t="n">
        <v>23</v>
      </c>
      <c r="V1007" s="0" t="n">
        <v>47.8574737031382</v>
      </c>
      <c r="W1007" s="0" t="n">
        <v>35.9838480440808</v>
      </c>
      <c r="X1007" s="0" t="n">
        <v>7.01967760513116</v>
      </c>
      <c r="Y1007" s="0" t="n">
        <v>0</v>
      </c>
      <c r="Z1007" s="0" t="n">
        <v>0</v>
      </c>
      <c r="AA1007" s="0" t="n">
        <v>0</v>
      </c>
      <c r="AB1007" s="0" t="n">
        <v>1</v>
      </c>
      <c r="AC1007" s="0" t="n">
        <v>0</v>
      </c>
      <c r="AD1007" s="0" t="n">
        <v>0</v>
      </c>
      <c r="AE1007" s="0" t="n">
        <v>0</v>
      </c>
      <c r="AF1007" s="0" t="n">
        <v>0.166368162386596</v>
      </c>
      <c r="AG1007" s="0" t="n">
        <v>0</v>
      </c>
      <c r="AH1007" s="0" t="n">
        <v>0</v>
      </c>
      <c r="AI1007" s="0" t="n">
        <v>0</v>
      </c>
      <c r="AK1007" s="0" t="n">
        <f aca="false">A1007</f>
        <v>990</v>
      </c>
      <c r="AL1007" s="0" t="n">
        <v>1</v>
      </c>
      <c r="AM1007" s="0" t="n">
        <v>1</v>
      </c>
      <c r="AO1007" s="0" t="n">
        <v>990</v>
      </c>
      <c r="AP1007" s="0" t="n">
        <v>0</v>
      </c>
      <c r="AQ1007" s="0" t="n">
        <v>0.50814622086314</v>
      </c>
      <c r="AR1007" s="0" t="n">
        <v>901.911388987852</v>
      </c>
      <c r="AS1007" s="0" t="n">
        <v>96</v>
      </c>
      <c r="AT1007" s="0" t="n">
        <v>98</v>
      </c>
    </row>
    <row r="1008" customFormat="false" ht="12" hidden="false" customHeight="false" outlineLevel="0" collapsed="false">
      <c r="A1008" s="0" t="n">
        <v>991</v>
      </c>
      <c r="B1008" s="0" t="n">
        <v>0</v>
      </c>
      <c r="C1008" s="0" t="n">
        <v>0.620160002408717</v>
      </c>
      <c r="D1008" s="0" t="n">
        <v>1067.16176486868</v>
      </c>
      <c r="E1008" s="0" t="n">
        <v>10</v>
      </c>
      <c r="F1008" s="0" t="n">
        <v>10</v>
      </c>
      <c r="G1008" s="0" t="n">
        <v>0.5</v>
      </c>
      <c r="H1008" s="0" t="n">
        <v>0</v>
      </c>
      <c r="I1008" s="0" t="n">
        <v>2.09490128099355</v>
      </c>
      <c r="J1008" s="0" t="n">
        <v>1075.65618375239</v>
      </c>
      <c r="K1008" s="0" t="n">
        <v>8.49441888371598</v>
      </c>
      <c r="L1008" s="0" t="n">
        <v>0</v>
      </c>
      <c r="M1008" s="0" t="n">
        <v>1074.18442747514</v>
      </c>
      <c r="N1008" s="0" t="n">
        <v>0</v>
      </c>
      <c r="O1008" s="0" t="n">
        <v>991</v>
      </c>
      <c r="P1008" s="0" t="n">
        <v>497</v>
      </c>
      <c r="Q1008" s="0" t="n">
        <v>494</v>
      </c>
      <c r="R1008" s="0" t="n">
        <v>697.522615415039</v>
      </c>
      <c r="S1008" s="0" t="n">
        <v>1318.15705521979</v>
      </c>
      <c r="T1008" s="0" t="n">
        <v>19</v>
      </c>
      <c r="U1008" s="0" t="n">
        <v>29</v>
      </c>
      <c r="V1008" s="0" t="n">
        <v>36.7116972788456</v>
      </c>
      <c r="W1008" s="0" t="n">
        <v>45.4535348229761</v>
      </c>
      <c r="X1008" s="0" t="n">
        <v>0</v>
      </c>
      <c r="Y1008" s="0" t="n">
        <v>8.49441888371598</v>
      </c>
      <c r="Z1008" s="0" t="n">
        <v>0</v>
      </c>
      <c r="AA1008" s="0" t="n">
        <v>0</v>
      </c>
      <c r="AB1008" s="0" t="n">
        <v>0</v>
      </c>
      <c r="AC1008" s="0" t="n">
        <v>1</v>
      </c>
      <c r="AD1008" s="0" t="n">
        <v>0</v>
      </c>
      <c r="AE1008" s="0" t="n">
        <v>0</v>
      </c>
      <c r="AF1008" s="0" t="n">
        <v>0</v>
      </c>
      <c r="AG1008" s="0" t="n">
        <v>0.0555836460096436</v>
      </c>
      <c r="AH1008" s="0" t="n">
        <v>0</v>
      </c>
      <c r="AI1008" s="0" t="n">
        <v>0</v>
      </c>
      <c r="AK1008" s="0" t="n">
        <f aca="false">A1008</f>
        <v>991</v>
      </c>
      <c r="AL1008" s="0" t="n">
        <v>0</v>
      </c>
      <c r="AM1008" s="0" t="n">
        <v>0</v>
      </c>
      <c r="AO1008" s="0" t="n">
        <v>991</v>
      </c>
      <c r="AP1008" s="0" t="n">
        <v>0</v>
      </c>
      <c r="AQ1008" s="0" t="n">
        <v>0.466673511733493</v>
      </c>
      <c r="AR1008" s="0" t="n">
        <v>902.378062499586</v>
      </c>
      <c r="AS1008" s="0" t="n">
        <v>98</v>
      </c>
      <c r="AT1008" s="0" t="n">
        <v>98</v>
      </c>
    </row>
    <row r="1009" customFormat="false" ht="12" hidden="false" customHeight="false" outlineLevel="0" collapsed="false">
      <c r="A1009" s="0" t="n">
        <v>992</v>
      </c>
      <c r="B1009" s="0" t="n">
        <v>1</v>
      </c>
      <c r="C1009" s="0" t="n">
        <v>9.2644912609549</v>
      </c>
      <c r="D1009" s="0" t="n">
        <v>1076.42625612963</v>
      </c>
      <c r="E1009" s="0" t="n">
        <v>2</v>
      </c>
      <c r="F1009" s="0" t="n">
        <v>2</v>
      </c>
      <c r="G1009" s="0" t="n">
        <v>0.5</v>
      </c>
      <c r="H1009" s="0" t="n">
        <v>0</v>
      </c>
      <c r="I1009" s="0" t="n">
        <v>1.75082263332423</v>
      </c>
      <c r="J1009" s="0" t="n">
        <v>1078.17707876296</v>
      </c>
      <c r="K1009" s="0" t="n">
        <v>1.75082263332433</v>
      </c>
      <c r="L1009" s="0" t="n">
        <v>0</v>
      </c>
      <c r="M1009" s="0" t="n">
        <v>1076.42625612963</v>
      </c>
      <c r="N1009" s="0" t="n">
        <v>0</v>
      </c>
      <c r="O1009" s="0" t="n">
        <v>992</v>
      </c>
      <c r="P1009" s="0" t="n">
        <v>498</v>
      </c>
      <c r="Q1009" s="0" t="n">
        <v>494</v>
      </c>
      <c r="R1009" s="0" t="n">
        <v>1034.88775801502</v>
      </c>
      <c r="S1009" s="0" t="n">
        <v>1008.27060996015</v>
      </c>
      <c r="T1009" s="0" t="n">
        <v>24</v>
      </c>
      <c r="U1009" s="0" t="n">
        <v>24</v>
      </c>
      <c r="V1009" s="0" t="n">
        <v>43.1203052838318</v>
      </c>
      <c r="W1009" s="0" t="n">
        <v>42.0111003687545</v>
      </c>
      <c r="X1009" s="0" t="n">
        <v>1.75082263332433</v>
      </c>
      <c r="Y1009" s="0" t="n">
        <v>0</v>
      </c>
      <c r="Z1009" s="0" t="n">
        <v>0</v>
      </c>
      <c r="AA1009" s="0" t="n">
        <v>0</v>
      </c>
      <c r="AB1009" s="0" t="n">
        <v>1</v>
      </c>
      <c r="AC1009" s="0" t="n">
        <v>0</v>
      </c>
      <c r="AD1009" s="0" t="n">
        <v>0</v>
      </c>
      <c r="AE1009" s="0" t="n">
        <v>0</v>
      </c>
      <c r="AF1009" s="0" t="n">
        <v>32.2253487215851</v>
      </c>
      <c r="AG1009" s="0" t="n">
        <v>0</v>
      </c>
      <c r="AH1009" s="0" t="n">
        <v>0</v>
      </c>
      <c r="AI1009" s="0" t="n">
        <v>0</v>
      </c>
      <c r="AK1009" s="0" t="n">
        <f aca="false">A1009</f>
        <v>992</v>
      </c>
      <c r="AL1009" s="0" t="n">
        <v>0</v>
      </c>
      <c r="AM1009" s="0" t="n">
        <v>1</v>
      </c>
      <c r="AO1009" s="0" t="n">
        <v>992</v>
      </c>
      <c r="AP1009" s="0" t="n">
        <v>1</v>
      </c>
      <c r="AQ1009" s="0" t="n">
        <v>1.53643560718606</v>
      </c>
      <c r="AR1009" s="0" t="n">
        <v>903.914498106772</v>
      </c>
      <c r="AS1009" s="0" t="n">
        <v>96</v>
      </c>
      <c r="AT1009" s="0" t="n">
        <v>98</v>
      </c>
    </row>
    <row r="1010" customFormat="false" ht="12" hidden="false" customHeight="false" outlineLevel="0" collapsed="false">
      <c r="A1010" s="0" t="n">
        <v>993</v>
      </c>
      <c r="B1010" s="0" t="n">
        <v>0</v>
      </c>
      <c r="C1010" s="0" t="n">
        <v>0.474921399029658</v>
      </c>
      <c r="D1010" s="0" t="n">
        <v>1076.90117752866</v>
      </c>
      <c r="E1010" s="0" t="n">
        <v>4</v>
      </c>
      <c r="F1010" s="0" t="n">
        <v>2</v>
      </c>
      <c r="G1010" s="0" t="n">
        <v>0.5</v>
      </c>
      <c r="H1010" s="0" t="n">
        <v>1</v>
      </c>
      <c r="I1010" s="0" t="n">
        <v>0</v>
      </c>
      <c r="J1010" s="0" t="n">
        <v>1078.17707876296</v>
      </c>
      <c r="K1010" s="0" t="n">
        <v>0</v>
      </c>
      <c r="L1010" s="0" t="n">
        <v>2.18913105643904</v>
      </c>
      <c r="M1010" s="0" t="n">
        <v>1079.0903085851</v>
      </c>
      <c r="N1010" s="0" t="n">
        <v>2.18913105643901</v>
      </c>
      <c r="O1010" s="0" t="n">
        <v>993</v>
      </c>
      <c r="P1010" s="0" t="n">
        <v>498</v>
      </c>
      <c r="Q1010" s="0" t="n">
        <v>495</v>
      </c>
      <c r="R1010" s="0" t="n">
        <v>1166.42277233171</v>
      </c>
      <c r="S1010" s="0" t="n">
        <v>849.369430280887</v>
      </c>
      <c r="T1010" s="0" t="n">
        <v>28</v>
      </c>
      <c r="U1010" s="0" t="n">
        <v>20</v>
      </c>
      <c r="V1010" s="0" t="n">
        <v>41.6579412768679</v>
      </c>
      <c r="W1010" s="0" t="n">
        <v>42.4682591727485</v>
      </c>
      <c r="X1010" s="0" t="n">
        <v>0</v>
      </c>
      <c r="Y1010" s="0" t="n">
        <v>0</v>
      </c>
      <c r="Z1010" s="0" t="n">
        <v>0</v>
      </c>
      <c r="AA1010" s="0" t="n">
        <v>2.18913105643901</v>
      </c>
      <c r="AB1010" s="0" t="n">
        <v>0</v>
      </c>
      <c r="AC1010" s="0" t="n">
        <v>0</v>
      </c>
      <c r="AD1010" s="0" t="n">
        <v>0</v>
      </c>
      <c r="AE1010" s="0" t="n">
        <v>1</v>
      </c>
      <c r="AF1010" s="0" t="n">
        <v>0</v>
      </c>
      <c r="AG1010" s="0" t="n">
        <v>0</v>
      </c>
      <c r="AH1010" s="0" t="n">
        <v>0</v>
      </c>
      <c r="AI1010" s="0" t="n">
        <v>30.7167534897449</v>
      </c>
      <c r="AK1010" s="0" t="n">
        <f aca="false">A1010</f>
        <v>993</v>
      </c>
      <c r="AL1010" s="0" t="n">
        <v>1</v>
      </c>
      <c r="AM1010" s="0" t="n">
        <v>0</v>
      </c>
      <c r="AO1010" s="0" t="n">
        <v>993</v>
      </c>
      <c r="AP1010" s="0" t="n">
        <v>1</v>
      </c>
      <c r="AQ1010" s="0" t="n">
        <v>0.300216199984118</v>
      </c>
      <c r="AR1010" s="0" t="n">
        <v>904.214714306756</v>
      </c>
      <c r="AS1010" s="0" t="n">
        <v>98</v>
      </c>
      <c r="AT1010" s="0" t="n">
        <v>98</v>
      </c>
    </row>
    <row r="1011" customFormat="false" ht="12" hidden="false" customHeight="false" outlineLevel="0" collapsed="false">
      <c r="A1011" s="0" t="n">
        <v>994</v>
      </c>
      <c r="B1011" s="0" t="n">
        <v>0</v>
      </c>
      <c r="C1011" s="0" t="n">
        <v>3.17809079082851</v>
      </c>
      <c r="D1011" s="0" t="n">
        <v>1080.07926831949</v>
      </c>
      <c r="E1011" s="0" t="n">
        <v>2</v>
      </c>
      <c r="F1011" s="0" t="n">
        <v>2</v>
      </c>
      <c r="G1011" s="0" t="n">
        <v>0.5</v>
      </c>
      <c r="H1011" s="0" t="n">
        <v>0</v>
      </c>
      <c r="I1011" s="0" t="n">
        <v>1.79776246252959</v>
      </c>
      <c r="J1011" s="0" t="n">
        <v>1081.87703078202</v>
      </c>
      <c r="K1011" s="0" t="n">
        <v>1.79776246252959</v>
      </c>
      <c r="L1011" s="0" t="n">
        <v>0</v>
      </c>
      <c r="M1011" s="0" t="n">
        <v>1080.07926831949</v>
      </c>
      <c r="N1011" s="0" t="n">
        <v>0</v>
      </c>
      <c r="O1011" s="0" t="n">
        <v>994</v>
      </c>
      <c r="P1011" s="0" t="n">
        <v>499</v>
      </c>
      <c r="Q1011" s="0" t="n">
        <v>495</v>
      </c>
      <c r="R1011" s="0" t="n">
        <v>1036.84796315346</v>
      </c>
      <c r="S1011" s="0" t="n">
        <v>1006.18625723278</v>
      </c>
      <c r="T1011" s="0" t="n">
        <v>26</v>
      </c>
      <c r="U1011" s="0" t="n">
        <v>22</v>
      </c>
      <c r="V1011" s="0" t="n">
        <v>39.8787524756129</v>
      </c>
      <c r="W1011" s="0" t="n">
        <v>45.7355310763488</v>
      </c>
      <c r="X1011" s="0" t="n">
        <v>0</v>
      </c>
      <c r="Y1011" s="0" t="n">
        <v>1.79776246252959</v>
      </c>
      <c r="Z1011" s="0" t="n">
        <v>0</v>
      </c>
      <c r="AA1011" s="0" t="n">
        <v>0</v>
      </c>
      <c r="AB1011" s="0" t="n">
        <v>0</v>
      </c>
      <c r="AC1011" s="0" t="n">
        <v>1</v>
      </c>
      <c r="AD1011" s="0" t="n">
        <v>0</v>
      </c>
      <c r="AE1011" s="0" t="n">
        <v>0</v>
      </c>
      <c r="AF1011" s="0" t="n">
        <v>0</v>
      </c>
      <c r="AG1011" s="0" t="n">
        <v>41.743158767021</v>
      </c>
      <c r="AH1011" s="0" t="n">
        <v>0</v>
      </c>
      <c r="AI1011" s="0" t="n">
        <v>0</v>
      </c>
      <c r="AK1011" s="0" t="n">
        <f aca="false">A1011</f>
        <v>994</v>
      </c>
      <c r="AL1011" s="0" t="n">
        <v>0</v>
      </c>
      <c r="AM1011" s="0" t="n">
        <v>1</v>
      </c>
      <c r="AO1011" s="0" t="n">
        <v>994</v>
      </c>
      <c r="AP1011" s="0" t="n">
        <v>1</v>
      </c>
      <c r="AQ1011" s="0" t="n">
        <v>0.40354316547544</v>
      </c>
      <c r="AR1011" s="0" t="n">
        <v>904.618257472231</v>
      </c>
      <c r="AS1011" s="0" t="n">
        <v>100</v>
      </c>
      <c r="AT1011" s="0" t="n">
        <v>98</v>
      </c>
    </row>
    <row r="1012" customFormat="false" ht="12" hidden="false" customHeight="false" outlineLevel="0" collapsed="false">
      <c r="A1012" s="0" t="n">
        <v>995</v>
      </c>
      <c r="B1012" s="0" t="n">
        <v>0</v>
      </c>
      <c r="C1012" s="0" t="n">
        <v>0.803458972954773</v>
      </c>
      <c r="D1012" s="0" t="n">
        <v>1080.88272729244</v>
      </c>
      <c r="E1012" s="0" t="n">
        <v>4</v>
      </c>
      <c r="F1012" s="0" t="n">
        <v>2</v>
      </c>
      <c r="G1012" s="0" t="n">
        <v>0.5</v>
      </c>
      <c r="H1012" s="0" t="n">
        <v>1</v>
      </c>
      <c r="I1012" s="0" t="n">
        <v>0</v>
      </c>
      <c r="J1012" s="0" t="n">
        <v>1081.87703078202</v>
      </c>
      <c r="K1012" s="0" t="n">
        <v>0</v>
      </c>
      <c r="L1012" s="0" t="n">
        <v>2.02419035007709</v>
      </c>
      <c r="M1012" s="0" t="n">
        <v>1082.90691764252</v>
      </c>
      <c r="N1012" s="0" t="n">
        <v>2.02419035007711</v>
      </c>
      <c r="O1012" s="0" t="n">
        <v>995</v>
      </c>
      <c r="P1012" s="0" t="n">
        <v>499</v>
      </c>
      <c r="Q1012" s="0" t="n">
        <v>496</v>
      </c>
      <c r="R1012" s="0" t="n">
        <v>910.491081826128</v>
      </c>
      <c r="S1012" s="0" t="n">
        <v>1116.9074554543</v>
      </c>
      <c r="T1012" s="0" t="n">
        <v>24</v>
      </c>
      <c r="U1012" s="0" t="n">
        <v>24</v>
      </c>
      <c r="V1012" s="0" t="n">
        <v>37.9371126022918</v>
      </c>
      <c r="W1012" s="0" t="n">
        <v>46.5376167371926</v>
      </c>
      <c r="X1012" s="0" t="n">
        <v>0</v>
      </c>
      <c r="Y1012" s="0" t="n">
        <v>0</v>
      </c>
      <c r="Z1012" s="0" t="n">
        <v>0</v>
      </c>
      <c r="AA1012" s="0" t="n">
        <v>2.02419035007711</v>
      </c>
      <c r="AB1012" s="0" t="n">
        <v>0</v>
      </c>
      <c r="AC1012" s="0" t="n">
        <v>0</v>
      </c>
      <c r="AD1012" s="0" t="n">
        <v>0</v>
      </c>
      <c r="AE1012" s="0" t="n">
        <v>1</v>
      </c>
      <c r="AF1012" s="0" t="n">
        <v>0</v>
      </c>
      <c r="AG1012" s="0" t="n">
        <v>0</v>
      </c>
      <c r="AH1012" s="0" t="n">
        <v>0</v>
      </c>
      <c r="AI1012" s="0" t="n">
        <v>32.5722506865437</v>
      </c>
      <c r="AK1012" s="0" t="n">
        <f aca="false">A1012</f>
        <v>995</v>
      </c>
      <c r="AL1012" s="0" t="n">
        <v>1</v>
      </c>
      <c r="AM1012" s="0" t="n">
        <v>0</v>
      </c>
      <c r="AO1012" s="0" t="n">
        <v>995</v>
      </c>
      <c r="AP1012" s="0" t="n">
        <v>0</v>
      </c>
      <c r="AQ1012" s="0" t="n">
        <v>0.14142234111789</v>
      </c>
      <c r="AR1012" s="0" t="n">
        <v>904.759679813349</v>
      </c>
      <c r="AS1012" s="0" t="n">
        <v>100</v>
      </c>
      <c r="AT1012" s="0" t="n">
        <v>100</v>
      </c>
    </row>
    <row r="1013" customFormat="false" ht="12" hidden="false" customHeight="false" outlineLevel="0" collapsed="false">
      <c r="A1013" s="0" t="n">
        <v>996</v>
      </c>
      <c r="B1013" s="0" t="n">
        <v>0</v>
      </c>
      <c r="C1013" s="0" t="n">
        <v>0.708021753748779</v>
      </c>
      <c r="D1013" s="0" t="n">
        <v>1081.59074904619</v>
      </c>
      <c r="E1013" s="0" t="n">
        <v>4</v>
      </c>
      <c r="F1013" s="0" t="n">
        <v>4</v>
      </c>
      <c r="G1013" s="0" t="n">
        <v>0.5</v>
      </c>
      <c r="H1013" s="0" t="n">
        <v>0</v>
      </c>
      <c r="I1013" s="0" t="n">
        <v>2.01442591658227</v>
      </c>
      <c r="J1013" s="0" t="n">
        <v>1083.8914566986</v>
      </c>
      <c r="K1013" s="0" t="n">
        <v>2.30070765240816</v>
      </c>
      <c r="L1013" s="0" t="n">
        <v>0</v>
      </c>
      <c r="M1013" s="0" t="n">
        <v>1082.90691764252</v>
      </c>
      <c r="N1013" s="0" t="n">
        <v>0</v>
      </c>
      <c r="O1013" s="0" t="n">
        <v>996</v>
      </c>
      <c r="P1013" s="0" t="n">
        <v>500</v>
      </c>
      <c r="Q1013" s="0" t="n">
        <v>496</v>
      </c>
      <c r="R1013" s="0" t="n">
        <v>955.986592855684</v>
      </c>
      <c r="S1013" s="0" t="n">
        <v>1080.96690935323</v>
      </c>
      <c r="T1013" s="0" t="n">
        <v>21</v>
      </c>
      <c r="U1013" s="0" t="n">
        <v>27</v>
      </c>
      <c r="V1013" s="0" t="n">
        <v>45.5231494106757</v>
      </c>
      <c r="W1013" s="0" t="n">
        <v>40.0356631772931</v>
      </c>
      <c r="X1013" s="0" t="n">
        <v>0</v>
      </c>
      <c r="Y1013" s="0" t="n">
        <v>2.30070765240816</v>
      </c>
      <c r="Z1013" s="0" t="n">
        <v>0</v>
      </c>
      <c r="AA1013" s="0" t="n">
        <v>0</v>
      </c>
      <c r="AB1013" s="0" t="n">
        <v>0</v>
      </c>
      <c r="AC1013" s="0" t="n">
        <v>1</v>
      </c>
      <c r="AD1013" s="0" t="n">
        <v>0</v>
      </c>
      <c r="AE1013" s="0" t="n">
        <v>0</v>
      </c>
      <c r="AF1013" s="0" t="n">
        <v>0</v>
      </c>
      <c r="AG1013" s="0" t="n">
        <v>35.4971609289293</v>
      </c>
      <c r="AH1013" s="0" t="n">
        <v>0</v>
      </c>
      <c r="AI1013" s="0" t="n">
        <v>0</v>
      </c>
      <c r="AK1013" s="0" t="n">
        <f aca="false">A1013</f>
        <v>996</v>
      </c>
      <c r="AL1013" s="0" t="n">
        <v>0</v>
      </c>
      <c r="AM1013" s="0" t="n">
        <v>1</v>
      </c>
      <c r="AO1013" s="0" t="n">
        <v>996</v>
      </c>
      <c r="AP1013" s="0" t="n">
        <v>0</v>
      </c>
      <c r="AQ1013" s="0" t="n">
        <v>0.805145344943929</v>
      </c>
      <c r="AR1013" s="0" t="n">
        <v>905.564825158293</v>
      </c>
      <c r="AS1013" s="0" t="n">
        <v>100</v>
      </c>
      <c r="AT1013" s="0" t="n">
        <v>98</v>
      </c>
    </row>
    <row r="1014" customFormat="false" ht="12" hidden="false" customHeight="false" outlineLevel="0" collapsed="false">
      <c r="A1014" s="0" t="n">
        <v>997</v>
      </c>
      <c r="B1014" s="0" t="n">
        <v>1</v>
      </c>
      <c r="C1014" s="0" t="n">
        <v>1.6246180054866</v>
      </c>
      <c r="D1014" s="0" t="n">
        <v>1083.21536705168</v>
      </c>
      <c r="E1014" s="0" t="n">
        <v>4</v>
      </c>
      <c r="F1014" s="0" t="n">
        <v>2</v>
      </c>
      <c r="G1014" s="0" t="n">
        <v>0.5</v>
      </c>
      <c r="H1014" s="0" t="n">
        <v>1</v>
      </c>
      <c r="I1014" s="0" t="n">
        <v>0</v>
      </c>
      <c r="J1014" s="0" t="n">
        <v>1083.8914566986</v>
      </c>
      <c r="K1014" s="0" t="n">
        <v>0</v>
      </c>
      <c r="L1014" s="0" t="n">
        <v>2.13579743954072</v>
      </c>
      <c r="M1014" s="0" t="n">
        <v>1085.35116449122</v>
      </c>
      <c r="N1014" s="0" t="n">
        <v>2.13579743954074</v>
      </c>
      <c r="O1014" s="0" t="n">
        <v>997</v>
      </c>
      <c r="P1014" s="0" t="n">
        <v>500</v>
      </c>
      <c r="Q1014" s="0" t="n">
        <v>497</v>
      </c>
      <c r="R1014" s="0" t="n">
        <v>1015.8694185536</v>
      </c>
      <c r="S1014" s="0" t="n">
        <v>1007.99542406847</v>
      </c>
      <c r="T1014" s="0" t="n">
        <v>22</v>
      </c>
      <c r="U1014" s="0" t="n">
        <v>26</v>
      </c>
      <c r="V1014" s="0" t="n">
        <v>46.1758616724992</v>
      </c>
      <c r="W1014" s="0" t="n">
        <v>38.7689056606885</v>
      </c>
      <c r="X1014" s="0" t="n">
        <v>0</v>
      </c>
      <c r="Y1014" s="0" t="n">
        <v>0</v>
      </c>
      <c r="Z1014" s="0" t="n">
        <v>2.13579743954074</v>
      </c>
      <c r="AA1014" s="0" t="n">
        <v>0</v>
      </c>
      <c r="AB1014" s="0" t="n">
        <v>0</v>
      </c>
      <c r="AC1014" s="0" t="n">
        <v>0</v>
      </c>
      <c r="AD1014" s="0" t="n">
        <v>1</v>
      </c>
      <c r="AE1014" s="0" t="n">
        <v>0</v>
      </c>
      <c r="AF1014" s="0" t="n">
        <v>0</v>
      </c>
      <c r="AG1014" s="0" t="n">
        <v>0</v>
      </c>
      <c r="AH1014" s="0" t="n">
        <v>31.6980917582163</v>
      </c>
      <c r="AI1014" s="0" t="n">
        <v>0</v>
      </c>
      <c r="AK1014" s="0" t="n">
        <f aca="false">A1014</f>
        <v>997</v>
      </c>
      <c r="AL1014" s="0" t="n">
        <v>1</v>
      </c>
      <c r="AM1014" s="0" t="n">
        <v>0</v>
      </c>
      <c r="AO1014" s="0" t="n">
        <v>997</v>
      </c>
      <c r="AP1014" s="0" t="n">
        <v>1</v>
      </c>
      <c r="AQ1014" s="0" t="n">
        <v>0.78276131305461</v>
      </c>
      <c r="AR1014" s="0" t="n">
        <v>906.347586471348</v>
      </c>
      <c r="AS1014" s="0" t="n">
        <v>100</v>
      </c>
      <c r="AT1014" s="0" t="n">
        <v>100</v>
      </c>
    </row>
    <row r="1015" customFormat="false" ht="12" hidden="false" customHeight="false" outlineLevel="0" collapsed="false">
      <c r="A1015" s="0" t="n">
        <v>998</v>
      </c>
      <c r="B1015" s="0" t="n">
        <v>1</v>
      </c>
      <c r="C1015" s="0" t="n">
        <v>1.10777107798972</v>
      </c>
      <c r="D1015" s="0" t="n">
        <v>1084.32313812967</v>
      </c>
      <c r="E1015" s="0" t="n">
        <v>2</v>
      </c>
      <c r="F1015" s="0" t="n">
        <v>4</v>
      </c>
      <c r="G1015" s="0" t="n">
        <v>0.5</v>
      </c>
      <c r="H1015" s="0" t="n">
        <v>0</v>
      </c>
      <c r="I1015" s="0" t="n">
        <v>1.9050520912273</v>
      </c>
      <c r="J1015" s="0" t="n">
        <v>1086.2281902209</v>
      </c>
      <c r="K1015" s="0" t="n">
        <v>1.90505209122739</v>
      </c>
      <c r="L1015" s="0" t="n">
        <v>0</v>
      </c>
      <c r="M1015" s="0" t="n">
        <v>1085.35116449122</v>
      </c>
      <c r="N1015" s="0" t="n">
        <v>0</v>
      </c>
      <c r="O1015" s="0" t="n">
        <v>998</v>
      </c>
      <c r="P1015" s="0" t="n">
        <v>501</v>
      </c>
      <c r="Q1015" s="0" t="n">
        <v>497</v>
      </c>
      <c r="R1015" s="0" t="n">
        <v>1085.71744516057</v>
      </c>
      <c r="S1015" s="0" t="n">
        <v>954.889672138276</v>
      </c>
      <c r="T1015" s="0" t="n">
        <v>27</v>
      </c>
      <c r="U1015" s="0" t="n">
        <v>21</v>
      </c>
      <c r="V1015" s="0" t="n">
        <v>40.2117423349314</v>
      </c>
      <c r="W1015" s="0" t="n">
        <v>45.4707202412501</v>
      </c>
      <c r="X1015" s="0" t="n">
        <v>1.90505209122739</v>
      </c>
      <c r="Y1015" s="0" t="n">
        <v>0</v>
      </c>
      <c r="Z1015" s="0" t="n">
        <v>0</v>
      </c>
      <c r="AA1015" s="0" t="n">
        <v>0</v>
      </c>
      <c r="AB1015" s="0" t="n">
        <v>1</v>
      </c>
      <c r="AC1015" s="0" t="n">
        <v>0</v>
      </c>
      <c r="AD1015" s="0" t="n">
        <v>0</v>
      </c>
      <c r="AE1015" s="0" t="n">
        <v>0</v>
      </c>
      <c r="AF1015" s="0" t="n">
        <v>30.4980951505938</v>
      </c>
      <c r="AG1015" s="0" t="n">
        <v>0</v>
      </c>
      <c r="AH1015" s="0" t="n">
        <v>0</v>
      </c>
      <c r="AI1015" s="0" t="n">
        <v>0</v>
      </c>
      <c r="AK1015" s="0" t="n">
        <f aca="false">A1015</f>
        <v>998</v>
      </c>
      <c r="AL1015" s="0" t="n">
        <v>1</v>
      </c>
      <c r="AM1015" s="0" t="n">
        <v>1</v>
      </c>
      <c r="AO1015" s="0" t="n">
        <v>998</v>
      </c>
      <c r="AP1015" s="0" t="n">
        <v>1</v>
      </c>
      <c r="AQ1015" s="0" t="n">
        <v>1.53830738666373</v>
      </c>
      <c r="AR1015" s="0" t="n">
        <v>907.885893858011</v>
      </c>
      <c r="AS1015" s="0" t="n">
        <v>100</v>
      </c>
      <c r="AT1015" s="0" t="n">
        <v>98</v>
      </c>
    </row>
    <row r="1016" customFormat="false" ht="12" hidden="false" customHeight="false" outlineLevel="0" collapsed="false">
      <c r="A1016" s="0" t="n">
        <v>999</v>
      </c>
      <c r="B1016" s="0" t="n">
        <v>1</v>
      </c>
      <c r="C1016" s="0" t="n">
        <v>0.598470984452101</v>
      </c>
      <c r="D1016" s="0" t="n">
        <v>1084.92160911412</v>
      </c>
      <c r="E1016" s="0" t="n">
        <v>4</v>
      </c>
      <c r="F1016" s="0" t="n">
        <v>4</v>
      </c>
      <c r="G1016" s="0" t="n">
        <v>0.5</v>
      </c>
      <c r="H1016" s="0" t="n">
        <v>0</v>
      </c>
      <c r="I1016" s="0" t="n">
        <v>1.82441553545895</v>
      </c>
      <c r="J1016" s="0" t="n">
        <v>1088.05260575636</v>
      </c>
      <c r="K1016" s="0" t="n">
        <v>3.1309966422341</v>
      </c>
      <c r="L1016" s="0" t="n">
        <v>0</v>
      </c>
      <c r="M1016" s="0" t="n">
        <v>1085.35116449122</v>
      </c>
      <c r="N1016" s="0" t="n">
        <v>0</v>
      </c>
      <c r="O1016" s="0" t="n">
        <v>999</v>
      </c>
      <c r="P1016" s="0" t="n">
        <v>502</v>
      </c>
      <c r="Q1016" s="0" t="n">
        <v>497</v>
      </c>
      <c r="R1016" s="0" t="n">
        <v>1234.1768008047</v>
      </c>
      <c r="S1016" s="0" t="n">
        <v>809.016797798689</v>
      </c>
      <c r="T1016" s="0" t="n">
        <v>29</v>
      </c>
      <c r="U1016" s="0" t="n">
        <v>19</v>
      </c>
      <c r="V1016" s="0" t="n">
        <v>42.5578060422979</v>
      </c>
      <c r="W1016" s="0" t="n">
        <v>42.5796073598923</v>
      </c>
      <c r="X1016" s="0" t="n">
        <v>3.1309966422341</v>
      </c>
      <c r="Y1016" s="0" t="n">
        <v>0</v>
      </c>
      <c r="Z1016" s="0" t="n">
        <v>0</v>
      </c>
      <c r="AA1016" s="0" t="n">
        <v>0</v>
      </c>
      <c r="AB1016" s="0" t="n">
        <v>1</v>
      </c>
      <c r="AC1016" s="0" t="n">
        <v>0</v>
      </c>
      <c r="AD1016" s="0" t="n">
        <v>0</v>
      </c>
      <c r="AE1016" s="0" t="n">
        <v>0</v>
      </c>
      <c r="AF1016" s="0" t="n">
        <v>18.4604578917625</v>
      </c>
      <c r="AG1016" s="0" t="n">
        <v>0</v>
      </c>
      <c r="AH1016" s="0" t="n">
        <v>0</v>
      </c>
      <c r="AI1016" s="0" t="n">
        <v>0</v>
      </c>
      <c r="AK1016" s="0" t="n">
        <f aca="false">A1016</f>
        <v>999</v>
      </c>
      <c r="AL1016" s="0" t="n">
        <v>0</v>
      </c>
      <c r="AM1016" s="0" t="n">
        <v>0</v>
      </c>
      <c r="AO1016" s="0" t="n">
        <v>999</v>
      </c>
      <c r="AP1016" s="0" t="n">
        <v>1</v>
      </c>
      <c r="AQ1016" s="0" t="n">
        <v>0.482866226301828</v>
      </c>
      <c r="AR1016" s="0" t="n">
        <v>908.368760084313</v>
      </c>
      <c r="AS1016" s="0" t="n">
        <v>100</v>
      </c>
      <c r="AT1016" s="0" t="n">
        <v>100</v>
      </c>
    </row>
    <row r="1017" customFormat="false" ht="12" hidden="false" customHeight="false" outlineLevel="0" collapsed="false">
      <c r="A1017" s="0" t="n">
        <v>1000</v>
      </c>
      <c r="B1017" s="0" t="n">
        <v>0</v>
      </c>
      <c r="C1017" s="0" t="n">
        <v>0.534796751857786</v>
      </c>
      <c r="D1017" s="0" t="n">
        <v>1085.45640586598</v>
      </c>
      <c r="E1017" s="0" t="n">
        <v>6</v>
      </c>
      <c r="F1017" s="0" t="n">
        <v>2</v>
      </c>
      <c r="G1017" s="0" t="n">
        <v>0.5</v>
      </c>
      <c r="H1017" s="0" t="n">
        <v>0</v>
      </c>
      <c r="I1017" s="0" t="n">
        <v>1.94382943006219</v>
      </c>
      <c r="J1017" s="0" t="n">
        <v>1089.99643518642</v>
      </c>
      <c r="K1017" s="0" t="n">
        <v>4.54002932043841</v>
      </c>
      <c r="L1017" s="0" t="n">
        <v>0</v>
      </c>
      <c r="M1017" s="0" t="n">
        <v>1085.45640586598</v>
      </c>
      <c r="N1017" s="0" t="n">
        <v>0</v>
      </c>
      <c r="O1017" s="0" t="n">
        <v>1000</v>
      </c>
      <c r="P1017" s="0" t="n">
        <v>503</v>
      </c>
      <c r="Q1017" s="0" t="n">
        <v>497</v>
      </c>
      <c r="R1017" s="0" t="n">
        <v>821.74594473822</v>
      </c>
      <c r="S1017" s="0" t="n">
        <v>1233.65597108265</v>
      </c>
      <c r="T1017" s="0" t="n">
        <v>23</v>
      </c>
      <c r="U1017" s="0" t="n">
        <v>25</v>
      </c>
      <c r="V1017" s="0" t="n">
        <v>35.7280690198926</v>
      </c>
      <c r="W1017" s="0" t="n">
        <v>49.3460414591403</v>
      </c>
      <c r="X1017" s="0" t="n">
        <v>0</v>
      </c>
      <c r="Y1017" s="0" t="n">
        <v>4.54002932043841</v>
      </c>
      <c r="Z1017" s="0" t="n">
        <v>0</v>
      </c>
      <c r="AA1017" s="0" t="n">
        <v>0</v>
      </c>
      <c r="AB1017" s="0" t="n">
        <v>0</v>
      </c>
      <c r="AC1017" s="0" t="n">
        <v>1</v>
      </c>
      <c r="AD1017" s="0" t="n">
        <v>0</v>
      </c>
      <c r="AE1017" s="0" t="n">
        <v>0</v>
      </c>
      <c r="AF1017" s="0" t="n">
        <v>0</v>
      </c>
      <c r="AG1017" s="0" t="n">
        <v>13.8281921315611</v>
      </c>
      <c r="AH1017" s="0" t="n">
        <v>0</v>
      </c>
      <c r="AI1017" s="0" t="n">
        <v>0</v>
      </c>
      <c r="AK1017" s="0" t="n">
        <f aca="false">A1017</f>
        <v>1000</v>
      </c>
      <c r="AL1017" s="0" t="n">
        <v>2</v>
      </c>
      <c r="AM1017" s="0" t="n">
        <v>1</v>
      </c>
      <c r="AO1017" s="0" t="n">
        <v>1000</v>
      </c>
      <c r="AP1017" s="0" t="n">
        <v>0</v>
      </c>
      <c r="AQ1017" s="0" t="n">
        <v>0.0839359527263535</v>
      </c>
      <c r="AR1017" s="0" t="n">
        <v>908.45269603704</v>
      </c>
      <c r="AS1017" s="0" t="n">
        <v>102</v>
      </c>
      <c r="AT1017" s="0" t="n">
        <v>100</v>
      </c>
    </row>
    <row r="1018" customFormat="false" ht="12" hidden="false" customHeight="false" outlineLevel="0" collapsed="false">
      <c r="AF1018" s="0" t="n">
        <v>0</v>
      </c>
      <c r="AG1018" s="0" t="n">
        <v>0</v>
      </c>
      <c r="AH1018" s="0" t="n">
        <v>0</v>
      </c>
      <c r="AI1018" s="0" t="n">
        <v>0</v>
      </c>
    </row>
    <row r="1019" customFormat="false" ht="12" hidden="false" customHeight="false" outlineLevel="0" collapsed="false">
      <c r="A1019" s="0" t="s">
        <v>82</v>
      </c>
      <c r="B1019" s="0" t="n">
        <v>495</v>
      </c>
      <c r="C1019" s="0" t="n">
        <v>1085.45640586598</v>
      </c>
      <c r="D1019" s="0" t="n">
        <v>539128.960090795</v>
      </c>
      <c r="E1019" s="0" t="n">
        <v>9168</v>
      </c>
      <c r="F1019" s="0" t="n">
        <v>9024</v>
      </c>
      <c r="G1019" s="0" t="n">
        <v>500</v>
      </c>
      <c r="H1019" s="0" t="n">
        <v>497</v>
      </c>
      <c r="I1019" s="0" t="n">
        <v>1008.65754445028</v>
      </c>
      <c r="J1019" s="0" t="n">
        <v>546472.732407444</v>
      </c>
      <c r="K1019" s="0" t="n">
        <v>3948.82355737287</v>
      </c>
      <c r="L1019" s="0" t="n">
        <v>991.976616235555</v>
      </c>
      <c r="M1019" s="0" t="n">
        <v>546248.177963788</v>
      </c>
      <c r="N1019" s="0" t="n">
        <v>3851.06280282604</v>
      </c>
      <c r="O1019" s="0" t="n">
        <v>500500</v>
      </c>
      <c r="P1019" s="0" t="n">
        <v>252585</v>
      </c>
      <c r="Q1019" s="0" t="n">
        <v>247915</v>
      </c>
      <c r="R1019" s="0" t="n">
        <v>608213.217226259</v>
      </c>
      <c r="S1019" s="0" t="n">
        <v>607666.772890989</v>
      </c>
      <c r="T1019" s="0" t="n">
        <v>24015</v>
      </c>
      <c r="U1019" s="0" t="n">
        <v>23985</v>
      </c>
      <c r="V1019" s="0" t="n">
        <v>25315.7057522397</v>
      </c>
      <c r="W1019" s="0" t="n">
        <v>25299.7607423348</v>
      </c>
      <c r="X1019" s="0" t="n">
        <v>1834.60735462105</v>
      </c>
      <c r="Y1019" s="0" t="n">
        <v>2114.21620275182</v>
      </c>
      <c r="Z1019" s="0" t="n">
        <v>1925.94401307534</v>
      </c>
      <c r="AA1019" s="0" t="n">
        <v>1925.11878975071</v>
      </c>
      <c r="AB1019" s="0" t="n">
        <v>247</v>
      </c>
      <c r="AC1019" s="0" t="n">
        <v>256</v>
      </c>
      <c r="AD1019" s="0" t="n">
        <v>248</v>
      </c>
      <c r="AE1019" s="0" t="n">
        <v>249</v>
      </c>
      <c r="AF1019" s="0" t="n">
        <v>0</v>
      </c>
      <c r="AG1019" s="0" t="n">
        <v>0</v>
      </c>
      <c r="AH1019" s="0" t="n">
        <v>0</v>
      </c>
      <c r="AI1019" s="0" t="n">
        <v>0</v>
      </c>
    </row>
    <row r="1020" customFormat="false" ht="12" hidden="false" customHeight="false" outlineLevel="0" collapsed="false">
      <c r="A1020" s="0" t="s">
        <v>83</v>
      </c>
      <c r="C1020" s="0" t="n">
        <v>1.08545640586598</v>
      </c>
      <c r="E1020" s="0" t="n">
        <v>18.2266401590457</v>
      </c>
      <c r="F1020" s="0" t="n">
        <v>18.1569416498994</v>
      </c>
      <c r="G1020" s="0" t="n">
        <v>0.5</v>
      </c>
      <c r="H1020" s="0" t="n">
        <v>0.497</v>
      </c>
      <c r="T1020" s="0" t="n">
        <v>24.015</v>
      </c>
      <c r="U1020" s="0" t="n">
        <v>23.985</v>
      </c>
      <c r="X1020" s="0" t="n">
        <v>7.42756014016619</v>
      </c>
      <c r="Y1020" s="0" t="n">
        <v>8.25865704199929</v>
      </c>
      <c r="Z1020" s="0" t="n">
        <v>7.76590327852959</v>
      </c>
      <c r="AA1020" s="0" t="n">
        <v>7.73140076205104</v>
      </c>
    </row>
    <row r="1021" customFormat="false" ht="12" hidden="false" customHeight="false" outlineLevel="0" collapsed="false">
      <c r="T1021" s="0" t="n">
        <v>3.43111462174431</v>
      </c>
      <c r="U1021" s="0" t="n">
        <v>3.43111462174431</v>
      </c>
    </row>
    <row r="1022" customFormat="false" ht="12" hidden="false" customHeight="false" outlineLevel="0" collapsed="false">
      <c r="A1022" s="0" t="s">
        <v>84</v>
      </c>
      <c r="B1022" s="0" t="n">
        <v>41536</v>
      </c>
      <c r="C1022" s="0" t="n">
        <v>47268.178888567</v>
      </c>
      <c r="D1022" s="0" t="n">
        <v>23581494.0640374</v>
      </c>
      <c r="E1022" s="0" t="n">
        <v>1283098</v>
      </c>
      <c r="F1022" s="0" t="n">
        <v>1282996</v>
      </c>
      <c r="G1022" s="0" t="n">
        <v>24000</v>
      </c>
      <c r="H1022" s="0" t="n">
        <v>23985</v>
      </c>
      <c r="I1022" s="0" t="n">
        <v>48037.0920398968</v>
      </c>
      <c r="J1022" s="0" t="n">
        <v>24772722.4169715</v>
      </c>
      <c r="K1022" s="0" t="n">
        <v>608213.217226258</v>
      </c>
      <c r="L1022" s="0" t="n">
        <v>47980.7277347393</v>
      </c>
      <c r="M1022" s="0" t="n">
        <v>24772346.7872391</v>
      </c>
      <c r="N1022" s="0" t="n">
        <v>607666.772890989</v>
      </c>
      <c r="O1022" s="0" t="n">
        <v>24024000</v>
      </c>
      <c r="P1022" s="0" t="n">
        <v>12022945</v>
      </c>
      <c r="Q1022" s="0" t="n">
        <v>12001055</v>
      </c>
      <c r="R1022" s="0" t="n">
        <v>17339782.6956122</v>
      </c>
      <c r="S1022" s="0" t="n">
        <v>17321884.8826323</v>
      </c>
      <c r="T1022" s="0" t="n">
        <v>588333</v>
      </c>
      <c r="U1022" s="0" t="n">
        <v>587667</v>
      </c>
      <c r="V1022" s="0" t="n">
        <v>1392069.22009573</v>
      </c>
      <c r="W1022" s="0" t="n">
        <v>1389517.00963999</v>
      </c>
      <c r="X1022" s="0" t="n">
        <v>580225.647439032</v>
      </c>
      <c r="Y1022" s="0" t="n">
        <v>27987.5697872256</v>
      </c>
      <c r="Z1022" s="0" t="n">
        <v>580642.500961781</v>
      </c>
      <c r="AA1022" s="0" t="n">
        <v>27024.2719292082</v>
      </c>
      <c r="AB1022" s="0" t="n">
        <v>20782</v>
      </c>
      <c r="AC1022" s="0" t="n">
        <v>3233</v>
      </c>
      <c r="AD1022" s="0" t="n">
        <v>20754</v>
      </c>
      <c r="AE1022" s="0" t="n">
        <v>3231</v>
      </c>
    </row>
    <row r="1023" customFormat="false" ht="12" hidden="false" customHeight="false" outlineLevel="0" collapsed="false">
      <c r="A1023" s="0" t="s">
        <v>85</v>
      </c>
      <c r="X1023" s="0" t="n">
        <v>27.9196250331553</v>
      </c>
      <c r="Y1023" s="0" t="n">
        <v>8.656841876655</v>
      </c>
      <c r="Z1023" s="0" t="n">
        <v>27.9773779012133</v>
      </c>
      <c r="AA1023" s="0" t="n">
        <v>8.36405816440986</v>
      </c>
    </row>
    <row r="1026" customFormat="false" ht="12" hidden="false" customHeight="false" outlineLevel="0" collapsed="false">
      <c r="A1026" s="0" t="s">
        <v>12</v>
      </c>
      <c r="B1026" s="0" t="s">
        <v>16</v>
      </c>
      <c r="C1026" s="0" t="s">
        <v>16</v>
      </c>
      <c r="D1026" s="0" t="s">
        <v>16</v>
      </c>
      <c r="E1026" s="0" t="s">
        <v>16</v>
      </c>
      <c r="F1026" s="0" t="s">
        <v>16</v>
      </c>
      <c r="G1026" s="0" t="s">
        <v>17</v>
      </c>
      <c r="H1026" s="0" t="s">
        <v>17</v>
      </c>
      <c r="I1026" s="0" t="s">
        <v>18</v>
      </c>
      <c r="J1026" s="0" t="s">
        <v>18</v>
      </c>
      <c r="AF1026" s="0" t="s">
        <v>17</v>
      </c>
      <c r="AG1026" s="0" t="s">
        <v>17</v>
      </c>
      <c r="AH1026" s="0" t="s">
        <v>18</v>
      </c>
      <c r="AI1026" s="0" t="s">
        <v>18</v>
      </c>
    </row>
    <row r="1027" customFormat="false" ht="12" hidden="false" customHeight="false" outlineLevel="0" collapsed="false">
      <c r="B1027" s="0" t="s">
        <v>17</v>
      </c>
      <c r="C1027" s="0" t="s">
        <v>18</v>
      </c>
      <c r="D1027" s="0" t="s">
        <v>16</v>
      </c>
      <c r="E1027" s="0" t="s">
        <v>19</v>
      </c>
      <c r="F1027" s="0" t="s">
        <v>20</v>
      </c>
      <c r="G1027" s="0" t="s">
        <v>19</v>
      </c>
      <c r="H1027" s="0" t="s">
        <v>20</v>
      </c>
      <c r="I1027" s="0" t="s">
        <v>19</v>
      </c>
      <c r="J1027" s="0" t="s">
        <v>20</v>
      </c>
      <c r="AF1027" s="0" t="s">
        <v>19</v>
      </c>
      <c r="AG1027" s="0" t="s">
        <v>20</v>
      </c>
      <c r="AH1027" s="0" t="s">
        <v>19</v>
      </c>
      <c r="AI1027" s="0" t="s">
        <v>20</v>
      </c>
    </row>
    <row r="1028" customFormat="false" ht="12" hidden="false" customHeight="false" outlineLevel="0" collapsed="false">
      <c r="A1028" s="0" t="s">
        <v>86</v>
      </c>
      <c r="B1028" s="0" t="n">
        <v>3948.82355737287</v>
      </c>
      <c r="C1028" s="0" t="n">
        <v>3851.06280282604</v>
      </c>
      <c r="D1028" s="0" t="n">
        <v>7799.88636019891</v>
      </c>
      <c r="E1028" s="0" t="n">
        <v>3760.55136769639</v>
      </c>
      <c r="F1028" s="0" t="n">
        <v>4039.33499250253</v>
      </c>
      <c r="G1028" s="0" t="n">
        <v>1834.60735462105</v>
      </c>
      <c r="H1028" s="0" t="n">
        <v>2114.21620275182</v>
      </c>
      <c r="I1028" s="0" t="n">
        <v>1925.94401307534</v>
      </c>
      <c r="J1028" s="0" t="n">
        <v>1925.11878975071</v>
      </c>
      <c r="K1028" s="0" t="s">
        <v>21</v>
      </c>
      <c r="AE1028" s="0" t="s">
        <v>113</v>
      </c>
      <c r="AF1028" s="0" t="n">
        <v>5.93355325814225</v>
      </c>
      <c r="AG1028" s="0" t="n">
        <v>5.9293495282851</v>
      </c>
      <c r="AH1028" s="0" t="n">
        <v>5.98487941660843</v>
      </c>
      <c r="AI1028" s="0" t="n">
        <v>5.70239858013091</v>
      </c>
    </row>
    <row r="1029" customFormat="false" ht="12" hidden="false" customHeight="false" outlineLevel="0" collapsed="false">
      <c r="A1029" s="0" t="s">
        <v>55</v>
      </c>
      <c r="B1029" s="0" t="n">
        <v>503</v>
      </c>
      <c r="C1029" s="0" t="n">
        <v>497</v>
      </c>
      <c r="D1029" s="0" t="n">
        <v>1000</v>
      </c>
      <c r="E1029" s="0" t="n">
        <v>495</v>
      </c>
      <c r="F1029" s="0" t="n">
        <v>505</v>
      </c>
      <c r="G1029" s="0" t="n">
        <v>247</v>
      </c>
      <c r="H1029" s="0" t="n">
        <v>256</v>
      </c>
      <c r="I1029" s="0" t="n">
        <v>248</v>
      </c>
      <c r="J1029" s="0" t="n">
        <v>249</v>
      </c>
      <c r="AE1029" s="0" t="s">
        <v>55</v>
      </c>
      <c r="AF1029" s="0" t="n">
        <v>247</v>
      </c>
      <c r="AG1029" s="0" t="n">
        <v>256</v>
      </c>
      <c r="AH1029" s="0" t="n">
        <v>248</v>
      </c>
      <c r="AI1029" s="0" t="n">
        <v>249</v>
      </c>
    </row>
    <row r="1030" customFormat="false" ht="12" hidden="false" customHeight="false" outlineLevel="0" collapsed="false">
      <c r="A1030" s="0" t="s">
        <v>87</v>
      </c>
      <c r="B1030" s="0" t="n">
        <v>7.85054385163591</v>
      </c>
      <c r="C1030" s="0" t="n">
        <v>7.74861730950914</v>
      </c>
      <c r="D1030" s="0" t="n">
        <v>7.79988636019891</v>
      </c>
      <c r="E1030" s="0" t="n">
        <v>7.59707347009371</v>
      </c>
      <c r="F1030" s="0" t="n">
        <v>7.99868315347035</v>
      </c>
      <c r="G1030" s="0" t="n">
        <v>7.42756014016619</v>
      </c>
      <c r="H1030" s="0" t="n">
        <v>8.25865704199929</v>
      </c>
      <c r="I1030" s="0" t="n">
        <v>7.76590327852959</v>
      </c>
      <c r="J1030" s="0" t="n">
        <v>7.73140076205104</v>
      </c>
    </row>
    <row r="1031" customFormat="false" ht="12" hidden="false" customHeight="false" outlineLevel="0" collapsed="false">
      <c r="A1031" s="0" t="s">
        <v>13</v>
      </c>
      <c r="B1031" s="0" t="n">
        <v>608213.217226258</v>
      </c>
      <c r="C1031" s="0" t="n">
        <v>607666.772890989</v>
      </c>
      <c r="D1031" s="0" t="n">
        <v>1215879.99011725</v>
      </c>
      <c r="E1031" s="0" t="n">
        <v>1160868.14840081</v>
      </c>
      <c r="F1031" s="0" t="n">
        <v>55011.8417164339</v>
      </c>
      <c r="G1031" s="0" t="n">
        <v>580225.647439032</v>
      </c>
      <c r="H1031" s="0" t="n">
        <v>27987.5697872256</v>
      </c>
      <c r="I1031" s="0" t="n">
        <v>580642.500961781</v>
      </c>
      <c r="J1031" s="0" t="n">
        <v>27024.2719292082</v>
      </c>
      <c r="K1031" s="0" t="s">
        <v>21</v>
      </c>
      <c r="AE1031" s="0" t="s">
        <v>114</v>
      </c>
      <c r="AF1031" s="0" t="n">
        <v>307463.100936684</v>
      </c>
      <c r="AG1031" s="0" t="e">
        <f aca="false">#REF!</f>
        <v>#DIV/0!</v>
      </c>
      <c r="AH1031" s="0" t="n">
        <v>306953.034241229</v>
      </c>
      <c r="AI1031" s="0" t="e">
        <f aca="false">#REF!</f>
        <v>#DIV/0!</v>
      </c>
    </row>
    <row r="1032" customFormat="false" ht="12" hidden="false" customHeight="false" outlineLevel="0" collapsed="false">
      <c r="A1032" s="0" t="s">
        <v>14</v>
      </c>
      <c r="B1032" s="0" t="n">
        <v>24015</v>
      </c>
      <c r="C1032" s="0" t="n">
        <v>23985</v>
      </c>
      <c r="D1032" s="0" t="n">
        <v>48000</v>
      </c>
      <c r="E1032" s="0" t="n">
        <v>41536</v>
      </c>
      <c r="F1032" s="0" t="n">
        <v>6464</v>
      </c>
      <c r="G1032" s="0" t="n">
        <v>20782</v>
      </c>
      <c r="H1032" s="0" t="n">
        <v>3233</v>
      </c>
      <c r="I1032" s="0" t="n">
        <v>20754</v>
      </c>
      <c r="J1032" s="0" t="n">
        <v>3231</v>
      </c>
      <c r="AF1032" s="0" t="n">
        <v>20782</v>
      </c>
      <c r="AG1032" s="0" t="n">
        <v>3233</v>
      </c>
      <c r="AH1032" s="0" t="n">
        <v>20754</v>
      </c>
      <c r="AI1032" s="0" t="n">
        <v>3231</v>
      </c>
    </row>
    <row r="1033" customFormat="false" ht="12" hidden="false" customHeight="false" outlineLevel="0" collapsed="false">
      <c r="A1033" s="0" t="s">
        <v>15</v>
      </c>
      <c r="B1033" s="0" t="n">
        <v>25.3263883916826</v>
      </c>
      <c r="C1033" s="0" t="n">
        <v>25.335283422597</v>
      </c>
      <c r="D1033" s="0" t="n">
        <v>25.3308331274427</v>
      </c>
      <c r="E1033" s="0" t="n">
        <v>27.9484820011752</v>
      </c>
      <c r="F1033" s="0" t="n">
        <v>8.51049531504237</v>
      </c>
      <c r="G1033" s="0" t="n">
        <v>27.9196250331553</v>
      </c>
      <c r="H1033" s="0" t="n">
        <v>8.656841876655</v>
      </c>
      <c r="I1033" s="0" t="n">
        <v>27.9773779012133</v>
      </c>
      <c r="J1033" s="0" t="n">
        <v>8.36405816440986</v>
      </c>
      <c r="AE1033" s="0" t="s">
        <v>115</v>
      </c>
      <c r="AF1033" s="0" t="n">
        <v>14.7946829437342</v>
      </c>
      <c r="AG1033" s="0" t="e">
        <f aca="false">#REF!</f>
        <v>#DIV/0!</v>
      </c>
      <c r="AH1033" s="0" t="n">
        <v>14.7900662157285</v>
      </c>
      <c r="AI1033" s="0" t="e">
        <f aca="false">#REF!</f>
        <v>#DIV/0!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14.12"/>
    <col collapsed="false" customWidth="true" hidden="false" outlineLevel="0" max="3" min="2" style="0" width="10.24"/>
    <col collapsed="false" customWidth="true" hidden="false" outlineLevel="0" max="4" min="4" style="0" width="13.62"/>
    <col collapsed="false" customWidth="true" hidden="false" outlineLevel="0" max="5" min="5" style="3" width="11.99"/>
    <col collapsed="false" customWidth="true" hidden="false" outlineLevel="0" max="6" min="6" style="3" width="12.12"/>
    <col collapsed="false" customWidth="true" hidden="false" outlineLevel="0" max="7" min="7" style="0" width="8.62"/>
    <col collapsed="false" customWidth="true" hidden="false" outlineLevel="0" max="8" min="8" style="0" width="10.99"/>
    <col collapsed="false" customWidth="true" hidden="false" outlineLevel="0" max="9" min="9" style="0" width="10.24"/>
    <col collapsed="false" customWidth="true" hidden="false" outlineLevel="0" max="10" min="10" style="0" width="10.87"/>
    <col collapsed="false" customWidth="true" hidden="false" outlineLevel="0" max="11" min="11" style="0" width="8.24"/>
    <col collapsed="false" customWidth="true" hidden="false" outlineLevel="0" max="12" min="12" style="0" width="10.37"/>
    <col collapsed="false" customWidth="true" hidden="false" outlineLevel="0" max="13" min="13" style="0" width="9.74"/>
    <col collapsed="false" customWidth="true" hidden="false" outlineLevel="0" max="14" min="14" style="0" width="10.11"/>
    <col collapsed="false" customWidth="true" hidden="false" outlineLevel="0" max="15" min="15" style="0" width="9.24"/>
    <col collapsed="false" customWidth="true" hidden="false" outlineLevel="0" max="18" min="18" style="10" width="12.37"/>
    <col collapsed="false" customWidth="true" hidden="false" outlineLevel="0" max="19" min="19" style="10" width="12.86"/>
    <col collapsed="false" customWidth="true" hidden="false" outlineLevel="0" max="21" min="21" style="0" width="10.87"/>
    <col collapsed="false" customWidth="true" hidden="false" outlineLevel="0" max="23" min="22" style="10" width="13.87"/>
  </cols>
  <sheetData>
    <row r="1" customFormat="false" ht="12" hidden="false" customHeight="false" outlineLevel="0" collapsed="false">
      <c r="A1" s="1" t="s">
        <v>0</v>
      </c>
      <c r="B1" s="1"/>
      <c r="C1" s="1"/>
      <c r="D1" s="1"/>
      <c r="E1" s="2"/>
      <c r="F1" s="3" t="s">
        <v>1</v>
      </c>
      <c r="G1" s="0" t="n">
        <v>0</v>
      </c>
    </row>
    <row r="2" customFormat="false" ht="12" hidden="false" customHeight="false" outlineLevel="0" collapsed="false">
      <c r="A2" s="4" t="s">
        <v>2</v>
      </c>
      <c r="B2" s="4"/>
      <c r="C2" s="4"/>
      <c r="D2" s="5" t="n">
        <v>1.05</v>
      </c>
      <c r="F2" s="0" t="s">
        <v>3</v>
      </c>
      <c r="G2" s="0" t="e">
        <f aca="false">IF(RESET=1,0,G2+1)</f>
        <v>#N/A</v>
      </c>
    </row>
    <row r="3" customFormat="false" ht="12" hidden="false" customHeight="false" outlineLevel="0" collapsed="false">
      <c r="A3" s="4" t="s">
        <v>4</v>
      </c>
      <c r="B3" s="4"/>
      <c r="C3" s="4"/>
      <c r="D3" s="5" t="n">
        <v>2</v>
      </c>
      <c r="G3" s="4"/>
    </row>
    <row r="4" customFormat="false" ht="12" hidden="false" customHeight="false" outlineLevel="0" collapsed="false">
      <c r="A4" s="4" t="s">
        <v>5</v>
      </c>
      <c r="B4" s="4"/>
      <c r="C4" s="4"/>
      <c r="D4" s="5" t="n">
        <v>2</v>
      </c>
      <c r="G4" s="4"/>
    </row>
    <row r="5" customFormat="false" ht="12" hidden="false" customHeight="false" outlineLevel="0" collapsed="false">
      <c r="A5" s="4" t="s">
        <v>6</v>
      </c>
      <c r="B5" s="4"/>
      <c r="C5" s="4"/>
      <c r="D5" s="5" t="n">
        <v>0.5</v>
      </c>
      <c r="G5" s="4"/>
    </row>
    <row r="6" customFormat="false" ht="12" hidden="false" customHeight="false" outlineLevel="0" collapsed="false">
      <c r="A6" s="4" t="s">
        <v>7</v>
      </c>
      <c r="B6" s="4"/>
      <c r="C6" s="4"/>
      <c r="D6" s="0" t="n">
        <v>-0.15</v>
      </c>
      <c r="G6" s="4"/>
    </row>
    <row r="7" customFormat="false" ht="12" hidden="false" customHeight="false" outlineLevel="0" collapsed="false">
      <c r="A7" s="4" t="s">
        <v>8</v>
      </c>
      <c r="B7" s="4"/>
      <c r="C7" s="4"/>
      <c r="D7" s="0" t="n">
        <v>0</v>
      </c>
      <c r="G7" s="4"/>
    </row>
    <row r="8" customFormat="false" ht="12" hidden="false" customHeight="false" outlineLevel="0" collapsed="false">
      <c r="A8" s="4" t="s">
        <v>9</v>
      </c>
      <c r="B8" s="4"/>
      <c r="C8" s="4"/>
      <c r="D8" s="46" t="n">
        <v>0.5</v>
      </c>
      <c r="G8" s="4"/>
    </row>
    <row r="9" customFormat="false" ht="12" hidden="false" customHeight="false" outlineLevel="0" collapsed="false">
      <c r="A9" s="4"/>
      <c r="B9" s="4"/>
      <c r="C9" s="4"/>
      <c r="D9" s="6"/>
      <c r="G9" s="4"/>
    </row>
    <row r="10" customFormat="false" ht="12" hidden="false" customHeight="false" outlineLevel="0" collapsed="false">
      <c r="A10" s="4" t="s">
        <v>10</v>
      </c>
      <c r="B10" s="4"/>
      <c r="C10" s="4"/>
      <c r="D10" s="7" t="n">
        <f aca="false">AVERAGE(H18:H1017)</f>
        <v>0.500970873786408</v>
      </c>
      <c r="G10" s="4"/>
    </row>
    <row r="11" customFormat="false" ht="12" hidden="false" customHeight="false" outlineLevel="0" collapsed="false">
      <c r="A11" s="4" t="s">
        <v>11</v>
      </c>
      <c r="B11" s="4"/>
      <c r="C11" s="4"/>
      <c r="D11" s="8" t="n">
        <f aca="false">AVERAGE(B18:B1017)</f>
        <v>0.481553398058252</v>
      </c>
      <c r="G11" s="4"/>
    </row>
    <row r="13" customFormat="false" ht="11.25" hidden="false" customHeight="true" outlineLevel="0" collapsed="false">
      <c r="A13" s="4"/>
      <c r="B13" s="47"/>
      <c r="C13" s="47"/>
      <c r="D13" s="47"/>
      <c r="E13" s="47"/>
      <c r="F13" s="4"/>
    </row>
    <row r="14" customFormat="false" ht="16.5" hidden="false" customHeight="true" outlineLevel="0" collapsed="false">
      <c r="A14" s="38"/>
      <c r="B14" s="38"/>
      <c r="C14" s="39"/>
      <c r="D14" s="38"/>
      <c r="E14" s="38" t="s">
        <v>89</v>
      </c>
      <c r="F14" s="38" t="s">
        <v>89</v>
      </c>
      <c r="G14" s="48" t="s">
        <v>90</v>
      </c>
      <c r="H14" s="38"/>
      <c r="I14" s="38" t="s">
        <v>17</v>
      </c>
      <c r="J14" s="38" t="s">
        <v>17</v>
      </c>
      <c r="K14" s="38" t="s">
        <v>17</v>
      </c>
      <c r="L14" s="38" t="s">
        <v>18</v>
      </c>
      <c r="M14" s="38" t="s">
        <v>18</v>
      </c>
      <c r="N14" s="38" t="s">
        <v>18</v>
      </c>
      <c r="O14" s="38"/>
      <c r="P14" s="38"/>
      <c r="Q14" s="38"/>
      <c r="R14" s="49" t="s">
        <v>91</v>
      </c>
      <c r="S14" s="49" t="s">
        <v>91</v>
      </c>
      <c r="T14" s="38" t="s">
        <v>91</v>
      </c>
      <c r="U14" s="38" t="s">
        <v>91</v>
      </c>
      <c r="V14" s="49" t="s">
        <v>92</v>
      </c>
      <c r="W14" s="49" t="s">
        <v>93</v>
      </c>
      <c r="X14" s="38" t="s">
        <v>19</v>
      </c>
      <c r="Y14" s="38" t="s">
        <v>20</v>
      </c>
      <c r="Z14" s="38" t="s">
        <v>19</v>
      </c>
      <c r="AA14" s="38" t="s">
        <v>20</v>
      </c>
      <c r="AB14" s="38" t="s">
        <v>19</v>
      </c>
      <c r="AC14" s="38" t="s">
        <v>20</v>
      </c>
      <c r="AD14" s="38" t="s">
        <v>19</v>
      </c>
      <c r="AE14" s="38" t="s">
        <v>20</v>
      </c>
      <c r="AF14" s="38" t="s">
        <v>94</v>
      </c>
      <c r="AG14" s="38" t="s">
        <v>94</v>
      </c>
      <c r="AH14" s="38" t="s">
        <v>94</v>
      </c>
      <c r="AI14" s="38" t="s">
        <v>94</v>
      </c>
    </row>
    <row r="15" customFormat="false" ht="12" hidden="false" customHeight="false" outlineLevel="0" collapsed="false">
      <c r="A15" s="50" t="s">
        <v>77</v>
      </c>
      <c r="B15" s="50" t="s">
        <v>95</v>
      </c>
      <c r="C15" s="51" t="s">
        <v>78</v>
      </c>
      <c r="D15" s="50" t="s">
        <v>78</v>
      </c>
      <c r="E15" s="52" t="s">
        <v>17</v>
      </c>
      <c r="F15" s="52" t="s">
        <v>18</v>
      </c>
      <c r="G15" s="50" t="s">
        <v>96</v>
      </c>
      <c r="H15" s="50" t="s">
        <v>97</v>
      </c>
      <c r="I15" s="50" t="s">
        <v>98</v>
      </c>
      <c r="J15" s="50" t="s">
        <v>79</v>
      </c>
      <c r="K15" s="50" t="s">
        <v>99</v>
      </c>
      <c r="L15" s="50" t="s">
        <v>98</v>
      </c>
      <c r="M15" s="50" t="s">
        <v>79</v>
      </c>
      <c r="N15" s="50" t="s">
        <v>99</v>
      </c>
      <c r="O15" s="50" t="s">
        <v>77</v>
      </c>
      <c r="P15" s="36" t="s">
        <v>48</v>
      </c>
      <c r="Q15" s="36" t="s">
        <v>100</v>
      </c>
      <c r="R15" s="37" t="s">
        <v>101</v>
      </c>
      <c r="S15" s="37" t="s">
        <v>101</v>
      </c>
      <c r="T15" s="36" t="s">
        <v>101</v>
      </c>
      <c r="U15" s="36" t="s">
        <v>101</v>
      </c>
      <c r="V15" s="37" t="s">
        <v>17</v>
      </c>
      <c r="W15" s="37" t="s">
        <v>18</v>
      </c>
      <c r="X15" s="36" t="s">
        <v>17</v>
      </c>
      <c r="Y15" s="36" t="s">
        <v>17</v>
      </c>
      <c r="Z15" s="36" t="s">
        <v>18</v>
      </c>
      <c r="AA15" s="36" t="s">
        <v>18</v>
      </c>
      <c r="AB15" s="36" t="s">
        <v>17</v>
      </c>
      <c r="AC15" s="36" t="s">
        <v>17</v>
      </c>
      <c r="AD15" s="36" t="s">
        <v>18</v>
      </c>
      <c r="AE15" s="36" t="s">
        <v>18</v>
      </c>
      <c r="AF15" s="38" t="s">
        <v>17</v>
      </c>
      <c r="AG15" s="38" t="s">
        <v>17</v>
      </c>
      <c r="AH15" s="39" t="s">
        <v>18</v>
      </c>
      <c r="AI15" s="39" t="s">
        <v>18</v>
      </c>
    </row>
    <row r="16" customFormat="false" ht="12.75" hidden="false" customHeight="false" outlineLevel="0" collapsed="false">
      <c r="A16" s="53" t="s">
        <v>80</v>
      </c>
      <c r="B16" s="53"/>
      <c r="C16" s="54" t="s">
        <v>102</v>
      </c>
      <c r="D16" s="53" t="s">
        <v>81</v>
      </c>
      <c r="E16" s="55" t="s">
        <v>99</v>
      </c>
      <c r="F16" s="55" t="s">
        <v>99</v>
      </c>
      <c r="G16" s="53" t="s">
        <v>103</v>
      </c>
      <c r="H16" s="53" t="s">
        <v>104</v>
      </c>
      <c r="I16" s="53" t="s">
        <v>81</v>
      </c>
      <c r="J16" s="53" t="s">
        <v>81</v>
      </c>
      <c r="K16" s="53" t="s">
        <v>81</v>
      </c>
      <c r="L16" s="53" t="s">
        <v>81</v>
      </c>
      <c r="M16" s="53" t="s">
        <v>81</v>
      </c>
      <c r="N16" s="53" t="s">
        <v>81</v>
      </c>
      <c r="O16" s="53" t="s">
        <v>80</v>
      </c>
      <c r="P16" s="55" t="s">
        <v>80</v>
      </c>
      <c r="Q16" s="55" t="s">
        <v>80</v>
      </c>
      <c r="R16" s="56" t="s">
        <v>105</v>
      </c>
      <c r="S16" s="56" t="s">
        <v>106</v>
      </c>
      <c r="T16" s="55" t="s">
        <v>107</v>
      </c>
      <c r="U16" s="55" t="s">
        <v>108</v>
      </c>
      <c r="V16" s="56" t="s">
        <v>99</v>
      </c>
      <c r="W16" s="56" t="s">
        <v>99</v>
      </c>
      <c r="X16" s="55" t="s">
        <v>99</v>
      </c>
      <c r="Y16" s="55" t="s">
        <v>99</v>
      </c>
      <c r="Z16" s="55" t="s">
        <v>99</v>
      </c>
      <c r="AA16" s="55" t="s">
        <v>99</v>
      </c>
      <c r="AB16" s="55" t="s">
        <v>109</v>
      </c>
      <c r="AC16" s="55" t="s">
        <v>109</v>
      </c>
      <c r="AD16" s="55" t="s">
        <v>109</v>
      </c>
      <c r="AE16" s="55" t="s">
        <v>109</v>
      </c>
      <c r="AF16" s="34" t="s">
        <v>19</v>
      </c>
      <c r="AG16" s="34" t="s">
        <v>20</v>
      </c>
      <c r="AH16" s="34" t="s">
        <v>19</v>
      </c>
      <c r="AI16" s="34" t="s">
        <v>20</v>
      </c>
    </row>
    <row r="17" customFormat="false" ht="12" hidden="false" customHeight="true" outlineLevel="0" collapsed="false">
      <c r="A17" s="4"/>
      <c r="B17" s="38" t="s">
        <v>61</v>
      </c>
      <c r="C17" s="3"/>
      <c r="E17" s="0"/>
      <c r="F17" s="0"/>
      <c r="G17" s="4"/>
      <c r="H17" s="0" t="s">
        <v>100</v>
      </c>
      <c r="O17" s="4"/>
      <c r="AF17" s="57"/>
      <c r="AG17" s="57"/>
      <c r="AH17" s="57"/>
      <c r="AI17" s="57"/>
    </row>
    <row r="18" customFormat="false" ht="12" hidden="false" customHeight="true" outlineLevel="0" collapsed="false">
      <c r="A18" s="5" t="n">
        <v>1</v>
      </c>
      <c r="B18" s="58" t="n">
        <f aca="true">IF(RAND()&lt;$D$8,1,0)</f>
        <v>1</v>
      </c>
      <c r="C18" s="47" t="n">
        <v>0</v>
      </c>
      <c r="D18" s="59" t="n">
        <v>0</v>
      </c>
      <c r="E18" s="60" t="n">
        <v>0</v>
      </c>
      <c r="F18" s="60" t="n">
        <v>0</v>
      </c>
      <c r="G18" s="61" t="n">
        <v>0.5</v>
      </c>
      <c r="H18" s="59" t="n">
        <v>0</v>
      </c>
      <c r="I18" s="59" t="n">
        <f aca="true">IF((H18=1),0,$D$3+$D$5*(RAND()-0.5))</f>
        <v>1.98575445615542</v>
      </c>
      <c r="J18" s="59" t="n">
        <f aca="false">I18</f>
        <v>1.98575445615542</v>
      </c>
      <c r="K18" s="59" t="n">
        <f aca="false">IF((H18=0),J18-D18,0)</f>
        <v>1.98575445615542</v>
      </c>
      <c r="L18" s="59" t="n">
        <f aca="true">IF(($H18=0),0,$D$4+$D$5*(RAND()-0.5))</f>
        <v>0</v>
      </c>
      <c r="M18" s="59" t="n">
        <f aca="false">L18</f>
        <v>0</v>
      </c>
      <c r="N18" s="59" t="n">
        <f aca="false">IF((H18=1),M18-D18,0)</f>
        <v>0</v>
      </c>
      <c r="O18" s="5" t="n">
        <v>1</v>
      </c>
      <c r="P18" s="62" t="n">
        <f aca="false">IF((Arterial=0),P17+1,P17)</f>
        <v>1</v>
      </c>
      <c r="Q18" s="62" t="n">
        <f aca="false">IF((Arterial=1),Q17+1,Q17)</f>
        <v>0</v>
      </c>
      <c r="R18" s="63" t="e">
        <f aca="false">IF((RESET=1),0,R18+K18)</f>
        <v>#N/A</v>
      </c>
      <c r="S18" s="10" t="n">
        <f aca="false">IF(RESET=1,0,S18+N18)</f>
        <v>0</v>
      </c>
      <c r="T18" s="0" t="e">
        <f aca="false">IF(RESET=1,0,T18+IF(H18=0,1,0))</f>
        <v>#N/A</v>
      </c>
      <c r="U18" s="0" t="n">
        <f aca="false">IF(RESET=1,0,U18+H18)</f>
        <v>0</v>
      </c>
      <c r="V18" s="10" t="e">
        <f aca="false">R18/(T18+0.00001)</f>
        <v>#N/A</v>
      </c>
      <c r="W18" s="10" t="n">
        <f aca="false">S18/(U18+0.0001)</f>
        <v>0</v>
      </c>
      <c r="X18" s="60" t="n">
        <f aca="false">IF(Informed=1,K18,0)</f>
        <v>1.98575445615542</v>
      </c>
      <c r="Y18" s="60" t="n">
        <f aca="false">IF(Informed=0,K18,0)</f>
        <v>0</v>
      </c>
      <c r="Z18" s="60" t="n">
        <f aca="false">IF(Informed=1,N18,0)</f>
        <v>0</v>
      </c>
      <c r="AA18" s="60" t="n">
        <f aca="false">IF(Informed=0,N18,0)</f>
        <v>0</v>
      </c>
      <c r="AB18" s="64" t="n">
        <f aca="false">IF(Arterial=0,IF(Informed=1,1,0),0)</f>
        <v>1</v>
      </c>
      <c r="AC18" s="64" t="n">
        <f aca="false">IF(Arterial=0,IF(Informed=0,1,0),0)</f>
        <v>0</v>
      </c>
      <c r="AD18" s="64" t="n">
        <f aca="false">IF(Arterial=1,IF(Informed=1,1,0),0)</f>
        <v>0</v>
      </c>
      <c r="AE18" s="64" t="n">
        <f aca="false">IF(Arterial=1,IF(Informed=0,1,0),0)</f>
        <v>0</v>
      </c>
      <c r="AF18" s="57" t="n">
        <f aca="false">IF(AB18=1,(X18-G$1030)^2,0)</f>
        <v>3.94322076014111</v>
      </c>
      <c r="AG18" s="57" t="n">
        <f aca="false">IF(AC18=1,(Y18-H$1030)^2,0)</f>
        <v>0</v>
      </c>
      <c r="AH18" s="57" t="n">
        <f aca="false">IF(AD18=1,(Z18-I$1030)^2,0)</f>
        <v>0</v>
      </c>
      <c r="AI18" s="57" t="n">
        <f aca="false">IF(AE18=1,(AA18-J$1030)^2,0)</f>
        <v>0</v>
      </c>
    </row>
    <row r="19" customFormat="false" ht="12" hidden="false" customHeight="true" outlineLevel="0" collapsed="false">
      <c r="A19" s="5" t="n">
        <v>2</v>
      </c>
      <c r="B19" s="58" t="n">
        <f aca="true">IF(RAND()&lt;$D$8,1,0)</f>
        <v>0</v>
      </c>
      <c r="C19" s="47" t="n">
        <f aca="true">-LN(RAND())/$D$2</f>
        <v>2.97043514545643</v>
      </c>
      <c r="D19" s="59" t="n">
        <f aca="false">D18+C19</f>
        <v>2.97043514545643</v>
      </c>
      <c r="E19" s="60" t="n">
        <v>0</v>
      </c>
      <c r="F19" s="60" t="n">
        <v>0</v>
      </c>
      <c r="G19" s="61" t="n">
        <v>0.5</v>
      </c>
      <c r="H19" s="59" t="n">
        <f aca="true">IF((B19=1),(IF((F19&lt;E19),1,(IF((F19=E19),(IF(RAND()&lt;G19,1,0)),0)))),(IF((RAND()&lt;G19),1,0)))</f>
        <v>0</v>
      </c>
      <c r="I19" s="59" t="n">
        <f aca="true">IF((H19=1),0,$D$3+$D$5*(RAND()-0.5))</f>
        <v>1.99291240821549</v>
      </c>
      <c r="J19" s="59" t="n">
        <f aca="false">I19+MAX(D19,J18)</f>
        <v>4.96334755367193</v>
      </c>
      <c r="K19" s="59" t="n">
        <f aca="false">IF((H19=0),J19-D19,0)</f>
        <v>1.99291240821549</v>
      </c>
      <c r="L19" s="59" t="n">
        <f aca="true">IF(($H19=0),0,$D$4+$D$5*(RAND()-0.5))</f>
        <v>0</v>
      </c>
      <c r="M19" s="59" t="n">
        <f aca="false">L19+MAX(D19,M18)</f>
        <v>2.97043514545643</v>
      </c>
      <c r="N19" s="59" t="n">
        <f aca="false">IF((H19=1),M19-D19,0)</f>
        <v>0</v>
      </c>
      <c r="O19" s="5" t="n">
        <v>2</v>
      </c>
      <c r="P19" s="62" t="n">
        <f aca="false">IF((Arterial=0),P18+1,P18)</f>
        <v>2</v>
      </c>
      <c r="Q19" s="62" t="n">
        <f aca="false">IF((Arterial=1),Q18+1,Q18)</f>
        <v>0</v>
      </c>
      <c r="R19" s="63" t="e">
        <f aca="false">IF((RESET=1),0,R19+K19)</f>
        <v>#N/A</v>
      </c>
      <c r="S19" s="10" t="n">
        <f aca="false">IF(RESET=1,0,S19+N19)</f>
        <v>64.2327603561148</v>
      </c>
      <c r="T19" s="0" t="e">
        <f aca="false">IF(RESET=1,0,T19+IF(H19=0,1,0))</f>
        <v>#N/A</v>
      </c>
      <c r="U19" s="0" t="n">
        <f aca="false">IF(RESET=1,0,U19+H19)</f>
        <v>31</v>
      </c>
      <c r="V19" s="10" t="e">
        <f aca="false">R19/(T19+0.00001)</f>
        <v>#N/A</v>
      </c>
      <c r="W19" s="10" t="n">
        <f aca="false">S19/(U19+0.0001)</f>
        <v>2.07201784368808</v>
      </c>
      <c r="X19" s="60" t="n">
        <f aca="false">IF(Informed=1,K19,0)</f>
        <v>0</v>
      </c>
      <c r="Y19" s="60" t="n">
        <f aca="false">IF(Informed=0,K19,0)</f>
        <v>1.99291240821549</v>
      </c>
      <c r="Z19" s="60" t="n">
        <f aca="false">IF(Informed=1,N19,0)</f>
        <v>0</v>
      </c>
      <c r="AA19" s="60" t="n">
        <f aca="false">IF(Informed=0,N19,0)</f>
        <v>0</v>
      </c>
      <c r="AB19" s="64" t="n">
        <f aca="false">IF(Arterial=0,IF(Informed=1,1,0),0)</f>
        <v>0</v>
      </c>
      <c r="AC19" s="64" t="n">
        <f aca="false">IF(Arterial=0,IF(Informed=0,1,0),0)</f>
        <v>1</v>
      </c>
      <c r="AD19" s="64" t="n">
        <f aca="false">IF(Arterial=1,IF(Informed=1,1,0),0)</f>
        <v>0</v>
      </c>
      <c r="AE19" s="64" t="n">
        <f aca="false">IF(Arterial=1,IF(Informed=0,1,0),0)</f>
        <v>0</v>
      </c>
      <c r="AF19" s="57" t="n">
        <f aca="false">IF(AB19=1,(X19-G$1030)^2,0)</f>
        <v>0</v>
      </c>
      <c r="AG19" s="57" t="n">
        <f aca="false">IF(AC19=1,(Y19-H$1030)^2,0)</f>
        <v>3.97169986681927</v>
      </c>
      <c r="AH19" s="57" t="n">
        <f aca="false">IF(AD19=1,(Z19-I$1030)^2,0)</f>
        <v>0</v>
      </c>
      <c r="AI19" s="57" t="n">
        <f aca="false">IF(AE19=1,(AA19-J$1030)^2,0)</f>
        <v>0</v>
      </c>
    </row>
    <row r="20" customFormat="false" ht="12" hidden="false" customHeight="true" outlineLevel="0" collapsed="false">
      <c r="A20" s="5" t="n">
        <v>3</v>
      </c>
      <c r="B20" s="58" t="n">
        <f aca="true">IF(RAND()&lt;$D$8,1,0)</f>
        <v>1</v>
      </c>
      <c r="C20" s="47" t="n">
        <f aca="true">-LN(RAND())/$D$2</f>
        <v>2.36843393234671</v>
      </c>
      <c r="D20" s="59" t="n">
        <f aca="false">D19+C20</f>
        <v>5.33886907780314</v>
      </c>
      <c r="E20" s="60" t="n">
        <v>0</v>
      </c>
      <c r="F20" s="60" t="n">
        <v>0</v>
      </c>
      <c r="G20" s="61" t="n">
        <v>0.5</v>
      </c>
      <c r="H20" s="59" t="n">
        <f aca="true">IF((B20=1),(IF((F20&lt;E20),1,(IF((F20=E20),(IF(RAND()&lt;G20,1,0)),0)))),(IF((RAND()&lt;G20),1,0)))</f>
        <v>0</v>
      </c>
      <c r="I20" s="59" t="n">
        <f aca="true">IF((H20=1),0,$D$3+$D$5*(RAND()-0.5))</f>
        <v>1.75693952585199</v>
      </c>
      <c r="J20" s="59" t="n">
        <f aca="false">I20+MAX(D20,J19)</f>
        <v>7.09580860365513</v>
      </c>
      <c r="K20" s="59" t="n">
        <f aca="false">IF((H20=0),J20-D20,0)</f>
        <v>1.75693952585199</v>
      </c>
      <c r="L20" s="59" t="n">
        <f aca="true">IF(($H20=0),0,$D$4+$D$5*(RAND()-0.5))</f>
        <v>0</v>
      </c>
      <c r="M20" s="59" t="n">
        <f aca="false">L20+MAX(D20,M19)</f>
        <v>5.33886907780314</v>
      </c>
      <c r="N20" s="59" t="n">
        <f aca="false">IF((H20=1),M20-D20,0)</f>
        <v>0</v>
      </c>
      <c r="O20" s="5" t="n">
        <v>3</v>
      </c>
      <c r="P20" s="62" t="n">
        <f aca="false">IF((Arterial=0),P19+1,P19)</f>
        <v>3</v>
      </c>
      <c r="Q20" s="62" t="n">
        <f aca="false">IF((Arterial=1),Q19+1,Q19)</f>
        <v>0</v>
      </c>
      <c r="R20" s="63" t="e">
        <f aca="false">IF((RESET=1),0,R20+K20)</f>
        <v>#N/A</v>
      </c>
      <c r="S20" s="10" t="n">
        <f aca="false">IF(RESET=1,0,S20+N20)</f>
        <v>80.8206323200929</v>
      </c>
      <c r="T20" s="0" t="e">
        <f aca="false">IF(RESET=1,0,T20+IF(H20=0,1,0))</f>
        <v>#N/A</v>
      </c>
      <c r="U20" s="0" t="n">
        <f aca="false">IF(RESET=1,0,U20+H20)</f>
        <v>29</v>
      </c>
      <c r="V20" s="10" t="e">
        <f aca="false">R20/(T20+0.00001)</f>
        <v>#N/A</v>
      </c>
      <c r="W20" s="10" t="n">
        <f aca="false">S20/(U20+0.0001)</f>
        <v>2.78690874583512</v>
      </c>
      <c r="X20" s="60" t="n">
        <f aca="false">IF(Informed=1,K20,0)</f>
        <v>1.75693952585199</v>
      </c>
      <c r="Y20" s="60" t="n">
        <f aca="false">IF(Informed=0,K20,0)</f>
        <v>0</v>
      </c>
      <c r="Z20" s="60" t="n">
        <f aca="false">IF(Informed=1,N20,0)</f>
        <v>0</v>
      </c>
      <c r="AA20" s="60" t="n">
        <f aca="false">IF(Informed=0,N20,0)</f>
        <v>0</v>
      </c>
      <c r="AB20" s="64" t="n">
        <f aca="false">IF(Arterial=0,IF(Informed=1,1,0),0)</f>
        <v>1</v>
      </c>
      <c r="AC20" s="64" t="n">
        <f aca="false">IF(Arterial=0,IF(Informed=0,1,0),0)</f>
        <v>0</v>
      </c>
      <c r="AD20" s="64" t="n">
        <f aca="false">IF(Arterial=1,IF(Informed=1,1,0),0)</f>
        <v>0</v>
      </c>
      <c r="AE20" s="64" t="n">
        <f aca="false">IF(Arterial=1,IF(Informed=0,1,0),0)</f>
        <v>0</v>
      </c>
      <c r="AF20" s="57" t="n">
        <f aca="false">IF(AB20=1,(X20-G$1030)^2,0)</f>
        <v>3.08683649750101</v>
      </c>
      <c r="AG20" s="57" t="n">
        <f aca="false">IF(AC20=1,(Y20-H$1030)^2,0)</f>
        <v>0</v>
      </c>
      <c r="AH20" s="57" t="n">
        <f aca="false">IF(AD20=1,(Z20-I$1030)^2,0)</f>
        <v>0</v>
      </c>
      <c r="AI20" s="57" t="n">
        <f aca="false">IF(AE20=1,(AA20-J$1030)^2,0)</f>
        <v>0</v>
      </c>
    </row>
    <row r="21" customFormat="false" ht="15" hidden="false" customHeight="true" outlineLevel="0" collapsed="false">
      <c r="A21" s="5" t="n">
        <v>4</v>
      </c>
      <c r="B21" s="58" t="n">
        <f aca="true">IF(RAND()&lt;$D$8,1,0)</f>
        <v>0</v>
      </c>
      <c r="C21" s="47" t="n">
        <f aca="true">-LN(RAND())/$D$2</f>
        <v>0.16751371312407</v>
      </c>
      <c r="D21" s="59" t="n">
        <f aca="false">D20+C21</f>
        <v>5.50638279092721</v>
      </c>
      <c r="E21" s="60" t="n">
        <v>0</v>
      </c>
      <c r="F21" s="60" t="n">
        <v>0</v>
      </c>
      <c r="G21" s="61" t="n">
        <v>0.5</v>
      </c>
      <c r="H21" s="59" t="n">
        <f aca="true">IF((B21=1),(IF((F21&lt;E21),1,(IF((F21=E21),(IF(RAND()&lt;G21,1,0)),0)))),(IF((RAND()&lt;G21),1,0)))</f>
        <v>1</v>
      </c>
      <c r="I21" s="59" t="n">
        <f aca="true">IF((H21=1),0,$D$3+$D$5*(RAND()-0.5))</f>
        <v>0</v>
      </c>
      <c r="J21" s="59" t="n">
        <f aca="false">I21+MAX(D21,J20)</f>
        <v>7.09580860365513</v>
      </c>
      <c r="K21" s="59" t="n">
        <f aca="false">IF((H21=0),J21-D21,0)</f>
        <v>0</v>
      </c>
      <c r="L21" s="59" t="n">
        <f aca="true">IF(($H21=0),0,$D$4+$D$5*(RAND()-0.5))</f>
        <v>2.08104400038573</v>
      </c>
      <c r="M21" s="59" t="n">
        <f aca="false">L21+MAX(D21,M20)</f>
        <v>7.58742679131294</v>
      </c>
      <c r="N21" s="59" t="n">
        <f aca="false">IF((H21=1),M21-D21,0)</f>
        <v>2.08104400038573</v>
      </c>
      <c r="O21" s="5" t="n">
        <v>4</v>
      </c>
      <c r="P21" s="62" t="n">
        <f aca="false">IF((Arterial=0),P20+1,P20)</f>
        <v>3</v>
      </c>
      <c r="Q21" s="62" t="n">
        <f aca="false">IF((Arterial=1),Q20+1,Q20)</f>
        <v>1</v>
      </c>
      <c r="R21" s="63" t="n">
        <f aca="false">IF((RESET=1),0,R21+K21)</f>
        <v>87.4549390752314</v>
      </c>
      <c r="S21" s="10" t="e">
        <f aca="false">IF(RESET=1,0,S21+N21)</f>
        <v>#N/A</v>
      </c>
      <c r="T21" s="0" t="n">
        <f aca="false">IF(RESET=1,0,T21+IF(H21=0,1,0))</f>
        <v>27</v>
      </c>
      <c r="U21" s="0" t="e">
        <f aca="false">IF(RESET=1,0,U21+H21)</f>
        <v>#N/A</v>
      </c>
      <c r="V21" s="10" t="n">
        <f aca="false">R21/(T21+0.00001)</f>
        <v>3.23907061794538</v>
      </c>
      <c r="W21" s="10" t="e">
        <f aca="false">S21/(U21+0.0001)</f>
        <v>#N/A</v>
      </c>
      <c r="X21" s="60" t="n">
        <f aca="false">IF(Informed=1,K21,0)</f>
        <v>0</v>
      </c>
      <c r="Y21" s="60" t="n">
        <f aca="false">IF(Informed=0,K21,0)</f>
        <v>0</v>
      </c>
      <c r="Z21" s="60" t="n">
        <f aca="false">IF(Informed=1,N21,0)</f>
        <v>0</v>
      </c>
      <c r="AA21" s="60" t="n">
        <f aca="false">IF(Informed=0,N21,0)</f>
        <v>2.08104400038573</v>
      </c>
      <c r="AB21" s="64" t="n">
        <f aca="false">IF(Arterial=0,IF(Informed=1,1,0),0)</f>
        <v>0</v>
      </c>
      <c r="AC21" s="64" t="n">
        <f aca="false">IF(Arterial=0,IF(Informed=0,1,0),0)</f>
        <v>0</v>
      </c>
      <c r="AD21" s="64" t="n">
        <f aca="false">IF(Arterial=1,IF(Informed=1,1,0),0)</f>
        <v>0</v>
      </c>
      <c r="AE21" s="64" t="n">
        <f aca="false">IF(Arterial=1,IF(Informed=0,1,0),0)</f>
        <v>1</v>
      </c>
      <c r="AF21" s="57" t="n">
        <f aca="false">IF(AB21=1,(X21-G$1030)^2,0)</f>
        <v>0</v>
      </c>
      <c r="AG21" s="57" t="n">
        <f aca="false">IF(AC21=1,(Y21-H$1030)^2,0)</f>
        <v>0</v>
      </c>
      <c r="AH21" s="57" t="n">
        <f aca="false">IF(AD21=1,(Z21-I$1030)^2,0)</f>
        <v>0</v>
      </c>
      <c r="AI21" s="57" t="n">
        <f aca="false">IF(AE21=1,(AA21-J$1030)^2,0)</f>
        <v>4.33074413154143</v>
      </c>
    </row>
    <row r="22" customFormat="false" ht="15" hidden="false" customHeight="true" outlineLevel="0" collapsed="false">
      <c r="A22" s="5" t="n">
        <v>5</v>
      </c>
      <c r="B22" s="58" t="n">
        <f aca="true">IF(RAND()&lt;$D$8,1,0)</f>
        <v>1</v>
      </c>
      <c r="C22" s="47" t="n">
        <f aca="true">-LN(RAND())/$D$2</f>
        <v>0.835055932847941</v>
      </c>
      <c r="D22" s="59" t="n">
        <f aca="false">D21+C22</f>
        <v>6.34143872377515</v>
      </c>
      <c r="E22" s="60" t="n">
        <v>0</v>
      </c>
      <c r="F22" s="60" t="n">
        <v>0</v>
      </c>
      <c r="G22" s="61" t="n">
        <v>0.5</v>
      </c>
      <c r="H22" s="59" t="n">
        <f aca="true">IF((B22=1),(IF((F22&lt;E22),1,(IF((F22=E22),(IF(RAND()&lt;G22,1,0)),0)))),(IF((RAND()&lt;G22),1,0)))</f>
        <v>1</v>
      </c>
      <c r="I22" s="59" t="n">
        <f aca="true">IF((H22=1),0,$D$3+$D$5*(RAND()-0.5))</f>
        <v>0</v>
      </c>
      <c r="J22" s="59" t="n">
        <f aca="false">I22+MAX(D22,J21)</f>
        <v>7.09580860365513</v>
      </c>
      <c r="K22" s="59" t="n">
        <f aca="false">IF((H22=0),J22-D22,0)</f>
        <v>0</v>
      </c>
      <c r="L22" s="59" t="n">
        <f aca="true">IF(($H22=0),0,$D$4+$D$5*(RAND()-0.5))</f>
        <v>1.77079121159327</v>
      </c>
      <c r="M22" s="59" t="n">
        <f aca="false">L22+MAX(D22,M21)</f>
        <v>9.35821800290621</v>
      </c>
      <c r="N22" s="59" t="n">
        <f aca="false">IF((H22=1),M22-D22,0)</f>
        <v>3.01677927913106</v>
      </c>
      <c r="O22" s="5" t="n">
        <v>5</v>
      </c>
      <c r="P22" s="62" t="n">
        <f aca="false">IF((Arterial=0),P21+1,P21)</f>
        <v>3</v>
      </c>
      <c r="Q22" s="62" t="n">
        <f aca="false">IF((Arterial=1),Q21+1,Q21)</f>
        <v>2</v>
      </c>
      <c r="R22" s="63" t="n">
        <f aca="false">IF((RESET=1),0,R22+K22)</f>
        <v>115.766867318491</v>
      </c>
      <c r="S22" s="10" t="e">
        <f aca="false">IF(RESET=1,0,S22+N22)</f>
        <v>#N/A</v>
      </c>
      <c r="T22" s="0" t="n">
        <f aca="false">IF(RESET=1,0,T22+IF(H22=0,1,0))</f>
        <v>31</v>
      </c>
      <c r="U22" s="0" t="e">
        <f aca="false">IF(RESET=1,0,U22+H22)</f>
        <v>#N/A</v>
      </c>
      <c r="V22" s="10" t="n">
        <f aca="false">R22/(T22+0.00001)</f>
        <v>3.73441387014041</v>
      </c>
      <c r="W22" s="10" t="e">
        <f aca="false">S22/(U22+0.0001)</f>
        <v>#N/A</v>
      </c>
      <c r="X22" s="60" t="n">
        <f aca="false">IF(Informed=1,K22,0)</f>
        <v>0</v>
      </c>
      <c r="Y22" s="60" t="n">
        <f aca="false">IF(Informed=0,K22,0)</f>
        <v>0</v>
      </c>
      <c r="Z22" s="60" t="n">
        <f aca="false">IF(Informed=1,N22,0)</f>
        <v>3.01677927913106</v>
      </c>
      <c r="AA22" s="60" t="n">
        <f aca="false">IF(Informed=0,N22,0)</f>
        <v>0</v>
      </c>
      <c r="AB22" s="64" t="n">
        <f aca="false">IF(Arterial=0,IF(Informed=1,1,0),0)</f>
        <v>0</v>
      </c>
      <c r="AC22" s="64" t="n">
        <f aca="false">IF(Arterial=0,IF(Informed=0,1,0),0)</f>
        <v>0</v>
      </c>
      <c r="AD22" s="64" t="n">
        <f aca="false">IF(Arterial=1,IF(Informed=1,1,0),0)</f>
        <v>1</v>
      </c>
      <c r="AE22" s="64" t="n">
        <f aca="false">IF(Arterial=1,IF(Informed=0,1,0),0)</f>
        <v>0</v>
      </c>
      <c r="AF22" s="57" t="n">
        <f aca="false">IF(AB22=1,(X22-G$1030)^2,0)</f>
        <v>0</v>
      </c>
      <c r="AG22" s="57" t="n">
        <f aca="false">IF(AC22=1,(Y22-H$1030)^2,0)</f>
        <v>0</v>
      </c>
      <c r="AH22" s="57" t="n">
        <f aca="false">IF(AD22=1,(Z22-I$1030)^2,0)</f>
        <v>9.10095721899451</v>
      </c>
      <c r="AI22" s="57" t="n">
        <f aca="false">IF(AE22=1,(AA22-J$1030)^2,0)</f>
        <v>0</v>
      </c>
    </row>
    <row r="23" customFormat="false" ht="15" hidden="false" customHeight="true" outlineLevel="0" collapsed="false">
      <c r="A23" s="5" t="n">
        <v>6</v>
      </c>
      <c r="B23" s="58" t="n">
        <f aca="true">IF(RAND()&lt;$D$8,1,0)</f>
        <v>1</v>
      </c>
      <c r="C23" s="47" t="n">
        <f aca="true">-LN(RAND())/$D$2</f>
        <v>0.727119943465507</v>
      </c>
      <c r="D23" s="59" t="n">
        <f aca="false">D22+C23</f>
        <v>7.06855866724066</v>
      </c>
      <c r="E23" s="60" t="n">
        <v>0</v>
      </c>
      <c r="F23" s="60" t="n">
        <v>0</v>
      </c>
      <c r="G23" s="61" t="n">
        <v>0.5</v>
      </c>
      <c r="H23" s="59" t="n">
        <f aca="true">IF((B23=1),(IF((F23&lt;E23),1,(IF((F23=E23),(IF(RAND()&lt;G23,1,0)),0)))),(IF((RAND()&lt;G23),1,0)))</f>
        <v>1</v>
      </c>
      <c r="I23" s="59" t="n">
        <f aca="true">IF((H23=1),0,$D$3+$D$5*(RAND()-0.5))</f>
        <v>0</v>
      </c>
      <c r="J23" s="59" t="n">
        <f aca="false">I23+MAX(D23,J22)</f>
        <v>7.09580860365513</v>
      </c>
      <c r="K23" s="59" t="n">
        <f aca="false">IF((H23=0),J23-D23,0)</f>
        <v>0</v>
      </c>
      <c r="L23" s="59" t="n">
        <f aca="true">IF(($H23=0),0,$D$4+$D$5*(RAND()-0.5))</f>
        <v>2.13762666112604</v>
      </c>
      <c r="M23" s="59" t="n">
        <f aca="false">L23+MAX(D23,M22)</f>
        <v>11.4958446640322</v>
      </c>
      <c r="N23" s="59" t="n">
        <f aca="false">IF((H23=1),M23-D23,0)</f>
        <v>4.42728599679159</v>
      </c>
      <c r="O23" s="5" t="n">
        <v>6</v>
      </c>
      <c r="P23" s="62" t="n">
        <f aca="false">IF((Arterial=0),P22+1,P22)</f>
        <v>3</v>
      </c>
      <c r="Q23" s="62" t="n">
        <f aca="false">IF((Arterial=1),Q22+1,Q22)</f>
        <v>3</v>
      </c>
      <c r="R23" s="63" t="n">
        <f aca="false">IF((RESET=1),0,R23+K23)</f>
        <v>97.2971246307013</v>
      </c>
      <c r="S23" s="10" t="e">
        <f aca="false">IF(RESET=1,0,S23+N23)</f>
        <v>#N/A</v>
      </c>
      <c r="T23" s="0" t="n">
        <f aca="false">IF(RESET=1,0,T23+IF(H23=0,1,0))</f>
        <v>25</v>
      </c>
      <c r="U23" s="0" t="e">
        <f aca="false">IF(RESET=1,0,U23+H23)</f>
        <v>#N/A</v>
      </c>
      <c r="V23" s="10" t="n">
        <f aca="false">R23/(T23+0.00001)</f>
        <v>3.89188342847468</v>
      </c>
      <c r="W23" s="10" t="e">
        <f aca="false">S23/(U23+0.0001)</f>
        <v>#N/A</v>
      </c>
      <c r="X23" s="60" t="n">
        <f aca="false">IF(Informed=1,K23,0)</f>
        <v>0</v>
      </c>
      <c r="Y23" s="60" t="n">
        <f aca="false">IF(Informed=0,K23,0)</f>
        <v>0</v>
      </c>
      <c r="Z23" s="60" t="n">
        <f aca="false">IF(Informed=1,N23,0)</f>
        <v>4.42728599679159</v>
      </c>
      <c r="AA23" s="60" t="n">
        <f aca="false">IF(Informed=0,N23,0)</f>
        <v>0</v>
      </c>
      <c r="AB23" s="64" t="n">
        <f aca="false">IF(Arterial=0,IF(Informed=1,1,0),0)</f>
        <v>0</v>
      </c>
      <c r="AC23" s="64" t="n">
        <f aca="false">IF(Arterial=0,IF(Informed=0,1,0),0)</f>
        <v>0</v>
      </c>
      <c r="AD23" s="64" t="n">
        <f aca="false">IF(Arterial=1,IF(Informed=1,1,0),0)</f>
        <v>1</v>
      </c>
      <c r="AE23" s="64" t="n">
        <f aca="false">IF(Arterial=1,IF(Informed=0,1,0),0)</f>
        <v>0</v>
      </c>
      <c r="AF23" s="57" t="n">
        <f aca="false">IF(AB23=1,(X23-G$1030)^2,0)</f>
        <v>0</v>
      </c>
      <c r="AG23" s="57" t="n">
        <f aca="false">IF(AC23=1,(Y23-H$1030)^2,0)</f>
        <v>0</v>
      </c>
      <c r="AH23" s="57" t="n">
        <f aca="false">IF(AD23=1,(Z23-I$1030)^2,0)</f>
        <v>19.6008612973869</v>
      </c>
      <c r="AI23" s="57" t="n">
        <f aca="false">IF(AE23=1,(AA23-J$1030)^2,0)</f>
        <v>0</v>
      </c>
    </row>
    <row r="24" customFormat="false" ht="15" hidden="false" customHeight="true" outlineLevel="0" collapsed="false">
      <c r="A24" s="5" t="n">
        <v>7</v>
      </c>
      <c r="B24" s="58" t="n">
        <f aca="true">IF(RAND()&lt;$D$8,1,0)</f>
        <v>1</v>
      </c>
      <c r="C24" s="47" t="n">
        <f aca="true">-LN(RAND())/$D$2</f>
        <v>2.21536358720842</v>
      </c>
      <c r="D24" s="59" t="n">
        <f aca="false">D23+C24</f>
        <v>9.28392225444908</v>
      </c>
      <c r="E24" s="60" t="n">
        <v>0</v>
      </c>
      <c r="F24" s="60" t="n">
        <v>0</v>
      </c>
      <c r="G24" s="61" t="n">
        <v>0.5</v>
      </c>
      <c r="H24" s="59" t="n">
        <f aca="true">IF((B24=1),(IF((F24&lt;E24),1,(IF((F24=E24),(IF(RAND()&lt;G24,1,0)),0)))),(IF((RAND()&lt;G24),1,0)))</f>
        <v>1</v>
      </c>
      <c r="I24" s="59" t="n">
        <f aca="true">IF((H24=1),0,$D$3+$D$5*(RAND()-0.5))</f>
        <v>0</v>
      </c>
      <c r="J24" s="59" t="n">
        <f aca="false">I24+MAX(D24,J23)</f>
        <v>9.28392225444908</v>
      </c>
      <c r="K24" s="59" t="n">
        <f aca="false">IF((H24=0),J24-D24,0)</f>
        <v>0</v>
      </c>
      <c r="L24" s="59" t="n">
        <f aca="true">IF(($H24=0),0,$D$4+$D$5*(RAND()-0.5))</f>
        <v>1.95705407530596</v>
      </c>
      <c r="M24" s="59" t="n">
        <f aca="false">L24+MAX(D24,M23)</f>
        <v>13.4528987393382</v>
      </c>
      <c r="N24" s="59" t="n">
        <f aca="false">IF((H24=1),M24-D24,0)</f>
        <v>4.16897648488913</v>
      </c>
      <c r="O24" s="5" t="n">
        <v>7</v>
      </c>
      <c r="P24" s="62" t="n">
        <f aca="false">IF((Arterial=0),P23+1,P23)</f>
        <v>3</v>
      </c>
      <c r="Q24" s="62" t="n">
        <f aca="false">IF((Arterial=1),Q23+1,Q23)</f>
        <v>4</v>
      </c>
      <c r="R24" s="63" t="n">
        <f aca="false">IF((RESET=1),0,R24+K24)</f>
        <v>135.588425056975</v>
      </c>
      <c r="S24" s="10" t="e">
        <f aca="false">IF(RESET=1,0,S24+N24)</f>
        <v>#N/A</v>
      </c>
      <c r="T24" s="0" t="n">
        <f aca="false">IF(RESET=1,0,T24+IF(H24=0,1,0))</f>
        <v>30</v>
      </c>
      <c r="U24" s="0" t="e">
        <f aca="false">IF(RESET=1,0,U24+H24)</f>
        <v>#N/A</v>
      </c>
      <c r="V24" s="10" t="n">
        <f aca="false">R24/(T24+0.00001)</f>
        <v>4.51961266202829</v>
      </c>
      <c r="W24" s="10" t="e">
        <f aca="false">S24/(U24+0.0001)</f>
        <v>#N/A</v>
      </c>
      <c r="X24" s="60" t="n">
        <f aca="false">IF(Informed=1,K24,0)</f>
        <v>0</v>
      </c>
      <c r="Y24" s="60" t="n">
        <f aca="false">IF(Informed=0,K24,0)</f>
        <v>0</v>
      </c>
      <c r="Z24" s="60" t="n">
        <f aca="false">IF(Informed=1,N24,0)</f>
        <v>4.16897648488913</v>
      </c>
      <c r="AA24" s="60" t="n">
        <f aca="false">IF(Informed=0,N24,0)</f>
        <v>0</v>
      </c>
      <c r="AB24" s="64" t="n">
        <f aca="false">IF(Arterial=0,IF(Informed=1,1,0),0)</f>
        <v>0</v>
      </c>
      <c r="AC24" s="64" t="n">
        <f aca="false">IF(Arterial=0,IF(Informed=0,1,0),0)</f>
        <v>0</v>
      </c>
      <c r="AD24" s="64" t="n">
        <f aca="false">IF(Arterial=1,IF(Informed=1,1,0),0)</f>
        <v>1</v>
      </c>
      <c r="AE24" s="64" t="n">
        <f aca="false">IF(Arterial=1,IF(Informed=0,1,0),0)</f>
        <v>0</v>
      </c>
      <c r="AF24" s="57" t="n">
        <f aca="false">IF(AB24=1,(X24-G$1030)^2,0)</f>
        <v>0</v>
      </c>
      <c r="AG24" s="57" t="n">
        <f aca="false">IF(AC24=1,(Y24-H$1030)^2,0)</f>
        <v>0</v>
      </c>
      <c r="AH24" s="57" t="n">
        <f aca="false">IF(AD24=1,(Z24-I$1030)^2,0)</f>
        <v>17.3803649315585</v>
      </c>
      <c r="AI24" s="57" t="n">
        <f aca="false">IF(AE24=1,(AA24-J$1030)^2,0)</f>
        <v>0</v>
      </c>
    </row>
    <row r="25" customFormat="false" ht="15" hidden="false" customHeight="true" outlineLevel="0" collapsed="false">
      <c r="A25" s="5" t="n">
        <v>8</v>
      </c>
      <c r="B25" s="58" t="n">
        <f aca="true">IF(RAND()&lt;$D$8,1,0)</f>
        <v>0</v>
      </c>
      <c r="C25" s="47" t="n">
        <f aca="true">-LN(RAND())/$D$2</f>
        <v>1.20953751896479</v>
      </c>
      <c r="D25" s="59" t="n">
        <f aca="false">D24+C25</f>
        <v>10.4934597734139</v>
      </c>
      <c r="E25" s="60" t="n">
        <v>0</v>
      </c>
      <c r="F25" s="60" t="n">
        <v>0</v>
      </c>
      <c r="G25" s="61" t="n">
        <v>0.5</v>
      </c>
      <c r="H25" s="59" t="n">
        <f aca="true">IF((B25=1),(IF((F25&lt;E25),1,(IF((F25=E25),(IF(RAND()&lt;G25,1,0)),0)))),(IF((RAND()&lt;G25),1,0)))</f>
        <v>1</v>
      </c>
      <c r="I25" s="59" t="n">
        <f aca="true">IF((H25=1),0,$D$3+$D$5*(RAND()-0.5))</f>
        <v>0</v>
      </c>
      <c r="J25" s="59" t="n">
        <f aca="false">I25+MAX(D25,J24)</f>
        <v>10.4934597734139</v>
      </c>
      <c r="K25" s="59" t="n">
        <f aca="false">IF((H25=0),J25-D25,0)</f>
        <v>0</v>
      </c>
      <c r="L25" s="59" t="n">
        <f aca="true">IF(($H25=0),0,$D$4+$D$5*(RAND()-0.5))</f>
        <v>2.23821179805963</v>
      </c>
      <c r="M25" s="59" t="n">
        <f aca="false">L25+MAX(D25,M24)</f>
        <v>15.6911105373978</v>
      </c>
      <c r="N25" s="59" t="n">
        <f aca="false">IF((H25=1),M25-D25,0)</f>
        <v>5.19765076398396</v>
      </c>
      <c r="O25" s="5" t="n">
        <v>8</v>
      </c>
      <c r="P25" s="62" t="n">
        <f aca="false">IF((Arterial=0),P24+1,P24)</f>
        <v>3</v>
      </c>
      <c r="Q25" s="62" t="n">
        <f aca="false">IF((Arterial=1),Q24+1,Q24)</f>
        <v>5</v>
      </c>
      <c r="R25" s="63" t="n">
        <f aca="false">IF((RESET=1),0,R25+K25)</f>
        <v>107.374894224779</v>
      </c>
      <c r="S25" s="10" t="e">
        <f aca="false">IF(RESET=1,0,S25+N25)</f>
        <v>#N/A</v>
      </c>
      <c r="T25" s="0" t="n">
        <f aca="false">IF(RESET=1,0,T25+IF(H25=0,1,0))</f>
        <v>25</v>
      </c>
      <c r="U25" s="0" t="e">
        <f aca="false">IF(RESET=1,0,U25+H25)</f>
        <v>#N/A</v>
      </c>
      <c r="V25" s="10" t="n">
        <f aca="false">R25/(T25+0.00001)</f>
        <v>4.29499405099355</v>
      </c>
      <c r="W25" s="10" t="e">
        <f aca="false">S25/(U25+0.0001)</f>
        <v>#N/A</v>
      </c>
      <c r="X25" s="60" t="n">
        <f aca="false">IF(Informed=1,K25,0)</f>
        <v>0</v>
      </c>
      <c r="Y25" s="60" t="n">
        <f aca="false">IF(Informed=0,K25,0)</f>
        <v>0</v>
      </c>
      <c r="Z25" s="60" t="n">
        <f aca="false">IF(Informed=1,N25,0)</f>
        <v>0</v>
      </c>
      <c r="AA25" s="60" t="n">
        <f aca="false">IF(Informed=0,N25,0)</f>
        <v>5.19765076398396</v>
      </c>
      <c r="AB25" s="64" t="n">
        <f aca="false">IF(Arterial=0,IF(Informed=1,1,0),0)</f>
        <v>0</v>
      </c>
      <c r="AC25" s="64" t="n">
        <f aca="false">IF(Arterial=0,IF(Informed=0,1,0),0)</f>
        <v>0</v>
      </c>
      <c r="AD25" s="64" t="n">
        <f aca="false">IF(Arterial=1,IF(Informed=1,1,0),0)</f>
        <v>0</v>
      </c>
      <c r="AE25" s="64" t="n">
        <f aca="false">IF(Arterial=1,IF(Informed=0,1,0),0)</f>
        <v>1</v>
      </c>
      <c r="AF25" s="57" t="n">
        <f aca="false">IF(AB25=1,(X25-G$1030)^2,0)</f>
        <v>0</v>
      </c>
      <c r="AG25" s="57" t="n">
        <f aca="false">IF(AC25=1,(Y25-H$1030)^2,0)</f>
        <v>0</v>
      </c>
      <c r="AH25" s="57" t="n">
        <f aca="false">IF(AD25=1,(Z25-I$1030)^2,0)</f>
        <v>0</v>
      </c>
      <c r="AI25" s="57" t="n">
        <f aca="false">IF(AE25=1,(AA25-J$1030)^2,0)</f>
        <v>27.0155734643431</v>
      </c>
    </row>
    <row r="26" customFormat="false" ht="15" hidden="false" customHeight="true" outlineLevel="0" collapsed="false">
      <c r="A26" s="5" t="n">
        <v>9</v>
      </c>
      <c r="B26" s="58" t="n">
        <f aca="true">IF(RAND()&lt;$D$8,1,0)</f>
        <v>0</v>
      </c>
      <c r="C26" s="47" t="n">
        <f aca="true">-LN(RAND())/$D$2</f>
        <v>0.0718955105722417</v>
      </c>
      <c r="D26" s="59" t="n">
        <f aca="false">D25+C26</f>
        <v>10.5653552839861</v>
      </c>
      <c r="E26" s="60" t="n">
        <v>0</v>
      </c>
      <c r="F26" s="60" t="n">
        <v>0</v>
      </c>
      <c r="G26" s="61" t="n">
        <v>0.5</v>
      </c>
      <c r="H26" s="59" t="n">
        <f aca="true">IF((B26=1),(IF((F26&lt;E26),1,(IF((F26=E26),(IF(RAND()&lt;G26,1,0)),0)))),(IF((RAND()&lt;G26),1,0)))</f>
        <v>0</v>
      </c>
      <c r="I26" s="59" t="n">
        <f aca="true">IF((H26=1),0,$D$3+$D$5*(RAND()-0.5))</f>
        <v>1.8726684608943</v>
      </c>
      <c r="J26" s="59" t="n">
        <f aca="false">I26+MAX(D26,J25)</f>
        <v>12.4380237448804</v>
      </c>
      <c r="K26" s="59" t="n">
        <f aca="false">IF((H26=0),J26-D26,0)</f>
        <v>1.8726684608943</v>
      </c>
      <c r="L26" s="59" t="n">
        <f aca="true">IF(($H26=0),0,$D$4+$D$5*(RAND()-0.5))</f>
        <v>0</v>
      </c>
      <c r="M26" s="59" t="n">
        <f aca="false">L26+MAX(D26,M25)</f>
        <v>15.6911105373978</v>
      </c>
      <c r="N26" s="59" t="n">
        <f aca="false">IF((H26=1),M26-D26,0)</f>
        <v>0</v>
      </c>
      <c r="O26" s="5" t="n">
        <v>9</v>
      </c>
      <c r="P26" s="62" t="n">
        <f aca="false">IF((Arterial=0),P25+1,P25)</f>
        <v>4</v>
      </c>
      <c r="Q26" s="62" t="n">
        <f aca="false">IF((Arterial=1),Q25+1,Q25)</f>
        <v>5</v>
      </c>
      <c r="R26" s="63" t="e">
        <f aca="false">IF((RESET=1),0,R26+K26)</f>
        <v>#N/A</v>
      </c>
      <c r="S26" s="10" t="n">
        <f aca="false">IF(RESET=1,0,S26+N26)</f>
        <v>129.12272077041</v>
      </c>
      <c r="T26" s="0" t="e">
        <f aca="false">IF(RESET=1,0,T26+IF(H26=0,1,0))</f>
        <v>#N/A</v>
      </c>
      <c r="U26" s="0" t="n">
        <f aca="false">IF(RESET=1,0,U26+H26)</f>
        <v>28</v>
      </c>
      <c r="V26" s="10" t="e">
        <f aca="false">R26/(T26+0.00001)</f>
        <v>#N/A</v>
      </c>
      <c r="W26" s="10" t="n">
        <f aca="false">S26/(U26+0.0001)</f>
        <v>4.61150927212438</v>
      </c>
      <c r="X26" s="60" t="n">
        <f aca="false">IF(Informed=1,K26,0)</f>
        <v>0</v>
      </c>
      <c r="Y26" s="60" t="n">
        <f aca="false">IF(Informed=0,K26,0)</f>
        <v>1.8726684608943</v>
      </c>
      <c r="Z26" s="60" t="n">
        <f aca="false">IF(Informed=1,N26,0)</f>
        <v>0</v>
      </c>
      <c r="AA26" s="60" t="n">
        <f aca="false">IF(Informed=0,N26,0)</f>
        <v>0</v>
      </c>
      <c r="AB26" s="64" t="n">
        <f aca="false">IF(Arterial=0,IF(Informed=1,1,0),0)</f>
        <v>0</v>
      </c>
      <c r="AC26" s="64" t="n">
        <f aca="false">IF(Arterial=0,IF(Informed=0,1,0),0)</f>
        <v>1</v>
      </c>
      <c r="AD26" s="64" t="n">
        <f aca="false">IF(Arterial=1,IF(Informed=1,1,0),0)</f>
        <v>0</v>
      </c>
      <c r="AE26" s="64" t="n">
        <f aca="false">IF(Arterial=1,IF(Informed=0,1,0),0)</f>
        <v>0</v>
      </c>
      <c r="AF26" s="57" t="n">
        <f aca="false">IF(AB26=1,(X26-G$1030)^2,0)</f>
        <v>0</v>
      </c>
      <c r="AG26" s="57" t="n">
        <f aca="false">IF(AC26=1,(Y26-H$1030)^2,0)</f>
        <v>3.50688716442824</v>
      </c>
      <c r="AH26" s="57" t="n">
        <f aca="false">IF(AD26=1,(Z26-I$1030)^2,0)</f>
        <v>0</v>
      </c>
      <c r="AI26" s="57" t="n">
        <f aca="false">IF(AE26=1,(AA26-J$1030)^2,0)</f>
        <v>0</v>
      </c>
    </row>
    <row r="27" customFormat="false" ht="12" hidden="false" customHeight="false" outlineLevel="0" collapsed="false">
      <c r="A27" s="5" t="n">
        <v>10</v>
      </c>
      <c r="B27" s="58" t="n">
        <f aca="true">IF(RAND()&lt;$D$8,1,0)</f>
        <v>0</v>
      </c>
      <c r="C27" s="47" t="n">
        <f aca="true">-LN(RAND())/$D$2</f>
        <v>1.56319167185857</v>
      </c>
      <c r="D27" s="59" t="n">
        <f aca="false">D26+C27</f>
        <v>12.1285469558447</v>
      </c>
      <c r="E27" s="60" t="n">
        <v>0</v>
      </c>
      <c r="F27" s="60" t="n">
        <v>0</v>
      </c>
      <c r="G27" s="61" t="n">
        <v>0.5</v>
      </c>
      <c r="H27" s="59" t="n">
        <f aca="true">IF((B27=1),(IF((F27&lt;E27),1,(IF((F27=E27),(IF(RAND()&lt;G27,1,0)),0)))),(IF((RAND()&lt;G27),1,0)))</f>
        <v>0</v>
      </c>
      <c r="I27" s="59" t="n">
        <f aca="true">IF((H27=1),0,$D$3+$D$5*(RAND()-0.5))</f>
        <v>2.14407052893023</v>
      </c>
      <c r="J27" s="59" t="n">
        <f aca="false">I27+MAX(D27,J26)</f>
        <v>14.5820942738106</v>
      </c>
      <c r="K27" s="59" t="n">
        <f aca="false">IF((H27=0),J27-D27,0)</f>
        <v>2.45354731796596</v>
      </c>
      <c r="L27" s="59" t="n">
        <f aca="true">IF(($H27=0),0,$D$4+$D$5*(RAND()-0.5))</f>
        <v>0</v>
      </c>
      <c r="M27" s="59" t="n">
        <f aca="false">L27+MAX(D27,M26)</f>
        <v>15.6911105373978</v>
      </c>
      <c r="N27" s="59" t="n">
        <f aca="false">IF((H27=1),M27-D27,0)</f>
        <v>0</v>
      </c>
      <c r="O27" s="5" t="n">
        <v>10</v>
      </c>
      <c r="P27" s="62" t="n">
        <f aca="false">IF((Arterial=0),P26+1,P26)</f>
        <v>5</v>
      </c>
      <c r="Q27" s="62" t="n">
        <f aca="false">IF((Arterial=1),Q26+1,Q26)</f>
        <v>5</v>
      </c>
      <c r="R27" s="63" t="e">
        <f aca="false">IF((RESET=1),0,R27+K27)</f>
        <v>#N/A</v>
      </c>
      <c r="S27" s="10" t="n">
        <f aca="false">IF(RESET=1,0,S27+N27)</f>
        <v>114.008541987901</v>
      </c>
      <c r="T27" s="0" t="e">
        <f aca="false">IF(RESET=1,0,T27+IF(H27=0,1,0))</f>
        <v>#N/A</v>
      </c>
      <c r="U27" s="0" t="n">
        <f aca="false">IF(RESET=1,0,U27+H27)</f>
        <v>26</v>
      </c>
      <c r="V27" s="10" t="e">
        <f aca="false">R27/(T27+0.00001)</f>
        <v>#N/A</v>
      </c>
      <c r="W27" s="10" t="n">
        <f aca="false">S27/(U27+0.0001)</f>
        <v>4.38492705750751</v>
      </c>
      <c r="X27" s="60" t="n">
        <f aca="false">IF(Informed=1,K27,0)</f>
        <v>0</v>
      </c>
      <c r="Y27" s="60" t="n">
        <f aca="false">IF(Informed=0,K27,0)</f>
        <v>2.45354731796596</v>
      </c>
      <c r="Z27" s="60" t="n">
        <f aca="false">IF(Informed=1,N27,0)</f>
        <v>0</v>
      </c>
      <c r="AA27" s="60" t="n">
        <f aca="false">IF(Informed=0,N27,0)</f>
        <v>0</v>
      </c>
      <c r="AB27" s="64" t="n">
        <f aca="false">IF(Arterial=0,IF(Informed=1,1,0),0)</f>
        <v>0</v>
      </c>
      <c r="AC27" s="64" t="n">
        <f aca="false">IF(Arterial=0,IF(Informed=0,1,0),0)</f>
        <v>1</v>
      </c>
      <c r="AD27" s="64" t="n">
        <f aca="false">IF(Arterial=1,IF(Informed=1,1,0),0)</f>
        <v>0</v>
      </c>
      <c r="AE27" s="64" t="n">
        <f aca="false">IF(Arterial=1,IF(Informed=0,1,0),0)</f>
        <v>0</v>
      </c>
      <c r="AF27" s="57" t="n">
        <f aca="false">IF(AB27=1,(X27-G$1030)^2,0)</f>
        <v>0</v>
      </c>
      <c r="AG27" s="57" t="n">
        <f aca="false">IF(AC27=1,(Y27-H$1030)^2,0)</f>
        <v>6.01989444149796</v>
      </c>
      <c r="AH27" s="57" t="n">
        <f aca="false">IF(AD27=1,(Z27-I$1030)^2,0)</f>
        <v>0</v>
      </c>
      <c r="AI27" s="57" t="n">
        <f aca="false">IF(AE27=1,(AA27-J$1030)^2,0)</f>
        <v>0</v>
      </c>
    </row>
    <row r="28" customFormat="false" ht="12" hidden="false" customHeight="false" outlineLevel="0" collapsed="false">
      <c r="A28" s="5" t="n">
        <v>11</v>
      </c>
      <c r="B28" s="58" t="n">
        <f aca="true">IF(RAND()&lt;$D$8,1,0)</f>
        <v>0</v>
      </c>
      <c r="C28" s="47" t="n">
        <f aca="true">-LN(RAND())/$D$2</f>
        <v>0.555152563857226</v>
      </c>
      <c r="D28" s="59" t="n">
        <f aca="false">D27+C28</f>
        <v>12.6836995197019</v>
      </c>
      <c r="E28" s="60" t="n">
        <f aca="false">MAX($D$3,(1+P27-VLOOKUP(VALUE(D28),$J$18:$Q27,7,TRUE()))*$D$3)</f>
        <v>4</v>
      </c>
      <c r="F28" s="60" t="n">
        <f aca="false">MAX($D$4,(1+Q27-VLOOKUP(VALUE(D28),$M$18:$Q27,5,TRUE()))*$D$4)</f>
        <v>6</v>
      </c>
      <c r="G28" s="61" t="n">
        <v>0.5</v>
      </c>
      <c r="H28" s="59" t="n">
        <f aca="true">IF((B28=1),(IF((F28&lt;E28),1,(IF((F28=E28),(IF(RAND()&lt;G28,1,0)),0)))),(IF((RAND()&lt;G28),1,0)))</f>
        <v>1</v>
      </c>
      <c r="I28" s="59" t="n">
        <f aca="true">IF((H28=1),0,$D$3+$D$5*(RAND()-0.5))</f>
        <v>0</v>
      </c>
      <c r="J28" s="59" t="n">
        <f aca="false">I28+MAX(D28,J27)</f>
        <v>14.5820942738106</v>
      </c>
      <c r="K28" s="59" t="n">
        <f aca="false">IF((H28=0),J28-D28,0)</f>
        <v>0</v>
      </c>
      <c r="L28" s="59" t="n">
        <f aca="true">IF(($H28=0),0,$D$4+$D$5*(RAND()-0.5))</f>
        <v>2.09353095017672</v>
      </c>
      <c r="M28" s="59" t="n">
        <f aca="false">L28+MAX(D28,M27)</f>
        <v>17.7846414875746</v>
      </c>
      <c r="N28" s="59" t="n">
        <f aca="false">IF((H28=1),M28-D28,0)</f>
        <v>5.10094196787265</v>
      </c>
      <c r="O28" s="5" t="n">
        <v>11</v>
      </c>
      <c r="P28" s="62" t="n">
        <f aca="false">IF((Arterial=0),P27+1,P27)</f>
        <v>5</v>
      </c>
      <c r="Q28" s="62" t="n">
        <f aca="false">IF((Arterial=1),Q27+1,Q27)</f>
        <v>6</v>
      </c>
      <c r="R28" s="63" t="n">
        <f aca="false">IF((RESET=1),0,R28+K28)</f>
        <v>89.5564157572508</v>
      </c>
      <c r="S28" s="10" t="e">
        <f aca="false">IF(RESET=1,0,S28+N28)</f>
        <v>#N/A</v>
      </c>
      <c r="T28" s="0" t="n">
        <f aca="false">IF(RESET=1,0,T28+IF(H28=0,1,0))</f>
        <v>25</v>
      </c>
      <c r="U28" s="0" t="e">
        <f aca="false">IF(RESET=1,0,U28+H28)</f>
        <v>#N/A</v>
      </c>
      <c r="V28" s="10" t="n">
        <f aca="false">R28/(T28+0.00001)</f>
        <v>3.58225519738795</v>
      </c>
      <c r="W28" s="10" t="e">
        <f aca="false">S28/(U28+0.0001)</f>
        <v>#N/A</v>
      </c>
      <c r="X28" s="60" t="n">
        <f aca="false">IF(Informed=1,K28,0)</f>
        <v>0</v>
      </c>
      <c r="Y28" s="60" t="n">
        <f aca="false">IF(Informed=0,K28,0)</f>
        <v>0</v>
      </c>
      <c r="Z28" s="60" t="n">
        <f aca="false">IF(Informed=1,N28,0)</f>
        <v>0</v>
      </c>
      <c r="AA28" s="60" t="n">
        <f aca="false">IF(Informed=0,N28,0)</f>
        <v>5.10094196787265</v>
      </c>
      <c r="AB28" s="64" t="n">
        <f aca="false">IF(Arterial=0,IF(Informed=1,1,0),0)</f>
        <v>0</v>
      </c>
      <c r="AC28" s="64" t="n">
        <f aca="false">IF(Arterial=0,IF(Informed=0,1,0),0)</f>
        <v>0</v>
      </c>
      <c r="AD28" s="64" t="n">
        <f aca="false">IF(Arterial=1,IF(Informed=1,1,0),0)</f>
        <v>0</v>
      </c>
      <c r="AE28" s="64" t="n">
        <f aca="false">IF(Arterial=1,IF(Informed=0,1,0),0)</f>
        <v>1</v>
      </c>
      <c r="AF28" s="57" t="n">
        <f aca="false">IF(AB28=1,(X28-G$1030)^2,0)</f>
        <v>0</v>
      </c>
      <c r="AG28" s="57" t="n">
        <f aca="false">IF(AC28=1,(Y28-H$1030)^2,0)</f>
        <v>0</v>
      </c>
      <c r="AH28" s="57" t="n">
        <f aca="false">IF(AD28=1,(Z28-I$1030)^2,0)</f>
        <v>0</v>
      </c>
      <c r="AI28" s="57" t="n">
        <f aca="false">IF(AE28=1,(AA28-J$1030)^2,0)</f>
        <v>26.0196089596045</v>
      </c>
    </row>
    <row r="29" customFormat="false" ht="12" hidden="false" customHeight="false" outlineLevel="0" collapsed="false">
      <c r="A29" s="5" t="n">
        <v>12</v>
      </c>
      <c r="B29" s="58" t="n">
        <f aca="true">IF(RAND()&lt;$D$8,1,0)</f>
        <v>0</v>
      </c>
      <c r="C29" s="47" t="n">
        <f aca="true">-LN(RAND())/$D$2</f>
        <v>0.296717811015967</v>
      </c>
      <c r="D29" s="59" t="n">
        <f aca="false">D28+C29</f>
        <v>12.9804173307179</v>
      </c>
      <c r="E29" s="60" t="n">
        <f aca="false">MAX($D$3,(1+P28-VLOOKUP(VALUE(D29),$J$18:$Q28,7,TRUE()))*$D$3)</f>
        <v>4</v>
      </c>
      <c r="F29" s="60" t="n">
        <f aca="false">MAX($D$4,(1+Q28-VLOOKUP(VALUE(D29),$M$18:$Q28,5,TRUE()))*$D$4)</f>
        <v>8</v>
      </c>
      <c r="G29" s="61" t="n">
        <v>0.5</v>
      </c>
      <c r="H29" s="59" t="n">
        <f aca="true">IF((B29=1),(IF((F29&lt;E29),1,(IF((F29=E29),(IF(RAND()&lt;G29,1,0)),0)))),(IF((RAND()&lt;G29),1,0)))</f>
        <v>1</v>
      </c>
      <c r="I29" s="59" t="n">
        <f aca="true">IF((H29=1),0,$D$3+$D$5*(RAND()-0.5))</f>
        <v>0</v>
      </c>
      <c r="J29" s="59" t="n">
        <f aca="false">I29+MAX(D29,J28)</f>
        <v>14.5820942738106</v>
      </c>
      <c r="K29" s="59" t="n">
        <f aca="false">IF((H29=0),J29-D29,0)</f>
        <v>0</v>
      </c>
      <c r="L29" s="59" t="n">
        <f aca="true">IF(($H29=0),0,$D$4+$D$5*(RAND()-0.5))</f>
        <v>1.8439297824604</v>
      </c>
      <c r="M29" s="59" t="n">
        <f aca="false">L29+MAX(D29,M28)</f>
        <v>19.628571270035</v>
      </c>
      <c r="N29" s="59" t="n">
        <f aca="false">IF((H29=1),M29-D29,0)</f>
        <v>6.64815393931708</v>
      </c>
      <c r="O29" s="5" t="n">
        <v>12</v>
      </c>
      <c r="P29" s="62" t="n">
        <f aca="false">IF((Arterial=0),P28+1,P28)</f>
        <v>5</v>
      </c>
      <c r="Q29" s="62" t="n">
        <f aca="false">IF((Arterial=1),Q28+1,Q28)</f>
        <v>7</v>
      </c>
      <c r="R29" s="63" t="n">
        <f aca="false">IF((RESET=1),0,R29+K29)</f>
        <v>110.399201355968</v>
      </c>
      <c r="S29" s="10" t="e">
        <f aca="false">IF(RESET=1,0,S29+N29)</f>
        <v>#N/A</v>
      </c>
      <c r="T29" s="0" t="n">
        <f aca="false">IF(RESET=1,0,T29+IF(H29=0,1,0))</f>
        <v>28</v>
      </c>
      <c r="U29" s="0" t="e">
        <f aca="false">IF(RESET=1,0,U29+H29)</f>
        <v>#N/A</v>
      </c>
      <c r="V29" s="10" t="n">
        <f aca="false">R29/(T29+0.00001)</f>
        <v>3.94282721170342</v>
      </c>
      <c r="W29" s="10" t="e">
        <f aca="false">S29/(U29+0.0001)</f>
        <v>#N/A</v>
      </c>
      <c r="X29" s="60" t="n">
        <f aca="false">IF(Informed=1,K29,0)</f>
        <v>0</v>
      </c>
      <c r="Y29" s="60" t="n">
        <f aca="false">IF(Informed=0,K29,0)</f>
        <v>0</v>
      </c>
      <c r="Z29" s="60" t="n">
        <f aca="false">IF(Informed=1,N29,0)</f>
        <v>0</v>
      </c>
      <c r="AA29" s="60" t="n">
        <f aca="false">IF(Informed=0,N29,0)</f>
        <v>6.64815393931708</v>
      </c>
      <c r="AB29" s="64" t="n">
        <f aca="false">IF(Arterial=0,IF(Informed=1,1,0),0)</f>
        <v>0</v>
      </c>
      <c r="AC29" s="64" t="n">
        <f aca="false">IF(Arterial=0,IF(Informed=0,1,0),0)</f>
        <v>0</v>
      </c>
      <c r="AD29" s="64" t="n">
        <f aca="false">IF(Arterial=1,IF(Informed=1,1,0),0)</f>
        <v>0</v>
      </c>
      <c r="AE29" s="64" t="n">
        <f aca="false">IF(Arterial=1,IF(Informed=0,1,0),0)</f>
        <v>1</v>
      </c>
      <c r="AF29" s="57" t="n">
        <f aca="false">IF(AB29=1,(X29-G$1030)^2,0)</f>
        <v>0</v>
      </c>
      <c r="AG29" s="57" t="n">
        <f aca="false">IF(AC29=1,(Y29-H$1030)^2,0)</f>
        <v>0</v>
      </c>
      <c r="AH29" s="57" t="n">
        <f aca="false">IF(AD29=1,(Z29-I$1030)^2,0)</f>
        <v>0</v>
      </c>
      <c r="AI29" s="57" t="n">
        <f aca="false">IF(AE29=1,(AA29-J$1030)^2,0)</f>
        <v>44.1979508008572</v>
      </c>
    </row>
    <row r="30" customFormat="false" ht="12" hidden="false" customHeight="false" outlineLevel="0" collapsed="false">
      <c r="A30" s="5" t="n">
        <v>13</v>
      </c>
      <c r="B30" s="58" t="n">
        <f aca="true">IF(RAND()&lt;$D$8,1,0)</f>
        <v>0</v>
      </c>
      <c r="C30" s="47" t="n">
        <f aca="true">-LN(RAND())/$D$2</f>
        <v>0.193228316817764</v>
      </c>
      <c r="D30" s="59" t="n">
        <f aca="false">D29+C30</f>
        <v>13.1736456475356</v>
      </c>
      <c r="E30" s="60" t="n">
        <f aca="false">MAX($D$3,(1+P29-VLOOKUP(VALUE(D30),$J$18:$Q29,7,TRUE()))*$D$3)</f>
        <v>4</v>
      </c>
      <c r="F30" s="60" t="n">
        <f aca="false">MAX($D$4,(1+Q29-VLOOKUP(VALUE(D30),$M$18:$Q29,5,TRUE()))*$D$4)</f>
        <v>10</v>
      </c>
      <c r="G30" s="61" t="n">
        <v>0.5</v>
      </c>
      <c r="H30" s="59" t="n">
        <f aca="true">IF((B30=1),(IF((F30&lt;E30),1,(IF((F30=E30),(IF(RAND()&lt;G30,1,0)),0)))),(IF((RAND()&lt;G30),1,0)))</f>
        <v>1</v>
      </c>
      <c r="I30" s="59" t="n">
        <f aca="true">IF((H30=1),0,$D$3+$D$5*(RAND()-0.5))</f>
        <v>0</v>
      </c>
      <c r="J30" s="59" t="n">
        <f aca="false">I30+MAX(D30,J29)</f>
        <v>14.5820942738106</v>
      </c>
      <c r="K30" s="59" t="n">
        <f aca="false">IF((H30=0),J30-D30,0)</f>
        <v>0</v>
      </c>
      <c r="L30" s="59" t="n">
        <f aca="true">IF(($H30=0),0,$D$4+$D$5*(RAND()-0.5))</f>
        <v>1.77625507242719</v>
      </c>
      <c r="M30" s="59" t="n">
        <f aca="false">L30+MAX(D30,M29)</f>
        <v>21.4048263424621</v>
      </c>
      <c r="N30" s="59" t="n">
        <f aca="false">IF((H30=1),M30-D30,0)</f>
        <v>8.23118069492651</v>
      </c>
      <c r="O30" s="5" t="n">
        <v>13</v>
      </c>
      <c r="P30" s="62" t="n">
        <f aca="false">IF((Arterial=0),P29+1,P29)</f>
        <v>5</v>
      </c>
      <c r="Q30" s="62" t="n">
        <f aca="false">IF((Arterial=1),Q29+1,Q29)</f>
        <v>8</v>
      </c>
      <c r="R30" s="63" t="n">
        <f aca="false">IF((RESET=1),0,R30+K30)</f>
        <v>123.978542753667</v>
      </c>
      <c r="S30" s="10" t="e">
        <f aca="false">IF(RESET=1,0,S30+N30)</f>
        <v>#N/A</v>
      </c>
      <c r="T30" s="0" t="n">
        <f aca="false">IF(RESET=1,0,T30+IF(H30=0,1,0))</f>
        <v>27</v>
      </c>
      <c r="U30" s="0" t="e">
        <f aca="false">IF(RESET=1,0,U30+H30)</f>
        <v>#N/A</v>
      </c>
      <c r="V30" s="10" t="n">
        <f aca="false">R30/(T30+0.00001)</f>
        <v>4.59179617910021</v>
      </c>
      <c r="W30" s="10" t="e">
        <f aca="false">S30/(U30+0.0001)</f>
        <v>#N/A</v>
      </c>
      <c r="X30" s="60" t="n">
        <f aca="false">IF(Informed=1,K30,0)</f>
        <v>0</v>
      </c>
      <c r="Y30" s="60" t="n">
        <f aca="false">IF(Informed=0,K30,0)</f>
        <v>0</v>
      </c>
      <c r="Z30" s="60" t="n">
        <f aca="false">IF(Informed=1,N30,0)</f>
        <v>0</v>
      </c>
      <c r="AA30" s="60" t="n">
        <f aca="false">IF(Informed=0,N30,0)</f>
        <v>8.23118069492651</v>
      </c>
      <c r="AB30" s="64" t="n">
        <f aca="false">IF(Arterial=0,IF(Informed=1,1,0),0)</f>
        <v>0</v>
      </c>
      <c r="AC30" s="64" t="n">
        <f aca="false">IF(Arterial=0,IF(Informed=0,1,0),0)</f>
        <v>0</v>
      </c>
      <c r="AD30" s="64" t="n">
        <f aca="false">IF(Arterial=1,IF(Informed=1,1,0),0)</f>
        <v>0</v>
      </c>
      <c r="AE30" s="64" t="n">
        <f aca="false">IF(Arterial=1,IF(Informed=0,1,0),0)</f>
        <v>1</v>
      </c>
      <c r="AF30" s="57" t="n">
        <f aca="false">IF(AB30=1,(X30-G$1030)^2,0)</f>
        <v>0</v>
      </c>
      <c r="AG30" s="57" t="n">
        <f aca="false">IF(AC30=1,(Y30-H$1030)^2,0)</f>
        <v>0</v>
      </c>
      <c r="AH30" s="57" t="n">
        <f aca="false">IF(AD30=1,(Z30-I$1030)^2,0)</f>
        <v>0</v>
      </c>
      <c r="AI30" s="57" t="n">
        <f aca="false">IF(AE30=1,(AA30-J$1030)^2,0)</f>
        <v>67.7523356325308</v>
      </c>
    </row>
    <row r="31" customFormat="false" ht="12" hidden="false" customHeight="false" outlineLevel="0" collapsed="false">
      <c r="A31" s="5" t="n">
        <v>14</v>
      </c>
      <c r="B31" s="58" t="n">
        <f aca="true">IF(RAND()&lt;$D$8,1,0)</f>
        <v>0</v>
      </c>
      <c r="C31" s="47" t="n">
        <f aca="true">-LN(RAND())/$D$2</f>
        <v>2.02864187464873</v>
      </c>
      <c r="D31" s="59" t="n">
        <f aca="false">D30+C31</f>
        <v>15.2022875221844</v>
      </c>
      <c r="E31" s="60" t="n">
        <f aca="false">MAX($D$3,(1+P30-VLOOKUP(VALUE(D31),$J$18:$Q30,7,TRUE()))*$D$3)</f>
        <v>2</v>
      </c>
      <c r="F31" s="60" t="n">
        <f aca="false">MAX($D$4,(1+Q30-VLOOKUP(VALUE(D31),$M$18:$Q30,5,TRUE()))*$D$4)</f>
        <v>10</v>
      </c>
      <c r="G31" s="61" t="n">
        <v>0.5</v>
      </c>
      <c r="H31" s="59" t="n">
        <f aca="true">IF((B31=1),(IF((F31&lt;E31),1,(IF((F31=E31),(IF(RAND()&lt;G31,1,0)),0)))),(IF((RAND()&lt;G31),1,0)))</f>
        <v>1</v>
      </c>
      <c r="I31" s="59" t="n">
        <f aca="true">IF((H31=1),0,$D$3+$D$5*(RAND()-0.5))</f>
        <v>0</v>
      </c>
      <c r="J31" s="59" t="n">
        <f aca="false">I31+MAX(D31,J30)</f>
        <v>15.2022875221844</v>
      </c>
      <c r="K31" s="59" t="n">
        <f aca="false">IF((H31=0),J31-D31,0)</f>
        <v>0</v>
      </c>
      <c r="L31" s="59" t="n">
        <f aca="true">IF(($H31=0),0,$D$4+$D$5*(RAND()-0.5))</f>
        <v>1.81623379039874</v>
      </c>
      <c r="M31" s="59" t="n">
        <f aca="false">L31+MAX(D31,M30)</f>
        <v>23.2210601328609</v>
      </c>
      <c r="N31" s="59" t="n">
        <f aca="false">IF((H31=1),M31-D31,0)</f>
        <v>8.01877261067651</v>
      </c>
      <c r="O31" s="5" t="n">
        <v>14</v>
      </c>
      <c r="P31" s="62" t="n">
        <f aca="false">IF((Arterial=0),P30+1,P30)</f>
        <v>5</v>
      </c>
      <c r="Q31" s="62" t="n">
        <f aca="false">IF((Arterial=1),Q30+1,Q30)</f>
        <v>9</v>
      </c>
      <c r="R31" s="63" t="n">
        <f aca="false">IF((RESET=1),0,R31+K31)</f>
        <v>152.511101527407</v>
      </c>
      <c r="S31" s="10" t="e">
        <f aca="false">IF(RESET=1,0,S31+N31)</f>
        <v>#N/A</v>
      </c>
      <c r="T31" s="0" t="n">
        <f aca="false">IF(RESET=1,0,T31+IF(H31=0,1,0))</f>
        <v>32</v>
      </c>
      <c r="U31" s="0" t="e">
        <f aca="false">IF(RESET=1,0,U31+H31)</f>
        <v>#N/A</v>
      </c>
      <c r="V31" s="10" t="n">
        <f aca="false">R31/(T31+0.00001)</f>
        <v>4.7659704333657</v>
      </c>
      <c r="W31" s="10" t="e">
        <f aca="false">S31/(U31+0.0001)</f>
        <v>#N/A</v>
      </c>
      <c r="X31" s="60" t="n">
        <f aca="false">IF(Informed=1,K31,0)</f>
        <v>0</v>
      </c>
      <c r="Y31" s="60" t="n">
        <f aca="false">IF(Informed=0,K31,0)</f>
        <v>0</v>
      </c>
      <c r="Z31" s="60" t="n">
        <f aca="false">IF(Informed=1,N31,0)</f>
        <v>0</v>
      </c>
      <c r="AA31" s="60" t="n">
        <f aca="false">IF(Informed=0,N31,0)</f>
        <v>8.01877261067651</v>
      </c>
      <c r="AB31" s="64" t="n">
        <f aca="false">IF(Arterial=0,IF(Informed=1,1,0),0)</f>
        <v>0</v>
      </c>
      <c r="AC31" s="64" t="n">
        <f aca="false">IF(Arterial=0,IF(Informed=0,1,0),0)</f>
        <v>0</v>
      </c>
      <c r="AD31" s="64" t="n">
        <f aca="false">IF(Arterial=1,IF(Informed=1,1,0),0)</f>
        <v>0</v>
      </c>
      <c r="AE31" s="64" t="n">
        <f aca="false">IF(Arterial=1,IF(Informed=0,1,0),0)</f>
        <v>1</v>
      </c>
      <c r="AF31" s="57" t="n">
        <f aca="false">IF(AB31=1,(X31-G$1030)^2,0)</f>
        <v>0</v>
      </c>
      <c r="AG31" s="57" t="n">
        <f aca="false">IF(AC31=1,(Y31-H$1030)^2,0)</f>
        <v>0</v>
      </c>
      <c r="AH31" s="57" t="n">
        <f aca="false">IF(AD31=1,(Z31-I$1030)^2,0)</f>
        <v>0</v>
      </c>
      <c r="AI31" s="57" t="n">
        <f aca="false">IF(AE31=1,(AA31-J$1030)^2,0)</f>
        <v>64.3007141817358</v>
      </c>
    </row>
    <row r="32" customFormat="false" ht="12" hidden="false" customHeight="false" outlineLevel="0" collapsed="false">
      <c r="A32" s="5" t="n">
        <v>15</v>
      </c>
      <c r="B32" s="58" t="n">
        <f aca="true">IF(RAND()&lt;$D$8,1,0)</f>
        <v>0</v>
      </c>
      <c r="C32" s="47" t="n">
        <f aca="true">-LN(RAND())/$D$2</f>
        <v>1.05615327776853</v>
      </c>
      <c r="D32" s="59" t="n">
        <f aca="false">D31+C32</f>
        <v>16.2584407999529</v>
      </c>
      <c r="E32" s="60" t="n">
        <f aca="false">MAX($D$3,(1+P31-VLOOKUP(VALUE(D32),$J$18:$Q31,7,TRUE()))*$D$3)</f>
        <v>2</v>
      </c>
      <c r="F32" s="60" t="n">
        <f aca="false">MAX($D$4,(1+Q31-VLOOKUP(VALUE(D32),$M$18:$Q31,5,TRUE()))*$D$4)</f>
        <v>10</v>
      </c>
      <c r="G32" s="61" t="n">
        <v>0.5</v>
      </c>
      <c r="H32" s="59" t="n">
        <f aca="true">IF((B32=1),(IF((F32&lt;E32),1,(IF((F32=E32),(IF(RAND()&lt;G32,1,0)),0)))),(IF((RAND()&lt;G32),1,0)))</f>
        <v>1</v>
      </c>
      <c r="I32" s="59" t="n">
        <f aca="true">IF((H32=1),0,$D$3+$D$5*(RAND()-0.5))</f>
        <v>0</v>
      </c>
      <c r="J32" s="59" t="n">
        <f aca="false">I32+MAX(D32,J31)</f>
        <v>16.2584407999529</v>
      </c>
      <c r="K32" s="59" t="n">
        <f aca="false">IF((H32=0),J32-D32,0)</f>
        <v>0</v>
      </c>
      <c r="L32" s="59" t="n">
        <f aca="true">IF(($H32=0),0,$D$4+$D$5*(RAND()-0.5))</f>
        <v>2.16832028055717</v>
      </c>
      <c r="M32" s="59" t="n">
        <f aca="false">L32+MAX(D32,M31)</f>
        <v>25.3893804134181</v>
      </c>
      <c r="N32" s="59" t="n">
        <f aca="false">IF((H32=1),M32-D32,0)</f>
        <v>9.13093961346515</v>
      </c>
      <c r="O32" s="5" t="n">
        <v>15</v>
      </c>
      <c r="P32" s="62" t="n">
        <f aca="false">IF((Arterial=0),P31+1,P31)</f>
        <v>5</v>
      </c>
      <c r="Q32" s="62" t="n">
        <f aca="false">IF((Arterial=1),Q31+1,Q31)</f>
        <v>10</v>
      </c>
      <c r="R32" s="63" t="n">
        <f aca="false">IF((RESET=1),0,R32+K32)</f>
        <v>160.154878802503</v>
      </c>
      <c r="S32" s="10" t="e">
        <f aca="false">IF(RESET=1,0,S32+N32)</f>
        <v>#N/A</v>
      </c>
      <c r="T32" s="0" t="n">
        <f aca="false">IF(RESET=1,0,T32+IF(H32=0,1,0))</f>
        <v>31</v>
      </c>
      <c r="U32" s="0" t="e">
        <f aca="false">IF(RESET=1,0,U32+H32)</f>
        <v>#N/A</v>
      </c>
      <c r="V32" s="10" t="n">
        <f aca="false">R32/(T32+0.00001)</f>
        <v>5.16628474644049</v>
      </c>
      <c r="W32" s="10" t="e">
        <f aca="false">S32/(U32+0.0001)</f>
        <v>#N/A</v>
      </c>
      <c r="X32" s="60" t="n">
        <f aca="false">IF(Informed=1,K32,0)</f>
        <v>0</v>
      </c>
      <c r="Y32" s="60" t="n">
        <f aca="false">IF(Informed=0,K32,0)</f>
        <v>0</v>
      </c>
      <c r="Z32" s="60" t="n">
        <f aca="false">IF(Informed=1,N32,0)</f>
        <v>0</v>
      </c>
      <c r="AA32" s="60" t="n">
        <f aca="false">IF(Informed=0,N32,0)</f>
        <v>9.13093961346515</v>
      </c>
      <c r="AB32" s="64" t="n">
        <f aca="false">IF(Arterial=0,IF(Informed=1,1,0),0)</f>
        <v>0</v>
      </c>
      <c r="AC32" s="64" t="n">
        <f aca="false">IF(Arterial=0,IF(Informed=0,1,0),0)</f>
        <v>0</v>
      </c>
      <c r="AD32" s="64" t="n">
        <f aca="false">IF(Arterial=1,IF(Informed=1,1,0),0)</f>
        <v>0</v>
      </c>
      <c r="AE32" s="64" t="n">
        <f aca="false">IF(Arterial=1,IF(Informed=0,1,0),0)</f>
        <v>1</v>
      </c>
      <c r="AF32" s="57" t="n">
        <f aca="false">IF(AB32=1,(X32-G$1030)^2,0)</f>
        <v>0</v>
      </c>
      <c r="AG32" s="57" t="n">
        <f aca="false">IF(AC32=1,(Y32-H$1030)^2,0)</f>
        <v>0</v>
      </c>
      <c r="AH32" s="57" t="n">
        <f aca="false">IF(AD32=1,(Z32-I$1030)^2,0)</f>
        <v>0</v>
      </c>
      <c r="AI32" s="57" t="n">
        <f aca="false">IF(AE32=1,(AA32-J$1030)^2,0)</f>
        <v>83.3740582247472</v>
      </c>
    </row>
    <row r="33" customFormat="false" ht="12" hidden="false" customHeight="false" outlineLevel="0" collapsed="false">
      <c r="A33" s="5" t="n">
        <v>16</v>
      </c>
      <c r="B33" s="58" t="n">
        <f aca="true">IF(RAND()&lt;$D$8,1,0)</f>
        <v>0</v>
      </c>
      <c r="C33" s="47" t="n">
        <f aca="true">-LN(RAND())/$D$2</f>
        <v>0.18218879511039</v>
      </c>
      <c r="D33" s="59" t="n">
        <f aca="false">D32+C33</f>
        <v>16.4406295950633</v>
      </c>
      <c r="E33" s="60" t="n">
        <f aca="false">MAX($D$3,(1+P32-VLOOKUP(VALUE(D33),$J$18:$Q32,7,TRUE()))*$D$3)</f>
        <v>2</v>
      </c>
      <c r="F33" s="60" t="n">
        <f aca="false">MAX($D$4,(1+Q32-VLOOKUP(VALUE(D33),$M$18:$Q32,5,TRUE()))*$D$4)</f>
        <v>12</v>
      </c>
      <c r="G33" s="61" t="n">
        <v>0.5</v>
      </c>
      <c r="H33" s="59" t="n">
        <f aca="true">IF((B33=1),(IF((F33&lt;E33),1,(IF((F33=E33),(IF(RAND()&lt;G33,1,0)),0)))),(IF((RAND()&lt;G33),1,0)))</f>
        <v>0</v>
      </c>
      <c r="I33" s="59" t="n">
        <f aca="true">IF((H33=1),0,$D$3+$D$5*(RAND()-0.5))</f>
        <v>1.75550839369216</v>
      </c>
      <c r="J33" s="59" t="n">
        <f aca="false">I33+MAX(D33,J32)</f>
        <v>18.1961379887555</v>
      </c>
      <c r="K33" s="59" t="n">
        <f aca="false">IF((H33=0),J33-D33,0)</f>
        <v>1.75550839369216</v>
      </c>
      <c r="L33" s="59" t="n">
        <f aca="true">IF(($H33=0),0,$D$4+$D$5*(RAND()-0.5))</f>
        <v>0</v>
      </c>
      <c r="M33" s="59" t="n">
        <f aca="false">L33+MAX(D33,M32)</f>
        <v>25.3893804134181</v>
      </c>
      <c r="N33" s="59" t="n">
        <f aca="false">IF((H33=1),M33-D33,0)</f>
        <v>0</v>
      </c>
      <c r="O33" s="5" t="n">
        <v>16</v>
      </c>
      <c r="P33" s="62" t="n">
        <f aca="false">IF((Arterial=0),P32+1,P32)</f>
        <v>6</v>
      </c>
      <c r="Q33" s="62" t="n">
        <f aca="false">IF((Arterial=1),Q32+1,Q32)</f>
        <v>10</v>
      </c>
      <c r="R33" s="63" t="e">
        <f aca="false">IF((RESET=1),0,R33+K33)</f>
        <v>#N/A</v>
      </c>
      <c r="S33" s="10" t="n">
        <f aca="false">IF(RESET=1,0,S33+N33)</f>
        <v>134.614137855044</v>
      </c>
      <c r="T33" s="0" t="e">
        <f aca="false">IF(RESET=1,0,T33+IF(H33=0,1,0))</f>
        <v>#N/A</v>
      </c>
      <c r="U33" s="0" t="n">
        <f aca="false">IF(RESET=1,0,U33+H33)</f>
        <v>27</v>
      </c>
      <c r="V33" s="10" t="e">
        <f aca="false">R33/(T33+0.00001)</f>
        <v>#N/A</v>
      </c>
      <c r="W33" s="10" t="n">
        <f aca="false">S33/(U33+0.0001)</f>
        <v>4.98569034392626</v>
      </c>
      <c r="X33" s="60" t="n">
        <f aca="false">IF(Informed=1,K33,0)</f>
        <v>0</v>
      </c>
      <c r="Y33" s="60" t="n">
        <f aca="false">IF(Informed=0,K33,0)</f>
        <v>1.75550839369216</v>
      </c>
      <c r="Z33" s="60" t="n">
        <f aca="false">IF(Informed=1,N33,0)</f>
        <v>0</v>
      </c>
      <c r="AA33" s="60" t="n">
        <f aca="false">IF(Informed=0,N33,0)</f>
        <v>0</v>
      </c>
      <c r="AB33" s="64" t="n">
        <f aca="false">IF(Arterial=0,IF(Informed=1,1,0),0)</f>
        <v>0</v>
      </c>
      <c r="AC33" s="64" t="n">
        <f aca="false">IF(Arterial=0,IF(Informed=0,1,0),0)</f>
        <v>1</v>
      </c>
      <c r="AD33" s="64" t="n">
        <f aca="false">IF(Arterial=1,IF(Informed=1,1,0),0)</f>
        <v>0</v>
      </c>
      <c r="AE33" s="64" t="n">
        <f aca="false">IF(Arterial=1,IF(Informed=0,1,0),0)</f>
        <v>0</v>
      </c>
      <c r="AF33" s="57" t="n">
        <f aca="false">IF(AB33=1,(X33-G$1030)^2,0)</f>
        <v>0</v>
      </c>
      <c r="AG33" s="57" t="n">
        <f aca="false">IF(AC33=1,(Y33-H$1030)^2,0)</f>
        <v>3.08180972032363</v>
      </c>
      <c r="AH33" s="57" t="n">
        <f aca="false">IF(AD33=1,(Z33-I$1030)^2,0)</f>
        <v>0</v>
      </c>
      <c r="AI33" s="57" t="n">
        <f aca="false">IF(AE33=1,(AA33-J$1030)^2,0)</f>
        <v>0</v>
      </c>
    </row>
    <row r="34" customFormat="false" ht="12" hidden="false" customHeight="false" outlineLevel="0" collapsed="false">
      <c r="A34" s="5" t="n">
        <v>17</v>
      </c>
      <c r="B34" s="58" t="n">
        <f aca="true">IF(RAND()&lt;$D$8,1,0)</f>
        <v>0</v>
      </c>
      <c r="C34" s="47" t="n">
        <f aca="true">-LN(RAND())/$D$2</f>
        <v>0.0863277268051733</v>
      </c>
      <c r="D34" s="59" t="n">
        <f aca="false">D33+C34</f>
        <v>16.5269573218685</v>
      </c>
      <c r="E34" s="60" t="n">
        <f aca="false">MAX($D$3,(1+P33-VLOOKUP(VALUE(D34),$J$18:$Q33,7,TRUE()))*$D$3)</f>
        <v>4</v>
      </c>
      <c r="F34" s="60" t="n">
        <f aca="false">MAX($D$4,(1+Q33-VLOOKUP(VALUE(D34),$M$18:$Q33,5,TRUE()))*$D$4)</f>
        <v>12</v>
      </c>
      <c r="G34" s="61" t="n">
        <v>0.5</v>
      </c>
      <c r="H34" s="59" t="n">
        <f aca="true">IF((B34=1),(IF((F34&lt;E34),1,(IF((F34=E34),(IF(RAND()&lt;G34,1,0)),0)))),(IF((RAND()&lt;G34),1,0)))</f>
        <v>0</v>
      </c>
      <c r="I34" s="59" t="n">
        <f aca="true">IF((H34=1),0,$D$3+$D$5*(RAND()-0.5))</f>
        <v>1.83890533031831</v>
      </c>
      <c r="J34" s="59" t="n">
        <f aca="false">I34+MAX(D34,J33)</f>
        <v>20.0350433190738</v>
      </c>
      <c r="K34" s="59" t="n">
        <f aca="false">IF((H34=0),J34-D34,0)</f>
        <v>3.5080859972053</v>
      </c>
      <c r="L34" s="59" t="n">
        <f aca="true">IF(($H34=0),0,$D$4+$D$5*(RAND()-0.5))</f>
        <v>0</v>
      </c>
      <c r="M34" s="59" t="n">
        <f aca="false">L34+MAX(D34,M33)</f>
        <v>25.3893804134181</v>
      </c>
      <c r="N34" s="59" t="n">
        <f aca="false">IF((H34=1),M34-D34,0)</f>
        <v>0</v>
      </c>
      <c r="O34" s="5" t="n">
        <v>17</v>
      </c>
      <c r="P34" s="62" t="n">
        <f aca="false">IF((Arterial=0),P33+1,P33)</f>
        <v>7</v>
      </c>
      <c r="Q34" s="62" t="n">
        <f aca="false">IF((Arterial=1),Q33+1,Q33)</f>
        <v>10</v>
      </c>
      <c r="R34" s="63" t="e">
        <f aca="false">IF((RESET=1),0,R34+K34)</f>
        <v>#N/A</v>
      </c>
      <c r="S34" s="10" t="n">
        <f aca="false">IF(RESET=1,0,S34+N34)</f>
        <v>176.037390045385</v>
      </c>
      <c r="T34" s="0" t="e">
        <f aca="false">IF(RESET=1,0,T34+IF(H34=0,1,0))</f>
        <v>#N/A</v>
      </c>
      <c r="U34" s="0" t="n">
        <f aca="false">IF(RESET=1,0,U34+H34)</f>
        <v>35</v>
      </c>
      <c r="V34" s="10" t="e">
        <f aca="false">R34/(T34+0.00001)</f>
        <v>#N/A</v>
      </c>
      <c r="W34" s="10" t="n">
        <f aca="false">S34/(U34+0.0001)</f>
        <v>5.0296253452243</v>
      </c>
      <c r="X34" s="60" t="n">
        <f aca="false">IF(Informed=1,K34,0)</f>
        <v>0</v>
      </c>
      <c r="Y34" s="60" t="n">
        <f aca="false">IF(Informed=0,K34,0)</f>
        <v>3.5080859972053</v>
      </c>
      <c r="Z34" s="60" t="n">
        <f aca="false">IF(Informed=1,N34,0)</f>
        <v>0</v>
      </c>
      <c r="AA34" s="60" t="n">
        <f aca="false">IF(Informed=0,N34,0)</f>
        <v>0</v>
      </c>
      <c r="AB34" s="64" t="n">
        <f aca="false">IF(Arterial=0,IF(Informed=1,1,0),0)</f>
        <v>0</v>
      </c>
      <c r="AC34" s="64" t="n">
        <f aca="false">IF(Arterial=0,IF(Informed=0,1,0),0)</f>
        <v>1</v>
      </c>
      <c r="AD34" s="64" t="n">
        <f aca="false">IF(Arterial=1,IF(Informed=1,1,0),0)</f>
        <v>0</v>
      </c>
      <c r="AE34" s="64" t="n">
        <f aca="false">IF(Arterial=1,IF(Informed=0,1,0),0)</f>
        <v>0</v>
      </c>
      <c r="AF34" s="57" t="n">
        <f aca="false">IF(AB34=1,(X34-G$1030)^2,0)</f>
        <v>0</v>
      </c>
      <c r="AG34" s="57" t="n">
        <f aca="false">IF(AC34=1,(Y34-H$1030)^2,0)</f>
        <v>12.3066673637879</v>
      </c>
      <c r="AH34" s="57" t="n">
        <f aca="false">IF(AD34=1,(Z34-I$1030)^2,0)</f>
        <v>0</v>
      </c>
      <c r="AI34" s="57" t="n">
        <f aca="false">IF(AE34=1,(AA34-J$1030)^2,0)</f>
        <v>0</v>
      </c>
    </row>
    <row r="35" customFormat="false" ht="12" hidden="false" customHeight="false" outlineLevel="0" collapsed="false">
      <c r="A35" s="5" t="n">
        <v>18</v>
      </c>
      <c r="B35" s="58" t="n">
        <f aca="true">IF(RAND()&lt;$D$8,1,0)</f>
        <v>1</v>
      </c>
      <c r="C35" s="47" t="n">
        <f aca="true">-LN(RAND())/$D$2</f>
        <v>0.239907826611645</v>
      </c>
      <c r="D35" s="59" t="n">
        <f aca="false">D34+C35</f>
        <v>16.7668651484801</v>
      </c>
      <c r="E35" s="60" t="n">
        <f aca="false">MAX($D$3,(1+P34-VLOOKUP(VALUE(D35),$J$18:$Q34,7,TRUE()))*$D$3)</f>
        <v>6</v>
      </c>
      <c r="F35" s="60" t="n">
        <f aca="false">MAX($D$4,(1+Q34-VLOOKUP(VALUE(D35),$M$18:$Q34,5,TRUE()))*$D$4)</f>
        <v>12</v>
      </c>
      <c r="G35" s="61" t="n">
        <v>0.5</v>
      </c>
      <c r="H35" s="59" t="n">
        <f aca="true">IF((B35=1),(IF((F35&lt;E35),1,(IF((F35=E35),(IF(RAND()&lt;G35,1,0)),0)))),(IF((RAND()&lt;G35),1,0)))</f>
        <v>0</v>
      </c>
      <c r="I35" s="59" t="n">
        <f aca="true">IF((H35=1),0,$D$3+$D$5*(RAND()-0.5))</f>
        <v>2.17646313769624</v>
      </c>
      <c r="J35" s="59" t="n">
        <f aca="false">I35+MAX(D35,J34)</f>
        <v>22.21150645677</v>
      </c>
      <c r="K35" s="59" t="n">
        <f aca="false">IF((H35=0),J35-D35,0)</f>
        <v>5.44464130828989</v>
      </c>
      <c r="L35" s="59" t="n">
        <f aca="true">IF(($H35=0),0,$D$4+$D$5*(RAND()-0.5))</f>
        <v>0</v>
      </c>
      <c r="M35" s="59" t="n">
        <f aca="false">L35+MAX(D35,M34)</f>
        <v>25.3893804134181</v>
      </c>
      <c r="N35" s="59" t="n">
        <f aca="false">IF((H35=1),M35-D35,0)</f>
        <v>0</v>
      </c>
      <c r="O35" s="5" t="n">
        <v>18</v>
      </c>
      <c r="P35" s="62" t="n">
        <f aca="false">IF((Arterial=0),P34+1,P34)</f>
        <v>8</v>
      </c>
      <c r="Q35" s="62" t="n">
        <f aca="false">IF((Arterial=1),Q34+1,Q34)</f>
        <v>10</v>
      </c>
      <c r="R35" s="63" t="e">
        <f aca="false">IF((RESET=1),0,R35+K35)</f>
        <v>#N/A</v>
      </c>
      <c r="S35" s="10" t="n">
        <f aca="false">IF(RESET=1,0,S35+N35)</f>
        <v>143.425836825818</v>
      </c>
      <c r="T35" s="0" t="e">
        <f aca="false">IF(RESET=1,0,T35+IF(H35=0,1,0))</f>
        <v>#N/A</v>
      </c>
      <c r="U35" s="0" t="n">
        <f aca="false">IF(RESET=1,0,U35+H35)</f>
        <v>26</v>
      </c>
      <c r="V35" s="10" t="e">
        <f aca="false">R35/(T35+0.00001)</f>
        <v>#N/A</v>
      </c>
      <c r="W35" s="10" t="n">
        <f aca="false">S35/(U35+0.0001)</f>
        <v>5.51635712269639</v>
      </c>
      <c r="X35" s="60" t="n">
        <f aca="false">IF(Informed=1,K35,0)</f>
        <v>5.44464130828989</v>
      </c>
      <c r="Y35" s="60" t="n">
        <f aca="false">IF(Informed=0,K35,0)</f>
        <v>0</v>
      </c>
      <c r="Z35" s="60" t="n">
        <f aca="false">IF(Informed=1,N35,0)</f>
        <v>0</v>
      </c>
      <c r="AA35" s="60" t="n">
        <f aca="false">IF(Informed=0,N35,0)</f>
        <v>0</v>
      </c>
      <c r="AB35" s="64" t="n">
        <f aca="false">IF(Arterial=0,IF(Informed=1,1,0),0)</f>
        <v>1</v>
      </c>
      <c r="AC35" s="64" t="n">
        <f aca="false">IF(Arterial=0,IF(Informed=0,1,0),0)</f>
        <v>0</v>
      </c>
      <c r="AD35" s="64" t="n">
        <f aca="false">IF(Arterial=1,IF(Informed=1,1,0),0)</f>
        <v>0</v>
      </c>
      <c r="AE35" s="64" t="n">
        <f aca="false">IF(Arterial=1,IF(Informed=0,1,0),0)</f>
        <v>0</v>
      </c>
      <c r="AF35" s="57" t="n">
        <f aca="false">IF(AB35=1,(X35-G$1030)^2,0)</f>
        <v>29.6441189759366</v>
      </c>
      <c r="AG35" s="57" t="n">
        <f aca="false">IF(AC35=1,(Y35-H$1030)^2,0)</f>
        <v>0</v>
      </c>
      <c r="AH35" s="57" t="n">
        <f aca="false">IF(AD35=1,(Z35-I$1030)^2,0)</f>
        <v>0</v>
      </c>
      <c r="AI35" s="57" t="n">
        <f aca="false">IF(AE35=1,(AA35-J$1030)^2,0)</f>
        <v>0</v>
      </c>
    </row>
    <row r="36" customFormat="false" ht="12" hidden="false" customHeight="false" outlineLevel="0" collapsed="false">
      <c r="A36" s="5" t="n">
        <v>19</v>
      </c>
      <c r="B36" s="58" t="n">
        <f aca="true">IF(RAND()&lt;$D$8,1,0)</f>
        <v>0</v>
      </c>
      <c r="C36" s="47" t="n">
        <f aca="true">-LN(RAND())/$D$2</f>
        <v>1.32362896298527</v>
      </c>
      <c r="D36" s="59" t="n">
        <f aca="false">D35+C36</f>
        <v>18.0904941114654</v>
      </c>
      <c r="E36" s="60" t="n">
        <f aca="false">MAX($D$3,(1+P35-VLOOKUP(VALUE(D36),$J$18:$Q35,7,TRUE()))*$D$3)</f>
        <v>8</v>
      </c>
      <c r="F36" s="60" t="n">
        <f aca="false">MAX($D$4,(1+Q35-VLOOKUP(VALUE(D36),$M$18:$Q35,5,TRUE()))*$D$4)</f>
        <v>10</v>
      </c>
      <c r="G36" s="61" t="n">
        <v>0.5</v>
      </c>
      <c r="H36" s="59" t="n">
        <f aca="true">IF((B36=1),(IF((F36&lt;E36),1,(IF((F36=E36),(IF(RAND()&lt;G36,1,0)),0)))),(IF((RAND()&lt;G36),1,0)))</f>
        <v>1</v>
      </c>
      <c r="I36" s="59" t="n">
        <f aca="true">IF((H36=1),0,$D$3+$D$5*(RAND()-0.5))</f>
        <v>0</v>
      </c>
      <c r="J36" s="59" t="n">
        <f aca="false">I36+MAX(D36,J35)</f>
        <v>22.21150645677</v>
      </c>
      <c r="K36" s="59" t="n">
        <f aca="false">IF((H36=0),J36-D36,0)</f>
        <v>0</v>
      </c>
      <c r="L36" s="59" t="n">
        <f aca="true">IF(($H36=0),0,$D$4+$D$5*(RAND()-0.5))</f>
        <v>2.03423415200522</v>
      </c>
      <c r="M36" s="59" t="n">
        <f aca="false">L36+MAX(D36,M35)</f>
        <v>27.4236145654233</v>
      </c>
      <c r="N36" s="59" t="n">
        <f aca="false">IF((H36=1),M36-D36,0)</f>
        <v>9.33312045395789</v>
      </c>
      <c r="O36" s="5" t="n">
        <v>19</v>
      </c>
      <c r="P36" s="62" t="n">
        <f aca="false">IF((Arterial=0),P35+1,P35)</f>
        <v>8</v>
      </c>
      <c r="Q36" s="62" t="n">
        <f aca="false">IF((Arterial=1),Q35+1,Q35)</f>
        <v>11</v>
      </c>
      <c r="R36" s="63" t="n">
        <f aca="false">IF((RESET=1),0,R36+K36)</f>
        <v>194.889588978187</v>
      </c>
      <c r="S36" s="10" t="e">
        <f aca="false">IF(RESET=1,0,S36+N36)</f>
        <v>#N/A</v>
      </c>
      <c r="T36" s="0" t="n">
        <f aca="false">IF(RESET=1,0,T36+IF(H36=0,1,0))</f>
        <v>33</v>
      </c>
      <c r="U36" s="0" t="e">
        <f aca="false">IF(RESET=1,0,U36+H36)</f>
        <v>#N/A</v>
      </c>
      <c r="V36" s="10" t="n">
        <f aca="false">R36/(T36+0.00001)</f>
        <v>5.90574333093193</v>
      </c>
      <c r="W36" s="10" t="e">
        <f aca="false">S36/(U36+0.0001)</f>
        <v>#N/A</v>
      </c>
      <c r="X36" s="60" t="n">
        <f aca="false">IF(Informed=1,K36,0)</f>
        <v>0</v>
      </c>
      <c r="Y36" s="60" t="n">
        <f aca="false">IF(Informed=0,K36,0)</f>
        <v>0</v>
      </c>
      <c r="Z36" s="60" t="n">
        <f aca="false">IF(Informed=1,N36,0)</f>
        <v>0</v>
      </c>
      <c r="AA36" s="60" t="n">
        <f aca="false">IF(Informed=0,N36,0)</f>
        <v>9.33312045395789</v>
      </c>
      <c r="AB36" s="64" t="n">
        <f aca="false">IF(Arterial=0,IF(Informed=1,1,0),0)</f>
        <v>0</v>
      </c>
      <c r="AC36" s="64" t="n">
        <f aca="false">IF(Arterial=0,IF(Informed=0,1,0),0)</f>
        <v>0</v>
      </c>
      <c r="AD36" s="64" t="n">
        <f aca="false">IF(Arterial=1,IF(Informed=1,1,0),0)</f>
        <v>0</v>
      </c>
      <c r="AE36" s="64" t="n">
        <f aca="false">IF(Arterial=1,IF(Informed=0,1,0),0)</f>
        <v>1</v>
      </c>
      <c r="AF36" s="57" t="n">
        <f aca="false">IF(AB36=1,(X36-G$1030)^2,0)</f>
        <v>0</v>
      </c>
      <c r="AG36" s="57" t="n">
        <f aca="false">IF(AC36=1,(Y36-H$1030)^2,0)</f>
        <v>0</v>
      </c>
      <c r="AH36" s="57" t="n">
        <f aca="false">IF(AD36=1,(Z36-I$1030)^2,0)</f>
        <v>0</v>
      </c>
      <c r="AI36" s="57" t="n">
        <f aca="false">IF(AE36=1,(AA36-J$1030)^2,0)</f>
        <v>87.1071374080872</v>
      </c>
    </row>
    <row r="37" customFormat="false" ht="12" hidden="false" customHeight="false" outlineLevel="0" collapsed="false">
      <c r="A37" s="5" t="n">
        <v>20</v>
      </c>
      <c r="B37" s="58" t="n">
        <f aca="true">IF(RAND()&lt;$D$8,1,0)</f>
        <v>1</v>
      </c>
      <c r="C37" s="47" t="n">
        <f aca="true">-LN(RAND())/$D$2</f>
        <v>1.41043257641064</v>
      </c>
      <c r="D37" s="59" t="n">
        <f aca="false">D36+C37</f>
        <v>19.500926687876</v>
      </c>
      <c r="E37" s="60" t="n">
        <f aca="false">MAX($D$3,(1+P36-VLOOKUP(VALUE(D37),$J$18:$Q36,7,TRUE()))*$D$3)</f>
        <v>6</v>
      </c>
      <c r="F37" s="60" t="n">
        <f aca="false">MAX($D$4,(1+Q36-VLOOKUP(VALUE(D37),$M$18:$Q36,5,TRUE()))*$D$4)</f>
        <v>12</v>
      </c>
      <c r="G37" s="61" t="n">
        <v>0.5</v>
      </c>
      <c r="H37" s="59" t="n">
        <f aca="true">IF((B37=1),(IF((F37&lt;E37),1,(IF((F37=E37),(IF(RAND()&lt;G37,1,0)),0)))),(IF((RAND()&lt;G37),1,0)))</f>
        <v>0</v>
      </c>
      <c r="I37" s="59" t="n">
        <f aca="true">IF((H37=1),0,$D$3+$D$5*(RAND()-0.5))</f>
        <v>1.76036489342281</v>
      </c>
      <c r="J37" s="59" t="n">
        <f aca="false">I37+MAX(D37,J36)</f>
        <v>23.9718713501928</v>
      </c>
      <c r="K37" s="59" t="n">
        <f aca="false">IF((H37=0),J37-D37,0)</f>
        <v>4.47094466231679</v>
      </c>
      <c r="L37" s="59" t="n">
        <f aca="true">IF(($H37=0),0,$D$4+$D$5*(RAND()-0.5))</f>
        <v>0</v>
      </c>
      <c r="M37" s="59" t="n">
        <f aca="false">L37+MAX(D37,M36)</f>
        <v>27.4236145654233</v>
      </c>
      <c r="N37" s="59" t="n">
        <f aca="false">IF((H37=1),M37-D37,0)</f>
        <v>0</v>
      </c>
      <c r="O37" s="5" t="n">
        <v>20</v>
      </c>
      <c r="P37" s="62" t="n">
        <f aca="false">IF((Arterial=0),P36+1,P36)</f>
        <v>9</v>
      </c>
      <c r="Q37" s="62" t="n">
        <f aca="false">IF((Arterial=1),Q36+1,Q36)</f>
        <v>11</v>
      </c>
      <c r="R37" s="63" t="e">
        <f aca="false">IF((RESET=1),0,R37+K37)</f>
        <v>#N/A</v>
      </c>
      <c r="S37" s="10" t="n">
        <f aca="false">IF(RESET=1,0,S37+N37)</f>
        <v>193.660809040722</v>
      </c>
      <c r="T37" s="0" t="e">
        <f aca="false">IF(RESET=1,0,T37+IF(H37=0,1,0))</f>
        <v>#N/A</v>
      </c>
      <c r="U37" s="0" t="n">
        <f aca="false">IF(RESET=1,0,U37+H37)</f>
        <v>35</v>
      </c>
      <c r="V37" s="10" t="e">
        <f aca="false">R37/(T37+0.00001)</f>
        <v>#N/A</v>
      </c>
      <c r="W37" s="10" t="n">
        <f aca="false">S37/(U37+0.0001)</f>
        <v>5.53315016359159</v>
      </c>
      <c r="X37" s="60" t="n">
        <f aca="false">IF(Informed=1,K37,0)</f>
        <v>4.47094466231679</v>
      </c>
      <c r="Y37" s="60" t="n">
        <f aca="false">IF(Informed=0,K37,0)</f>
        <v>0</v>
      </c>
      <c r="Z37" s="60" t="n">
        <f aca="false">IF(Informed=1,N37,0)</f>
        <v>0</v>
      </c>
      <c r="AA37" s="60" t="n">
        <f aca="false">IF(Informed=0,N37,0)</f>
        <v>0</v>
      </c>
      <c r="AB37" s="64" t="n">
        <f aca="false">IF(Arterial=0,IF(Informed=1,1,0),0)</f>
        <v>1</v>
      </c>
      <c r="AC37" s="64" t="n">
        <f aca="false">IF(Arterial=0,IF(Informed=0,1,0),0)</f>
        <v>0</v>
      </c>
      <c r="AD37" s="64" t="n">
        <f aca="false">IF(Arterial=1,IF(Informed=1,1,0),0)</f>
        <v>0</v>
      </c>
      <c r="AE37" s="64" t="n">
        <f aca="false">IF(Arterial=1,IF(Informed=0,1,0),0)</f>
        <v>0</v>
      </c>
      <c r="AF37" s="57" t="n">
        <f aca="false">IF(AB37=1,(X37-G$1030)^2,0)</f>
        <v>19.989346173499</v>
      </c>
      <c r="AG37" s="57" t="n">
        <f aca="false">IF(AC37=1,(Y37-H$1030)^2,0)</f>
        <v>0</v>
      </c>
      <c r="AH37" s="57" t="n">
        <f aca="false">IF(AD37=1,(Z37-I$1030)^2,0)</f>
        <v>0</v>
      </c>
      <c r="AI37" s="57" t="n">
        <f aca="false">IF(AE37=1,(AA37-J$1030)^2,0)</f>
        <v>0</v>
      </c>
    </row>
    <row r="38" customFormat="false" ht="12" hidden="false" customHeight="false" outlineLevel="0" collapsed="false">
      <c r="A38" s="5" t="n">
        <v>21</v>
      </c>
      <c r="B38" s="58" t="n">
        <f aca="true">IF(RAND()&lt;$D$8,1,0)</f>
        <v>1</v>
      </c>
      <c r="C38" s="47" t="n">
        <f aca="true">-LN(RAND())/$D$2</f>
        <v>0.397365428359101</v>
      </c>
      <c r="D38" s="59" t="n">
        <f aca="false">D37+C38</f>
        <v>19.8982921162351</v>
      </c>
      <c r="E38" s="60" t="n">
        <f aca="false">MAX($D$3,(1+P37-VLOOKUP(VALUE(D38),$J$18:$Q37,7,TRUE()))*$D$3)</f>
        <v>8</v>
      </c>
      <c r="F38" s="60" t="n">
        <f aca="false">MAX($D$4,(1+Q37-VLOOKUP(VALUE(D38),$M$18:$Q37,5,TRUE()))*$D$4)</f>
        <v>10</v>
      </c>
      <c r="G38" s="61" t="n">
        <v>0.5</v>
      </c>
      <c r="H38" s="59" t="n">
        <f aca="true">IF((B38=1),(IF((F38&lt;E38),1,(IF((F38=E38),(IF(RAND()&lt;G38,1,0)),0)))),(IF((RAND()&lt;G38),1,0)))</f>
        <v>0</v>
      </c>
      <c r="I38" s="59" t="n">
        <f aca="true">IF((H38=1),0,$D$3+$D$5*(RAND()-0.5))</f>
        <v>2.11586221598545</v>
      </c>
      <c r="J38" s="59" t="n">
        <f aca="false">I38+MAX(D38,J37)</f>
        <v>26.0877335661783</v>
      </c>
      <c r="K38" s="59" t="n">
        <f aca="false">IF((H38=0),J38-D38,0)</f>
        <v>6.18944144994314</v>
      </c>
      <c r="L38" s="59" t="n">
        <f aca="true">IF(($H38=0),0,$D$4+$D$5*(RAND()-0.5))</f>
        <v>0</v>
      </c>
      <c r="M38" s="59" t="n">
        <f aca="false">L38+MAX(D38,M37)</f>
        <v>27.4236145654233</v>
      </c>
      <c r="N38" s="59" t="n">
        <f aca="false">IF((H38=1),M38-D38,0)</f>
        <v>0</v>
      </c>
      <c r="O38" s="5" t="n">
        <v>21</v>
      </c>
      <c r="P38" s="62" t="n">
        <f aca="false">IF((Arterial=0),P37+1,P37)</f>
        <v>10</v>
      </c>
      <c r="Q38" s="62" t="n">
        <f aca="false">IF((Arterial=1),Q37+1,Q37)</f>
        <v>11</v>
      </c>
      <c r="R38" s="63" t="e">
        <f aca="false">IF((RESET=1),0,R38+K38)</f>
        <v>#N/A</v>
      </c>
      <c r="S38" s="10" t="n">
        <f aca="false">IF(RESET=1,0,S38+N38)</f>
        <v>149.504991814094</v>
      </c>
      <c r="T38" s="0" t="e">
        <f aca="false">IF(RESET=1,0,T38+IF(H38=0,1,0))</f>
        <v>#N/A</v>
      </c>
      <c r="U38" s="0" t="n">
        <f aca="false">IF(RESET=1,0,U38+H38)</f>
        <v>25</v>
      </c>
      <c r="V38" s="10" t="e">
        <f aca="false">R38/(T38+0.00001)</f>
        <v>#N/A</v>
      </c>
      <c r="W38" s="10" t="n">
        <f aca="false">S38/(U38+0.0001)</f>
        <v>5.98017575186074</v>
      </c>
      <c r="X38" s="60" t="n">
        <f aca="false">IF(Informed=1,K38,0)</f>
        <v>6.18944144994314</v>
      </c>
      <c r="Y38" s="60" t="n">
        <f aca="false">IF(Informed=0,K38,0)</f>
        <v>0</v>
      </c>
      <c r="Z38" s="60" t="n">
        <f aca="false">IF(Informed=1,N38,0)</f>
        <v>0</v>
      </c>
      <c r="AA38" s="60" t="n">
        <f aca="false">IF(Informed=0,N38,0)</f>
        <v>0</v>
      </c>
      <c r="AB38" s="64" t="n">
        <f aca="false">IF(Arterial=0,IF(Informed=1,1,0),0)</f>
        <v>1</v>
      </c>
      <c r="AC38" s="64" t="n">
        <f aca="false">IF(Arterial=0,IF(Informed=0,1,0),0)</f>
        <v>0</v>
      </c>
      <c r="AD38" s="64" t="n">
        <f aca="false">IF(Arterial=1,IF(Informed=1,1,0),0)</f>
        <v>0</v>
      </c>
      <c r="AE38" s="64" t="n">
        <f aca="false">IF(Arterial=1,IF(Informed=0,1,0),0)</f>
        <v>0</v>
      </c>
      <c r="AF38" s="57" t="n">
        <f aca="false">IF(AB38=1,(X38-G$1030)^2,0)</f>
        <v>38.3091854622742</v>
      </c>
      <c r="AG38" s="57" t="n">
        <f aca="false">IF(AC38=1,(Y38-H$1030)^2,0)</f>
        <v>0</v>
      </c>
      <c r="AH38" s="57" t="n">
        <f aca="false">IF(AD38=1,(Z38-I$1030)^2,0)</f>
        <v>0</v>
      </c>
      <c r="AI38" s="57" t="n">
        <f aca="false">IF(AE38=1,(AA38-J$1030)^2,0)</f>
        <v>0</v>
      </c>
    </row>
    <row r="39" customFormat="false" ht="12" hidden="false" customHeight="false" outlineLevel="0" collapsed="false">
      <c r="A39" s="5" t="n">
        <v>22</v>
      </c>
      <c r="B39" s="58" t="n">
        <f aca="true">IF(RAND()&lt;$D$8,1,0)</f>
        <v>0</v>
      </c>
      <c r="C39" s="47" t="n">
        <f aca="true">-LN(RAND())/$D$2</f>
        <v>2.19005533080382</v>
      </c>
      <c r="D39" s="59" t="n">
        <f aca="false">D38+C39</f>
        <v>22.0883474470389</v>
      </c>
      <c r="E39" s="60" t="n">
        <f aca="false">MAX($D$3,(1+P38-VLOOKUP(VALUE(D39),$J$18:$Q38,7,TRUE()))*$D$3)</f>
        <v>8</v>
      </c>
      <c r="F39" s="60" t="n">
        <f aca="false">MAX($D$4,(1+Q38-VLOOKUP(VALUE(D39),$M$18:$Q38,5,TRUE()))*$D$4)</f>
        <v>8</v>
      </c>
      <c r="G39" s="61" t="n">
        <v>0.5</v>
      </c>
      <c r="H39" s="59" t="n">
        <f aca="true">IF((B39=1),(IF((F39&lt;E39),1,(IF((F39=E39),(IF(RAND()&lt;G39,1,0)),0)))),(IF((RAND()&lt;G39),1,0)))</f>
        <v>1</v>
      </c>
      <c r="I39" s="59" t="n">
        <f aca="true">IF((H39=1),0,$D$3+$D$5*(RAND()-0.5))</f>
        <v>0</v>
      </c>
      <c r="J39" s="59" t="n">
        <f aca="false">I39+MAX(D39,J38)</f>
        <v>26.0877335661783</v>
      </c>
      <c r="K39" s="59" t="n">
        <f aca="false">IF((H39=0),J39-D39,0)</f>
        <v>0</v>
      </c>
      <c r="L39" s="59" t="n">
        <f aca="true">IF(($H39=0),0,$D$4+$D$5*(RAND()-0.5))</f>
        <v>1.88290290324968</v>
      </c>
      <c r="M39" s="59" t="n">
        <f aca="false">L39+MAX(D39,M38)</f>
        <v>29.306517468673</v>
      </c>
      <c r="N39" s="59" t="n">
        <f aca="false">IF((H39=1),M39-D39,0)</f>
        <v>7.21817002163401</v>
      </c>
      <c r="O39" s="5" t="n">
        <v>22</v>
      </c>
      <c r="P39" s="62" t="n">
        <f aca="false">IF((Arterial=0),P38+1,P38)</f>
        <v>10</v>
      </c>
      <c r="Q39" s="62" t="n">
        <f aca="false">IF((Arterial=1),Q38+1,Q38)</f>
        <v>12</v>
      </c>
      <c r="R39" s="63" t="n">
        <f aca="false">IF((RESET=1),0,R39+K39)</f>
        <v>137.196018358494</v>
      </c>
      <c r="S39" s="10" t="e">
        <f aca="false">IF(RESET=1,0,S39+N39)</f>
        <v>#N/A</v>
      </c>
      <c r="T39" s="0" t="n">
        <f aca="false">IF(RESET=1,0,T39+IF(H39=0,1,0))</f>
        <v>25</v>
      </c>
      <c r="U39" s="0" t="e">
        <f aca="false">IF(RESET=1,0,U39+H39)</f>
        <v>#N/A</v>
      </c>
      <c r="V39" s="10" t="n">
        <f aca="false">R39/(T39+0.00001)</f>
        <v>5.48783853920433</v>
      </c>
      <c r="W39" s="10" t="e">
        <f aca="false">S39/(U39+0.0001)</f>
        <v>#N/A</v>
      </c>
      <c r="X39" s="60" t="n">
        <f aca="false">IF(Informed=1,K39,0)</f>
        <v>0</v>
      </c>
      <c r="Y39" s="60" t="n">
        <f aca="false">IF(Informed=0,K39,0)</f>
        <v>0</v>
      </c>
      <c r="Z39" s="60" t="n">
        <f aca="false">IF(Informed=1,N39,0)</f>
        <v>0</v>
      </c>
      <c r="AA39" s="60" t="n">
        <f aca="false">IF(Informed=0,N39,0)</f>
        <v>7.21817002163401</v>
      </c>
      <c r="AB39" s="64" t="n">
        <f aca="false">IF(Arterial=0,IF(Informed=1,1,0),0)</f>
        <v>0</v>
      </c>
      <c r="AC39" s="64" t="n">
        <f aca="false">IF(Arterial=0,IF(Informed=0,1,0),0)</f>
        <v>0</v>
      </c>
      <c r="AD39" s="64" t="n">
        <f aca="false">IF(Arterial=1,IF(Informed=1,1,0),0)</f>
        <v>0</v>
      </c>
      <c r="AE39" s="64" t="n">
        <f aca="false">IF(Arterial=1,IF(Informed=0,1,0),0)</f>
        <v>1</v>
      </c>
      <c r="AF39" s="57" t="n">
        <f aca="false">IF(AB39=1,(X39-G$1030)^2,0)</f>
        <v>0</v>
      </c>
      <c r="AG39" s="57" t="n">
        <f aca="false">IF(AC39=1,(Y39-H$1030)^2,0)</f>
        <v>0</v>
      </c>
      <c r="AH39" s="57" t="n">
        <f aca="false">IF(AD39=1,(Z39-I$1030)^2,0)</f>
        <v>0</v>
      </c>
      <c r="AI39" s="57" t="n">
        <f aca="false">IF(AE39=1,(AA39-J$1030)^2,0)</f>
        <v>52.101978461216</v>
      </c>
    </row>
    <row r="40" customFormat="false" ht="12" hidden="false" customHeight="false" outlineLevel="0" collapsed="false">
      <c r="A40" s="5" t="n">
        <v>23</v>
      </c>
      <c r="B40" s="58" t="n">
        <f aca="true">IF(RAND()&lt;$D$8,1,0)</f>
        <v>1</v>
      </c>
      <c r="C40" s="47" t="n">
        <f aca="true">-LN(RAND())/$D$2</f>
        <v>0.504157332639475</v>
      </c>
      <c r="D40" s="59" t="n">
        <f aca="false">D39+C40</f>
        <v>22.5925047796784</v>
      </c>
      <c r="E40" s="60" t="n">
        <f aca="false">MAX($D$3,(1+P39-VLOOKUP(VALUE(D40),$J$18:$Q39,7,TRUE()))*$D$3)</f>
        <v>6</v>
      </c>
      <c r="F40" s="60" t="n">
        <f aca="false">MAX($D$4,(1+Q39-VLOOKUP(VALUE(D40),$M$18:$Q39,5,TRUE()))*$D$4)</f>
        <v>10</v>
      </c>
      <c r="G40" s="61" t="n">
        <v>0.5</v>
      </c>
      <c r="H40" s="59" t="n">
        <f aca="true">IF((B40=1),(IF((F40&lt;E40),1,(IF((F40=E40),(IF(RAND()&lt;G40,1,0)),0)))),(IF((RAND()&lt;G40),1,0)))</f>
        <v>0</v>
      </c>
      <c r="I40" s="59" t="n">
        <f aca="true">IF((H40=1),0,$D$3+$D$5*(RAND()-0.5))</f>
        <v>2.04875864026614</v>
      </c>
      <c r="J40" s="59" t="n">
        <f aca="false">I40+MAX(D40,J39)</f>
        <v>28.1364922064444</v>
      </c>
      <c r="K40" s="59" t="n">
        <f aca="false">IF((H40=0),J40-D40,0)</f>
        <v>5.54398742676598</v>
      </c>
      <c r="L40" s="59" t="n">
        <f aca="true">IF(($H40=0),0,$D$4+$D$5*(RAND()-0.5))</f>
        <v>0</v>
      </c>
      <c r="M40" s="59" t="n">
        <f aca="false">L40+MAX(D40,M39)</f>
        <v>29.306517468673</v>
      </c>
      <c r="N40" s="59" t="n">
        <f aca="false">IF((H40=1),M40-D40,0)</f>
        <v>0</v>
      </c>
      <c r="O40" s="5" t="n">
        <v>23</v>
      </c>
      <c r="P40" s="62" t="n">
        <f aca="false">IF((Arterial=0),P39+1,P39)</f>
        <v>11</v>
      </c>
      <c r="Q40" s="62" t="n">
        <f aca="false">IF((Arterial=1),Q39+1,Q39)</f>
        <v>12</v>
      </c>
      <c r="R40" s="63" t="e">
        <f aca="false">IF((RESET=1),0,R40+K40)</f>
        <v>#N/A</v>
      </c>
      <c r="S40" s="10" t="n">
        <f aca="false">IF(RESET=1,0,S40+N40)</f>
        <v>180.578867208448</v>
      </c>
      <c r="T40" s="0" t="e">
        <f aca="false">IF(RESET=1,0,T40+IF(H40=0,1,0))</f>
        <v>#N/A</v>
      </c>
      <c r="U40" s="0" t="n">
        <f aca="false">IF(RESET=1,0,U40+H40)</f>
        <v>31</v>
      </c>
      <c r="V40" s="10" t="e">
        <f aca="false">R40/(T40+0.00001)</f>
        <v>#N/A</v>
      </c>
      <c r="W40" s="10" t="n">
        <f aca="false">S40/(U40+0.0001)</f>
        <v>5.82510595799522</v>
      </c>
      <c r="X40" s="60" t="n">
        <f aca="false">IF(Informed=1,K40,0)</f>
        <v>5.54398742676598</v>
      </c>
      <c r="Y40" s="60" t="n">
        <f aca="false">IF(Informed=0,K40,0)</f>
        <v>0</v>
      </c>
      <c r="Z40" s="60" t="n">
        <f aca="false">IF(Informed=1,N40,0)</f>
        <v>0</v>
      </c>
      <c r="AA40" s="60" t="n">
        <f aca="false">IF(Informed=0,N40,0)</f>
        <v>0</v>
      </c>
      <c r="AB40" s="64" t="n">
        <f aca="false">IF(Arterial=0,IF(Informed=1,1,0),0)</f>
        <v>1</v>
      </c>
      <c r="AC40" s="64" t="n">
        <f aca="false">IF(Arterial=0,IF(Informed=0,1,0),0)</f>
        <v>0</v>
      </c>
      <c r="AD40" s="64" t="n">
        <f aca="false">IF(Arterial=1,IF(Informed=1,1,0),0)</f>
        <v>0</v>
      </c>
      <c r="AE40" s="64" t="n">
        <f aca="false">IF(Arterial=1,IF(Informed=0,1,0),0)</f>
        <v>0</v>
      </c>
      <c r="AF40" s="57" t="n">
        <f aca="false">IF(AB40=1,(X40-G$1030)^2,0)</f>
        <v>30.7357965881392</v>
      </c>
      <c r="AG40" s="57" t="n">
        <f aca="false">IF(AC40=1,(Y40-H$1030)^2,0)</f>
        <v>0</v>
      </c>
      <c r="AH40" s="57" t="n">
        <f aca="false">IF(AD40=1,(Z40-I$1030)^2,0)</f>
        <v>0</v>
      </c>
      <c r="AI40" s="57" t="n">
        <f aca="false">IF(AE40=1,(AA40-J$1030)^2,0)</f>
        <v>0</v>
      </c>
    </row>
    <row r="41" customFormat="false" ht="12" hidden="false" customHeight="false" outlineLevel="0" collapsed="false">
      <c r="A41" s="5" t="n">
        <v>24</v>
      </c>
      <c r="B41" s="58" t="n">
        <f aca="true">IF(RAND()&lt;$D$8,1,0)</f>
        <v>1</v>
      </c>
      <c r="C41" s="47" t="n">
        <f aca="true">-LN(RAND())/$D$2</f>
        <v>0.0585688599958288</v>
      </c>
      <c r="D41" s="59" t="n">
        <f aca="false">D40+C41</f>
        <v>22.6510736396742</v>
      </c>
      <c r="E41" s="60" t="n">
        <f aca="false">MAX($D$3,(1+P40-VLOOKUP(VALUE(D41),$J$18:$Q40,7,TRUE()))*$D$3)</f>
        <v>8</v>
      </c>
      <c r="F41" s="60" t="n">
        <f aca="false">MAX($D$4,(1+Q40-VLOOKUP(VALUE(D41),$M$18:$Q40,5,TRUE()))*$D$4)</f>
        <v>10</v>
      </c>
      <c r="G41" s="61" t="n">
        <v>0.5</v>
      </c>
      <c r="H41" s="59" t="n">
        <f aca="true">IF((B41=1),(IF((F41&lt;E41),1,(IF((F41=E41),(IF(RAND()&lt;G41,1,0)),0)))),(IF((RAND()&lt;G41),1,0)))</f>
        <v>0</v>
      </c>
      <c r="I41" s="59" t="n">
        <f aca="true">IF((H41=1),0,$D$3+$D$5*(RAND()-0.5))</f>
        <v>1.78902846204479</v>
      </c>
      <c r="J41" s="59" t="n">
        <f aca="false">I41+MAX(D41,J40)</f>
        <v>29.9255206684892</v>
      </c>
      <c r="K41" s="59" t="n">
        <f aca="false">IF((H41=0),J41-D41,0)</f>
        <v>7.27444702881494</v>
      </c>
      <c r="L41" s="59" t="n">
        <f aca="true">IF(($H41=0),0,$D$4+$D$5*(RAND()-0.5))</f>
        <v>0</v>
      </c>
      <c r="M41" s="59" t="n">
        <f aca="false">L41+MAX(D41,M40)</f>
        <v>29.306517468673</v>
      </c>
      <c r="N41" s="59" t="n">
        <f aca="false">IF((H41=1),M41-D41,0)</f>
        <v>0</v>
      </c>
      <c r="O41" s="5" t="n">
        <v>24</v>
      </c>
      <c r="P41" s="62" t="n">
        <f aca="false">IF((Arterial=0),P40+1,P40)</f>
        <v>12</v>
      </c>
      <c r="Q41" s="62" t="n">
        <f aca="false">IF((Arterial=1),Q40+1,Q40)</f>
        <v>12</v>
      </c>
      <c r="R41" s="63" t="e">
        <f aca="false">IF((RESET=1),0,R41+K41)</f>
        <v>#N/A</v>
      </c>
      <c r="S41" s="10" t="n">
        <f aca="false">IF(RESET=1,0,S41+N41)</f>
        <v>159.765228760643</v>
      </c>
      <c r="T41" s="0" t="e">
        <f aca="false">IF(RESET=1,0,T41+IF(H41=0,1,0))</f>
        <v>#N/A</v>
      </c>
      <c r="U41" s="0" t="n">
        <f aca="false">IF(RESET=1,0,U41+H41)</f>
        <v>23</v>
      </c>
      <c r="V41" s="10" t="e">
        <f aca="false">R41/(T41+0.00001)</f>
        <v>#N/A</v>
      </c>
      <c r="W41" s="10" t="n">
        <f aca="false">S41/(U41+0.0001)</f>
        <v>6.94628409270584</v>
      </c>
      <c r="X41" s="60" t="n">
        <f aca="false">IF(Informed=1,K41,0)</f>
        <v>7.27444702881494</v>
      </c>
      <c r="Y41" s="60" t="n">
        <f aca="false">IF(Informed=0,K41,0)</f>
        <v>0</v>
      </c>
      <c r="Z41" s="60" t="n">
        <f aca="false">IF(Informed=1,N41,0)</f>
        <v>0</v>
      </c>
      <c r="AA41" s="60" t="n">
        <f aca="false">IF(Informed=0,N41,0)</f>
        <v>0</v>
      </c>
      <c r="AB41" s="64" t="n">
        <f aca="false">IF(Arterial=0,IF(Informed=1,1,0),0)</f>
        <v>1</v>
      </c>
      <c r="AC41" s="64" t="n">
        <f aca="false">IF(Arterial=0,IF(Informed=0,1,0),0)</f>
        <v>0</v>
      </c>
      <c r="AD41" s="64" t="n">
        <f aca="false">IF(Arterial=1,IF(Informed=1,1,0),0)</f>
        <v>0</v>
      </c>
      <c r="AE41" s="64" t="n">
        <f aca="false">IF(Arterial=1,IF(Informed=0,1,0),0)</f>
        <v>0</v>
      </c>
      <c r="AF41" s="57" t="n">
        <f aca="false">IF(AB41=1,(X41-G$1030)^2,0)</f>
        <v>52.9175795750345</v>
      </c>
      <c r="AG41" s="57" t="n">
        <f aca="false">IF(AC41=1,(Y41-H$1030)^2,0)</f>
        <v>0</v>
      </c>
      <c r="AH41" s="57" t="n">
        <f aca="false">IF(AD41=1,(Z41-I$1030)^2,0)</f>
        <v>0</v>
      </c>
      <c r="AI41" s="57" t="n">
        <f aca="false">IF(AE41=1,(AA41-J$1030)^2,0)</f>
        <v>0</v>
      </c>
    </row>
    <row r="42" customFormat="false" ht="12" hidden="false" customHeight="false" outlineLevel="0" collapsed="false">
      <c r="A42" s="5" t="n">
        <v>25</v>
      </c>
      <c r="B42" s="58" t="n">
        <f aca="true">IF(RAND()&lt;$D$8,1,0)</f>
        <v>1</v>
      </c>
      <c r="C42" s="47" t="n">
        <f aca="true">-LN(RAND())/$D$2</f>
        <v>0.69875402166691</v>
      </c>
      <c r="D42" s="59" t="n">
        <f aca="false">D41+C42</f>
        <v>23.3498276613412</v>
      </c>
      <c r="E42" s="60" t="n">
        <f aca="false">MAX($D$3,(1+P41-VLOOKUP(VALUE(D42),$J$18:$Q41,7,TRUE()))*$D$3)</f>
        <v>10</v>
      </c>
      <c r="F42" s="60" t="n">
        <f aca="false">MAX($D$4,(1+Q41-VLOOKUP(VALUE(D42),$M$18:$Q41,5,TRUE()))*$D$4)</f>
        <v>8</v>
      </c>
      <c r="G42" s="61" t="n">
        <v>0.5</v>
      </c>
      <c r="H42" s="59" t="n">
        <f aca="true">IF((B42=1),(IF((F42&lt;E42),1,(IF((F42=E42),(IF(RAND()&lt;G42,1,0)),0)))),(IF((RAND()&lt;G42),1,0)))</f>
        <v>1</v>
      </c>
      <c r="I42" s="59" t="n">
        <f aca="true">IF((H42=1),0,$D$3+$D$5*(RAND()-0.5))</f>
        <v>0</v>
      </c>
      <c r="J42" s="59" t="n">
        <f aca="false">I42+MAX(D42,J41)</f>
        <v>29.9255206684892</v>
      </c>
      <c r="K42" s="59" t="n">
        <f aca="false">IF((H42=0),J42-D42,0)</f>
        <v>0</v>
      </c>
      <c r="L42" s="59" t="n">
        <f aca="true">IF(($H42=0),0,$D$4+$D$5*(RAND()-0.5))</f>
        <v>1.86796526880755</v>
      </c>
      <c r="M42" s="59" t="n">
        <f aca="false">L42+MAX(D42,M41)</f>
        <v>31.1744827374805</v>
      </c>
      <c r="N42" s="59" t="n">
        <f aca="false">IF((H42=1),M42-D42,0)</f>
        <v>7.82465507613935</v>
      </c>
      <c r="O42" s="5" t="n">
        <v>25</v>
      </c>
      <c r="P42" s="62" t="n">
        <f aca="false">IF((Arterial=0),P41+1,P41)</f>
        <v>12</v>
      </c>
      <c r="Q42" s="62" t="n">
        <f aca="false">IF((Arterial=1),Q41+1,Q41)</f>
        <v>13</v>
      </c>
      <c r="R42" s="63" t="n">
        <f aca="false">IF((RESET=1),0,R42+K42)</f>
        <v>161.572029387096</v>
      </c>
      <c r="S42" s="10" t="e">
        <f aca="false">IF(RESET=1,0,S42+N42)</f>
        <v>#N/A</v>
      </c>
      <c r="T42" s="0" t="n">
        <f aca="false">IF(RESET=1,0,T42+IF(H42=0,1,0))</f>
        <v>26</v>
      </c>
      <c r="U42" s="0" t="e">
        <f aca="false">IF(RESET=1,0,U42+H42)</f>
        <v>#N/A</v>
      </c>
      <c r="V42" s="10" t="n">
        <f aca="false">R42/(T42+0.00001)</f>
        <v>6.21430643246274</v>
      </c>
      <c r="W42" s="10" t="e">
        <f aca="false">S42/(U42+0.0001)</f>
        <v>#N/A</v>
      </c>
      <c r="X42" s="60" t="n">
        <f aca="false">IF(Informed=1,K42,0)</f>
        <v>0</v>
      </c>
      <c r="Y42" s="60" t="n">
        <f aca="false">IF(Informed=0,K42,0)</f>
        <v>0</v>
      </c>
      <c r="Z42" s="60" t="n">
        <f aca="false">IF(Informed=1,N42,0)</f>
        <v>7.82465507613935</v>
      </c>
      <c r="AA42" s="60" t="n">
        <f aca="false">IF(Informed=0,N42,0)</f>
        <v>0</v>
      </c>
      <c r="AB42" s="64" t="n">
        <f aca="false">IF(Arterial=0,IF(Informed=1,1,0),0)</f>
        <v>0</v>
      </c>
      <c r="AC42" s="64" t="n">
        <f aca="false">IF(Arterial=0,IF(Informed=0,1,0),0)</f>
        <v>0</v>
      </c>
      <c r="AD42" s="64" t="n">
        <f aca="false">IF(Arterial=1,IF(Informed=1,1,0),0)</f>
        <v>1</v>
      </c>
      <c r="AE42" s="64" t="n">
        <f aca="false">IF(Arterial=1,IF(Informed=0,1,0),0)</f>
        <v>0</v>
      </c>
      <c r="AF42" s="57" t="n">
        <f aca="false">IF(AB42=1,(X42-G$1030)^2,0)</f>
        <v>0</v>
      </c>
      <c r="AG42" s="57" t="n">
        <f aca="false">IF(AC42=1,(Y42-H$1030)^2,0)</f>
        <v>0</v>
      </c>
      <c r="AH42" s="57" t="n">
        <f aca="false">IF(AD42=1,(Z42-I$1030)^2,0)</f>
        <v>61.2252270605533</v>
      </c>
      <c r="AI42" s="57" t="n">
        <f aca="false">IF(AE42=1,(AA42-J$1030)^2,0)</f>
        <v>0</v>
      </c>
    </row>
    <row r="43" customFormat="false" ht="12" hidden="false" customHeight="false" outlineLevel="0" collapsed="false">
      <c r="A43" s="5" t="n">
        <v>26</v>
      </c>
      <c r="B43" s="58" t="n">
        <f aca="true">IF(RAND()&lt;$D$8,1,0)</f>
        <v>0</v>
      </c>
      <c r="C43" s="47" t="n">
        <f aca="true">-LN(RAND())/$D$2</f>
        <v>0.924729812158381</v>
      </c>
      <c r="D43" s="59" t="n">
        <f aca="false">D42+C43</f>
        <v>24.2745574734995</v>
      </c>
      <c r="E43" s="60" t="n">
        <f aca="false">MAX($D$3,(1+P42-VLOOKUP(VALUE(D43),$J$18:$Q42,7,TRUE()))*$D$3)</f>
        <v>8</v>
      </c>
      <c r="F43" s="60" t="n">
        <f aca="false">MAX($D$4,(1+Q42-VLOOKUP(VALUE(D43),$M$18:$Q42,5,TRUE()))*$D$4)</f>
        <v>10</v>
      </c>
      <c r="G43" s="61" t="n">
        <v>0.5</v>
      </c>
      <c r="H43" s="59" t="n">
        <f aca="true">IF((B43=1),(IF((F43&lt;E43),1,(IF((F43=E43),(IF(RAND()&lt;G43,1,0)),0)))),(IF((RAND()&lt;G43),1,0)))</f>
        <v>1</v>
      </c>
      <c r="I43" s="59" t="n">
        <f aca="true">IF((H43=1),0,$D$3+$D$5*(RAND()-0.5))</f>
        <v>0</v>
      </c>
      <c r="J43" s="59" t="n">
        <f aca="false">I43+MAX(D43,J42)</f>
        <v>29.9255206684892</v>
      </c>
      <c r="K43" s="59" t="n">
        <f aca="false">IF((H43=0),J43-D43,0)</f>
        <v>0</v>
      </c>
      <c r="L43" s="59" t="n">
        <f aca="true">IF(($H43=0),0,$D$4+$D$5*(RAND()-0.5))</f>
        <v>1.85648080078687</v>
      </c>
      <c r="M43" s="59" t="n">
        <f aca="false">L43+MAX(D43,M42)</f>
        <v>33.0309635382674</v>
      </c>
      <c r="N43" s="59" t="n">
        <f aca="false">IF((H43=1),M43-D43,0)</f>
        <v>8.75640606476783</v>
      </c>
      <c r="O43" s="5" t="n">
        <v>26</v>
      </c>
      <c r="P43" s="62" t="n">
        <f aca="false">IF((Arterial=0),P42+1,P42)</f>
        <v>12</v>
      </c>
      <c r="Q43" s="62" t="n">
        <f aca="false">IF((Arterial=1),Q42+1,Q42)</f>
        <v>14</v>
      </c>
      <c r="R43" s="63" t="n">
        <f aca="false">IF((RESET=1),0,R43+K43)</f>
        <v>174.950418610156</v>
      </c>
      <c r="S43" s="10" t="e">
        <f aca="false">IF(RESET=1,0,S43+N43)</f>
        <v>#N/A</v>
      </c>
      <c r="T43" s="0" t="n">
        <f aca="false">IF(RESET=1,0,T43+IF(H43=0,1,0))</f>
        <v>25</v>
      </c>
      <c r="U43" s="0" t="e">
        <f aca="false">IF(RESET=1,0,U43+H43)</f>
        <v>#N/A</v>
      </c>
      <c r="V43" s="10" t="n">
        <f aca="false">R43/(T43+0.00001)</f>
        <v>6.99801394520065</v>
      </c>
      <c r="W43" s="10" t="e">
        <f aca="false">S43/(U43+0.0001)</f>
        <v>#N/A</v>
      </c>
      <c r="X43" s="60" t="n">
        <f aca="false">IF(Informed=1,K43,0)</f>
        <v>0</v>
      </c>
      <c r="Y43" s="60" t="n">
        <f aca="false">IF(Informed=0,K43,0)</f>
        <v>0</v>
      </c>
      <c r="Z43" s="60" t="n">
        <f aca="false">IF(Informed=1,N43,0)</f>
        <v>0</v>
      </c>
      <c r="AA43" s="60" t="n">
        <f aca="false">IF(Informed=0,N43,0)</f>
        <v>8.75640606476783</v>
      </c>
      <c r="AB43" s="64" t="n">
        <f aca="false">IF(Arterial=0,IF(Informed=1,1,0),0)</f>
        <v>0</v>
      </c>
      <c r="AC43" s="64" t="n">
        <f aca="false">IF(Arterial=0,IF(Informed=0,1,0),0)</f>
        <v>0</v>
      </c>
      <c r="AD43" s="64" t="n">
        <f aca="false">IF(Arterial=1,IF(Informed=1,1,0),0)</f>
        <v>0</v>
      </c>
      <c r="AE43" s="64" t="n">
        <f aca="false">IF(Arterial=1,IF(Informed=0,1,0),0)</f>
        <v>1</v>
      </c>
      <c r="AF43" s="57" t="n">
        <f aca="false">IF(AB43=1,(X43-G$1030)^2,0)</f>
        <v>0</v>
      </c>
      <c r="AG43" s="57" t="n">
        <f aca="false">IF(AC43=1,(Y43-H$1030)^2,0)</f>
        <v>0</v>
      </c>
      <c r="AH43" s="57" t="n">
        <f aca="false">IF(AD43=1,(Z43-I$1030)^2,0)</f>
        <v>0</v>
      </c>
      <c r="AI43" s="57" t="n">
        <f aca="false">IF(AE43=1,(AA43-J$1030)^2,0)</f>
        <v>76.6746471711029</v>
      </c>
    </row>
    <row r="44" customFormat="false" ht="12" hidden="false" customHeight="false" outlineLevel="0" collapsed="false">
      <c r="A44" s="5" t="n">
        <v>27</v>
      </c>
      <c r="B44" s="58" t="n">
        <f aca="true">IF(RAND()&lt;$D$8,1,0)</f>
        <v>1</v>
      </c>
      <c r="C44" s="47" t="n">
        <f aca="true">-LN(RAND())/$D$2</f>
        <v>0.365412104116371</v>
      </c>
      <c r="D44" s="59" t="n">
        <f aca="false">D43+C44</f>
        <v>24.6399695776159</v>
      </c>
      <c r="E44" s="60" t="n">
        <f aca="false">MAX($D$3,(1+P43-VLOOKUP(VALUE(D44),$J$18:$Q43,7,TRUE()))*$D$3)</f>
        <v>8</v>
      </c>
      <c r="F44" s="60" t="n">
        <f aca="false">MAX($D$4,(1+Q43-VLOOKUP(VALUE(D44),$M$18:$Q43,5,TRUE()))*$D$4)</f>
        <v>12</v>
      </c>
      <c r="G44" s="61" t="n">
        <v>0.5</v>
      </c>
      <c r="H44" s="59" t="n">
        <f aca="true">IF((B44=1),(IF((F44&lt;E44),1,(IF((F44=E44),(IF(RAND()&lt;G44,1,0)),0)))),(IF((RAND()&lt;G44),1,0)))</f>
        <v>0</v>
      </c>
      <c r="I44" s="59" t="n">
        <f aca="true">IF((H44=1),0,$D$3+$D$5*(RAND()-0.5))</f>
        <v>2.16738494049712</v>
      </c>
      <c r="J44" s="59" t="n">
        <f aca="false">I44+MAX(D44,J43)</f>
        <v>32.0929056089863</v>
      </c>
      <c r="K44" s="59" t="n">
        <f aca="false">IF((H44=0),J44-D44,0)</f>
        <v>7.4529360313704</v>
      </c>
      <c r="L44" s="59" t="n">
        <f aca="true">IF(($H44=0),0,$D$4+$D$5*(RAND()-0.5))</f>
        <v>0</v>
      </c>
      <c r="M44" s="59" t="n">
        <f aca="false">L44+MAX(D44,M43)</f>
        <v>33.0309635382674</v>
      </c>
      <c r="N44" s="59" t="n">
        <f aca="false">IF((H44=1),M44-D44,0)</f>
        <v>0</v>
      </c>
      <c r="O44" s="5" t="n">
        <v>27</v>
      </c>
      <c r="P44" s="62" t="n">
        <f aca="false">IF((Arterial=0),P43+1,P43)</f>
        <v>13</v>
      </c>
      <c r="Q44" s="62" t="n">
        <f aca="false">IF((Arterial=1),Q43+1,Q43)</f>
        <v>14</v>
      </c>
      <c r="R44" s="63" t="e">
        <f aca="false">IF((RESET=1),0,R44+K44)</f>
        <v>#N/A</v>
      </c>
      <c r="S44" s="10" t="n">
        <f aca="false">IF(RESET=1,0,S44+N44)</f>
        <v>153.991020201516</v>
      </c>
      <c r="T44" s="0" t="e">
        <f aca="false">IF(RESET=1,0,T44+IF(H44=0,1,0))</f>
        <v>#N/A</v>
      </c>
      <c r="U44" s="0" t="n">
        <f aca="false">IF(RESET=1,0,U44+H44)</f>
        <v>21</v>
      </c>
      <c r="V44" s="10" t="e">
        <f aca="false">R44/(T44+0.00001)</f>
        <v>#N/A</v>
      </c>
      <c r="W44" s="10" t="n">
        <f aca="false">S44/(U44+0.0001)</f>
        <v>7.33287080544931</v>
      </c>
      <c r="X44" s="60" t="n">
        <f aca="false">IF(Informed=1,K44,0)</f>
        <v>7.4529360313704</v>
      </c>
      <c r="Y44" s="60" t="n">
        <f aca="false">IF(Informed=0,K44,0)</f>
        <v>0</v>
      </c>
      <c r="Z44" s="60" t="n">
        <f aca="false">IF(Informed=1,N44,0)</f>
        <v>0</v>
      </c>
      <c r="AA44" s="60" t="n">
        <f aca="false">IF(Informed=0,N44,0)</f>
        <v>0</v>
      </c>
      <c r="AB44" s="64" t="n">
        <f aca="false">IF(Arterial=0,IF(Informed=1,1,0),0)</f>
        <v>1</v>
      </c>
      <c r="AC44" s="64" t="n">
        <f aca="false">IF(Arterial=0,IF(Informed=0,1,0),0)</f>
        <v>0</v>
      </c>
      <c r="AD44" s="64" t="n">
        <f aca="false">IF(Arterial=1,IF(Informed=1,1,0),0)</f>
        <v>0</v>
      </c>
      <c r="AE44" s="64" t="n">
        <f aca="false">IF(Arterial=1,IF(Informed=0,1,0),0)</f>
        <v>0</v>
      </c>
      <c r="AF44" s="57" t="n">
        <f aca="false">IF(AB44=1,(X44-G$1030)^2,0)</f>
        <v>55.5462554876992</v>
      </c>
      <c r="AG44" s="57" t="n">
        <f aca="false">IF(AC44=1,(Y44-H$1030)^2,0)</f>
        <v>0</v>
      </c>
      <c r="AH44" s="57" t="n">
        <f aca="false">IF(AD44=1,(Z44-I$1030)^2,0)</f>
        <v>0</v>
      </c>
      <c r="AI44" s="57" t="n">
        <f aca="false">IF(AE44=1,(AA44-J$1030)^2,0)</f>
        <v>0</v>
      </c>
    </row>
    <row r="45" customFormat="false" ht="12" hidden="false" customHeight="false" outlineLevel="0" collapsed="false">
      <c r="A45" s="5" t="n">
        <v>28</v>
      </c>
      <c r="B45" s="58" t="n">
        <f aca="true">IF(RAND()&lt;$D$8,1,0)</f>
        <v>0</v>
      </c>
      <c r="C45" s="47" t="n">
        <f aca="true">-LN(RAND())/$D$2</f>
        <v>1.02463276620041</v>
      </c>
      <c r="D45" s="59" t="n">
        <f aca="false">D44+C45</f>
        <v>25.6646023438163</v>
      </c>
      <c r="E45" s="60" t="n">
        <f aca="false">MAX($D$3,(1+P44-VLOOKUP(VALUE(D45),$J$18:$Q44,7,TRUE()))*$D$3)</f>
        <v>10</v>
      </c>
      <c r="F45" s="60" t="n">
        <f aca="false">MAX($D$4,(1+Q44-VLOOKUP(VALUE(D45),$M$18:$Q44,5,TRUE()))*$D$4)</f>
        <v>10</v>
      </c>
      <c r="G45" s="61" t="n">
        <v>0.5</v>
      </c>
      <c r="H45" s="59" t="n">
        <f aca="true">IF((B45=1),(IF((F45&lt;E45),1,(IF((F45=E45),(IF(RAND()&lt;G45,1,0)),0)))),(IF((RAND()&lt;G45),1,0)))</f>
        <v>0</v>
      </c>
      <c r="I45" s="59" t="n">
        <f aca="true">IF((H45=1),0,$D$3+$D$5*(RAND()-0.5))</f>
        <v>2.1581891293245</v>
      </c>
      <c r="J45" s="59" t="n">
        <f aca="false">I45+MAX(D45,J44)</f>
        <v>34.2510947383108</v>
      </c>
      <c r="K45" s="59" t="n">
        <f aca="false">IF((H45=0),J45-D45,0)</f>
        <v>8.5864923944945</v>
      </c>
      <c r="L45" s="59" t="n">
        <f aca="true">IF(($H45=0),0,$D$4+$D$5*(RAND()-0.5))</f>
        <v>0</v>
      </c>
      <c r="M45" s="59" t="n">
        <f aca="false">L45+MAX(D45,M44)</f>
        <v>33.0309635382674</v>
      </c>
      <c r="N45" s="59" t="n">
        <f aca="false">IF((H45=1),M45-D45,0)</f>
        <v>0</v>
      </c>
      <c r="O45" s="5" t="n">
        <v>28</v>
      </c>
      <c r="P45" s="62" t="n">
        <f aca="false">IF((Arterial=0),P44+1,P44)</f>
        <v>14</v>
      </c>
      <c r="Q45" s="62" t="n">
        <f aca="false">IF((Arterial=1),Q44+1,Q44)</f>
        <v>14</v>
      </c>
      <c r="R45" s="63" t="e">
        <f aca="false">IF((RESET=1),0,R45+K45)</f>
        <v>#N/A</v>
      </c>
      <c r="S45" s="10" t="n">
        <f aca="false">IF(RESET=1,0,S45+N45)</f>
        <v>157.90440414714</v>
      </c>
      <c r="T45" s="0" t="e">
        <f aca="false">IF(RESET=1,0,T45+IF(H45=0,1,0))</f>
        <v>#N/A</v>
      </c>
      <c r="U45" s="0" t="n">
        <f aca="false">IF(RESET=1,0,U45+H45)</f>
        <v>23</v>
      </c>
      <c r="V45" s="10" t="e">
        <f aca="false">R45/(T45+0.00001)</f>
        <v>#N/A</v>
      </c>
      <c r="W45" s="10" t="n">
        <f aca="false">S45/(U45+0.0001)</f>
        <v>6.86537902648857</v>
      </c>
      <c r="X45" s="60" t="n">
        <f aca="false">IF(Informed=1,K45,0)</f>
        <v>0</v>
      </c>
      <c r="Y45" s="60" t="n">
        <f aca="false">IF(Informed=0,K45,0)</f>
        <v>8.5864923944945</v>
      </c>
      <c r="Z45" s="60" t="n">
        <f aca="false">IF(Informed=1,N45,0)</f>
        <v>0</v>
      </c>
      <c r="AA45" s="60" t="n">
        <f aca="false">IF(Informed=0,N45,0)</f>
        <v>0</v>
      </c>
      <c r="AB45" s="64" t="n">
        <f aca="false">IF(Arterial=0,IF(Informed=1,1,0),0)</f>
        <v>0</v>
      </c>
      <c r="AC45" s="64" t="n">
        <f aca="false">IF(Arterial=0,IF(Informed=0,1,0),0)</f>
        <v>1</v>
      </c>
      <c r="AD45" s="64" t="n">
        <f aca="false">IF(Arterial=1,IF(Informed=1,1,0),0)</f>
        <v>0</v>
      </c>
      <c r="AE45" s="64" t="n">
        <f aca="false">IF(Arterial=1,IF(Informed=0,1,0),0)</f>
        <v>0</v>
      </c>
      <c r="AF45" s="57" t="n">
        <f aca="false">IF(AB45=1,(X45-G$1030)^2,0)</f>
        <v>0</v>
      </c>
      <c r="AG45" s="57" t="n">
        <f aca="false">IF(AC45=1,(Y45-H$1030)^2,0)</f>
        <v>73.7278516407118</v>
      </c>
      <c r="AH45" s="57" t="n">
        <f aca="false">IF(AD45=1,(Z45-I$1030)^2,0)</f>
        <v>0</v>
      </c>
      <c r="AI45" s="57" t="n">
        <f aca="false">IF(AE45=1,(AA45-J$1030)^2,0)</f>
        <v>0</v>
      </c>
    </row>
    <row r="46" customFormat="false" ht="12" hidden="false" customHeight="false" outlineLevel="0" collapsed="false">
      <c r="A46" s="5" t="n">
        <v>29</v>
      </c>
      <c r="B46" s="58" t="n">
        <f aca="true">IF(RAND()&lt;$D$8,1,0)</f>
        <v>1</v>
      </c>
      <c r="C46" s="47" t="n">
        <f aca="true">-LN(RAND())/$D$2</f>
        <v>3.23827361460273</v>
      </c>
      <c r="D46" s="59" t="n">
        <f aca="false">D45+C46</f>
        <v>28.902875958419</v>
      </c>
      <c r="E46" s="60" t="n">
        <f aca="false">MAX($D$3,(1+P45-VLOOKUP(VALUE(D46),$J$18:$Q45,7,TRUE()))*$D$3)</f>
        <v>8</v>
      </c>
      <c r="F46" s="60" t="n">
        <f aca="false">MAX($D$4,(1+Q45-VLOOKUP(VALUE(D46),$M$18:$Q45,5,TRUE()))*$D$4)</f>
        <v>8</v>
      </c>
      <c r="G46" s="61" t="n">
        <v>0.5</v>
      </c>
      <c r="H46" s="59" t="n">
        <f aca="true">IF((B46=1),(IF((F46&lt;E46),1,(IF((F46=E46),(IF(RAND()&lt;G46,1,0)),0)))),(IF((RAND()&lt;G46),1,0)))</f>
        <v>0</v>
      </c>
      <c r="I46" s="59" t="n">
        <f aca="true">IF((H46=1),0,$D$3+$D$5*(RAND()-0.5))</f>
        <v>2.16053746902197</v>
      </c>
      <c r="J46" s="59" t="n">
        <f aca="false">I46+MAX(D46,J45)</f>
        <v>36.4116322073328</v>
      </c>
      <c r="K46" s="59" t="n">
        <f aca="false">IF((H46=0),J46-D46,0)</f>
        <v>7.50875624891374</v>
      </c>
      <c r="L46" s="59" t="n">
        <f aca="true">IF(($H46=0),0,$D$4+$D$5*(RAND()-0.5))</f>
        <v>0</v>
      </c>
      <c r="M46" s="59" t="n">
        <f aca="false">L46+MAX(D46,M45)</f>
        <v>33.0309635382674</v>
      </c>
      <c r="N46" s="59" t="n">
        <f aca="false">IF((H46=1),M46-D46,0)</f>
        <v>0</v>
      </c>
      <c r="O46" s="5" t="n">
        <v>29</v>
      </c>
      <c r="P46" s="62" t="n">
        <f aca="false">IF((Arterial=0),P45+1,P45)</f>
        <v>15</v>
      </c>
      <c r="Q46" s="62" t="n">
        <f aca="false">IF((Arterial=1),Q45+1,Q45)</f>
        <v>14</v>
      </c>
      <c r="R46" s="63" t="e">
        <f aca="false">IF((RESET=1),0,R46+K46)</f>
        <v>#N/A</v>
      </c>
      <c r="S46" s="10" t="n">
        <f aca="false">IF(RESET=1,0,S46+N46)</f>
        <v>212.138871231317</v>
      </c>
      <c r="T46" s="0" t="e">
        <f aca="false">IF(RESET=1,0,T46+IF(H46=0,1,0))</f>
        <v>#N/A</v>
      </c>
      <c r="U46" s="0" t="n">
        <f aca="false">IF(RESET=1,0,U46+H46)</f>
        <v>31</v>
      </c>
      <c r="V46" s="10" t="e">
        <f aca="false">R46/(T46+0.00001)</f>
        <v>#N/A</v>
      </c>
      <c r="W46" s="10" t="n">
        <f aca="false">S46/(U46+0.0001)</f>
        <v>6.84316731982533</v>
      </c>
      <c r="X46" s="60" t="n">
        <f aca="false">IF(Informed=1,K46,0)</f>
        <v>7.50875624891374</v>
      </c>
      <c r="Y46" s="60" t="n">
        <f aca="false">IF(Informed=0,K46,0)</f>
        <v>0</v>
      </c>
      <c r="Z46" s="60" t="n">
        <f aca="false">IF(Informed=1,N46,0)</f>
        <v>0</v>
      </c>
      <c r="AA46" s="60" t="n">
        <f aca="false">IF(Informed=0,N46,0)</f>
        <v>0</v>
      </c>
      <c r="AB46" s="64" t="n">
        <f aca="false">IF(Arterial=0,IF(Informed=1,1,0),0)</f>
        <v>1</v>
      </c>
      <c r="AC46" s="64" t="n">
        <f aca="false">IF(Arterial=0,IF(Informed=0,1,0),0)</f>
        <v>0</v>
      </c>
      <c r="AD46" s="64" t="n">
        <f aca="false">IF(Arterial=1,IF(Informed=1,1,0),0)</f>
        <v>0</v>
      </c>
      <c r="AE46" s="64" t="n">
        <f aca="false">IF(Arterial=1,IF(Informed=0,1,0),0)</f>
        <v>0</v>
      </c>
      <c r="AF46" s="57" t="n">
        <f aca="false">IF(AB46=1,(X46-G$1030)^2,0)</f>
        <v>56.3814204056012</v>
      </c>
      <c r="AG46" s="57" t="n">
        <f aca="false">IF(AC46=1,(Y46-H$1030)^2,0)</f>
        <v>0</v>
      </c>
      <c r="AH46" s="57" t="n">
        <f aca="false">IF(AD46=1,(Z46-I$1030)^2,0)</f>
        <v>0</v>
      </c>
      <c r="AI46" s="57" t="n">
        <f aca="false">IF(AE46=1,(AA46-J$1030)^2,0)</f>
        <v>0</v>
      </c>
    </row>
    <row r="47" customFormat="false" ht="12" hidden="false" customHeight="false" outlineLevel="0" collapsed="false">
      <c r="A47" s="5" t="n">
        <v>30</v>
      </c>
      <c r="B47" s="58" t="n">
        <f aca="true">IF(RAND()&lt;$D$8,1,0)</f>
        <v>1</v>
      </c>
      <c r="C47" s="47" t="n">
        <f aca="true">-LN(RAND())/$D$2</f>
        <v>3.49620561381839</v>
      </c>
      <c r="D47" s="59" t="n">
        <f aca="false">D46+C47</f>
        <v>32.3990815722374</v>
      </c>
      <c r="E47" s="60" t="n">
        <f aca="false">MAX($D$3,(1+P46-VLOOKUP(VALUE(D47),$J$18:$Q46,7,TRUE()))*$D$3)</f>
        <v>6</v>
      </c>
      <c r="F47" s="60" t="n">
        <f aca="false">MAX($D$4,(1+Q46-VLOOKUP(VALUE(D47),$M$18:$Q46,5,TRUE()))*$D$4)</f>
        <v>4</v>
      </c>
      <c r="G47" s="61" t="n">
        <v>0.5</v>
      </c>
      <c r="H47" s="59" t="n">
        <f aca="true">IF((B47=1),(IF((F47&lt;E47),1,(IF((F47=E47),(IF(RAND()&lt;G47,1,0)),0)))),(IF((RAND()&lt;G47),1,0)))</f>
        <v>1</v>
      </c>
      <c r="I47" s="59" t="n">
        <f aca="true">IF((H47=1),0,$D$3+$D$5*(RAND()-0.5))</f>
        <v>0</v>
      </c>
      <c r="J47" s="59" t="n">
        <f aca="false">I47+MAX(D47,J46)</f>
        <v>36.4116322073328</v>
      </c>
      <c r="K47" s="59" t="n">
        <f aca="false">IF((H47=0),J47-D47,0)</f>
        <v>0</v>
      </c>
      <c r="L47" s="59" t="n">
        <f aca="true">IF(($H47=0),0,$D$4+$D$5*(RAND()-0.5))</f>
        <v>1.8101091336536</v>
      </c>
      <c r="M47" s="59" t="n">
        <f aca="false">L47+MAX(D47,M46)</f>
        <v>34.841072671921</v>
      </c>
      <c r="N47" s="59" t="n">
        <f aca="false">IF((H47=1),M47-D47,0)</f>
        <v>2.44199109968353</v>
      </c>
      <c r="O47" s="5" t="n">
        <v>30</v>
      </c>
      <c r="P47" s="62" t="n">
        <f aca="false">IF((Arterial=0),P46+1,P46)</f>
        <v>15</v>
      </c>
      <c r="Q47" s="62" t="n">
        <f aca="false">IF((Arterial=1),Q46+1,Q46)</f>
        <v>15</v>
      </c>
      <c r="R47" s="63" t="n">
        <f aca="false">IF((RESET=1),0,R47+K47)</f>
        <v>189.912444438572</v>
      </c>
      <c r="S47" s="10" t="e">
        <f aca="false">IF(RESET=1,0,S47+N47)</f>
        <v>#N/A</v>
      </c>
      <c r="T47" s="0" t="n">
        <f aca="false">IF(RESET=1,0,T47+IF(H47=0,1,0))</f>
        <v>29</v>
      </c>
      <c r="U47" s="0" t="e">
        <f aca="false">IF(RESET=1,0,U47+H47)</f>
        <v>#N/A</v>
      </c>
      <c r="V47" s="10" t="n">
        <f aca="false">R47/(T47+0.00001)</f>
        <v>6.54870272246708</v>
      </c>
      <c r="W47" s="10" t="e">
        <f aca="false">S47/(U47+0.0001)</f>
        <v>#N/A</v>
      </c>
      <c r="X47" s="60" t="n">
        <f aca="false">IF(Informed=1,K47,0)</f>
        <v>0</v>
      </c>
      <c r="Y47" s="60" t="n">
        <f aca="false">IF(Informed=0,K47,0)</f>
        <v>0</v>
      </c>
      <c r="Z47" s="60" t="n">
        <f aca="false">IF(Informed=1,N47,0)</f>
        <v>2.44199109968353</v>
      </c>
      <c r="AA47" s="60" t="n">
        <f aca="false">IF(Informed=0,N47,0)</f>
        <v>0</v>
      </c>
      <c r="AB47" s="64" t="n">
        <f aca="false">IF(Arterial=0,IF(Informed=1,1,0),0)</f>
        <v>0</v>
      </c>
      <c r="AC47" s="64" t="n">
        <f aca="false">IF(Arterial=0,IF(Informed=0,1,0),0)</f>
        <v>0</v>
      </c>
      <c r="AD47" s="64" t="n">
        <f aca="false">IF(Arterial=1,IF(Informed=1,1,0),0)</f>
        <v>1</v>
      </c>
      <c r="AE47" s="64" t="n">
        <f aca="false">IF(Arterial=1,IF(Informed=0,1,0),0)</f>
        <v>0</v>
      </c>
      <c r="AF47" s="57" t="n">
        <f aca="false">IF(AB47=1,(X47-G$1030)^2,0)</f>
        <v>0</v>
      </c>
      <c r="AG47" s="57" t="n">
        <f aca="false">IF(AC47=1,(Y47-H$1030)^2,0)</f>
        <v>0</v>
      </c>
      <c r="AH47" s="57" t="n">
        <f aca="false">IF(AD47=1,(Z47-I$1030)^2,0)</f>
        <v>5.9633205309336</v>
      </c>
      <c r="AI47" s="57" t="n">
        <f aca="false">IF(AE47=1,(AA47-J$1030)^2,0)</f>
        <v>0</v>
      </c>
    </row>
    <row r="48" customFormat="false" ht="12" hidden="false" customHeight="false" outlineLevel="0" collapsed="false">
      <c r="A48" s="5" t="n">
        <v>31</v>
      </c>
      <c r="B48" s="58" t="n">
        <f aca="true">IF(RAND()&lt;$D$8,1,0)</f>
        <v>1</v>
      </c>
      <c r="C48" s="47" t="n">
        <f aca="true">-LN(RAND())/$D$2</f>
        <v>0.474741213615397</v>
      </c>
      <c r="D48" s="59" t="n">
        <f aca="false">D47+C48</f>
        <v>32.8738227858528</v>
      </c>
      <c r="E48" s="60" t="n">
        <f aca="false">MAX($D$3,(1+P47-VLOOKUP(VALUE(D48),$J$18:$Q47,7,TRUE()))*$D$3)</f>
        <v>6</v>
      </c>
      <c r="F48" s="60" t="n">
        <f aca="false">MAX($D$4,(1+Q47-VLOOKUP(VALUE(D48),$M$18:$Q47,5,TRUE()))*$D$4)</f>
        <v>6</v>
      </c>
      <c r="G48" s="61" t="n">
        <v>0.5</v>
      </c>
      <c r="H48" s="59" t="n">
        <f aca="true">IF((B48=1),(IF((F48&lt;E48),1,(IF((F48=E48),(IF(RAND()&lt;G48,1,0)),0)))),(IF((RAND()&lt;G48),1,0)))</f>
        <v>0</v>
      </c>
      <c r="I48" s="59" t="n">
        <f aca="true">IF((H48=1),0,$D$3+$D$5*(RAND()-0.5))</f>
        <v>2.12534668262785</v>
      </c>
      <c r="J48" s="59" t="n">
        <f aca="false">I48+MAX(D48,J47)</f>
        <v>38.5369788899606</v>
      </c>
      <c r="K48" s="59" t="n">
        <f aca="false">IF((H48=0),J48-D48,0)</f>
        <v>5.66315610410781</v>
      </c>
      <c r="L48" s="59" t="n">
        <f aca="true">IF(($H48=0),0,$D$4+$D$5*(RAND()-0.5))</f>
        <v>0</v>
      </c>
      <c r="M48" s="59" t="n">
        <f aca="false">L48+MAX(D48,M47)</f>
        <v>34.841072671921</v>
      </c>
      <c r="N48" s="59" t="n">
        <f aca="false">IF((H48=1),M48-D48,0)</f>
        <v>0</v>
      </c>
      <c r="O48" s="5" t="n">
        <v>31</v>
      </c>
      <c r="P48" s="62" t="n">
        <f aca="false">IF((Arterial=0),P47+1,P47)</f>
        <v>16</v>
      </c>
      <c r="Q48" s="62" t="n">
        <f aca="false">IF((Arterial=1),Q47+1,Q47)</f>
        <v>15</v>
      </c>
      <c r="R48" s="63" t="e">
        <f aca="false">IF((RESET=1),0,R48+K48)</f>
        <v>#N/A</v>
      </c>
      <c r="S48" s="10" t="n">
        <f aca="false">IF(RESET=1,0,S48+N48)</f>
        <v>215.218229383422</v>
      </c>
      <c r="T48" s="0" t="e">
        <f aca="false">IF(RESET=1,0,T48+IF(H48=0,1,0))</f>
        <v>#N/A</v>
      </c>
      <c r="U48" s="0" t="n">
        <f aca="false">IF(RESET=1,0,U48+H48)</f>
        <v>30</v>
      </c>
      <c r="V48" s="10" t="e">
        <f aca="false">R48/(T48+0.00001)</f>
        <v>#N/A</v>
      </c>
      <c r="W48" s="10" t="n">
        <f aca="false">S48/(U48+0.0001)</f>
        <v>7.17391706639051</v>
      </c>
      <c r="X48" s="60" t="n">
        <f aca="false">IF(Informed=1,K48,0)</f>
        <v>5.66315610410781</v>
      </c>
      <c r="Y48" s="60" t="n">
        <f aca="false">IF(Informed=0,K48,0)</f>
        <v>0</v>
      </c>
      <c r="Z48" s="60" t="n">
        <f aca="false">IF(Informed=1,N48,0)</f>
        <v>0</v>
      </c>
      <c r="AA48" s="60" t="n">
        <f aca="false">IF(Informed=0,N48,0)</f>
        <v>0</v>
      </c>
      <c r="AB48" s="64" t="n">
        <f aca="false">IF(Arterial=0,IF(Informed=1,1,0),0)</f>
        <v>1</v>
      </c>
      <c r="AC48" s="64" t="n">
        <f aca="false">IF(Arterial=0,IF(Informed=0,1,0),0)</f>
        <v>0</v>
      </c>
      <c r="AD48" s="64" t="n">
        <f aca="false">IF(Arterial=1,IF(Informed=1,1,0),0)</f>
        <v>0</v>
      </c>
      <c r="AE48" s="64" t="n">
        <f aca="false">IF(Arterial=1,IF(Informed=0,1,0),0)</f>
        <v>0</v>
      </c>
      <c r="AF48" s="57" t="n">
        <f aca="false">IF(AB48=1,(X48-G$1030)^2,0)</f>
        <v>32.0713370594935</v>
      </c>
      <c r="AG48" s="57" t="n">
        <f aca="false">IF(AC48=1,(Y48-H$1030)^2,0)</f>
        <v>0</v>
      </c>
      <c r="AH48" s="57" t="n">
        <f aca="false">IF(AD48=1,(Z48-I$1030)^2,0)</f>
        <v>0</v>
      </c>
      <c r="AI48" s="57" t="n">
        <f aca="false">IF(AE48=1,(AA48-J$1030)^2,0)</f>
        <v>0</v>
      </c>
    </row>
    <row r="49" customFormat="false" ht="12" hidden="false" customHeight="false" outlineLevel="0" collapsed="false">
      <c r="A49" s="5" t="n">
        <v>32</v>
      </c>
      <c r="B49" s="58" t="n">
        <f aca="true">IF(RAND()&lt;$D$8,1,0)</f>
        <v>0</v>
      </c>
      <c r="C49" s="47" t="n">
        <f aca="true">-LN(RAND())/$D$2</f>
        <v>0.682551435774661</v>
      </c>
      <c r="D49" s="59" t="n">
        <f aca="false">D48+C49</f>
        <v>33.5563742216275</v>
      </c>
      <c r="E49" s="60" t="n">
        <f aca="false">MAX($D$3,(1+P48-VLOOKUP(VALUE(D49),$J$18:$Q48,7,TRUE()))*$D$3)</f>
        <v>8</v>
      </c>
      <c r="F49" s="60" t="n">
        <f aca="false">MAX($D$4,(1+Q48-VLOOKUP(VALUE(D49),$M$18:$Q48,5,TRUE()))*$D$4)</f>
        <v>4</v>
      </c>
      <c r="G49" s="61" t="n">
        <v>0.5</v>
      </c>
      <c r="H49" s="59" t="n">
        <f aca="true">IF((B49=1),(IF((F49&lt;E49),1,(IF((F49=E49),(IF(RAND()&lt;G49,1,0)),0)))),(IF((RAND()&lt;G49),1,0)))</f>
        <v>1</v>
      </c>
      <c r="I49" s="59" t="n">
        <f aca="true">IF((H49=1),0,$D$3+$D$5*(RAND()-0.5))</f>
        <v>0</v>
      </c>
      <c r="J49" s="59" t="n">
        <f aca="false">I49+MAX(D49,J48)</f>
        <v>38.5369788899606</v>
      </c>
      <c r="K49" s="59" t="n">
        <f aca="false">IF((H49=0),J49-D49,0)</f>
        <v>0</v>
      </c>
      <c r="L49" s="59" t="n">
        <f aca="true">IF(($H49=0),0,$D$4+$D$5*(RAND()-0.5))</f>
        <v>2.195265369906</v>
      </c>
      <c r="M49" s="59" t="n">
        <f aca="false">L49+MAX(D49,M48)</f>
        <v>37.036338041827</v>
      </c>
      <c r="N49" s="59" t="n">
        <f aca="false">IF((H49=1),M49-D49,0)</f>
        <v>3.47996382019948</v>
      </c>
      <c r="O49" s="5" t="n">
        <v>32</v>
      </c>
      <c r="P49" s="62" t="n">
        <f aca="false">IF((Arterial=0),P48+1,P48)</f>
        <v>16</v>
      </c>
      <c r="Q49" s="62" t="n">
        <f aca="false">IF((Arterial=1),Q48+1,Q48)</f>
        <v>16</v>
      </c>
      <c r="R49" s="63" t="n">
        <f aca="false">IF((RESET=1),0,R49+K49)</f>
        <v>164.498500875073</v>
      </c>
      <c r="S49" s="10" t="e">
        <f aca="false">IF(RESET=1,0,S49+N49)</f>
        <v>#N/A</v>
      </c>
      <c r="T49" s="0" t="n">
        <f aca="false">IF(RESET=1,0,T49+IF(H49=0,1,0))</f>
        <v>26</v>
      </c>
      <c r="U49" s="0" t="e">
        <f aca="false">IF(RESET=1,0,U49+H49)</f>
        <v>#N/A</v>
      </c>
      <c r="V49" s="10" t="n">
        <f aca="false">R49/(T49+0.00001)</f>
        <v>6.32686298486318</v>
      </c>
      <c r="W49" s="10" t="e">
        <f aca="false">S49/(U49+0.0001)</f>
        <v>#N/A</v>
      </c>
      <c r="X49" s="60" t="n">
        <f aca="false">IF(Informed=1,K49,0)</f>
        <v>0</v>
      </c>
      <c r="Y49" s="60" t="n">
        <f aca="false">IF(Informed=0,K49,0)</f>
        <v>0</v>
      </c>
      <c r="Z49" s="60" t="n">
        <f aca="false">IF(Informed=1,N49,0)</f>
        <v>0</v>
      </c>
      <c r="AA49" s="60" t="n">
        <f aca="false">IF(Informed=0,N49,0)</f>
        <v>3.47996382019948</v>
      </c>
      <c r="AB49" s="64" t="n">
        <f aca="false">IF(Arterial=0,IF(Informed=1,1,0),0)</f>
        <v>0</v>
      </c>
      <c r="AC49" s="64" t="n">
        <f aca="false">IF(Arterial=0,IF(Informed=0,1,0),0)</f>
        <v>0</v>
      </c>
      <c r="AD49" s="64" t="n">
        <f aca="false">IF(Arterial=1,IF(Informed=1,1,0),0)</f>
        <v>0</v>
      </c>
      <c r="AE49" s="64" t="n">
        <f aca="false">IF(Arterial=1,IF(Informed=0,1,0),0)</f>
        <v>1</v>
      </c>
      <c r="AF49" s="57" t="n">
        <f aca="false">IF(AB49=1,(X49-G$1030)^2,0)</f>
        <v>0</v>
      </c>
      <c r="AG49" s="57" t="n">
        <f aca="false">IF(AC49=1,(Y49-H$1030)^2,0)</f>
        <v>0</v>
      </c>
      <c r="AH49" s="57" t="n">
        <f aca="false">IF(AD49=1,(Z49-I$1030)^2,0)</f>
        <v>0</v>
      </c>
      <c r="AI49" s="57" t="n">
        <f aca="false">IF(AE49=1,(AA49-J$1030)^2,0)</f>
        <v>12.1101481898974</v>
      </c>
    </row>
    <row r="50" customFormat="false" ht="12" hidden="false" customHeight="false" outlineLevel="0" collapsed="false">
      <c r="A50" s="5" t="n">
        <v>33</v>
      </c>
      <c r="B50" s="58" t="n">
        <f aca="true">IF(RAND()&lt;$D$8,1,0)</f>
        <v>0</v>
      </c>
      <c r="C50" s="47" t="n">
        <f aca="true">-LN(RAND())/$D$2</f>
        <v>0.0714012754302557</v>
      </c>
      <c r="D50" s="59" t="n">
        <f aca="false">D49+C50</f>
        <v>33.6277754970578</v>
      </c>
      <c r="E50" s="60" t="n">
        <f aca="false">MAX($D$3,(1+P49-VLOOKUP(VALUE(D50),$J$18:$Q49,7,TRUE()))*$D$3)</f>
        <v>8</v>
      </c>
      <c r="F50" s="60" t="n">
        <f aca="false">MAX($D$4,(1+Q49-VLOOKUP(VALUE(D50),$M$18:$Q49,5,TRUE()))*$D$4)</f>
        <v>6</v>
      </c>
      <c r="G50" s="61" t="n">
        <v>0.5</v>
      </c>
      <c r="H50" s="59" t="n">
        <f aca="true">IF((B50=1),(IF((F50&lt;E50),1,(IF((F50=E50),(IF(RAND()&lt;G50,1,0)),0)))),(IF((RAND()&lt;G50),1,0)))</f>
        <v>1</v>
      </c>
      <c r="I50" s="59" t="n">
        <f aca="true">IF((H50=1),0,$D$3+$D$5*(RAND()-0.5))</f>
        <v>0</v>
      </c>
      <c r="J50" s="59" t="n">
        <f aca="false">I50+MAX(D50,J49)</f>
        <v>38.5369788899606</v>
      </c>
      <c r="K50" s="59" t="n">
        <f aca="false">IF((H50=0),J50-D50,0)</f>
        <v>0</v>
      </c>
      <c r="L50" s="59" t="n">
        <f aca="true">IF(($H50=0),0,$D$4+$D$5*(RAND()-0.5))</f>
        <v>2.06549480102764</v>
      </c>
      <c r="M50" s="59" t="n">
        <f aca="false">L50+MAX(D50,M49)</f>
        <v>39.1018328428546</v>
      </c>
      <c r="N50" s="59" t="n">
        <f aca="false">IF((H50=1),M50-D50,0)</f>
        <v>5.47405734579687</v>
      </c>
      <c r="O50" s="5" t="n">
        <v>33</v>
      </c>
      <c r="P50" s="62" t="n">
        <f aca="false">IF((Arterial=0),P49+1,P49)</f>
        <v>16</v>
      </c>
      <c r="Q50" s="62" t="n">
        <f aca="false">IF((Arterial=1),Q49+1,Q49)</f>
        <v>17</v>
      </c>
      <c r="R50" s="63" t="n">
        <f aca="false">IF((RESET=1),0,R50+K50)</f>
        <v>215.323800169015</v>
      </c>
      <c r="S50" s="10" t="e">
        <f aca="false">IF(RESET=1,0,S50+N50)</f>
        <v>#N/A</v>
      </c>
      <c r="T50" s="0" t="n">
        <f aca="false">IF(RESET=1,0,T50+IF(H50=0,1,0))</f>
        <v>29</v>
      </c>
      <c r="U50" s="0" t="e">
        <f aca="false">IF(RESET=1,0,U50+H50)</f>
        <v>#N/A</v>
      </c>
      <c r="V50" s="10" t="n">
        <f aca="false">R50/(T50+0.00001)</f>
        <v>7.42495606618808</v>
      </c>
      <c r="W50" s="10" t="e">
        <f aca="false">S50/(U50+0.0001)</f>
        <v>#N/A</v>
      </c>
      <c r="X50" s="60" t="n">
        <f aca="false">IF(Informed=1,K50,0)</f>
        <v>0</v>
      </c>
      <c r="Y50" s="60" t="n">
        <f aca="false">IF(Informed=0,K50,0)</f>
        <v>0</v>
      </c>
      <c r="Z50" s="60" t="n">
        <f aca="false">IF(Informed=1,N50,0)</f>
        <v>0</v>
      </c>
      <c r="AA50" s="60" t="n">
        <f aca="false">IF(Informed=0,N50,0)</f>
        <v>5.47405734579687</v>
      </c>
      <c r="AB50" s="64" t="n">
        <f aca="false">IF(Arterial=0,IF(Informed=1,1,0),0)</f>
        <v>0</v>
      </c>
      <c r="AC50" s="64" t="n">
        <f aca="false">IF(Arterial=0,IF(Informed=0,1,0),0)</f>
        <v>0</v>
      </c>
      <c r="AD50" s="64" t="n">
        <f aca="false">IF(Arterial=1,IF(Informed=1,1,0),0)</f>
        <v>0</v>
      </c>
      <c r="AE50" s="64" t="n">
        <f aca="false">IF(Arterial=1,IF(Informed=0,1,0),0)</f>
        <v>1</v>
      </c>
      <c r="AF50" s="57" t="n">
        <f aca="false">IF(AB50=1,(X50-G$1030)^2,0)</f>
        <v>0</v>
      </c>
      <c r="AG50" s="57" t="n">
        <f aca="false">IF(AC50=1,(Y50-H$1030)^2,0)</f>
        <v>0</v>
      </c>
      <c r="AH50" s="57" t="n">
        <f aca="false">IF(AD50=1,(Z50-I$1030)^2,0)</f>
        <v>0</v>
      </c>
      <c r="AI50" s="57" t="n">
        <f aca="false">IF(AE50=1,(AA50-J$1030)^2,0)</f>
        <v>29.9653038250726</v>
      </c>
    </row>
    <row r="51" customFormat="false" ht="12" hidden="false" customHeight="false" outlineLevel="0" collapsed="false">
      <c r="A51" s="5" t="n">
        <v>34</v>
      </c>
      <c r="B51" s="58" t="n">
        <f aca="true">IF(RAND()&lt;$D$8,1,0)</f>
        <v>0</v>
      </c>
      <c r="C51" s="47" t="n">
        <f aca="true">-LN(RAND())/$D$2</f>
        <v>2.28069466116224</v>
      </c>
      <c r="D51" s="59" t="n">
        <f aca="false">D50+C51</f>
        <v>35.90847015822</v>
      </c>
      <c r="E51" s="60" t="n">
        <f aca="false">MAX($D$3,(1+P50-VLOOKUP(VALUE(D51),$J$18:$Q50,7,TRUE()))*$D$3)</f>
        <v>6</v>
      </c>
      <c r="F51" s="60" t="n">
        <f aca="false">MAX($D$4,(1+Q50-VLOOKUP(VALUE(D51),$M$18:$Q50,5,TRUE()))*$D$4)</f>
        <v>6</v>
      </c>
      <c r="G51" s="61" t="n">
        <v>0.5</v>
      </c>
      <c r="H51" s="59" t="n">
        <f aca="true">IF((B51=1),(IF((F51&lt;E51),1,(IF((F51=E51),(IF(RAND()&lt;G51,1,0)),0)))),(IF((RAND()&lt;G51),1,0)))</f>
        <v>0</v>
      </c>
      <c r="I51" s="59" t="n">
        <f aca="true">IF((H51=1),0,$D$3+$D$5*(RAND()-0.5))</f>
        <v>2.15557386179671</v>
      </c>
      <c r="J51" s="59" t="n">
        <f aca="false">I51+MAX(D51,J50)</f>
        <v>40.6925527517574</v>
      </c>
      <c r="K51" s="59" t="n">
        <f aca="false">IF((H51=0),J51-D51,0)</f>
        <v>4.78408259353736</v>
      </c>
      <c r="L51" s="59" t="n">
        <f aca="true">IF(($H51=0),0,$D$4+$D$5*(RAND()-0.5))</f>
        <v>0</v>
      </c>
      <c r="M51" s="59" t="n">
        <f aca="false">L51+MAX(D51,M50)</f>
        <v>39.1018328428546</v>
      </c>
      <c r="N51" s="59" t="n">
        <f aca="false">IF((H51=1),M51-D51,0)</f>
        <v>0</v>
      </c>
      <c r="O51" s="5" t="n">
        <v>34</v>
      </c>
      <c r="P51" s="62" t="n">
        <f aca="false">IF((Arterial=0),P50+1,P50)</f>
        <v>17</v>
      </c>
      <c r="Q51" s="62" t="n">
        <f aca="false">IF((Arterial=1),Q50+1,Q50)</f>
        <v>17</v>
      </c>
      <c r="R51" s="63" t="e">
        <f aca="false">IF((RESET=1),0,R51+K51)</f>
        <v>#N/A</v>
      </c>
      <c r="S51" s="10" t="n">
        <f aca="false">IF(RESET=1,0,S51+N51)</f>
        <v>176.478155396145</v>
      </c>
      <c r="T51" s="0" t="e">
        <f aca="false">IF(RESET=1,0,T51+IF(H51=0,1,0))</f>
        <v>#N/A</v>
      </c>
      <c r="U51" s="0" t="n">
        <f aca="false">IF(RESET=1,0,U51+H51)</f>
        <v>27</v>
      </c>
      <c r="V51" s="10" t="e">
        <f aca="false">R51/(T51+0.00001)</f>
        <v>#N/A</v>
      </c>
      <c r="W51" s="10" t="n">
        <f aca="false">S51/(U51+0.0001)</f>
        <v>6.53620376947288</v>
      </c>
      <c r="X51" s="60" t="n">
        <f aca="false">IF(Informed=1,K51,0)</f>
        <v>0</v>
      </c>
      <c r="Y51" s="60" t="n">
        <f aca="false">IF(Informed=0,K51,0)</f>
        <v>4.78408259353736</v>
      </c>
      <c r="Z51" s="60" t="n">
        <f aca="false">IF(Informed=1,N51,0)</f>
        <v>0</v>
      </c>
      <c r="AA51" s="60" t="n">
        <f aca="false">IF(Informed=0,N51,0)</f>
        <v>0</v>
      </c>
      <c r="AB51" s="64" t="n">
        <f aca="false">IF(Arterial=0,IF(Informed=1,1,0),0)</f>
        <v>0</v>
      </c>
      <c r="AC51" s="64" t="n">
        <f aca="false">IF(Arterial=0,IF(Informed=0,1,0),0)</f>
        <v>1</v>
      </c>
      <c r="AD51" s="64" t="n">
        <f aca="false">IF(Arterial=1,IF(Informed=1,1,0),0)</f>
        <v>0</v>
      </c>
      <c r="AE51" s="64" t="n">
        <f aca="false">IF(Arterial=1,IF(Informed=0,1,0),0)</f>
        <v>0</v>
      </c>
      <c r="AF51" s="57" t="n">
        <f aca="false">IF(AB51=1,(X51-G$1030)^2,0)</f>
        <v>0</v>
      </c>
      <c r="AG51" s="57" t="n">
        <f aca="false">IF(AC51=1,(Y51-H$1030)^2,0)</f>
        <v>22.8874462617871</v>
      </c>
      <c r="AH51" s="57" t="n">
        <f aca="false">IF(AD51=1,(Z51-I$1030)^2,0)</f>
        <v>0</v>
      </c>
      <c r="AI51" s="57" t="n">
        <f aca="false">IF(AE51=1,(AA51-J$1030)^2,0)</f>
        <v>0</v>
      </c>
    </row>
    <row r="52" customFormat="false" ht="12" hidden="false" customHeight="false" outlineLevel="0" collapsed="false">
      <c r="A52" s="5" t="n">
        <v>35</v>
      </c>
      <c r="B52" s="58" t="n">
        <f aca="true">IF(RAND()&lt;$D$8,1,0)</f>
        <v>1</v>
      </c>
      <c r="C52" s="47" t="n">
        <f aca="true">-LN(RAND())/$D$2</f>
        <v>1.16460401367689</v>
      </c>
      <c r="D52" s="59" t="n">
        <f aca="false">D51+C52</f>
        <v>37.0730741718969</v>
      </c>
      <c r="E52" s="60" t="n">
        <f aca="false">MAX($D$3,(1+P51-VLOOKUP(VALUE(D52),$J$18:$Q51,7,TRUE()))*$D$3)</f>
        <v>6</v>
      </c>
      <c r="F52" s="60" t="n">
        <f aca="false">MAX($D$4,(1+Q51-VLOOKUP(VALUE(D52),$M$18:$Q51,5,TRUE()))*$D$4)</f>
        <v>4</v>
      </c>
      <c r="G52" s="61" t="n">
        <v>0.5</v>
      </c>
      <c r="H52" s="59" t="n">
        <f aca="true">IF((B52=1),(IF((F52&lt;E52),1,(IF((F52=E52),(IF(RAND()&lt;G52,1,0)),0)))),(IF((RAND()&lt;G52),1,0)))</f>
        <v>1</v>
      </c>
      <c r="I52" s="59" t="n">
        <f aca="true">IF((H52=1),0,$D$3+$D$5*(RAND()-0.5))</f>
        <v>0</v>
      </c>
      <c r="J52" s="59" t="n">
        <f aca="false">I52+MAX(D52,J51)</f>
        <v>40.6925527517574</v>
      </c>
      <c r="K52" s="59" t="n">
        <f aca="false">IF((H52=0),J52-D52,0)</f>
        <v>0</v>
      </c>
      <c r="L52" s="59" t="n">
        <f aca="true">IF(($H52=0),0,$D$4+$D$5*(RAND()-0.5))</f>
        <v>1.88969105662065</v>
      </c>
      <c r="M52" s="59" t="n">
        <f aca="false">L52+MAX(D52,M51)</f>
        <v>40.9915238994753</v>
      </c>
      <c r="N52" s="59" t="n">
        <f aca="false">IF((H52=1),M52-D52,0)</f>
        <v>3.91844972757839</v>
      </c>
      <c r="O52" s="5" t="n">
        <v>35</v>
      </c>
      <c r="P52" s="62" t="n">
        <f aca="false">IF((Arterial=0),P51+1,P51)</f>
        <v>17</v>
      </c>
      <c r="Q52" s="62" t="n">
        <f aca="false">IF((Arterial=1),Q51+1,Q51)</f>
        <v>18</v>
      </c>
      <c r="R52" s="63" t="n">
        <f aca="false">IF((RESET=1),0,R52+K52)</f>
        <v>175.531321923267</v>
      </c>
      <c r="S52" s="10" t="e">
        <f aca="false">IF(RESET=1,0,S52+N52)</f>
        <v>#N/A</v>
      </c>
      <c r="T52" s="0" t="n">
        <f aca="false">IF(RESET=1,0,T52+IF(H52=0,1,0))</f>
        <v>26</v>
      </c>
      <c r="U52" s="0" t="e">
        <f aca="false">IF(RESET=1,0,U52+H52)</f>
        <v>#N/A</v>
      </c>
      <c r="V52" s="10" t="n">
        <f aca="false">R52/(T52+0.00001)</f>
        <v>6.75120209274024</v>
      </c>
      <c r="W52" s="10" t="e">
        <f aca="false">S52/(U52+0.0001)</f>
        <v>#N/A</v>
      </c>
      <c r="X52" s="60" t="n">
        <f aca="false">IF(Informed=1,K52,0)</f>
        <v>0</v>
      </c>
      <c r="Y52" s="60" t="n">
        <f aca="false">IF(Informed=0,K52,0)</f>
        <v>0</v>
      </c>
      <c r="Z52" s="60" t="n">
        <f aca="false">IF(Informed=1,N52,0)</f>
        <v>3.91844972757839</v>
      </c>
      <c r="AA52" s="60" t="n">
        <f aca="false">IF(Informed=0,N52,0)</f>
        <v>0</v>
      </c>
      <c r="AB52" s="64" t="n">
        <f aca="false">IF(Arterial=0,IF(Informed=1,1,0),0)</f>
        <v>0</v>
      </c>
      <c r="AC52" s="64" t="n">
        <f aca="false">IF(Arterial=0,IF(Informed=0,1,0),0)</f>
        <v>0</v>
      </c>
      <c r="AD52" s="64" t="n">
        <f aca="false">IF(Arterial=1,IF(Informed=1,1,0),0)</f>
        <v>1</v>
      </c>
      <c r="AE52" s="64" t="n">
        <f aca="false">IF(Arterial=1,IF(Informed=0,1,0),0)</f>
        <v>0</v>
      </c>
      <c r="AF52" s="57" t="n">
        <f aca="false">IF(AB52=1,(X52-G$1030)^2,0)</f>
        <v>0</v>
      </c>
      <c r="AG52" s="57" t="n">
        <f aca="false">IF(AC52=1,(Y52-H$1030)^2,0)</f>
        <v>0</v>
      </c>
      <c r="AH52" s="57" t="n">
        <f aca="false">IF(AD52=1,(Z52-I$1030)^2,0)</f>
        <v>15.3542482675592</v>
      </c>
      <c r="AI52" s="57" t="n">
        <f aca="false">IF(AE52=1,(AA52-J$1030)^2,0)</f>
        <v>0</v>
      </c>
    </row>
    <row r="53" customFormat="false" ht="12" hidden="false" customHeight="false" outlineLevel="0" collapsed="false">
      <c r="A53" s="5" t="n">
        <v>36</v>
      </c>
      <c r="B53" s="58" t="n">
        <f aca="true">IF(RAND()&lt;$D$8,1,0)</f>
        <v>0</v>
      </c>
      <c r="C53" s="47" t="n">
        <f aca="true">-LN(RAND())/$D$2</f>
        <v>0.462515673306981</v>
      </c>
      <c r="D53" s="59" t="n">
        <f aca="false">D52+C53</f>
        <v>37.5355898452039</v>
      </c>
      <c r="E53" s="60" t="n">
        <f aca="false">MAX($D$3,(1+P52-VLOOKUP(VALUE(D53),$J$18:$Q52,7,TRUE()))*$D$3)</f>
        <v>6</v>
      </c>
      <c r="F53" s="60" t="n">
        <f aca="false">MAX($D$4,(1+Q52-VLOOKUP(VALUE(D53),$M$18:$Q52,5,TRUE()))*$D$4)</f>
        <v>6</v>
      </c>
      <c r="G53" s="61" t="n">
        <v>0.5</v>
      </c>
      <c r="H53" s="59" t="n">
        <f aca="true">IF((B53=1),(IF((F53&lt;E53),1,(IF((F53=E53),(IF(RAND()&lt;G53,1,0)),0)))),(IF((RAND()&lt;G53),1,0)))</f>
        <v>0</v>
      </c>
      <c r="I53" s="59" t="n">
        <f aca="true">IF((H53=1),0,$D$3+$D$5*(RAND()-0.5))</f>
        <v>2.06741300590134</v>
      </c>
      <c r="J53" s="59" t="n">
        <f aca="false">I53+MAX(D53,J52)</f>
        <v>42.7599657576587</v>
      </c>
      <c r="K53" s="59" t="n">
        <f aca="false">IF((H53=0),J53-D53,0)</f>
        <v>5.22437591245483</v>
      </c>
      <c r="L53" s="59" t="n">
        <f aca="true">IF(($H53=0),0,$D$4+$D$5*(RAND()-0.5))</f>
        <v>0</v>
      </c>
      <c r="M53" s="59" t="n">
        <f aca="false">L53+MAX(D53,M52)</f>
        <v>40.9915238994753</v>
      </c>
      <c r="N53" s="59" t="n">
        <f aca="false">IF((H53=1),M53-D53,0)</f>
        <v>0</v>
      </c>
      <c r="O53" s="5" t="n">
        <v>36</v>
      </c>
      <c r="P53" s="62" t="n">
        <f aca="false">IF((Arterial=0),P52+1,P52)</f>
        <v>18</v>
      </c>
      <c r="Q53" s="62" t="n">
        <f aca="false">IF((Arterial=1),Q52+1,Q52)</f>
        <v>18</v>
      </c>
      <c r="R53" s="63" t="e">
        <f aca="false">IF((RESET=1),0,R53+K53)</f>
        <v>#N/A</v>
      </c>
      <c r="S53" s="10" t="n">
        <f aca="false">IF(RESET=1,0,S53+N53)</f>
        <v>192.543404727874</v>
      </c>
      <c r="T53" s="0" t="e">
        <f aca="false">IF(RESET=1,0,T53+IF(H53=0,1,0))</f>
        <v>#N/A</v>
      </c>
      <c r="U53" s="0" t="n">
        <f aca="false">IF(RESET=1,0,U53+H53)</f>
        <v>30</v>
      </c>
      <c r="V53" s="10" t="e">
        <f aca="false">R53/(T53+0.00001)</f>
        <v>#N/A</v>
      </c>
      <c r="W53" s="10" t="n">
        <f aca="false">S53/(U53+0.0001)</f>
        <v>6.41809209728882</v>
      </c>
      <c r="X53" s="60" t="n">
        <f aca="false">IF(Informed=1,K53,0)</f>
        <v>0</v>
      </c>
      <c r="Y53" s="60" t="n">
        <f aca="false">IF(Informed=0,K53,0)</f>
        <v>5.22437591245483</v>
      </c>
      <c r="Z53" s="60" t="n">
        <f aca="false">IF(Informed=1,N53,0)</f>
        <v>0</v>
      </c>
      <c r="AA53" s="60" t="n">
        <f aca="false">IF(Informed=0,N53,0)</f>
        <v>0</v>
      </c>
      <c r="AB53" s="64" t="n">
        <f aca="false">IF(Arterial=0,IF(Informed=1,1,0),0)</f>
        <v>0</v>
      </c>
      <c r="AC53" s="64" t="n">
        <f aca="false">IF(Arterial=0,IF(Informed=0,1,0),0)</f>
        <v>1</v>
      </c>
      <c r="AD53" s="64" t="n">
        <f aca="false">IF(Arterial=1,IF(Informed=1,1,0),0)</f>
        <v>0</v>
      </c>
      <c r="AE53" s="64" t="n">
        <f aca="false">IF(Arterial=1,IF(Informed=0,1,0),0)</f>
        <v>0</v>
      </c>
      <c r="AF53" s="57" t="n">
        <f aca="false">IF(AB53=1,(X53-G$1030)^2,0)</f>
        <v>0</v>
      </c>
      <c r="AG53" s="57" t="n">
        <f aca="false">IF(AC53=1,(Y53-H$1030)^2,0)</f>
        <v>27.2941036746382</v>
      </c>
      <c r="AH53" s="57" t="n">
        <f aca="false">IF(AD53=1,(Z53-I$1030)^2,0)</f>
        <v>0</v>
      </c>
      <c r="AI53" s="57" t="n">
        <f aca="false">IF(AE53=1,(AA53-J$1030)^2,0)</f>
        <v>0</v>
      </c>
    </row>
    <row r="54" customFormat="false" ht="12" hidden="false" customHeight="false" outlineLevel="0" collapsed="false">
      <c r="A54" s="5" t="n">
        <v>37</v>
      </c>
      <c r="B54" s="58" t="n">
        <f aca="true">IF(RAND()&lt;$D$8,1,0)</f>
        <v>1</v>
      </c>
      <c r="C54" s="47" t="n">
        <f aca="true">-LN(RAND())/$D$2</f>
        <v>0.934578448749476</v>
      </c>
      <c r="D54" s="59" t="n">
        <f aca="false">D53+C54</f>
        <v>38.4701682939533</v>
      </c>
      <c r="E54" s="60" t="n">
        <f aca="false">MAX($D$3,(1+P53-VLOOKUP(VALUE(D54),$J$18:$Q53,7,TRUE()))*$D$3)</f>
        <v>8</v>
      </c>
      <c r="F54" s="60" t="n">
        <f aca="false">MAX($D$4,(1+Q53-VLOOKUP(VALUE(D54),$M$18:$Q53,5,TRUE()))*$D$4)</f>
        <v>6</v>
      </c>
      <c r="G54" s="61" t="n">
        <v>0.5</v>
      </c>
      <c r="H54" s="59" t="n">
        <f aca="true">IF((B54=1),(IF((F54&lt;E54),1,(IF((F54=E54),(IF(RAND()&lt;G54,1,0)),0)))),(IF((RAND()&lt;G54),1,0)))</f>
        <v>1</v>
      </c>
      <c r="I54" s="59" t="n">
        <f aca="true">IF((H54=1),0,$D$3+$D$5*(RAND()-0.5))</f>
        <v>0</v>
      </c>
      <c r="J54" s="59" t="n">
        <f aca="false">I54+MAX(D54,J53)</f>
        <v>42.7599657576587</v>
      </c>
      <c r="K54" s="59" t="n">
        <f aca="false">IF((H54=0),J54-D54,0)</f>
        <v>0</v>
      </c>
      <c r="L54" s="59" t="n">
        <f aca="true">IF(($H54=0),0,$D$4+$D$5*(RAND()-0.5))</f>
        <v>2.06085386772902</v>
      </c>
      <c r="M54" s="59" t="n">
        <f aca="false">L54+MAX(D54,M53)</f>
        <v>43.0523777672043</v>
      </c>
      <c r="N54" s="59" t="n">
        <f aca="false">IF((H54=1),M54-D54,0)</f>
        <v>4.58220947325095</v>
      </c>
      <c r="O54" s="5" t="n">
        <v>37</v>
      </c>
      <c r="P54" s="62" t="n">
        <f aca="false">IF((Arterial=0),P53+1,P53)</f>
        <v>18</v>
      </c>
      <c r="Q54" s="62" t="n">
        <f aca="false">IF((Arterial=1),Q53+1,Q53)</f>
        <v>19</v>
      </c>
      <c r="R54" s="63" t="n">
        <f aca="false">IF((RESET=1),0,R54+K54)</f>
        <v>181.336218964004</v>
      </c>
      <c r="S54" s="10" t="e">
        <f aca="false">IF(RESET=1,0,S54+N54)</f>
        <v>#N/A</v>
      </c>
      <c r="T54" s="0" t="n">
        <f aca="false">IF(RESET=1,0,T54+IF(H54=0,1,0))</f>
        <v>25</v>
      </c>
      <c r="U54" s="0" t="e">
        <f aca="false">IF(RESET=1,0,U54+H54)</f>
        <v>#N/A</v>
      </c>
      <c r="V54" s="10" t="n">
        <f aca="false">R54/(T54+0.00001)</f>
        <v>7.2534458571818</v>
      </c>
      <c r="W54" s="10" t="e">
        <f aca="false">S54/(U54+0.0001)</f>
        <v>#N/A</v>
      </c>
      <c r="X54" s="60" t="n">
        <f aca="false">IF(Informed=1,K54,0)</f>
        <v>0</v>
      </c>
      <c r="Y54" s="60" t="n">
        <f aca="false">IF(Informed=0,K54,0)</f>
        <v>0</v>
      </c>
      <c r="Z54" s="60" t="n">
        <f aca="false">IF(Informed=1,N54,0)</f>
        <v>4.58220947325095</v>
      </c>
      <c r="AA54" s="60" t="n">
        <f aca="false">IF(Informed=0,N54,0)</f>
        <v>0</v>
      </c>
      <c r="AB54" s="64" t="n">
        <f aca="false">IF(Arterial=0,IF(Informed=1,1,0),0)</f>
        <v>0</v>
      </c>
      <c r="AC54" s="64" t="n">
        <f aca="false">IF(Arterial=0,IF(Informed=0,1,0),0)</f>
        <v>0</v>
      </c>
      <c r="AD54" s="64" t="n">
        <f aca="false">IF(Arterial=1,IF(Informed=1,1,0),0)</f>
        <v>1</v>
      </c>
      <c r="AE54" s="64" t="n">
        <f aca="false">IF(Arterial=1,IF(Informed=0,1,0),0)</f>
        <v>0</v>
      </c>
      <c r="AF54" s="57" t="n">
        <f aca="false">IF(AB54=1,(X54-G$1030)^2,0)</f>
        <v>0</v>
      </c>
      <c r="AG54" s="57" t="n">
        <f aca="false">IF(AC54=1,(Y54-H$1030)^2,0)</f>
        <v>0</v>
      </c>
      <c r="AH54" s="57" t="n">
        <f aca="false">IF(AD54=1,(Z54-I$1030)^2,0)</f>
        <v>20.9966436567507</v>
      </c>
      <c r="AI54" s="57" t="n">
        <f aca="false">IF(AE54=1,(AA54-J$1030)^2,0)</f>
        <v>0</v>
      </c>
    </row>
    <row r="55" customFormat="false" ht="12" hidden="false" customHeight="false" outlineLevel="0" collapsed="false">
      <c r="A55" s="5" t="n">
        <v>38</v>
      </c>
      <c r="B55" s="58" t="n">
        <f aca="true">IF(RAND()&lt;$D$8,1,0)</f>
        <v>0</v>
      </c>
      <c r="C55" s="47" t="n">
        <f aca="true">-LN(RAND())/$D$2</f>
        <v>0.206964759351175</v>
      </c>
      <c r="D55" s="59" t="n">
        <f aca="false">D54+C55</f>
        <v>38.6771330533045</v>
      </c>
      <c r="E55" s="60" t="n">
        <f aca="false">MAX($D$3,(1+P54-VLOOKUP(VALUE(D55),$J$18:$Q54,7,TRUE()))*$D$3)</f>
        <v>6</v>
      </c>
      <c r="F55" s="60" t="n">
        <f aca="false">MAX($D$4,(1+Q54-VLOOKUP(VALUE(D55),$M$18:$Q54,5,TRUE()))*$D$4)</f>
        <v>8</v>
      </c>
      <c r="G55" s="61" t="n">
        <v>0.5</v>
      </c>
      <c r="H55" s="59" t="n">
        <f aca="true">IF((B55=1),(IF((F55&lt;E55),1,(IF((F55=E55),(IF(RAND()&lt;G55,1,0)),0)))),(IF((RAND()&lt;G55),1,0)))</f>
        <v>1</v>
      </c>
      <c r="I55" s="59" t="n">
        <f aca="true">IF((H55=1),0,$D$3+$D$5*(RAND()-0.5))</f>
        <v>0</v>
      </c>
      <c r="J55" s="59" t="n">
        <f aca="false">I55+MAX(D55,J54)</f>
        <v>42.7599657576587</v>
      </c>
      <c r="K55" s="59" t="n">
        <f aca="false">IF((H55=0),J55-D55,0)</f>
        <v>0</v>
      </c>
      <c r="L55" s="59" t="n">
        <f aca="true">IF(($H55=0),0,$D$4+$D$5*(RAND()-0.5))</f>
        <v>2.03785399551696</v>
      </c>
      <c r="M55" s="59" t="n">
        <f aca="false">L55+MAX(D55,M54)</f>
        <v>45.0902317627212</v>
      </c>
      <c r="N55" s="59" t="n">
        <f aca="false">IF((H55=1),M55-D55,0)</f>
        <v>6.41309870941674</v>
      </c>
      <c r="O55" s="5" t="n">
        <v>38</v>
      </c>
      <c r="P55" s="62" t="n">
        <f aca="false">IF((Arterial=0),P54+1,P54)</f>
        <v>18</v>
      </c>
      <c r="Q55" s="62" t="n">
        <f aca="false">IF((Arterial=1),Q54+1,Q54)</f>
        <v>20</v>
      </c>
      <c r="R55" s="63" t="n">
        <f aca="false">IF((RESET=1),0,R55+K55)</f>
        <v>249.159277008522</v>
      </c>
      <c r="S55" s="10" t="e">
        <f aca="false">IF(RESET=1,0,S55+N55)</f>
        <v>#N/A</v>
      </c>
      <c r="T55" s="0" t="n">
        <f aca="false">IF(RESET=1,0,T55+IF(H55=0,1,0))</f>
        <v>33</v>
      </c>
      <c r="U55" s="0" t="e">
        <f aca="false">IF(RESET=1,0,U55+H55)</f>
        <v>#N/A</v>
      </c>
      <c r="V55" s="10" t="n">
        <f aca="false">R55/(T55+0.00001)</f>
        <v>7.55027883350707</v>
      </c>
      <c r="W55" s="10" t="e">
        <f aca="false">S55/(U55+0.0001)</f>
        <v>#N/A</v>
      </c>
      <c r="X55" s="60" t="n">
        <f aca="false">IF(Informed=1,K55,0)</f>
        <v>0</v>
      </c>
      <c r="Y55" s="60" t="n">
        <f aca="false">IF(Informed=0,K55,0)</f>
        <v>0</v>
      </c>
      <c r="Z55" s="60" t="n">
        <f aca="false">IF(Informed=1,N55,0)</f>
        <v>0</v>
      </c>
      <c r="AA55" s="60" t="n">
        <f aca="false">IF(Informed=0,N55,0)</f>
        <v>6.41309870941674</v>
      </c>
      <c r="AB55" s="64" t="n">
        <f aca="false">IF(Arterial=0,IF(Informed=1,1,0),0)</f>
        <v>0</v>
      </c>
      <c r="AC55" s="64" t="n">
        <f aca="false">IF(Arterial=0,IF(Informed=0,1,0),0)</f>
        <v>0</v>
      </c>
      <c r="AD55" s="64" t="n">
        <f aca="false">IF(Arterial=1,IF(Informed=1,1,0),0)</f>
        <v>0</v>
      </c>
      <c r="AE55" s="64" t="n">
        <f aca="false">IF(Arterial=1,IF(Informed=0,1,0),0)</f>
        <v>1</v>
      </c>
      <c r="AF55" s="57" t="n">
        <f aca="false">IF(AB55=1,(X55-G$1030)^2,0)</f>
        <v>0</v>
      </c>
      <c r="AG55" s="57" t="n">
        <f aca="false">IF(AC55=1,(Y55-H$1030)^2,0)</f>
        <v>0</v>
      </c>
      <c r="AH55" s="57" t="n">
        <f aca="false">IF(AD55=1,(Z55-I$1030)^2,0)</f>
        <v>0</v>
      </c>
      <c r="AI55" s="57" t="n">
        <f aca="false">IF(AE55=1,(AA55-J$1030)^2,0)</f>
        <v>41.1278350567226</v>
      </c>
    </row>
    <row r="56" customFormat="false" ht="12" hidden="false" customHeight="false" outlineLevel="0" collapsed="false">
      <c r="A56" s="5" t="n">
        <v>39</v>
      </c>
      <c r="B56" s="58" t="n">
        <f aca="true">IF(RAND()&lt;$D$8,1,0)</f>
        <v>0</v>
      </c>
      <c r="C56" s="47" t="n">
        <f aca="true">-LN(RAND())/$D$2</f>
        <v>0.840466088028712</v>
      </c>
      <c r="D56" s="59" t="n">
        <f aca="false">D55+C56</f>
        <v>39.5175991413332</v>
      </c>
      <c r="E56" s="60" t="n">
        <f aca="false">MAX($D$3,(1+P55-VLOOKUP(VALUE(D56),$J$18:$Q55,7,TRUE()))*$D$3)</f>
        <v>6</v>
      </c>
      <c r="F56" s="60" t="n">
        <f aca="false">MAX($D$4,(1+Q55-VLOOKUP(VALUE(D56),$M$18:$Q55,5,TRUE()))*$D$4)</f>
        <v>8</v>
      </c>
      <c r="G56" s="61" t="n">
        <v>0.5</v>
      </c>
      <c r="H56" s="59" t="n">
        <f aca="true">IF((B56=1),(IF((F56&lt;E56),1,(IF((F56=E56),(IF(RAND()&lt;G56,1,0)),0)))),(IF((RAND()&lt;G56),1,0)))</f>
        <v>0</v>
      </c>
      <c r="I56" s="59" t="n">
        <f aca="true">IF((H56=1),0,$D$3+$D$5*(RAND()-0.5))</f>
        <v>2.20377051950034</v>
      </c>
      <c r="J56" s="59" t="n">
        <f aca="false">I56+MAX(D56,J55)</f>
        <v>44.963736277159</v>
      </c>
      <c r="K56" s="59" t="n">
        <f aca="false">IF((H56=0),J56-D56,0)</f>
        <v>5.4461371358258</v>
      </c>
      <c r="L56" s="59" t="n">
        <f aca="true">IF(($H56=0),0,$D$4+$D$5*(RAND()-0.5))</f>
        <v>0</v>
      </c>
      <c r="M56" s="59" t="n">
        <f aca="false">L56+MAX(D56,M55)</f>
        <v>45.0902317627212</v>
      </c>
      <c r="N56" s="59" t="n">
        <f aca="false">IF((H56=1),M56-D56,0)</f>
        <v>0</v>
      </c>
      <c r="O56" s="5" t="n">
        <v>39</v>
      </c>
      <c r="P56" s="62" t="n">
        <f aca="false">IF((Arterial=0),P55+1,P55)</f>
        <v>19</v>
      </c>
      <c r="Q56" s="62" t="n">
        <f aca="false">IF((Arterial=1),Q55+1,Q55)</f>
        <v>20</v>
      </c>
      <c r="R56" s="63" t="e">
        <f aca="false">IF((RESET=1),0,R56+K56)</f>
        <v>#N/A</v>
      </c>
      <c r="S56" s="10" t="n">
        <f aca="false">IF(RESET=1,0,S56+N56)</f>
        <v>228.077140990898</v>
      </c>
      <c r="T56" s="0" t="e">
        <f aca="false">IF(RESET=1,0,T56+IF(H56=0,1,0))</f>
        <v>#N/A</v>
      </c>
      <c r="U56" s="0" t="n">
        <f aca="false">IF(RESET=1,0,U56+H56)</f>
        <v>32</v>
      </c>
      <c r="V56" s="10" t="e">
        <f aca="false">R56/(T56+0.00001)</f>
        <v>#N/A</v>
      </c>
      <c r="W56" s="10" t="n">
        <f aca="false">S56/(U56+0.0001)</f>
        <v>7.12738838287688</v>
      </c>
      <c r="X56" s="60" t="n">
        <f aca="false">IF(Informed=1,K56,0)</f>
        <v>0</v>
      </c>
      <c r="Y56" s="60" t="n">
        <f aca="false">IF(Informed=0,K56,0)</f>
        <v>5.4461371358258</v>
      </c>
      <c r="Z56" s="60" t="n">
        <f aca="false">IF(Informed=1,N56,0)</f>
        <v>0</v>
      </c>
      <c r="AA56" s="60" t="n">
        <f aca="false">IF(Informed=0,N56,0)</f>
        <v>0</v>
      </c>
      <c r="AB56" s="64" t="n">
        <f aca="false">IF(Arterial=0,IF(Informed=1,1,0),0)</f>
        <v>0</v>
      </c>
      <c r="AC56" s="64" t="n">
        <f aca="false">IF(Arterial=0,IF(Informed=0,1,0),0)</f>
        <v>1</v>
      </c>
      <c r="AD56" s="64" t="n">
        <f aca="false">IF(Arterial=1,IF(Informed=1,1,0),0)</f>
        <v>0</v>
      </c>
      <c r="AE56" s="64" t="n">
        <f aca="false">IF(Arterial=1,IF(Informed=0,1,0),0)</f>
        <v>0</v>
      </c>
      <c r="AF56" s="57" t="n">
        <f aca="false">IF(AB56=1,(X56-G$1030)^2,0)</f>
        <v>0</v>
      </c>
      <c r="AG56" s="57" t="n">
        <f aca="false">IF(AC56=1,(Y56-H$1030)^2,0)</f>
        <v>29.6604097022209</v>
      </c>
      <c r="AH56" s="57" t="n">
        <f aca="false">IF(AD56=1,(Z56-I$1030)^2,0)</f>
        <v>0</v>
      </c>
      <c r="AI56" s="57" t="n">
        <f aca="false">IF(AE56=1,(AA56-J$1030)^2,0)</f>
        <v>0</v>
      </c>
    </row>
    <row r="57" customFormat="false" ht="12" hidden="false" customHeight="false" outlineLevel="0" collapsed="false">
      <c r="A57" s="5" t="n">
        <v>40</v>
      </c>
      <c r="B57" s="58" t="n">
        <f aca="true">IF(RAND()&lt;$D$8,1,0)</f>
        <v>1</v>
      </c>
      <c r="C57" s="47" t="n">
        <f aca="true">-LN(RAND())/$D$2</f>
        <v>2.21492253063228</v>
      </c>
      <c r="D57" s="59" t="n">
        <f aca="false">D56+C57</f>
        <v>41.7325216719655</v>
      </c>
      <c r="E57" s="60" t="n">
        <f aca="false">MAX($D$3,(1+P56-VLOOKUP(VALUE(D57),$J$18:$Q56,7,TRUE()))*$D$3)</f>
        <v>6</v>
      </c>
      <c r="F57" s="60" t="n">
        <f aca="false">MAX($D$4,(1+Q56-VLOOKUP(VALUE(D57),$M$18:$Q56,5,TRUE()))*$D$4)</f>
        <v>6</v>
      </c>
      <c r="G57" s="61" t="n">
        <v>0.5</v>
      </c>
      <c r="H57" s="59" t="n">
        <f aca="true">IF((B57=1),(IF((F57&lt;E57),1,(IF((F57=E57),(IF(RAND()&lt;G57,1,0)),0)))),(IF((RAND()&lt;G57),1,0)))</f>
        <v>0</v>
      </c>
      <c r="I57" s="59" t="n">
        <f aca="true">IF((H57=1),0,$D$3+$D$5*(RAND()-0.5))</f>
        <v>1.7753478275478</v>
      </c>
      <c r="J57" s="59" t="n">
        <f aca="false">I57+MAX(D57,J56)</f>
        <v>46.7390841047068</v>
      </c>
      <c r="K57" s="59" t="n">
        <f aca="false">IF((H57=0),J57-D57,0)</f>
        <v>5.00656243274132</v>
      </c>
      <c r="L57" s="59" t="n">
        <f aca="true">IF(($H57=0),0,$D$4+$D$5*(RAND()-0.5))</f>
        <v>0</v>
      </c>
      <c r="M57" s="59" t="n">
        <f aca="false">L57+MAX(D57,M56)</f>
        <v>45.0902317627212</v>
      </c>
      <c r="N57" s="59" t="n">
        <f aca="false">IF((H57=1),M57-D57,0)</f>
        <v>0</v>
      </c>
      <c r="O57" s="5" t="n">
        <v>40</v>
      </c>
      <c r="P57" s="62" t="n">
        <f aca="false">IF((Arterial=0),P56+1,P56)</f>
        <v>20</v>
      </c>
      <c r="Q57" s="62" t="n">
        <f aca="false">IF((Arterial=1),Q56+1,Q56)</f>
        <v>20</v>
      </c>
      <c r="R57" s="63" t="e">
        <f aca="false">IF((RESET=1),0,R57+K57)</f>
        <v>#N/A</v>
      </c>
      <c r="S57" s="10" t="n">
        <f aca="false">IF(RESET=1,0,S57+N57)</f>
        <v>209.026702523163</v>
      </c>
      <c r="T57" s="0" t="e">
        <f aca="false">IF(RESET=1,0,T57+IF(H57=0,1,0))</f>
        <v>#N/A</v>
      </c>
      <c r="U57" s="0" t="n">
        <f aca="false">IF(RESET=1,0,U57+H57)</f>
        <v>26</v>
      </c>
      <c r="V57" s="10" t="e">
        <f aca="false">R57/(T57+0.00001)</f>
        <v>#N/A</v>
      </c>
      <c r="W57" s="10" t="n">
        <f aca="false">S57/(U57+0.0001)</f>
        <v>8.03945763759229</v>
      </c>
      <c r="X57" s="60" t="n">
        <f aca="false">IF(Informed=1,K57,0)</f>
        <v>5.00656243274132</v>
      </c>
      <c r="Y57" s="60" t="n">
        <f aca="false">IF(Informed=0,K57,0)</f>
        <v>0</v>
      </c>
      <c r="Z57" s="60" t="n">
        <f aca="false">IF(Informed=1,N57,0)</f>
        <v>0</v>
      </c>
      <c r="AA57" s="60" t="n">
        <f aca="false">IF(Informed=0,N57,0)</f>
        <v>0</v>
      </c>
      <c r="AB57" s="64" t="n">
        <f aca="false">IF(Arterial=0,IF(Informed=1,1,0),0)</f>
        <v>1</v>
      </c>
      <c r="AC57" s="64" t="n">
        <f aca="false">IF(Arterial=0,IF(Informed=0,1,0),0)</f>
        <v>0</v>
      </c>
      <c r="AD57" s="64" t="n">
        <f aca="false">IF(Arterial=1,IF(Informed=1,1,0),0)</f>
        <v>0</v>
      </c>
      <c r="AE57" s="64" t="n">
        <f aca="false">IF(Arterial=1,IF(Informed=0,1,0),0)</f>
        <v>0</v>
      </c>
      <c r="AF57" s="57" t="n">
        <f aca="false">IF(AB57=1,(X57-G$1030)^2,0)</f>
        <v>25.0656673929367</v>
      </c>
      <c r="AG57" s="57" t="n">
        <f aca="false">IF(AC57=1,(Y57-H$1030)^2,0)</f>
        <v>0</v>
      </c>
      <c r="AH57" s="57" t="n">
        <f aca="false">IF(AD57=1,(Z57-I$1030)^2,0)</f>
        <v>0</v>
      </c>
      <c r="AI57" s="57" t="n">
        <f aca="false">IF(AE57=1,(AA57-J$1030)^2,0)</f>
        <v>0</v>
      </c>
    </row>
    <row r="58" customFormat="false" ht="12" hidden="false" customHeight="false" outlineLevel="0" collapsed="false">
      <c r="A58" s="5" t="n">
        <v>41</v>
      </c>
      <c r="B58" s="58" t="n">
        <f aca="true">IF(RAND()&lt;$D$8,1,0)</f>
        <v>1</v>
      </c>
      <c r="C58" s="47" t="n">
        <f aca="true">-LN(RAND())/$D$2</f>
        <v>1.03515034160368</v>
      </c>
      <c r="D58" s="59" t="n">
        <f aca="false">D57+C58</f>
        <v>42.7676720135692</v>
      </c>
      <c r="E58" s="60" t="n">
        <f aca="false">MAX($D$3,(1+P57-VLOOKUP(VALUE(D58),$J$18:$Q57,7,TRUE()))*$D$3)</f>
        <v>6</v>
      </c>
      <c r="F58" s="60" t="n">
        <f aca="false">MAX($D$4,(1+Q57-VLOOKUP(VALUE(D58),$M$18:$Q57,5,TRUE()))*$D$4)</f>
        <v>6</v>
      </c>
      <c r="G58" s="61" t="n">
        <v>0.5</v>
      </c>
      <c r="H58" s="59" t="n">
        <f aca="true">IF((B58=1),(IF((F58&lt;E58),1,(IF((F58=E58),(IF(RAND()&lt;G58,1,0)),0)))),(IF((RAND()&lt;G58),1,0)))</f>
        <v>0</v>
      </c>
      <c r="I58" s="59" t="n">
        <f aca="true">IF((H58=1),0,$D$3+$D$5*(RAND()-0.5))</f>
        <v>2.19151411610502</v>
      </c>
      <c r="J58" s="59" t="n">
        <f aca="false">I58+MAX(D58,J57)</f>
        <v>48.9305982208118</v>
      </c>
      <c r="K58" s="59" t="n">
        <f aca="false">IF((H58=0),J58-D58,0)</f>
        <v>6.16292620724266</v>
      </c>
      <c r="L58" s="59" t="n">
        <f aca="true">IF(($H58=0),0,$D$4+$D$5*(RAND()-0.5))</f>
        <v>0</v>
      </c>
      <c r="M58" s="59" t="n">
        <f aca="false">L58+MAX(D58,M57)</f>
        <v>45.0902317627212</v>
      </c>
      <c r="N58" s="59" t="n">
        <f aca="false">IF((H58=1),M58-D58,0)</f>
        <v>0</v>
      </c>
      <c r="O58" s="5" t="n">
        <v>41</v>
      </c>
      <c r="P58" s="62" t="n">
        <f aca="false">IF((Arterial=0),P57+1,P57)</f>
        <v>21</v>
      </c>
      <c r="Q58" s="62" t="n">
        <f aca="false">IF((Arterial=1),Q57+1,Q57)</f>
        <v>20</v>
      </c>
      <c r="R58" s="63" t="e">
        <f aca="false">IF((RESET=1),0,R58+K58)</f>
        <v>#N/A</v>
      </c>
      <c r="S58" s="10" t="n">
        <f aca="false">IF(RESET=1,0,S58+N58)</f>
        <v>172.071341113403</v>
      </c>
      <c r="T58" s="0" t="e">
        <f aca="false">IF(RESET=1,0,T58+IF(H58=0,1,0))</f>
        <v>#N/A</v>
      </c>
      <c r="U58" s="0" t="n">
        <f aca="false">IF(RESET=1,0,U58+H58)</f>
        <v>22</v>
      </c>
      <c r="V58" s="10" t="e">
        <f aca="false">R58/(T58+0.00001)</f>
        <v>#N/A</v>
      </c>
      <c r="W58" s="10" t="n">
        <f aca="false">S58/(U58+0.0001)</f>
        <v>7.8213890442954</v>
      </c>
      <c r="X58" s="60" t="n">
        <f aca="false">IF(Informed=1,K58,0)</f>
        <v>6.16292620724266</v>
      </c>
      <c r="Y58" s="60" t="n">
        <f aca="false">IF(Informed=0,K58,0)</f>
        <v>0</v>
      </c>
      <c r="Z58" s="60" t="n">
        <f aca="false">IF(Informed=1,N58,0)</f>
        <v>0</v>
      </c>
      <c r="AA58" s="60" t="n">
        <f aca="false">IF(Informed=0,N58,0)</f>
        <v>0</v>
      </c>
      <c r="AB58" s="64" t="n">
        <f aca="false">IF(Arterial=0,IF(Informed=1,1,0),0)</f>
        <v>1</v>
      </c>
      <c r="AC58" s="64" t="n">
        <f aca="false">IF(Arterial=0,IF(Informed=0,1,0),0)</f>
        <v>0</v>
      </c>
      <c r="AD58" s="64" t="n">
        <f aca="false">IF(Arterial=1,IF(Informed=1,1,0),0)</f>
        <v>0</v>
      </c>
      <c r="AE58" s="64" t="n">
        <f aca="false">IF(Arterial=1,IF(Informed=0,1,0),0)</f>
        <v>0</v>
      </c>
      <c r="AF58" s="57" t="n">
        <f aca="false">IF(AB58=1,(X58-G$1030)^2,0)</f>
        <v>37.9816594359184</v>
      </c>
      <c r="AG58" s="57" t="n">
        <f aca="false">IF(AC58=1,(Y58-H$1030)^2,0)</f>
        <v>0</v>
      </c>
      <c r="AH58" s="57" t="n">
        <f aca="false">IF(AD58=1,(Z58-I$1030)^2,0)</f>
        <v>0</v>
      </c>
      <c r="AI58" s="57" t="n">
        <f aca="false">IF(AE58=1,(AA58-J$1030)^2,0)</f>
        <v>0</v>
      </c>
    </row>
    <row r="59" customFormat="false" ht="12" hidden="false" customHeight="false" outlineLevel="0" collapsed="false">
      <c r="A59" s="5" t="n">
        <v>42</v>
      </c>
      <c r="B59" s="58" t="n">
        <f aca="true">IF(RAND()&lt;$D$8,1,0)</f>
        <v>0</v>
      </c>
      <c r="C59" s="47" t="n">
        <f aca="true">-LN(RAND())/$D$2</f>
        <v>1.57909616479213</v>
      </c>
      <c r="D59" s="59" t="n">
        <f aca="false">D58+C59</f>
        <v>44.3467681783613</v>
      </c>
      <c r="E59" s="60" t="n">
        <f aca="false">MAX($D$3,(1+P58-VLOOKUP(VALUE(D59),$J$18:$Q58,7,TRUE()))*$D$3)</f>
        <v>8</v>
      </c>
      <c r="F59" s="60" t="n">
        <f aca="false">MAX($D$4,(1+Q58-VLOOKUP(VALUE(D59),$M$18:$Q58,5,TRUE()))*$D$4)</f>
        <v>4</v>
      </c>
      <c r="G59" s="61" t="n">
        <v>0.5</v>
      </c>
      <c r="H59" s="59" t="n">
        <f aca="true">IF((B59=1),(IF((F59&lt;E59),1,(IF((F59=E59),(IF(RAND()&lt;G59,1,0)),0)))),(IF((RAND()&lt;G59),1,0)))</f>
        <v>1</v>
      </c>
      <c r="I59" s="59" t="n">
        <f aca="true">IF((H59=1),0,$D$3+$D$5*(RAND()-0.5))</f>
        <v>0</v>
      </c>
      <c r="J59" s="59" t="n">
        <f aca="false">I59+MAX(D59,J58)</f>
        <v>48.9305982208118</v>
      </c>
      <c r="K59" s="59" t="n">
        <f aca="false">IF((H59=0),J59-D59,0)</f>
        <v>0</v>
      </c>
      <c r="L59" s="59" t="n">
        <f aca="true">IF(($H59=0),0,$D$4+$D$5*(RAND()-0.5))</f>
        <v>2.16503686634434</v>
      </c>
      <c r="M59" s="59" t="n">
        <f aca="false">L59+MAX(D59,M58)</f>
        <v>47.2552686290656</v>
      </c>
      <c r="N59" s="59" t="n">
        <f aca="false">IF((H59=1),M59-D59,0)</f>
        <v>2.90850045070427</v>
      </c>
      <c r="O59" s="5" t="n">
        <v>42</v>
      </c>
      <c r="P59" s="62" t="n">
        <f aca="false">IF((Arterial=0),P58+1,P58)</f>
        <v>21</v>
      </c>
      <c r="Q59" s="62" t="n">
        <f aca="false">IF((Arterial=1),Q58+1,Q58)</f>
        <v>21</v>
      </c>
      <c r="R59" s="63" t="n">
        <f aca="false">IF((RESET=1),0,R59+K59)</f>
        <v>221.299351900456</v>
      </c>
      <c r="S59" s="10" t="e">
        <f aca="false">IF(RESET=1,0,S59+N59)</f>
        <v>#N/A</v>
      </c>
      <c r="T59" s="0" t="n">
        <f aca="false">IF(RESET=1,0,T59+IF(H59=0,1,0))</f>
        <v>28</v>
      </c>
      <c r="U59" s="0" t="e">
        <f aca="false">IF(RESET=1,0,U59+H59)</f>
        <v>#N/A</v>
      </c>
      <c r="V59" s="10" t="n">
        <f aca="false">R59/(T59+0.00001)</f>
        <v>7.90354545946434</v>
      </c>
      <c r="W59" s="10" t="e">
        <f aca="false">S59/(U59+0.0001)</f>
        <v>#N/A</v>
      </c>
      <c r="X59" s="60" t="n">
        <f aca="false">IF(Informed=1,K59,0)</f>
        <v>0</v>
      </c>
      <c r="Y59" s="60" t="n">
        <f aca="false">IF(Informed=0,K59,0)</f>
        <v>0</v>
      </c>
      <c r="Z59" s="60" t="n">
        <f aca="false">IF(Informed=1,N59,0)</f>
        <v>0</v>
      </c>
      <c r="AA59" s="60" t="n">
        <f aca="false">IF(Informed=0,N59,0)</f>
        <v>2.90850045070427</v>
      </c>
      <c r="AB59" s="64" t="n">
        <f aca="false">IF(Arterial=0,IF(Informed=1,1,0),0)</f>
        <v>0</v>
      </c>
      <c r="AC59" s="64" t="n">
        <f aca="false">IF(Arterial=0,IF(Informed=0,1,0),0)</f>
        <v>0</v>
      </c>
      <c r="AD59" s="64" t="n">
        <f aca="false">IF(Arterial=1,IF(Informed=1,1,0),0)</f>
        <v>0</v>
      </c>
      <c r="AE59" s="64" t="n">
        <f aca="false">IF(Arterial=1,IF(Informed=0,1,0),0)</f>
        <v>1</v>
      </c>
      <c r="AF59" s="57" t="n">
        <f aca="false">IF(AB59=1,(X59-G$1030)^2,0)</f>
        <v>0</v>
      </c>
      <c r="AG59" s="57" t="n">
        <f aca="false">IF(AC59=1,(Y59-H$1030)^2,0)</f>
        <v>0</v>
      </c>
      <c r="AH59" s="57" t="n">
        <f aca="false">IF(AD59=1,(Z59-I$1030)^2,0)</f>
        <v>0</v>
      </c>
      <c r="AI59" s="57" t="n">
        <f aca="false">IF(AE59=1,(AA59-J$1030)^2,0)</f>
        <v>8.45937487174697</v>
      </c>
    </row>
    <row r="60" customFormat="false" ht="12" hidden="false" customHeight="false" outlineLevel="0" collapsed="false">
      <c r="A60" s="5" t="n">
        <v>43</v>
      </c>
      <c r="B60" s="58" t="n">
        <f aca="true">IF(RAND()&lt;$D$8,1,0)</f>
        <v>1</v>
      </c>
      <c r="C60" s="47" t="n">
        <f aca="true">-LN(RAND())/$D$2</f>
        <v>1.63634168212961</v>
      </c>
      <c r="D60" s="59" t="n">
        <f aca="false">D59+C60</f>
        <v>45.9831098604909</v>
      </c>
      <c r="E60" s="60" t="n">
        <f aca="false">MAX($D$3,(1+P59-VLOOKUP(VALUE(D60),$J$18:$Q59,7,TRUE()))*$D$3)</f>
        <v>6</v>
      </c>
      <c r="F60" s="60" t="n">
        <f aca="false">MAX($D$4,(1+Q59-VLOOKUP(VALUE(D60),$M$18:$Q59,5,TRUE()))*$D$4)</f>
        <v>4</v>
      </c>
      <c r="G60" s="61" t="n">
        <v>0.5</v>
      </c>
      <c r="H60" s="59" t="n">
        <f aca="true">IF((B60=1),(IF((F60&lt;E60),1,(IF((F60=E60),(IF(RAND()&lt;G60,1,0)),0)))),(IF((RAND()&lt;G60),1,0)))</f>
        <v>1</v>
      </c>
      <c r="I60" s="59" t="n">
        <f aca="true">IF((H60=1),0,$D$3+$D$5*(RAND()-0.5))</f>
        <v>0</v>
      </c>
      <c r="J60" s="59" t="n">
        <f aca="false">I60+MAX(D60,J59)</f>
        <v>48.9305982208118</v>
      </c>
      <c r="K60" s="59" t="n">
        <f aca="false">IF((H60=0),J60-D60,0)</f>
        <v>0</v>
      </c>
      <c r="L60" s="59" t="n">
        <f aca="true">IF(($H60=0),0,$D$4+$D$5*(RAND()-0.5))</f>
        <v>1.88830922882782</v>
      </c>
      <c r="M60" s="59" t="n">
        <f aca="false">L60+MAX(D60,M59)</f>
        <v>49.1435778578934</v>
      </c>
      <c r="N60" s="59" t="n">
        <f aca="false">IF((H60=1),M60-D60,0)</f>
        <v>3.16046799740248</v>
      </c>
      <c r="O60" s="5" t="n">
        <v>43</v>
      </c>
      <c r="P60" s="62" t="n">
        <f aca="false">IF((Arterial=0),P59+1,P59)</f>
        <v>21</v>
      </c>
      <c r="Q60" s="62" t="n">
        <f aca="false">IF((Arterial=1),Q59+1,Q59)</f>
        <v>22</v>
      </c>
      <c r="R60" s="63" t="n">
        <f aca="false">IF((RESET=1),0,R60+K60)</f>
        <v>191.092086250858</v>
      </c>
      <c r="S60" s="10" t="e">
        <f aca="false">IF(RESET=1,0,S60+N60)</f>
        <v>#N/A</v>
      </c>
      <c r="T60" s="0" t="n">
        <f aca="false">IF(RESET=1,0,T60+IF(H60=0,1,0))</f>
        <v>24</v>
      </c>
      <c r="U60" s="0" t="e">
        <f aca="false">IF(RESET=1,0,U60+H60)</f>
        <v>#N/A</v>
      </c>
      <c r="V60" s="10" t="n">
        <f aca="false">R60/(T60+0.00001)</f>
        <v>7.96216694288284</v>
      </c>
      <c r="W60" s="10" t="e">
        <f aca="false">S60/(U60+0.0001)</f>
        <v>#N/A</v>
      </c>
      <c r="X60" s="60" t="n">
        <f aca="false">IF(Informed=1,K60,0)</f>
        <v>0</v>
      </c>
      <c r="Y60" s="60" t="n">
        <f aca="false">IF(Informed=0,K60,0)</f>
        <v>0</v>
      </c>
      <c r="Z60" s="60" t="n">
        <f aca="false">IF(Informed=1,N60,0)</f>
        <v>3.16046799740248</v>
      </c>
      <c r="AA60" s="60" t="n">
        <f aca="false">IF(Informed=0,N60,0)</f>
        <v>0</v>
      </c>
      <c r="AB60" s="64" t="n">
        <f aca="false">IF(Arterial=0,IF(Informed=1,1,0),0)</f>
        <v>0</v>
      </c>
      <c r="AC60" s="64" t="n">
        <f aca="false">IF(Arterial=0,IF(Informed=0,1,0),0)</f>
        <v>0</v>
      </c>
      <c r="AD60" s="64" t="n">
        <f aca="false">IF(Arterial=1,IF(Informed=1,1,0),0)</f>
        <v>1</v>
      </c>
      <c r="AE60" s="64" t="n">
        <f aca="false">IF(Arterial=1,IF(Informed=0,1,0),0)</f>
        <v>0</v>
      </c>
      <c r="AF60" s="57" t="n">
        <f aca="false">IF(AB60=1,(X60-G$1030)^2,0)</f>
        <v>0</v>
      </c>
      <c r="AG60" s="57" t="n">
        <f aca="false">IF(AC60=1,(Y60-H$1030)^2,0)</f>
        <v>0</v>
      </c>
      <c r="AH60" s="57" t="n">
        <f aca="false">IF(AD60=1,(Z60-I$1030)^2,0)</f>
        <v>9.98855796260527</v>
      </c>
      <c r="AI60" s="57" t="n">
        <f aca="false">IF(AE60=1,(AA60-J$1030)^2,0)</f>
        <v>0</v>
      </c>
    </row>
    <row r="61" customFormat="false" ht="12" hidden="false" customHeight="false" outlineLevel="0" collapsed="false">
      <c r="A61" s="5" t="n">
        <v>44</v>
      </c>
      <c r="B61" s="58" t="n">
        <f aca="true">IF(RAND()&lt;$D$8,1,0)</f>
        <v>0</v>
      </c>
      <c r="C61" s="47" t="n">
        <f aca="true">-LN(RAND())/$D$2</f>
        <v>1.03592808296462</v>
      </c>
      <c r="D61" s="59" t="n">
        <f aca="false">D60+C61</f>
        <v>47.0190379434555</v>
      </c>
      <c r="E61" s="60" t="n">
        <f aca="false">MAX($D$3,(1+P60-VLOOKUP(VALUE(D61),$J$18:$Q60,7,TRUE()))*$D$3)</f>
        <v>4</v>
      </c>
      <c r="F61" s="60" t="n">
        <f aca="false">MAX($D$4,(1+Q60-VLOOKUP(VALUE(D61),$M$18:$Q60,5,TRUE()))*$D$4)</f>
        <v>6</v>
      </c>
      <c r="G61" s="61" t="n">
        <v>0.5</v>
      </c>
      <c r="H61" s="59" t="n">
        <f aca="true">IF((B61=1),(IF((F61&lt;E61),1,(IF((F61=E61),(IF(RAND()&lt;G61,1,0)),0)))),(IF((RAND()&lt;G61),1,0)))</f>
        <v>0</v>
      </c>
      <c r="I61" s="59" t="n">
        <f aca="true">IF((H61=1),0,$D$3+$D$5*(RAND()-0.5))</f>
        <v>2.07878546529887</v>
      </c>
      <c r="J61" s="59" t="n">
        <f aca="false">I61+MAX(D61,J60)</f>
        <v>51.0093836861107</v>
      </c>
      <c r="K61" s="59" t="n">
        <f aca="false">IF((H61=0),J61-D61,0)</f>
        <v>3.99034574265518</v>
      </c>
      <c r="L61" s="59" t="n">
        <f aca="true">IF(($H61=0),0,$D$4+$D$5*(RAND()-0.5))</f>
        <v>0</v>
      </c>
      <c r="M61" s="59" t="n">
        <f aca="false">L61+MAX(D61,M60)</f>
        <v>49.1435778578934</v>
      </c>
      <c r="N61" s="59" t="n">
        <f aca="false">IF((H61=1),M61-D61,0)</f>
        <v>0</v>
      </c>
      <c r="O61" s="5" t="n">
        <v>44</v>
      </c>
      <c r="P61" s="62" t="n">
        <f aca="false">IF((Arterial=0),P60+1,P60)</f>
        <v>22</v>
      </c>
      <c r="Q61" s="62" t="n">
        <f aca="false">IF((Arterial=1),Q60+1,Q60)</f>
        <v>22</v>
      </c>
      <c r="R61" s="63" t="e">
        <f aca="false">IF((RESET=1),0,R61+K61)</f>
        <v>#N/A</v>
      </c>
      <c r="S61" s="10" t="n">
        <f aca="false">IF(RESET=1,0,S61+N61)</f>
        <v>229.957740390648</v>
      </c>
      <c r="T61" s="0" t="e">
        <f aca="false">IF(RESET=1,0,T61+IF(H61=0,1,0))</f>
        <v>#N/A</v>
      </c>
      <c r="U61" s="0" t="n">
        <f aca="false">IF(RESET=1,0,U61+H61)</f>
        <v>26</v>
      </c>
      <c r="V61" s="10" t="e">
        <f aca="false">R61/(T61+0.00001)</f>
        <v>#N/A</v>
      </c>
      <c r="W61" s="10" t="n">
        <f aca="false">S61/(U61+0.0001)</f>
        <v>8.84449445927699</v>
      </c>
      <c r="X61" s="60" t="n">
        <f aca="false">IF(Informed=1,K61,0)</f>
        <v>0</v>
      </c>
      <c r="Y61" s="60" t="n">
        <f aca="false">IF(Informed=0,K61,0)</f>
        <v>3.99034574265518</v>
      </c>
      <c r="Z61" s="60" t="n">
        <f aca="false">IF(Informed=1,N61,0)</f>
        <v>0</v>
      </c>
      <c r="AA61" s="60" t="n">
        <f aca="false">IF(Informed=0,N61,0)</f>
        <v>0</v>
      </c>
      <c r="AB61" s="64" t="n">
        <f aca="false">IF(Arterial=0,IF(Informed=1,1,0),0)</f>
        <v>0</v>
      </c>
      <c r="AC61" s="64" t="n">
        <f aca="false">IF(Arterial=0,IF(Informed=0,1,0),0)</f>
        <v>1</v>
      </c>
      <c r="AD61" s="64" t="n">
        <f aca="false">IF(Arterial=1,IF(Informed=1,1,0),0)</f>
        <v>0</v>
      </c>
      <c r="AE61" s="64" t="n">
        <f aca="false">IF(Arterial=1,IF(Informed=0,1,0),0)</f>
        <v>0</v>
      </c>
      <c r="AF61" s="57" t="n">
        <f aca="false">IF(AB61=1,(X61-G$1030)^2,0)</f>
        <v>0</v>
      </c>
      <c r="AG61" s="57" t="n">
        <f aca="false">IF(AC61=1,(Y61-H$1030)^2,0)</f>
        <v>15.9228591459263</v>
      </c>
      <c r="AH61" s="57" t="n">
        <f aca="false">IF(AD61=1,(Z61-I$1030)^2,0)</f>
        <v>0</v>
      </c>
      <c r="AI61" s="57" t="n">
        <f aca="false">IF(AE61=1,(AA61-J$1030)^2,0)</f>
        <v>0</v>
      </c>
    </row>
    <row r="62" customFormat="false" ht="12" hidden="false" customHeight="false" outlineLevel="0" collapsed="false">
      <c r="A62" s="5" t="n">
        <v>45</v>
      </c>
      <c r="B62" s="58" t="n">
        <f aca="true">IF(RAND()&lt;$D$8,1,0)</f>
        <v>1</v>
      </c>
      <c r="C62" s="47" t="n">
        <f aca="true">-LN(RAND())/$D$2</f>
        <v>0.482082326626231</v>
      </c>
      <c r="D62" s="59" t="n">
        <f aca="false">D61+C62</f>
        <v>47.5011202700818</v>
      </c>
      <c r="E62" s="60" t="n">
        <f aca="false">MAX($D$3,(1+P61-VLOOKUP(VALUE(D62),$J$18:$Q61,7,TRUE()))*$D$3)</f>
        <v>6</v>
      </c>
      <c r="F62" s="60" t="n">
        <f aca="false">MAX($D$4,(1+Q61-VLOOKUP(VALUE(D62),$M$18:$Q61,5,TRUE()))*$D$4)</f>
        <v>4</v>
      </c>
      <c r="G62" s="61" t="n">
        <v>0.5</v>
      </c>
      <c r="H62" s="59" t="n">
        <f aca="true">IF((B62=1),(IF((F62&lt;E62),1,(IF((F62=E62),(IF(RAND()&lt;G62,1,0)),0)))),(IF((RAND()&lt;G62),1,0)))</f>
        <v>1</v>
      </c>
      <c r="I62" s="59" t="n">
        <f aca="true">IF((H62=1),0,$D$3+$D$5*(RAND()-0.5))</f>
        <v>0</v>
      </c>
      <c r="J62" s="59" t="n">
        <f aca="false">I62+MAX(D62,J61)</f>
        <v>51.0093836861107</v>
      </c>
      <c r="K62" s="59" t="n">
        <f aca="false">IF((H62=0),J62-D62,0)</f>
        <v>0</v>
      </c>
      <c r="L62" s="59" t="n">
        <f aca="true">IF(($H62=0),0,$D$4+$D$5*(RAND()-0.5))</f>
        <v>1.90324776952843</v>
      </c>
      <c r="M62" s="59" t="n">
        <f aca="false">L62+MAX(D62,M61)</f>
        <v>51.0468256274218</v>
      </c>
      <c r="N62" s="59" t="n">
        <f aca="false">IF((H62=1),M62-D62,0)</f>
        <v>3.54570535734007</v>
      </c>
      <c r="O62" s="5" t="n">
        <v>45</v>
      </c>
      <c r="P62" s="62" t="n">
        <f aca="false">IF((Arterial=0),P61+1,P61)</f>
        <v>22</v>
      </c>
      <c r="Q62" s="62" t="n">
        <f aca="false">IF((Arterial=1),Q61+1,Q61)</f>
        <v>23</v>
      </c>
      <c r="R62" s="63" t="n">
        <f aca="false">IF((RESET=1),0,R62+K62)</f>
        <v>211.662722159952</v>
      </c>
      <c r="S62" s="10" t="e">
        <f aca="false">IF(RESET=1,0,S62+N62)</f>
        <v>#N/A</v>
      </c>
      <c r="T62" s="0" t="n">
        <f aca="false">IF(RESET=1,0,T62+IF(H62=0,1,0))</f>
        <v>25</v>
      </c>
      <c r="U62" s="0" t="e">
        <f aca="false">IF(RESET=1,0,U62+H62)</f>
        <v>#N/A</v>
      </c>
      <c r="V62" s="10" t="n">
        <f aca="false">R62/(T62+0.00001)</f>
        <v>8.4665054997959</v>
      </c>
      <c r="W62" s="10" t="e">
        <f aca="false">S62/(U62+0.0001)</f>
        <v>#N/A</v>
      </c>
      <c r="X62" s="60" t="n">
        <f aca="false">IF(Informed=1,K62,0)</f>
        <v>0</v>
      </c>
      <c r="Y62" s="60" t="n">
        <f aca="false">IF(Informed=0,K62,0)</f>
        <v>0</v>
      </c>
      <c r="Z62" s="60" t="n">
        <f aca="false">IF(Informed=1,N62,0)</f>
        <v>3.54570535734007</v>
      </c>
      <c r="AA62" s="60" t="n">
        <f aca="false">IF(Informed=0,N62,0)</f>
        <v>0</v>
      </c>
      <c r="AB62" s="64" t="n">
        <f aca="false">IF(Arterial=0,IF(Informed=1,1,0),0)</f>
        <v>0</v>
      </c>
      <c r="AC62" s="64" t="n">
        <f aca="false">IF(Arterial=0,IF(Informed=0,1,0),0)</f>
        <v>0</v>
      </c>
      <c r="AD62" s="64" t="n">
        <f aca="false">IF(Arterial=1,IF(Informed=1,1,0),0)</f>
        <v>1</v>
      </c>
      <c r="AE62" s="64" t="n">
        <f aca="false">IF(Arterial=1,IF(Informed=0,1,0),0)</f>
        <v>0</v>
      </c>
      <c r="AF62" s="57" t="n">
        <f aca="false">IF(AB62=1,(X62-G$1030)^2,0)</f>
        <v>0</v>
      </c>
      <c r="AG62" s="57" t="n">
        <f aca="false">IF(AC62=1,(Y62-H$1030)^2,0)</f>
        <v>0</v>
      </c>
      <c r="AH62" s="57" t="n">
        <f aca="false">IF(AD62=1,(Z62-I$1030)^2,0)</f>
        <v>12.5720264810701</v>
      </c>
      <c r="AI62" s="57" t="n">
        <f aca="false">IF(AE62=1,(AA62-J$1030)^2,0)</f>
        <v>0</v>
      </c>
    </row>
    <row r="63" customFormat="false" ht="12" hidden="false" customHeight="false" outlineLevel="0" collapsed="false">
      <c r="A63" s="5" t="n">
        <v>46</v>
      </c>
      <c r="B63" s="58" t="n">
        <f aca="true">IF(RAND()&lt;$D$8,1,0)</f>
        <v>1</v>
      </c>
      <c r="C63" s="47" t="n">
        <f aca="true">-LN(RAND())/$D$2</f>
        <v>0.634410044870298</v>
      </c>
      <c r="D63" s="59" t="n">
        <f aca="false">D62+C63</f>
        <v>48.1355303149521</v>
      </c>
      <c r="E63" s="60" t="n">
        <f aca="false">MAX($D$3,(1+P62-VLOOKUP(VALUE(D63),$J$18:$Q62,7,TRUE()))*$D$3)</f>
        <v>6</v>
      </c>
      <c r="F63" s="60" t="n">
        <f aca="false">MAX($D$4,(1+Q62-VLOOKUP(VALUE(D63),$M$18:$Q62,5,TRUE()))*$D$4)</f>
        <v>6</v>
      </c>
      <c r="G63" s="61" t="n">
        <v>0.5</v>
      </c>
      <c r="H63" s="59" t="n">
        <f aca="true">IF((B63=1),(IF((F63&lt;E63),1,(IF((F63=E63),(IF(RAND()&lt;G63,1,0)),0)))),(IF((RAND()&lt;G63),1,0)))</f>
        <v>1</v>
      </c>
      <c r="I63" s="59" t="n">
        <f aca="true">IF((H63=1),0,$D$3+$D$5*(RAND()-0.5))</f>
        <v>0</v>
      </c>
      <c r="J63" s="59" t="n">
        <f aca="false">I63+MAX(D63,J62)</f>
        <v>51.0093836861107</v>
      </c>
      <c r="K63" s="59" t="n">
        <f aca="false">IF((H63=0),J63-D63,0)</f>
        <v>0</v>
      </c>
      <c r="L63" s="59" t="n">
        <f aca="true">IF(($H63=0),0,$D$4+$D$5*(RAND()-0.5))</f>
        <v>1.80709699970078</v>
      </c>
      <c r="M63" s="59" t="n">
        <f aca="false">L63+MAX(D63,M62)</f>
        <v>52.8539226271226</v>
      </c>
      <c r="N63" s="59" t="n">
        <f aca="false">IF((H63=1),M63-D63,0)</f>
        <v>4.71839231217055</v>
      </c>
      <c r="O63" s="5" t="n">
        <v>46</v>
      </c>
      <c r="P63" s="62" t="n">
        <f aca="false">IF((Arterial=0),P62+1,P62)</f>
        <v>22</v>
      </c>
      <c r="Q63" s="62" t="n">
        <f aca="false">IF((Arterial=1),Q62+1,Q62)</f>
        <v>24</v>
      </c>
      <c r="R63" s="63" t="n">
        <f aca="false">IF((RESET=1),0,R63+K63)</f>
        <v>194.445559860473</v>
      </c>
      <c r="S63" s="10" t="e">
        <f aca="false">IF(RESET=1,0,S63+N63)</f>
        <v>#N/A</v>
      </c>
      <c r="T63" s="0" t="n">
        <f aca="false">IF(RESET=1,0,T63+IF(H63=0,1,0))</f>
        <v>24</v>
      </c>
      <c r="U63" s="0" t="e">
        <f aca="false">IF(RESET=1,0,U63+H63)</f>
        <v>#N/A</v>
      </c>
      <c r="V63" s="10" t="n">
        <f aca="false">R63/(T63+0.00001)</f>
        <v>8.10189495173015</v>
      </c>
      <c r="W63" s="10" t="e">
        <f aca="false">S63/(U63+0.0001)</f>
        <v>#N/A</v>
      </c>
      <c r="X63" s="60" t="n">
        <f aca="false">IF(Informed=1,K63,0)</f>
        <v>0</v>
      </c>
      <c r="Y63" s="60" t="n">
        <f aca="false">IF(Informed=0,K63,0)</f>
        <v>0</v>
      </c>
      <c r="Z63" s="60" t="n">
        <f aca="false">IF(Informed=1,N63,0)</f>
        <v>4.71839231217055</v>
      </c>
      <c r="AA63" s="60" t="n">
        <f aca="false">IF(Informed=0,N63,0)</f>
        <v>0</v>
      </c>
      <c r="AB63" s="64" t="n">
        <f aca="false">IF(Arterial=0,IF(Informed=1,1,0),0)</f>
        <v>0</v>
      </c>
      <c r="AC63" s="64" t="n">
        <f aca="false">IF(Arterial=0,IF(Informed=0,1,0),0)</f>
        <v>0</v>
      </c>
      <c r="AD63" s="64" t="n">
        <f aca="false">IF(Arterial=1,IF(Informed=1,1,0),0)</f>
        <v>1</v>
      </c>
      <c r="AE63" s="64" t="n">
        <f aca="false">IF(Arterial=1,IF(Informed=0,1,0),0)</f>
        <v>0</v>
      </c>
      <c r="AF63" s="57" t="n">
        <f aca="false">IF(AB63=1,(X63-G$1030)^2,0)</f>
        <v>0</v>
      </c>
      <c r="AG63" s="57" t="n">
        <f aca="false">IF(AC63=1,(Y63-H$1030)^2,0)</f>
        <v>0</v>
      </c>
      <c r="AH63" s="57" t="n">
        <f aca="false">IF(AD63=1,(Z63-I$1030)^2,0)</f>
        <v>22.2632260115502</v>
      </c>
      <c r="AI63" s="57" t="n">
        <f aca="false">IF(AE63=1,(AA63-J$1030)^2,0)</f>
        <v>0</v>
      </c>
    </row>
    <row r="64" customFormat="false" ht="12" hidden="false" customHeight="false" outlineLevel="0" collapsed="false">
      <c r="A64" s="5" t="n">
        <v>47</v>
      </c>
      <c r="B64" s="58" t="n">
        <f aca="true">IF(RAND()&lt;$D$8,1,0)</f>
        <v>1</v>
      </c>
      <c r="C64" s="47" t="n">
        <f aca="true">-LN(RAND())/$D$2</f>
        <v>0.0464939280197088</v>
      </c>
      <c r="D64" s="59" t="n">
        <f aca="false">D63+C64</f>
        <v>48.1820242429718</v>
      </c>
      <c r="E64" s="60" t="n">
        <f aca="false">MAX($D$3,(1+P63-VLOOKUP(VALUE(D64),$J$18:$Q63,7,TRUE()))*$D$3)</f>
        <v>6</v>
      </c>
      <c r="F64" s="60" t="n">
        <f aca="false">MAX($D$4,(1+Q63-VLOOKUP(VALUE(D64),$M$18:$Q63,5,TRUE()))*$D$4)</f>
        <v>8</v>
      </c>
      <c r="G64" s="61" t="n">
        <v>0.5</v>
      </c>
      <c r="H64" s="59" t="n">
        <f aca="true">IF((B64=1),(IF((F64&lt;E64),1,(IF((F64=E64),(IF(RAND()&lt;G64,1,0)),0)))),(IF((RAND()&lt;G64),1,0)))</f>
        <v>0</v>
      </c>
      <c r="I64" s="59" t="n">
        <f aca="true">IF((H64=1),0,$D$3+$D$5*(RAND()-0.5))</f>
        <v>1.9494035236582</v>
      </c>
      <c r="J64" s="59" t="n">
        <f aca="false">I64+MAX(D64,J63)</f>
        <v>52.9587872097689</v>
      </c>
      <c r="K64" s="59" t="n">
        <f aca="false">IF((H64=0),J64-D64,0)</f>
        <v>4.77676296679714</v>
      </c>
      <c r="L64" s="59" t="n">
        <f aca="true">IF(($H64=0),0,$D$4+$D$5*(RAND()-0.5))</f>
        <v>0</v>
      </c>
      <c r="M64" s="59" t="n">
        <f aca="false">L64+MAX(D64,M63)</f>
        <v>52.8539226271226</v>
      </c>
      <c r="N64" s="59" t="n">
        <f aca="false">IF((H64=1),M64-D64,0)</f>
        <v>0</v>
      </c>
      <c r="O64" s="5" t="n">
        <v>47</v>
      </c>
      <c r="P64" s="62" t="n">
        <f aca="false">IF((Arterial=0),P63+1,P63)</f>
        <v>23</v>
      </c>
      <c r="Q64" s="62" t="n">
        <f aca="false">IF((Arterial=1),Q63+1,Q63)</f>
        <v>24</v>
      </c>
      <c r="R64" s="63" t="e">
        <f aca="false">IF((RESET=1),0,R64+K64)</f>
        <v>#N/A</v>
      </c>
      <c r="S64" s="10" t="n">
        <f aca="false">IF(RESET=1,0,S64+N64)</f>
        <v>219.191522731972</v>
      </c>
      <c r="T64" s="0" t="e">
        <f aca="false">IF(RESET=1,0,T64+IF(H64=0,1,0))</f>
        <v>#N/A</v>
      </c>
      <c r="U64" s="0" t="n">
        <f aca="false">IF(RESET=1,0,U64+H64)</f>
        <v>23</v>
      </c>
      <c r="V64" s="10" t="e">
        <f aca="false">R64/(T64+0.00001)</f>
        <v>#N/A</v>
      </c>
      <c r="W64" s="10" t="n">
        <f aca="false">S64/(U64+0.0001)</f>
        <v>9.5300247708476</v>
      </c>
      <c r="X64" s="60" t="n">
        <f aca="false">IF(Informed=1,K64,0)</f>
        <v>4.77676296679714</v>
      </c>
      <c r="Y64" s="60" t="n">
        <f aca="false">IF(Informed=0,K64,0)</f>
        <v>0</v>
      </c>
      <c r="Z64" s="60" t="n">
        <f aca="false">IF(Informed=1,N64,0)</f>
        <v>0</v>
      </c>
      <c r="AA64" s="60" t="n">
        <f aca="false">IF(Informed=0,N64,0)</f>
        <v>0</v>
      </c>
      <c r="AB64" s="64" t="n">
        <f aca="false">IF(Arterial=0,IF(Informed=1,1,0),0)</f>
        <v>1</v>
      </c>
      <c r="AC64" s="64" t="n">
        <f aca="false">IF(Arterial=0,IF(Informed=0,1,0),0)</f>
        <v>0</v>
      </c>
      <c r="AD64" s="64" t="n">
        <f aca="false">IF(Arterial=1,IF(Informed=1,1,0),0)</f>
        <v>0</v>
      </c>
      <c r="AE64" s="64" t="n">
        <f aca="false">IF(Arterial=1,IF(Informed=0,1,0),0)</f>
        <v>0</v>
      </c>
      <c r="AF64" s="57" t="n">
        <f aca="false">IF(AB64=1,(X64-G$1030)^2,0)</f>
        <v>22.8174644409646</v>
      </c>
      <c r="AG64" s="57" t="n">
        <f aca="false">IF(AC64=1,(Y64-H$1030)^2,0)</f>
        <v>0</v>
      </c>
      <c r="AH64" s="57" t="n">
        <f aca="false">IF(AD64=1,(Z64-I$1030)^2,0)</f>
        <v>0</v>
      </c>
      <c r="AI64" s="57" t="n">
        <f aca="false">IF(AE64=1,(AA64-J$1030)^2,0)</f>
        <v>0</v>
      </c>
    </row>
    <row r="65" customFormat="false" ht="12" hidden="false" customHeight="false" outlineLevel="0" collapsed="false">
      <c r="A65" s="5" t="n">
        <v>48</v>
      </c>
      <c r="B65" s="58" t="n">
        <f aca="true">IF(RAND()&lt;$D$8,1,0)</f>
        <v>1</v>
      </c>
      <c r="C65" s="47" t="n">
        <f aca="true">-LN(RAND())/$D$2</f>
        <v>0.139327927860173</v>
      </c>
      <c r="D65" s="59" t="n">
        <f aca="false">D64+C65</f>
        <v>48.321352170832</v>
      </c>
      <c r="E65" s="60" t="n">
        <f aca="false">MAX($D$3,(1+P64-VLOOKUP(VALUE(D65),$J$18:$Q64,7,TRUE()))*$D$3)</f>
        <v>8</v>
      </c>
      <c r="F65" s="60" t="n">
        <f aca="false">MAX($D$4,(1+Q64-VLOOKUP(VALUE(D65),$M$18:$Q64,5,TRUE()))*$D$4)</f>
        <v>8</v>
      </c>
      <c r="G65" s="61" t="n">
        <v>0.5</v>
      </c>
      <c r="H65" s="59" t="n">
        <f aca="true">IF((B65=1),(IF((F65&lt;E65),1,(IF((F65=E65),(IF(RAND()&lt;G65,1,0)),0)))),(IF((RAND()&lt;G65),1,0)))</f>
        <v>0</v>
      </c>
      <c r="I65" s="59" t="n">
        <f aca="true">IF((H65=1),0,$D$3+$D$5*(RAND()-0.5))</f>
        <v>2.2184778557709</v>
      </c>
      <c r="J65" s="59" t="n">
        <f aca="false">I65+MAX(D65,J64)</f>
        <v>55.1772650655398</v>
      </c>
      <c r="K65" s="59" t="n">
        <f aca="false">IF((H65=0),J65-D65,0)</f>
        <v>6.85591289470787</v>
      </c>
      <c r="L65" s="59" t="n">
        <f aca="true">IF(($H65=0),0,$D$4+$D$5*(RAND()-0.5))</f>
        <v>0</v>
      </c>
      <c r="M65" s="59" t="n">
        <f aca="false">L65+MAX(D65,M64)</f>
        <v>52.8539226271226</v>
      </c>
      <c r="N65" s="59" t="n">
        <f aca="false">IF((H65=1),M65-D65,0)</f>
        <v>0</v>
      </c>
      <c r="O65" s="5" t="n">
        <v>48</v>
      </c>
      <c r="P65" s="62" t="n">
        <f aca="false">IF((Arterial=0),P64+1,P64)</f>
        <v>24</v>
      </c>
      <c r="Q65" s="62" t="n">
        <f aca="false">IF((Arterial=1),Q64+1,Q64)</f>
        <v>24</v>
      </c>
      <c r="R65" s="63" t="e">
        <f aca="false">IF((RESET=1),0,R65+K65)</f>
        <v>#N/A</v>
      </c>
      <c r="S65" s="10" t="n">
        <f aca="false">IF(RESET=1,0,S65+N65)</f>
        <v>258.940355005825</v>
      </c>
      <c r="T65" s="0" t="e">
        <f aca="false">IF(RESET=1,0,T65+IF(H65=0,1,0))</f>
        <v>#N/A</v>
      </c>
      <c r="U65" s="0" t="n">
        <f aca="false">IF(RESET=1,0,U65+H65)</f>
        <v>31</v>
      </c>
      <c r="V65" s="10" t="e">
        <f aca="false">R65/(T65+0.00001)</f>
        <v>#N/A</v>
      </c>
      <c r="W65" s="10" t="n">
        <f aca="false">S65/(U65+0.0001)</f>
        <v>8.35288773280811</v>
      </c>
      <c r="X65" s="60" t="n">
        <f aca="false">IF(Informed=1,K65,0)</f>
        <v>6.85591289470787</v>
      </c>
      <c r="Y65" s="60" t="n">
        <f aca="false">IF(Informed=0,K65,0)</f>
        <v>0</v>
      </c>
      <c r="Z65" s="60" t="n">
        <f aca="false">IF(Informed=1,N65,0)</f>
        <v>0</v>
      </c>
      <c r="AA65" s="60" t="n">
        <f aca="false">IF(Informed=0,N65,0)</f>
        <v>0</v>
      </c>
      <c r="AB65" s="64" t="n">
        <f aca="false">IF(Arterial=0,IF(Informed=1,1,0),0)</f>
        <v>1</v>
      </c>
      <c r="AC65" s="64" t="n">
        <f aca="false">IF(Arterial=0,IF(Informed=0,1,0),0)</f>
        <v>0</v>
      </c>
      <c r="AD65" s="64" t="n">
        <f aca="false">IF(Arterial=1,IF(Informed=1,1,0),0)</f>
        <v>0</v>
      </c>
      <c r="AE65" s="64" t="n">
        <f aca="false">IF(Arterial=1,IF(Informed=0,1,0),0)</f>
        <v>0</v>
      </c>
      <c r="AF65" s="57" t="n">
        <f aca="false">IF(AB65=1,(X65-G$1030)^2,0)</f>
        <v>47.0035416198217</v>
      </c>
      <c r="AG65" s="57" t="n">
        <f aca="false">IF(AC65=1,(Y65-H$1030)^2,0)</f>
        <v>0</v>
      </c>
      <c r="AH65" s="57" t="n">
        <f aca="false">IF(AD65=1,(Z65-I$1030)^2,0)</f>
        <v>0</v>
      </c>
      <c r="AI65" s="57" t="n">
        <f aca="false">IF(AE65=1,(AA65-J$1030)^2,0)</f>
        <v>0</v>
      </c>
    </row>
    <row r="66" customFormat="false" ht="12" hidden="false" customHeight="false" outlineLevel="0" collapsed="false">
      <c r="A66" s="5" t="n">
        <v>49</v>
      </c>
      <c r="B66" s="58" t="n">
        <f aca="true">IF(RAND()&lt;$D$8,1,0)</f>
        <v>1</v>
      </c>
      <c r="C66" s="47" t="n">
        <f aca="true">-LN(RAND())/$D$2</f>
        <v>0.758764945727505</v>
      </c>
      <c r="D66" s="59" t="n">
        <f aca="false">D65+C66</f>
        <v>49.0801171165595</v>
      </c>
      <c r="E66" s="60" t="n">
        <f aca="false">MAX($D$3,(1+P65-VLOOKUP(VALUE(D66),$J$18:$Q65,7,TRUE()))*$D$3)</f>
        <v>8</v>
      </c>
      <c r="F66" s="60" t="n">
        <f aca="false">MAX($D$4,(1+Q65-VLOOKUP(VALUE(D66),$M$18:$Q65,5,TRUE()))*$D$4)</f>
        <v>8</v>
      </c>
      <c r="G66" s="61" t="n">
        <v>0.5</v>
      </c>
      <c r="H66" s="59" t="n">
        <f aca="true">IF((B66=1),(IF((F66&lt;E66),1,(IF((F66=E66),(IF(RAND()&lt;G66,1,0)),0)))),(IF((RAND()&lt;G66),1,0)))</f>
        <v>0</v>
      </c>
      <c r="I66" s="59" t="n">
        <f aca="true">IF((H66=1),0,$D$3+$D$5*(RAND()-0.5))</f>
        <v>2.20775193674141</v>
      </c>
      <c r="J66" s="59" t="n">
        <f aca="false">I66+MAX(D66,J65)</f>
        <v>57.3850170022812</v>
      </c>
      <c r="K66" s="59" t="n">
        <f aca="false">IF((H66=0),J66-D66,0)</f>
        <v>8.30489988572177</v>
      </c>
      <c r="L66" s="59" t="n">
        <f aca="true">IF(($H66=0),0,$D$4+$D$5*(RAND()-0.5))</f>
        <v>0</v>
      </c>
      <c r="M66" s="59" t="n">
        <f aca="false">L66+MAX(D66,M65)</f>
        <v>52.8539226271226</v>
      </c>
      <c r="N66" s="59" t="n">
        <f aca="false">IF((H66=1),M66-D66,0)</f>
        <v>0</v>
      </c>
      <c r="O66" s="5" t="n">
        <v>49</v>
      </c>
      <c r="P66" s="62" t="n">
        <f aca="false">IF((Arterial=0),P65+1,P65)</f>
        <v>25</v>
      </c>
      <c r="Q66" s="62" t="n">
        <f aca="false">IF((Arterial=1),Q65+1,Q65)</f>
        <v>24</v>
      </c>
      <c r="R66" s="63" t="e">
        <f aca="false">IF((RESET=1),0,R66+K66)</f>
        <v>#N/A</v>
      </c>
      <c r="S66" s="10" t="n">
        <f aca="false">IF(RESET=1,0,S66+N66)</f>
        <v>204.068099337525</v>
      </c>
      <c r="T66" s="0" t="e">
        <f aca="false">IF(RESET=1,0,T66+IF(H66=0,1,0))</f>
        <v>#N/A</v>
      </c>
      <c r="U66" s="0" t="n">
        <f aca="false">IF(RESET=1,0,U66+H66)</f>
        <v>24</v>
      </c>
      <c r="V66" s="10" t="e">
        <f aca="false">R66/(T66+0.00001)</f>
        <v>#N/A</v>
      </c>
      <c r="W66" s="10" t="n">
        <f aca="false">S66/(U66+0.0001)</f>
        <v>8.50280204405502</v>
      </c>
      <c r="X66" s="60" t="n">
        <f aca="false">IF(Informed=1,K66,0)</f>
        <v>8.30489988572177</v>
      </c>
      <c r="Y66" s="60" t="n">
        <f aca="false">IF(Informed=0,K66,0)</f>
        <v>0</v>
      </c>
      <c r="Z66" s="60" t="n">
        <f aca="false">IF(Informed=1,N66,0)</f>
        <v>0</v>
      </c>
      <c r="AA66" s="60" t="n">
        <f aca="false">IF(Informed=0,N66,0)</f>
        <v>0</v>
      </c>
      <c r="AB66" s="64" t="n">
        <f aca="false">IF(Arterial=0,IF(Informed=1,1,0),0)</f>
        <v>1</v>
      </c>
      <c r="AC66" s="64" t="n">
        <f aca="false">IF(Arterial=0,IF(Informed=0,1,0),0)</f>
        <v>0</v>
      </c>
      <c r="AD66" s="64" t="n">
        <f aca="false">IF(Arterial=1,IF(Informed=1,1,0),0)</f>
        <v>0</v>
      </c>
      <c r="AE66" s="64" t="n">
        <f aca="false">IF(Arterial=1,IF(Informed=0,1,0),0)</f>
        <v>0</v>
      </c>
      <c r="AF66" s="57" t="n">
        <f aca="false">IF(AB66=1,(X66-G$1030)^2,0)</f>
        <v>68.9713621118615</v>
      </c>
      <c r="AG66" s="57" t="n">
        <f aca="false">IF(AC66=1,(Y66-H$1030)^2,0)</f>
        <v>0</v>
      </c>
      <c r="AH66" s="57" t="n">
        <f aca="false">IF(AD66=1,(Z66-I$1030)^2,0)</f>
        <v>0</v>
      </c>
      <c r="AI66" s="57" t="n">
        <f aca="false">IF(AE66=1,(AA66-J$1030)^2,0)</f>
        <v>0</v>
      </c>
    </row>
    <row r="67" customFormat="false" ht="12" hidden="false" customHeight="false" outlineLevel="0" collapsed="false">
      <c r="A67" s="5" t="n">
        <v>50</v>
      </c>
      <c r="B67" s="58" t="n">
        <f aca="true">IF(RAND()&lt;$D$8,1,0)</f>
        <v>1</v>
      </c>
      <c r="C67" s="47" t="n">
        <f aca="true">-LN(RAND())/$D$2</f>
        <v>0.331937907996548</v>
      </c>
      <c r="D67" s="59" t="n">
        <f aca="false">D66+C67</f>
        <v>49.412055024556</v>
      </c>
      <c r="E67" s="60" t="n">
        <f aca="false">MAX($D$3,(1+P66-VLOOKUP(VALUE(D67),$J$18:$Q66,7,TRUE()))*$D$3)</f>
        <v>10</v>
      </c>
      <c r="F67" s="60" t="n">
        <f aca="false">MAX($D$4,(1+Q66-VLOOKUP(VALUE(D67),$M$18:$Q66,5,TRUE()))*$D$4)</f>
        <v>6</v>
      </c>
      <c r="G67" s="61" t="n">
        <v>0.5</v>
      </c>
      <c r="H67" s="59" t="n">
        <f aca="true">IF((B67=1),(IF((F67&lt;E67),1,(IF((F67=E67),(IF(RAND()&lt;G67,1,0)),0)))),(IF((RAND()&lt;G67),1,0)))</f>
        <v>1</v>
      </c>
      <c r="I67" s="59" t="n">
        <f aca="true">IF((H67=1),0,$D$3+$D$5*(RAND()-0.5))</f>
        <v>0</v>
      </c>
      <c r="J67" s="59" t="n">
        <f aca="false">I67+MAX(D67,J66)</f>
        <v>57.3850170022812</v>
      </c>
      <c r="K67" s="59" t="n">
        <f aca="false">IF((H67=0),J67-D67,0)</f>
        <v>0</v>
      </c>
      <c r="L67" s="59" t="n">
        <f aca="true">IF(($H67=0),0,$D$4+$D$5*(RAND()-0.5))</f>
        <v>1.84531795665348</v>
      </c>
      <c r="M67" s="59" t="n">
        <f aca="false">L67+MAX(D67,M66)</f>
        <v>54.6992405837761</v>
      </c>
      <c r="N67" s="59" t="n">
        <f aca="false">IF((H67=1),M67-D67,0)</f>
        <v>5.2871855592201</v>
      </c>
      <c r="O67" s="5" t="n">
        <v>50</v>
      </c>
      <c r="P67" s="62" t="n">
        <f aca="false">IF((Arterial=0),P66+1,P66)</f>
        <v>25</v>
      </c>
      <c r="Q67" s="62" t="n">
        <f aca="false">IF((Arterial=1),Q66+1,Q66)</f>
        <v>25</v>
      </c>
      <c r="R67" s="63" t="n">
        <f aca="false">IF((RESET=1),0,R67+K67)</f>
        <v>205.479513946928</v>
      </c>
      <c r="S67" s="10" t="e">
        <f aca="false">IF(RESET=1,0,S67+N67)</f>
        <v>#N/A</v>
      </c>
      <c r="T67" s="0" t="n">
        <f aca="false">IF(RESET=1,0,T67+IF(H67=0,1,0))</f>
        <v>25</v>
      </c>
      <c r="U67" s="0" t="e">
        <f aca="false">IF(RESET=1,0,U67+H67)</f>
        <v>#N/A</v>
      </c>
      <c r="V67" s="10" t="n">
        <f aca="false">R67/(T67+0.00001)</f>
        <v>8.2191772702062</v>
      </c>
      <c r="W67" s="10" t="e">
        <f aca="false">S67/(U67+0.0001)</f>
        <v>#N/A</v>
      </c>
      <c r="X67" s="60" t="n">
        <f aca="false">IF(Informed=1,K67,0)</f>
        <v>0</v>
      </c>
      <c r="Y67" s="60" t="n">
        <f aca="false">IF(Informed=0,K67,0)</f>
        <v>0</v>
      </c>
      <c r="Z67" s="60" t="n">
        <f aca="false">IF(Informed=1,N67,0)</f>
        <v>5.2871855592201</v>
      </c>
      <c r="AA67" s="60" t="n">
        <f aca="false">IF(Informed=0,N67,0)</f>
        <v>0</v>
      </c>
      <c r="AB67" s="64" t="n">
        <f aca="false">IF(Arterial=0,IF(Informed=1,1,0),0)</f>
        <v>0</v>
      </c>
      <c r="AC67" s="64" t="n">
        <f aca="false">IF(Arterial=0,IF(Informed=0,1,0),0)</f>
        <v>0</v>
      </c>
      <c r="AD67" s="64" t="n">
        <f aca="false">IF(Arterial=1,IF(Informed=1,1,0),0)</f>
        <v>1</v>
      </c>
      <c r="AE67" s="64" t="n">
        <f aca="false">IF(Arterial=1,IF(Informed=0,1,0),0)</f>
        <v>0</v>
      </c>
      <c r="AF67" s="57" t="n">
        <f aca="false">IF(AB67=1,(X67-G$1030)^2,0)</f>
        <v>0</v>
      </c>
      <c r="AG67" s="57" t="n">
        <f aca="false">IF(AC67=1,(Y67-H$1030)^2,0)</f>
        <v>0</v>
      </c>
      <c r="AH67" s="57" t="n">
        <f aca="false">IF(AD67=1,(Z67-I$1030)^2,0)</f>
        <v>27.9543311376255</v>
      </c>
      <c r="AI67" s="57" t="n">
        <f aca="false">IF(AE67=1,(AA67-J$1030)^2,0)</f>
        <v>0</v>
      </c>
    </row>
    <row r="68" customFormat="false" ht="12" hidden="false" customHeight="false" outlineLevel="0" collapsed="false">
      <c r="A68" s="5" t="n">
        <v>51</v>
      </c>
      <c r="B68" s="58" t="n">
        <f aca="true">IF(RAND()&lt;$D$8,1,0)</f>
        <v>1</v>
      </c>
      <c r="C68" s="47" t="n">
        <f aca="true">-LN(RAND())/$D$2</f>
        <v>0.184539329488777</v>
      </c>
      <c r="D68" s="59" t="n">
        <f aca="false">D67+C68</f>
        <v>49.5965943540448</v>
      </c>
      <c r="E68" s="60" t="n">
        <f aca="false">MAX($D$3,(1+P67-VLOOKUP(VALUE(D68),$J$18:$Q67,7,TRUE()))*$D$3)</f>
        <v>10</v>
      </c>
      <c r="F68" s="60" t="n">
        <f aca="false">MAX($D$4,(1+Q67-VLOOKUP(VALUE(D68),$M$18:$Q67,5,TRUE()))*$D$4)</f>
        <v>8</v>
      </c>
      <c r="G68" s="61" t="n">
        <v>0.5</v>
      </c>
      <c r="H68" s="59" t="n">
        <f aca="true">IF((B68=1),(IF((F68&lt;E68),1,(IF((F68=E68),(IF(RAND()&lt;G68,1,0)),0)))),(IF((RAND()&lt;G68),1,0)))</f>
        <v>1</v>
      </c>
      <c r="I68" s="59" t="n">
        <f aca="true">IF((H68=1),0,$D$3+$D$5*(RAND()-0.5))</f>
        <v>0</v>
      </c>
      <c r="J68" s="59" t="n">
        <f aca="false">I68+MAX(D68,J67)</f>
        <v>57.3850170022812</v>
      </c>
      <c r="K68" s="59" t="n">
        <f aca="false">IF((H68=0),J68-D68,0)</f>
        <v>0</v>
      </c>
      <c r="L68" s="59" t="n">
        <f aca="true">IF(($H68=0),0,$D$4+$D$5*(RAND()-0.5))</f>
        <v>2.20673876442623</v>
      </c>
      <c r="M68" s="59" t="n">
        <f aca="false">L68+MAX(D68,M67)</f>
        <v>56.9059793482023</v>
      </c>
      <c r="N68" s="59" t="n">
        <f aca="false">IF((H68=1),M68-D68,0)</f>
        <v>7.30938499415755</v>
      </c>
      <c r="O68" s="5" t="n">
        <v>51</v>
      </c>
      <c r="P68" s="62" t="n">
        <f aca="false">IF((Arterial=0),P67+1,P67)</f>
        <v>25</v>
      </c>
      <c r="Q68" s="62" t="n">
        <f aca="false">IF((Arterial=1),Q67+1,Q67)</f>
        <v>26</v>
      </c>
      <c r="R68" s="63" t="n">
        <f aca="false">IF((RESET=1),0,R68+K68)</f>
        <v>232.91246849226</v>
      </c>
      <c r="S68" s="10" t="e">
        <f aca="false">IF(RESET=1,0,S68+N68)</f>
        <v>#N/A</v>
      </c>
      <c r="T68" s="0" t="n">
        <f aca="false">IF(RESET=1,0,T68+IF(H68=0,1,0))</f>
        <v>28</v>
      </c>
      <c r="U68" s="0" t="e">
        <f aca="false">IF(RESET=1,0,U68+H68)</f>
        <v>#N/A</v>
      </c>
      <c r="V68" s="10" t="n">
        <f aca="false">R68/(T68+0.00001)</f>
        <v>8.31829947533089</v>
      </c>
      <c r="W68" s="10" t="e">
        <f aca="false">S68/(U68+0.0001)</f>
        <v>#N/A</v>
      </c>
      <c r="X68" s="60" t="n">
        <f aca="false">IF(Informed=1,K68,0)</f>
        <v>0</v>
      </c>
      <c r="Y68" s="60" t="n">
        <f aca="false">IF(Informed=0,K68,0)</f>
        <v>0</v>
      </c>
      <c r="Z68" s="60" t="n">
        <f aca="false">IF(Informed=1,N68,0)</f>
        <v>7.30938499415755</v>
      </c>
      <c r="AA68" s="60" t="n">
        <f aca="false">IF(Informed=0,N68,0)</f>
        <v>0</v>
      </c>
      <c r="AB68" s="64" t="n">
        <f aca="false">IF(Arterial=0,IF(Informed=1,1,0),0)</f>
        <v>0</v>
      </c>
      <c r="AC68" s="64" t="n">
        <f aca="false">IF(Arterial=0,IF(Informed=0,1,0),0)</f>
        <v>0</v>
      </c>
      <c r="AD68" s="64" t="n">
        <f aca="false">IF(Arterial=1,IF(Informed=1,1,0),0)</f>
        <v>1</v>
      </c>
      <c r="AE68" s="64" t="n">
        <f aca="false">IF(Arterial=1,IF(Informed=0,1,0),0)</f>
        <v>0</v>
      </c>
      <c r="AF68" s="57" t="n">
        <f aca="false">IF(AB68=1,(X68-G$1030)^2,0)</f>
        <v>0</v>
      </c>
      <c r="AG68" s="57" t="n">
        <f aca="false">IF(AC68=1,(Y68-H$1030)^2,0)</f>
        <v>0</v>
      </c>
      <c r="AH68" s="57" t="n">
        <f aca="false">IF(AD68=1,(Z68-I$1030)^2,0)</f>
        <v>53.4271089928156</v>
      </c>
      <c r="AI68" s="57" t="n">
        <f aca="false">IF(AE68=1,(AA68-J$1030)^2,0)</f>
        <v>0</v>
      </c>
    </row>
    <row r="69" customFormat="false" ht="12" hidden="false" customHeight="false" outlineLevel="0" collapsed="false">
      <c r="A69" s="5" t="n">
        <v>52</v>
      </c>
      <c r="B69" s="58" t="n">
        <f aca="true">IF(RAND()&lt;$D$8,1,0)</f>
        <v>0</v>
      </c>
      <c r="C69" s="47" t="n">
        <f aca="true">-LN(RAND())/$D$2</f>
        <v>0.329497301851305</v>
      </c>
      <c r="D69" s="59" t="n">
        <f aca="false">D68+C69</f>
        <v>49.9260916558961</v>
      </c>
      <c r="E69" s="60" t="n">
        <f aca="false">MAX($D$3,(1+P68-VLOOKUP(VALUE(D69),$J$18:$Q68,7,TRUE()))*$D$3)</f>
        <v>10</v>
      </c>
      <c r="F69" s="60" t="n">
        <f aca="false">MAX($D$4,(1+Q68-VLOOKUP(VALUE(D69),$M$18:$Q68,5,TRUE()))*$D$4)</f>
        <v>10</v>
      </c>
      <c r="G69" s="61" t="n">
        <v>0.5</v>
      </c>
      <c r="H69" s="59" t="n">
        <f aca="true">IF((B69=1),(IF((F69&lt;E69),1,(IF((F69=E69),(IF(RAND()&lt;G69,1,0)),0)))),(IF((RAND()&lt;G69),1,0)))</f>
        <v>1</v>
      </c>
      <c r="I69" s="59" t="n">
        <f aca="true">IF((H69=1),0,$D$3+$D$5*(RAND()-0.5))</f>
        <v>0</v>
      </c>
      <c r="J69" s="59" t="n">
        <f aca="false">I69+MAX(D69,J68)</f>
        <v>57.3850170022812</v>
      </c>
      <c r="K69" s="59" t="n">
        <f aca="false">IF((H69=0),J69-D69,0)</f>
        <v>0</v>
      </c>
      <c r="L69" s="59" t="n">
        <f aca="true">IF(($H69=0),0,$D$4+$D$5*(RAND()-0.5))</f>
        <v>1.81826876108501</v>
      </c>
      <c r="M69" s="59" t="n">
        <f aca="false">L69+MAX(D69,M68)</f>
        <v>58.7242481092873</v>
      </c>
      <c r="N69" s="59" t="n">
        <f aca="false">IF((H69=1),M69-D69,0)</f>
        <v>8.79815645339126</v>
      </c>
      <c r="O69" s="5" t="n">
        <v>52</v>
      </c>
      <c r="P69" s="62" t="n">
        <f aca="false">IF((Arterial=0),P68+1,P68)</f>
        <v>25</v>
      </c>
      <c r="Q69" s="62" t="n">
        <f aca="false">IF((Arterial=1),Q68+1,Q68)</f>
        <v>27</v>
      </c>
      <c r="R69" s="63" t="n">
        <f aca="false">IF((RESET=1),0,R69+K69)</f>
        <v>269.543305879998</v>
      </c>
      <c r="S69" s="10" t="e">
        <f aca="false">IF(RESET=1,0,S69+N69)</f>
        <v>#N/A</v>
      </c>
      <c r="T69" s="0" t="n">
        <f aca="false">IF(RESET=1,0,T69+IF(H69=0,1,0))</f>
        <v>33</v>
      </c>
      <c r="U69" s="0" t="e">
        <f aca="false">IF(RESET=1,0,U69+H69)</f>
        <v>#N/A</v>
      </c>
      <c r="V69" s="10" t="n">
        <f aca="false">R69/(T69+0.00001)</f>
        <v>8.16797649091614</v>
      </c>
      <c r="W69" s="10" t="e">
        <f aca="false">S69/(U69+0.0001)</f>
        <v>#N/A</v>
      </c>
      <c r="X69" s="60" t="n">
        <f aca="false">IF(Informed=1,K69,0)</f>
        <v>0</v>
      </c>
      <c r="Y69" s="60" t="n">
        <f aca="false">IF(Informed=0,K69,0)</f>
        <v>0</v>
      </c>
      <c r="Z69" s="60" t="n">
        <f aca="false">IF(Informed=1,N69,0)</f>
        <v>0</v>
      </c>
      <c r="AA69" s="60" t="n">
        <f aca="false">IF(Informed=0,N69,0)</f>
        <v>8.79815645339126</v>
      </c>
      <c r="AB69" s="64" t="n">
        <f aca="false">IF(Arterial=0,IF(Informed=1,1,0),0)</f>
        <v>0</v>
      </c>
      <c r="AC69" s="64" t="n">
        <f aca="false">IF(Arterial=0,IF(Informed=0,1,0),0)</f>
        <v>0</v>
      </c>
      <c r="AD69" s="64" t="n">
        <f aca="false">IF(Arterial=1,IF(Informed=1,1,0),0)</f>
        <v>0</v>
      </c>
      <c r="AE69" s="64" t="n">
        <f aca="false">IF(Arterial=1,IF(Informed=0,1,0),0)</f>
        <v>1</v>
      </c>
      <c r="AF69" s="57" t="n">
        <f aca="false">IF(AB69=1,(X69-G$1030)^2,0)</f>
        <v>0</v>
      </c>
      <c r="AG69" s="57" t="n">
        <f aca="false">IF(AC69=1,(Y69-H$1030)^2,0)</f>
        <v>0</v>
      </c>
      <c r="AH69" s="57" t="n">
        <f aca="false">IF(AD69=1,(Z69-I$1030)^2,0)</f>
        <v>0</v>
      </c>
      <c r="AI69" s="57" t="n">
        <f aca="false">IF(AE69=1,(AA69-J$1030)^2,0)</f>
        <v>77.4075569783502</v>
      </c>
    </row>
    <row r="70" customFormat="false" ht="12" hidden="false" customHeight="false" outlineLevel="0" collapsed="false">
      <c r="A70" s="5" t="n">
        <v>53</v>
      </c>
      <c r="B70" s="58" t="n">
        <f aca="true">IF(RAND()&lt;$D$8,1,0)</f>
        <v>0</v>
      </c>
      <c r="C70" s="47" t="n">
        <f aca="true">-LN(RAND())/$D$2</f>
        <v>2.99864742765609</v>
      </c>
      <c r="D70" s="59" t="n">
        <f aca="false">D69+C70</f>
        <v>52.9247390835522</v>
      </c>
      <c r="E70" s="60" t="n">
        <f aca="false">MAX($D$3,(1+P69-VLOOKUP(VALUE(D70),$J$18:$Q69,7,TRUE()))*$D$3)</f>
        <v>8</v>
      </c>
      <c r="F70" s="60" t="n">
        <f aca="false">MAX($D$4,(1+Q69-VLOOKUP(VALUE(D70),$M$18:$Q69,5,TRUE()))*$D$4)</f>
        <v>8</v>
      </c>
      <c r="G70" s="61" t="n">
        <v>0.5</v>
      </c>
      <c r="H70" s="59" t="n">
        <f aca="true">IF((B70=1),(IF((F70&lt;E70),1,(IF((F70=E70),(IF(RAND()&lt;G70,1,0)),0)))),(IF((RAND()&lt;G70),1,0)))</f>
        <v>0</v>
      </c>
      <c r="I70" s="59" t="n">
        <f aca="true">IF((H70=1),0,$D$3+$D$5*(RAND()-0.5))</f>
        <v>1.91711121246852</v>
      </c>
      <c r="J70" s="59" t="n">
        <f aca="false">I70+MAX(D70,J69)</f>
        <v>59.3021282147498</v>
      </c>
      <c r="K70" s="59" t="n">
        <f aca="false">IF((H70=0),J70-D70,0)</f>
        <v>6.37738913119758</v>
      </c>
      <c r="L70" s="59" t="n">
        <f aca="true">IF(($H70=0),0,$D$4+$D$5*(RAND()-0.5))</f>
        <v>0</v>
      </c>
      <c r="M70" s="59" t="n">
        <f aca="false">L70+MAX(D70,M69)</f>
        <v>58.7242481092873</v>
      </c>
      <c r="N70" s="59" t="n">
        <f aca="false">IF((H70=1),M70-D70,0)</f>
        <v>0</v>
      </c>
      <c r="O70" s="5" t="n">
        <v>53</v>
      </c>
      <c r="P70" s="62" t="n">
        <f aca="false">IF((Arterial=0),P69+1,P69)</f>
        <v>26</v>
      </c>
      <c r="Q70" s="62" t="n">
        <f aca="false">IF((Arterial=1),Q69+1,Q69)</f>
        <v>27</v>
      </c>
      <c r="R70" s="63" t="e">
        <f aca="false">IF((RESET=1),0,R70+K70)</f>
        <v>#N/A</v>
      </c>
      <c r="S70" s="10" t="n">
        <f aca="false">IF(RESET=1,0,S70+N70)</f>
        <v>212.576396992098</v>
      </c>
      <c r="T70" s="0" t="e">
        <f aca="false">IF(RESET=1,0,T70+IF(H70=0,1,0))</f>
        <v>#N/A</v>
      </c>
      <c r="U70" s="0" t="n">
        <f aca="false">IF(RESET=1,0,U70+H70)</f>
        <v>26</v>
      </c>
      <c r="V70" s="10" t="e">
        <f aca="false">R70/(T70+0.00001)</f>
        <v>#N/A</v>
      </c>
      <c r="W70" s="10" t="n">
        <f aca="false">S70/(U70+0.0001)</f>
        <v>8.17598382283522</v>
      </c>
      <c r="X70" s="60" t="n">
        <f aca="false">IF(Informed=1,K70,0)</f>
        <v>0</v>
      </c>
      <c r="Y70" s="60" t="n">
        <f aca="false">IF(Informed=0,K70,0)</f>
        <v>6.37738913119758</v>
      </c>
      <c r="Z70" s="60" t="n">
        <f aca="false">IF(Informed=1,N70,0)</f>
        <v>0</v>
      </c>
      <c r="AA70" s="60" t="n">
        <f aca="false">IF(Informed=0,N70,0)</f>
        <v>0</v>
      </c>
      <c r="AB70" s="64" t="n">
        <f aca="false">IF(Arterial=0,IF(Informed=1,1,0),0)</f>
        <v>0</v>
      </c>
      <c r="AC70" s="64" t="n">
        <f aca="false">IF(Arterial=0,IF(Informed=0,1,0),0)</f>
        <v>1</v>
      </c>
      <c r="AD70" s="64" t="n">
        <f aca="false">IF(Arterial=1,IF(Informed=1,1,0),0)</f>
        <v>0</v>
      </c>
      <c r="AE70" s="64" t="n">
        <f aca="false">IF(Arterial=1,IF(Informed=0,1,0),0)</f>
        <v>0</v>
      </c>
      <c r="AF70" s="57" t="n">
        <f aca="false">IF(AB70=1,(X70-G$1030)^2,0)</f>
        <v>0</v>
      </c>
      <c r="AG70" s="57" t="n">
        <f aca="false">IF(AC70=1,(Y70-H$1030)^2,0)</f>
        <v>40.671092130717</v>
      </c>
      <c r="AH70" s="57" t="n">
        <f aca="false">IF(AD70=1,(Z70-I$1030)^2,0)</f>
        <v>0</v>
      </c>
      <c r="AI70" s="57" t="n">
        <f aca="false">IF(AE70=1,(AA70-J$1030)^2,0)</f>
        <v>0</v>
      </c>
    </row>
    <row r="71" customFormat="false" ht="12" hidden="false" customHeight="false" outlineLevel="0" collapsed="false">
      <c r="A71" s="5" t="n">
        <v>54</v>
      </c>
      <c r="B71" s="58" t="n">
        <f aca="true">IF(RAND()&lt;$D$8,1,0)</f>
        <v>1</v>
      </c>
      <c r="C71" s="47" t="n">
        <f aca="true">-LN(RAND())/$D$2</f>
        <v>0.800888931308831</v>
      </c>
      <c r="D71" s="59" t="n">
        <f aca="false">D70+C71</f>
        <v>53.725628014861</v>
      </c>
      <c r="E71" s="60" t="n">
        <f aca="false">MAX($D$3,(1+P70-VLOOKUP(VALUE(D71),$J$18:$Q70,7,TRUE()))*$D$3)</f>
        <v>8</v>
      </c>
      <c r="F71" s="60" t="n">
        <f aca="false">MAX($D$4,(1+Q70-VLOOKUP(VALUE(D71),$M$18:$Q70,5,TRUE()))*$D$4)</f>
        <v>8</v>
      </c>
      <c r="G71" s="61" t="n">
        <v>0.5</v>
      </c>
      <c r="H71" s="59" t="n">
        <f aca="true">IF((B71=1),(IF((F71&lt;E71),1,(IF((F71=E71),(IF(RAND()&lt;G71,1,0)),0)))),(IF((RAND()&lt;G71),1,0)))</f>
        <v>1</v>
      </c>
      <c r="I71" s="59" t="n">
        <f aca="true">IF((H71=1),0,$D$3+$D$5*(RAND()-0.5))</f>
        <v>0</v>
      </c>
      <c r="J71" s="59" t="n">
        <f aca="false">I71+MAX(D71,J70)</f>
        <v>59.3021282147498</v>
      </c>
      <c r="K71" s="59" t="n">
        <f aca="false">IF((H71=0),J71-D71,0)</f>
        <v>0</v>
      </c>
      <c r="L71" s="59" t="n">
        <f aca="true">IF(($H71=0),0,$D$4+$D$5*(RAND()-0.5))</f>
        <v>2.18183051276448</v>
      </c>
      <c r="M71" s="59" t="n">
        <f aca="false">L71+MAX(D71,M70)</f>
        <v>60.9060786220518</v>
      </c>
      <c r="N71" s="59" t="n">
        <f aca="false">IF((H71=1),M71-D71,0)</f>
        <v>7.18045060719082</v>
      </c>
      <c r="O71" s="5" t="n">
        <v>54</v>
      </c>
      <c r="P71" s="62" t="n">
        <f aca="false">IF((Arterial=0),P70+1,P70)</f>
        <v>26</v>
      </c>
      <c r="Q71" s="62" t="n">
        <f aca="false">IF((Arterial=1),Q70+1,Q70)</f>
        <v>28</v>
      </c>
      <c r="R71" s="63" t="n">
        <f aca="false">IF((RESET=1),0,R71+K71)</f>
        <v>214.926261799093</v>
      </c>
      <c r="S71" s="10" t="e">
        <f aca="false">IF(RESET=1,0,S71+N71)</f>
        <v>#N/A</v>
      </c>
      <c r="T71" s="0" t="n">
        <f aca="false">IF(RESET=1,0,T71+IF(H71=0,1,0))</f>
        <v>26</v>
      </c>
      <c r="U71" s="0" t="e">
        <f aca="false">IF(RESET=1,0,U71+H71)</f>
        <v>#N/A</v>
      </c>
      <c r="V71" s="10" t="n">
        <f aca="false">R71/(T71+0.00001)</f>
        <v>8.26639150519917</v>
      </c>
      <c r="W71" s="10" t="e">
        <f aca="false">S71/(U71+0.0001)</f>
        <v>#N/A</v>
      </c>
      <c r="X71" s="60" t="n">
        <f aca="false">IF(Informed=1,K71,0)</f>
        <v>0</v>
      </c>
      <c r="Y71" s="60" t="n">
        <f aca="false">IF(Informed=0,K71,0)</f>
        <v>0</v>
      </c>
      <c r="Z71" s="60" t="n">
        <f aca="false">IF(Informed=1,N71,0)</f>
        <v>7.18045060719082</v>
      </c>
      <c r="AA71" s="60" t="n">
        <f aca="false">IF(Informed=0,N71,0)</f>
        <v>0</v>
      </c>
      <c r="AB71" s="64" t="n">
        <f aca="false">IF(Arterial=0,IF(Informed=1,1,0),0)</f>
        <v>0</v>
      </c>
      <c r="AC71" s="64" t="n">
        <f aca="false">IF(Arterial=0,IF(Informed=0,1,0),0)</f>
        <v>0</v>
      </c>
      <c r="AD71" s="64" t="n">
        <f aca="false">IF(Arterial=1,IF(Informed=1,1,0),0)</f>
        <v>1</v>
      </c>
      <c r="AE71" s="64" t="n">
        <f aca="false">IF(Arterial=1,IF(Informed=0,1,0),0)</f>
        <v>0</v>
      </c>
      <c r="AF71" s="57" t="n">
        <f aca="false">IF(AB71=1,(X71-G$1030)^2,0)</f>
        <v>0</v>
      </c>
      <c r="AG71" s="57" t="n">
        <f aca="false">IF(AC71=1,(Y71-H$1030)^2,0)</f>
        <v>0</v>
      </c>
      <c r="AH71" s="57" t="n">
        <f aca="false">IF(AD71=1,(Z71-I$1030)^2,0)</f>
        <v>51.558870922307</v>
      </c>
      <c r="AI71" s="57" t="n">
        <f aca="false">IF(AE71=1,(AA71-J$1030)^2,0)</f>
        <v>0</v>
      </c>
    </row>
    <row r="72" customFormat="false" ht="12" hidden="false" customHeight="false" outlineLevel="0" collapsed="false">
      <c r="A72" s="5" t="n">
        <v>55</v>
      </c>
      <c r="B72" s="58" t="n">
        <f aca="true">IF(RAND()&lt;$D$8,1,0)</f>
        <v>0</v>
      </c>
      <c r="C72" s="47" t="n">
        <f aca="true">-LN(RAND())/$D$2</f>
        <v>3.42093493268193</v>
      </c>
      <c r="D72" s="59" t="n">
        <f aca="false">D71+C72</f>
        <v>57.1465629475429</v>
      </c>
      <c r="E72" s="60" t="n">
        <f aca="false">MAX($D$3,(1+P71-VLOOKUP(VALUE(D72),$J$18:$Q71,7,TRUE()))*$D$3)</f>
        <v>6</v>
      </c>
      <c r="F72" s="60" t="n">
        <f aca="false">MAX($D$4,(1+Q71-VLOOKUP(VALUE(D72),$M$18:$Q71,5,TRUE()))*$D$4)</f>
        <v>6</v>
      </c>
      <c r="G72" s="61" t="n">
        <v>0.5</v>
      </c>
      <c r="H72" s="59" t="n">
        <f aca="true">IF((B72=1),(IF((F72&lt;E72),1,(IF((F72=E72),(IF(RAND()&lt;G72,1,0)),0)))),(IF((RAND()&lt;G72),1,0)))</f>
        <v>1</v>
      </c>
      <c r="I72" s="59" t="n">
        <f aca="true">IF((H72=1),0,$D$3+$D$5*(RAND()-0.5))</f>
        <v>0</v>
      </c>
      <c r="J72" s="59" t="n">
        <f aca="false">I72+MAX(D72,J71)</f>
        <v>59.3021282147498</v>
      </c>
      <c r="K72" s="59" t="n">
        <f aca="false">IF((H72=0),J72-D72,0)</f>
        <v>0</v>
      </c>
      <c r="L72" s="59" t="n">
        <f aca="true">IF(($H72=0),0,$D$4+$D$5*(RAND()-0.5))</f>
        <v>2.0270868231784</v>
      </c>
      <c r="M72" s="59" t="n">
        <f aca="false">L72+MAX(D72,M71)</f>
        <v>62.9331654452302</v>
      </c>
      <c r="N72" s="59" t="n">
        <f aca="false">IF((H72=1),M72-D72,0)</f>
        <v>5.78660249768729</v>
      </c>
      <c r="O72" s="5" t="n">
        <v>55</v>
      </c>
      <c r="P72" s="62" t="n">
        <f aca="false">IF((Arterial=0),P71+1,P71)</f>
        <v>26</v>
      </c>
      <c r="Q72" s="62" t="n">
        <f aca="false">IF((Arterial=1),Q71+1,Q71)</f>
        <v>29</v>
      </c>
      <c r="R72" s="63" t="n">
        <f aca="false">IF((RESET=1),0,R72+K72)</f>
        <v>238.284398411886</v>
      </c>
      <c r="S72" s="10" t="e">
        <f aca="false">IF(RESET=1,0,S72+N72)</f>
        <v>#N/A</v>
      </c>
      <c r="T72" s="0" t="n">
        <f aca="false">IF(RESET=1,0,T72+IF(H72=0,1,0))</f>
        <v>26</v>
      </c>
      <c r="U72" s="0" t="e">
        <f aca="false">IF(RESET=1,0,U72+H72)</f>
        <v>#N/A</v>
      </c>
      <c r="V72" s="10" t="n">
        <f aca="false">R72/(T72+0.00001)</f>
        <v>9.16478102938754</v>
      </c>
      <c r="W72" s="10" t="e">
        <f aca="false">S72/(U72+0.0001)</f>
        <v>#N/A</v>
      </c>
      <c r="X72" s="60" t="n">
        <f aca="false">IF(Informed=1,K72,0)</f>
        <v>0</v>
      </c>
      <c r="Y72" s="60" t="n">
        <f aca="false">IF(Informed=0,K72,0)</f>
        <v>0</v>
      </c>
      <c r="Z72" s="60" t="n">
        <f aca="false">IF(Informed=1,N72,0)</f>
        <v>0</v>
      </c>
      <c r="AA72" s="60" t="n">
        <f aca="false">IF(Informed=0,N72,0)</f>
        <v>5.78660249768729</v>
      </c>
      <c r="AB72" s="64" t="n">
        <f aca="false">IF(Arterial=0,IF(Informed=1,1,0),0)</f>
        <v>0</v>
      </c>
      <c r="AC72" s="64" t="n">
        <f aca="false">IF(Arterial=0,IF(Informed=0,1,0),0)</f>
        <v>0</v>
      </c>
      <c r="AD72" s="64" t="n">
        <f aca="false">IF(Arterial=1,IF(Informed=1,1,0),0)</f>
        <v>0</v>
      </c>
      <c r="AE72" s="64" t="n">
        <f aca="false">IF(Arterial=1,IF(Informed=0,1,0),0)</f>
        <v>1</v>
      </c>
      <c r="AF72" s="57" t="n">
        <f aca="false">IF(AB72=1,(X72-G$1030)^2,0)</f>
        <v>0</v>
      </c>
      <c r="AG72" s="57" t="n">
        <f aca="false">IF(AC72=1,(Y72-H$1030)^2,0)</f>
        <v>0</v>
      </c>
      <c r="AH72" s="57" t="n">
        <f aca="false">IF(AD72=1,(Z72-I$1030)^2,0)</f>
        <v>0</v>
      </c>
      <c r="AI72" s="57" t="n">
        <f aca="false">IF(AE72=1,(AA72-J$1030)^2,0)</f>
        <v>33.4847684662408</v>
      </c>
    </row>
    <row r="73" customFormat="false" ht="12" hidden="false" customHeight="false" outlineLevel="0" collapsed="false">
      <c r="A73" s="5" t="n">
        <v>56</v>
      </c>
      <c r="B73" s="58" t="n">
        <f aca="true">IF(RAND()&lt;$D$8,1,0)</f>
        <v>0</v>
      </c>
      <c r="C73" s="47" t="n">
        <f aca="true">-LN(RAND())/$D$2</f>
        <v>0.835488470819664</v>
      </c>
      <c r="D73" s="59" t="n">
        <f aca="false">D72+C73</f>
        <v>57.9820514183626</v>
      </c>
      <c r="E73" s="60" t="n">
        <f aca="false">MAX($D$3,(1+P72-VLOOKUP(VALUE(D73),$J$18:$Q72,7,TRUE()))*$D$3)</f>
        <v>4</v>
      </c>
      <c r="F73" s="60" t="n">
        <f aca="false">MAX($D$4,(1+Q72-VLOOKUP(VALUE(D73),$M$18:$Q72,5,TRUE()))*$D$4)</f>
        <v>8</v>
      </c>
      <c r="G73" s="61" t="n">
        <v>0.5</v>
      </c>
      <c r="H73" s="59" t="n">
        <f aca="true">IF((B73=1),(IF((F73&lt;E73),1,(IF((F73=E73),(IF(RAND()&lt;G73,1,0)),0)))),(IF((RAND()&lt;G73),1,0)))</f>
        <v>0</v>
      </c>
      <c r="I73" s="59" t="n">
        <f aca="true">IF((H73=1),0,$D$3+$D$5*(RAND()-0.5))</f>
        <v>1.81033380806158</v>
      </c>
      <c r="J73" s="59" t="n">
        <f aca="false">I73+MAX(D73,J72)</f>
        <v>61.1124620228113</v>
      </c>
      <c r="K73" s="59" t="n">
        <f aca="false">IF((H73=0),J73-D73,0)</f>
        <v>3.13041060444873</v>
      </c>
      <c r="L73" s="59" t="n">
        <f aca="true">IF(($H73=0),0,$D$4+$D$5*(RAND()-0.5))</f>
        <v>0</v>
      </c>
      <c r="M73" s="59" t="n">
        <f aca="false">L73+MAX(D73,M72)</f>
        <v>62.9331654452302</v>
      </c>
      <c r="N73" s="59" t="n">
        <f aca="false">IF((H73=1),M73-D73,0)</f>
        <v>0</v>
      </c>
      <c r="O73" s="5" t="n">
        <v>56</v>
      </c>
      <c r="P73" s="62" t="n">
        <f aca="false">IF((Arterial=0),P72+1,P72)</f>
        <v>27</v>
      </c>
      <c r="Q73" s="62" t="n">
        <f aca="false">IF((Arterial=1),Q72+1,Q72)</f>
        <v>29</v>
      </c>
      <c r="R73" s="63" t="e">
        <f aca="false">IF((RESET=1),0,R73+K73)</f>
        <v>#N/A</v>
      </c>
      <c r="S73" s="10" t="n">
        <f aca="false">IF(RESET=1,0,S73+N73)</f>
        <v>258.950591356913</v>
      </c>
      <c r="T73" s="0" t="e">
        <f aca="false">IF(RESET=1,0,T73+IF(H73=0,1,0))</f>
        <v>#N/A</v>
      </c>
      <c r="U73" s="0" t="n">
        <f aca="false">IF(RESET=1,0,U73+H73)</f>
        <v>28</v>
      </c>
      <c r="V73" s="10" t="e">
        <f aca="false">R73/(T73+0.00001)</f>
        <v>#N/A</v>
      </c>
      <c r="W73" s="10" t="n">
        <f aca="false">S73/(U73+0.0001)</f>
        <v>9.24820237630985</v>
      </c>
      <c r="X73" s="60" t="n">
        <f aca="false">IF(Informed=1,K73,0)</f>
        <v>0</v>
      </c>
      <c r="Y73" s="60" t="n">
        <f aca="false">IF(Informed=0,K73,0)</f>
        <v>3.13041060444873</v>
      </c>
      <c r="Z73" s="60" t="n">
        <f aca="false">IF(Informed=1,N73,0)</f>
        <v>0</v>
      </c>
      <c r="AA73" s="60" t="n">
        <f aca="false">IF(Informed=0,N73,0)</f>
        <v>0</v>
      </c>
      <c r="AB73" s="64" t="n">
        <f aca="false">IF(Arterial=0,IF(Informed=1,1,0),0)</f>
        <v>0</v>
      </c>
      <c r="AC73" s="64" t="n">
        <f aca="false">IF(Arterial=0,IF(Informed=0,1,0),0)</f>
        <v>1</v>
      </c>
      <c r="AD73" s="64" t="n">
        <f aca="false">IF(Arterial=1,IF(Informed=1,1,0),0)</f>
        <v>0</v>
      </c>
      <c r="AE73" s="64" t="n">
        <f aca="false">IF(Arterial=1,IF(Informed=0,1,0),0)</f>
        <v>0</v>
      </c>
      <c r="AF73" s="57" t="n">
        <f aca="false">IF(AB73=1,(X73-G$1030)^2,0)</f>
        <v>0</v>
      </c>
      <c r="AG73" s="57" t="n">
        <f aca="false">IF(AC73=1,(Y73-H$1030)^2,0)</f>
        <v>9.79947055244504</v>
      </c>
      <c r="AH73" s="57" t="n">
        <f aca="false">IF(AD73=1,(Z73-I$1030)^2,0)</f>
        <v>0</v>
      </c>
      <c r="AI73" s="57" t="n">
        <f aca="false">IF(AE73=1,(AA73-J$1030)^2,0)</f>
        <v>0</v>
      </c>
    </row>
    <row r="74" customFormat="false" ht="12" hidden="false" customHeight="false" outlineLevel="0" collapsed="false">
      <c r="A74" s="5" t="n">
        <v>57</v>
      </c>
      <c r="B74" s="58" t="n">
        <f aca="true">IF(RAND()&lt;$D$8,1,0)</f>
        <v>0</v>
      </c>
      <c r="C74" s="47" t="n">
        <f aca="true">-LN(RAND())/$D$2</f>
        <v>0.97203885490479</v>
      </c>
      <c r="D74" s="59" t="n">
        <f aca="false">D73+C74</f>
        <v>58.9540902732674</v>
      </c>
      <c r="E74" s="60" t="n">
        <f aca="false">MAX($D$3,(1+P73-VLOOKUP(VALUE(D74),$J$18:$Q73,7,TRUE()))*$D$3)</f>
        <v>6</v>
      </c>
      <c r="F74" s="60" t="n">
        <f aca="false">MAX($D$4,(1+Q73-VLOOKUP(VALUE(D74),$M$18:$Q73,5,TRUE()))*$D$4)</f>
        <v>6</v>
      </c>
      <c r="G74" s="61" t="n">
        <v>0.5</v>
      </c>
      <c r="H74" s="59" t="n">
        <f aca="true">IF((B74=1),(IF((F74&lt;E74),1,(IF((F74=E74),(IF(RAND()&lt;G74,1,0)),0)))),(IF((RAND()&lt;G74),1,0)))</f>
        <v>0</v>
      </c>
      <c r="I74" s="59" t="n">
        <f aca="true">IF((H74=1),0,$D$3+$D$5*(RAND()-0.5))</f>
        <v>2.03705987273431</v>
      </c>
      <c r="J74" s="59" t="n">
        <f aca="false">I74+MAX(D74,J73)</f>
        <v>63.1495218955456</v>
      </c>
      <c r="K74" s="59" t="n">
        <f aca="false">IF((H74=0),J74-D74,0)</f>
        <v>4.19543162227825</v>
      </c>
      <c r="L74" s="59" t="n">
        <f aca="true">IF(($H74=0),0,$D$4+$D$5*(RAND()-0.5))</f>
        <v>0</v>
      </c>
      <c r="M74" s="59" t="n">
        <f aca="false">L74+MAX(D74,M73)</f>
        <v>62.9331654452302</v>
      </c>
      <c r="N74" s="59" t="n">
        <f aca="false">IF((H74=1),M74-D74,0)</f>
        <v>0</v>
      </c>
      <c r="O74" s="5" t="n">
        <v>57</v>
      </c>
      <c r="P74" s="62" t="n">
        <f aca="false">IF((Arterial=0),P73+1,P73)</f>
        <v>28</v>
      </c>
      <c r="Q74" s="62" t="n">
        <f aca="false">IF((Arterial=1),Q73+1,Q73)</f>
        <v>29</v>
      </c>
      <c r="R74" s="63" t="e">
        <f aca="false">IF((RESET=1),0,R74+K74)</f>
        <v>#N/A</v>
      </c>
      <c r="S74" s="10" t="n">
        <f aca="false">IF(RESET=1,0,S74+N74)</f>
        <v>244.687468079764</v>
      </c>
      <c r="T74" s="0" t="e">
        <f aca="false">IF(RESET=1,0,T74+IF(H74=0,1,0))</f>
        <v>#N/A</v>
      </c>
      <c r="U74" s="0" t="n">
        <f aca="false">IF(RESET=1,0,U74+H74)</f>
        <v>26</v>
      </c>
      <c r="V74" s="10" t="e">
        <f aca="false">R74/(T74+0.00001)</f>
        <v>#N/A</v>
      </c>
      <c r="W74" s="10" t="n">
        <f aca="false">S74/(U74+0.0001)</f>
        <v>9.41102026837449</v>
      </c>
      <c r="X74" s="60" t="n">
        <f aca="false">IF(Informed=1,K74,0)</f>
        <v>0</v>
      </c>
      <c r="Y74" s="60" t="n">
        <f aca="false">IF(Informed=0,K74,0)</f>
        <v>4.19543162227825</v>
      </c>
      <c r="Z74" s="60" t="n">
        <f aca="false">IF(Informed=1,N74,0)</f>
        <v>0</v>
      </c>
      <c r="AA74" s="60" t="n">
        <f aca="false">IF(Informed=0,N74,0)</f>
        <v>0</v>
      </c>
      <c r="AB74" s="64" t="n">
        <f aca="false">IF(Arterial=0,IF(Informed=1,1,0),0)</f>
        <v>0</v>
      </c>
      <c r="AC74" s="64" t="n">
        <f aca="false">IF(Arterial=0,IF(Informed=0,1,0),0)</f>
        <v>1</v>
      </c>
      <c r="AD74" s="64" t="n">
        <f aca="false">IF(Arterial=1,IF(Informed=1,1,0),0)</f>
        <v>0</v>
      </c>
      <c r="AE74" s="64" t="n">
        <f aca="false">IF(Arterial=1,IF(Informed=0,1,0),0)</f>
        <v>0</v>
      </c>
      <c r="AF74" s="57" t="n">
        <f aca="false">IF(AB74=1,(X74-G$1030)^2,0)</f>
        <v>0</v>
      </c>
      <c r="AG74" s="57" t="n">
        <f aca="false">IF(AC74=1,(Y74-H$1030)^2,0)</f>
        <v>17.6016464972123</v>
      </c>
      <c r="AH74" s="57" t="n">
        <f aca="false">IF(AD74=1,(Z74-I$1030)^2,0)</f>
        <v>0</v>
      </c>
      <c r="AI74" s="57" t="n">
        <f aca="false">IF(AE74=1,(AA74-J$1030)^2,0)</f>
        <v>0</v>
      </c>
    </row>
    <row r="75" customFormat="false" ht="12" hidden="false" customHeight="false" outlineLevel="0" collapsed="false">
      <c r="A75" s="5" t="n">
        <v>58</v>
      </c>
      <c r="B75" s="58" t="n">
        <f aca="true">IF(RAND()&lt;$D$8,1,0)</f>
        <v>0</v>
      </c>
      <c r="C75" s="47" t="n">
        <f aca="true">-LN(RAND())/$D$2</f>
        <v>0.258774853534017</v>
      </c>
      <c r="D75" s="59" t="n">
        <f aca="false">D74+C75</f>
        <v>59.2128651268014</v>
      </c>
      <c r="E75" s="60" t="n">
        <f aca="false">MAX($D$3,(1+P74-VLOOKUP(VALUE(D75),$J$18:$Q74,7,TRUE()))*$D$3)</f>
        <v>8</v>
      </c>
      <c r="F75" s="60" t="n">
        <f aca="false">MAX($D$4,(1+Q74-VLOOKUP(VALUE(D75),$M$18:$Q74,5,TRUE()))*$D$4)</f>
        <v>6</v>
      </c>
      <c r="G75" s="61" t="n">
        <v>0.5</v>
      </c>
      <c r="H75" s="59" t="n">
        <f aca="true">IF((B75=1),(IF((F75&lt;E75),1,(IF((F75=E75),(IF(RAND()&lt;G75,1,0)),0)))),(IF((RAND()&lt;G75),1,0)))</f>
        <v>1</v>
      </c>
      <c r="I75" s="59" t="n">
        <f aca="true">IF((H75=1),0,$D$3+$D$5*(RAND()-0.5))</f>
        <v>0</v>
      </c>
      <c r="J75" s="59" t="n">
        <f aca="false">I75+MAX(D75,J74)</f>
        <v>63.1495218955456</v>
      </c>
      <c r="K75" s="59" t="n">
        <f aca="false">IF((H75=0),J75-D75,0)</f>
        <v>0</v>
      </c>
      <c r="L75" s="59" t="n">
        <f aca="true">IF(($H75=0),0,$D$4+$D$5*(RAND()-0.5))</f>
        <v>2.12154175627968</v>
      </c>
      <c r="M75" s="59" t="n">
        <f aca="false">L75+MAX(D75,M74)</f>
        <v>65.0547072015099</v>
      </c>
      <c r="N75" s="59" t="n">
        <f aca="false">IF((H75=1),M75-D75,0)</f>
        <v>5.8418420747085</v>
      </c>
      <c r="O75" s="5" t="n">
        <v>58</v>
      </c>
      <c r="P75" s="62" t="n">
        <f aca="false">IF((Arterial=0),P74+1,P74)</f>
        <v>28</v>
      </c>
      <c r="Q75" s="62" t="n">
        <f aca="false">IF((Arterial=1),Q74+1,Q74)</f>
        <v>30</v>
      </c>
      <c r="R75" s="63" t="n">
        <f aca="false">IF((RESET=1),0,R75+K75)</f>
        <v>221.842816472975</v>
      </c>
      <c r="S75" s="10" t="e">
        <f aca="false">IF(RESET=1,0,S75+N75)</f>
        <v>#N/A</v>
      </c>
      <c r="T75" s="0" t="n">
        <f aca="false">IF(RESET=1,0,T75+IF(H75=0,1,0))</f>
        <v>22</v>
      </c>
      <c r="U75" s="0" t="e">
        <f aca="false">IF(RESET=1,0,U75+H75)</f>
        <v>#N/A</v>
      </c>
      <c r="V75" s="10" t="n">
        <f aca="false">R75/(T75+0.00001)</f>
        <v>10.0837598016081</v>
      </c>
      <c r="W75" s="10" t="e">
        <f aca="false">S75/(U75+0.0001)</f>
        <v>#N/A</v>
      </c>
      <c r="X75" s="60" t="n">
        <f aca="false">IF(Informed=1,K75,0)</f>
        <v>0</v>
      </c>
      <c r="Y75" s="60" t="n">
        <f aca="false">IF(Informed=0,K75,0)</f>
        <v>0</v>
      </c>
      <c r="Z75" s="60" t="n">
        <f aca="false">IF(Informed=1,N75,0)</f>
        <v>0</v>
      </c>
      <c r="AA75" s="60" t="n">
        <f aca="false">IF(Informed=0,N75,0)</f>
        <v>5.8418420747085</v>
      </c>
      <c r="AB75" s="64" t="n">
        <f aca="false">IF(Arterial=0,IF(Informed=1,1,0),0)</f>
        <v>0</v>
      </c>
      <c r="AC75" s="64" t="n">
        <f aca="false">IF(Arterial=0,IF(Informed=0,1,0),0)</f>
        <v>0</v>
      </c>
      <c r="AD75" s="64" t="n">
        <f aca="false">IF(Arterial=1,IF(Informed=1,1,0),0)</f>
        <v>0</v>
      </c>
      <c r="AE75" s="64" t="n">
        <f aca="false">IF(Arterial=1,IF(Informed=0,1,0),0)</f>
        <v>1</v>
      </c>
      <c r="AF75" s="57" t="n">
        <f aca="false">IF(AB75=1,(X75-G$1030)^2,0)</f>
        <v>0</v>
      </c>
      <c r="AG75" s="57" t="n">
        <f aca="false">IF(AC75=1,(Y75-H$1030)^2,0)</f>
        <v>0</v>
      </c>
      <c r="AH75" s="57" t="n">
        <f aca="false">IF(AD75=1,(Z75-I$1030)^2,0)</f>
        <v>0</v>
      </c>
      <c r="AI75" s="57" t="n">
        <f aca="false">IF(AE75=1,(AA75-J$1030)^2,0)</f>
        <v>34.1271188258345</v>
      </c>
    </row>
    <row r="76" customFormat="false" ht="12" hidden="false" customHeight="false" outlineLevel="0" collapsed="false">
      <c r="A76" s="5" t="n">
        <v>59</v>
      </c>
      <c r="B76" s="58" t="n">
        <f aca="true">IF(RAND()&lt;$D$8,1,0)</f>
        <v>0</v>
      </c>
      <c r="C76" s="47" t="n">
        <f aca="true">-LN(RAND())/$D$2</f>
        <v>0.449247134990982</v>
      </c>
      <c r="D76" s="59" t="n">
        <f aca="false">D75+C76</f>
        <v>59.6621122617924</v>
      </c>
      <c r="E76" s="60" t="n">
        <f aca="false">MAX($D$3,(1+P75-VLOOKUP(VALUE(D76),$J$18:$Q75,7,TRUE()))*$D$3)</f>
        <v>6</v>
      </c>
      <c r="F76" s="60" t="n">
        <f aca="false">MAX($D$4,(1+Q75-VLOOKUP(VALUE(D76),$M$18:$Q75,5,TRUE()))*$D$4)</f>
        <v>8</v>
      </c>
      <c r="G76" s="61" t="n">
        <v>0.5</v>
      </c>
      <c r="H76" s="59" t="n">
        <f aca="true">IF((B76=1),(IF((F76&lt;E76),1,(IF((F76=E76),(IF(RAND()&lt;G76,1,0)),0)))),(IF((RAND()&lt;G76),1,0)))</f>
        <v>0</v>
      </c>
      <c r="I76" s="59" t="n">
        <f aca="true">IF((H76=1),0,$D$3+$D$5*(RAND()-0.5))</f>
        <v>2.23824794195702</v>
      </c>
      <c r="J76" s="59" t="n">
        <f aca="false">I76+MAX(D76,J75)</f>
        <v>65.3877698375027</v>
      </c>
      <c r="K76" s="59" t="n">
        <f aca="false">IF((H76=0),J76-D76,0)</f>
        <v>5.72565757571027</v>
      </c>
      <c r="L76" s="59" t="n">
        <f aca="true">IF(($H76=0),0,$D$4+$D$5*(RAND()-0.5))</f>
        <v>0</v>
      </c>
      <c r="M76" s="59" t="n">
        <f aca="false">L76+MAX(D76,M75)</f>
        <v>65.0547072015099</v>
      </c>
      <c r="N76" s="59" t="n">
        <f aca="false">IF((H76=1),M76-D76,0)</f>
        <v>0</v>
      </c>
      <c r="O76" s="5" t="n">
        <v>59</v>
      </c>
      <c r="P76" s="62" t="n">
        <f aca="false">IF((Arterial=0),P75+1,P75)</f>
        <v>29</v>
      </c>
      <c r="Q76" s="62" t="n">
        <f aca="false">IF((Arterial=1),Q75+1,Q75)</f>
        <v>30</v>
      </c>
      <c r="R76" s="63" t="e">
        <f aca="false">IF((RESET=1),0,R76+K76)</f>
        <v>#N/A</v>
      </c>
      <c r="S76" s="10" t="n">
        <f aca="false">IF(RESET=1,0,S76+N76)</f>
        <v>246.025080392716</v>
      </c>
      <c r="T76" s="0" t="e">
        <f aca="false">IF(RESET=1,0,T76+IF(H76=0,1,0))</f>
        <v>#N/A</v>
      </c>
      <c r="U76" s="0" t="n">
        <f aca="false">IF(RESET=1,0,U76+H76)</f>
        <v>25</v>
      </c>
      <c r="V76" s="10" t="e">
        <f aca="false">R76/(T76+0.00001)</f>
        <v>#N/A</v>
      </c>
      <c r="W76" s="10" t="n">
        <f aca="false">S76/(U76+0.0001)</f>
        <v>9.84096385185322</v>
      </c>
      <c r="X76" s="60" t="n">
        <f aca="false">IF(Informed=1,K76,0)</f>
        <v>0</v>
      </c>
      <c r="Y76" s="60" t="n">
        <f aca="false">IF(Informed=0,K76,0)</f>
        <v>5.72565757571027</v>
      </c>
      <c r="Z76" s="60" t="n">
        <f aca="false">IF(Informed=1,N76,0)</f>
        <v>0</v>
      </c>
      <c r="AA76" s="60" t="n">
        <f aca="false">IF(Informed=0,N76,0)</f>
        <v>0</v>
      </c>
      <c r="AB76" s="64" t="n">
        <f aca="false">IF(Arterial=0,IF(Informed=1,1,0),0)</f>
        <v>0</v>
      </c>
      <c r="AC76" s="64" t="n">
        <f aca="false">IF(Arterial=0,IF(Informed=0,1,0),0)</f>
        <v>1</v>
      </c>
      <c r="AD76" s="64" t="n">
        <f aca="false">IF(Arterial=1,IF(Informed=1,1,0),0)</f>
        <v>0</v>
      </c>
      <c r="AE76" s="64" t="n">
        <f aca="false">IF(Arterial=1,IF(Informed=0,1,0),0)</f>
        <v>0</v>
      </c>
      <c r="AF76" s="57" t="n">
        <f aca="false">IF(AB76=1,(X76-G$1030)^2,0)</f>
        <v>0</v>
      </c>
      <c r="AG76" s="57" t="n">
        <f aca="false">IF(AC76=1,(Y76-H$1030)^2,0)</f>
        <v>32.7831546742884</v>
      </c>
      <c r="AH76" s="57" t="n">
        <f aca="false">IF(AD76=1,(Z76-I$1030)^2,0)</f>
        <v>0</v>
      </c>
      <c r="AI76" s="57" t="n">
        <f aca="false">IF(AE76=1,(AA76-J$1030)^2,0)</f>
        <v>0</v>
      </c>
    </row>
    <row r="77" customFormat="false" ht="12" hidden="false" customHeight="false" outlineLevel="0" collapsed="false">
      <c r="A77" s="5" t="n">
        <v>60</v>
      </c>
      <c r="B77" s="58" t="n">
        <f aca="true">IF(RAND()&lt;$D$8,1,0)</f>
        <v>1</v>
      </c>
      <c r="C77" s="47" t="n">
        <f aca="true">-LN(RAND())/$D$2</f>
        <v>2.26490544652401</v>
      </c>
      <c r="D77" s="59" t="n">
        <f aca="false">D76+C77</f>
        <v>61.9270177083164</v>
      </c>
      <c r="E77" s="60" t="n">
        <f aca="false">MAX($D$3,(1+P76-VLOOKUP(VALUE(D77),$J$18:$Q76,7,TRUE()))*$D$3)</f>
        <v>6</v>
      </c>
      <c r="F77" s="60" t="n">
        <f aca="false">MAX($D$4,(1+Q76-VLOOKUP(VALUE(D77),$M$18:$Q76,5,TRUE()))*$D$4)</f>
        <v>6</v>
      </c>
      <c r="G77" s="61" t="n">
        <v>0.5</v>
      </c>
      <c r="H77" s="59" t="n">
        <f aca="true">IF((B77=1),(IF((F77&lt;E77),1,(IF((F77=E77),(IF(RAND()&lt;G77,1,0)),0)))),(IF((RAND()&lt;G77),1,0)))</f>
        <v>1</v>
      </c>
      <c r="I77" s="59" t="n">
        <f aca="true">IF((H77=1),0,$D$3+$D$5*(RAND()-0.5))</f>
        <v>0</v>
      </c>
      <c r="J77" s="59" t="n">
        <f aca="false">I77+MAX(D77,J76)</f>
        <v>65.3877698375027</v>
      </c>
      <c r="K77" s="59" t="n">
        <f aca="false">IF((H77=0),J77-D77,0)</f>
        <v>0</v>
      </c>
      <c r="L77" s="59" t="n">
        <f aca="true">IF(($H77=0),0,$D$4+$D$5*(RAND()-0.5))</f>
        <v>1.97649334288392</v>
      </c>
      <c r="M77" s="59" t="n">
        <f aca="false">L77+MAX(D77,M76)</f>
        <v>67.0312005443938</v>
      </c>
      <c r="N77" s="59" t="n">
        <f aca="false">IF((H77=1),M77-D77,0)</f>
        <v>5.10418283607743</v>
      </c>
      <c r="O77" s="5" t="n">
        <v>60</v>
      </c>
      <c r="P77" s="62" t="n">
        <f aca="false">IF((Arterial=0),P76+1,P76)</f>
        <v>29</v>
      </c>
      <c r="Q77" s="62" t="n">
        <f aca="false">IF((Arterial=1),Q76+1,Q76)</f>
        <v>31</v>
      </c>
      <c r="R77" s="63" t="n">
        <f aca="false">IF((RESET=1),0,R77+K77)</f>
        <v>242.503042427894</v>
      </c>
      <c r="S77" s="10" t="e">
        <f aca="false">IF(RESET=1,0,S77+N77)</f>
        <v>#N/A</v>
      </c>
      <c r="T77" s="0" t="n">
        <f aca="false">IF(RESET=1,0,T77+IF(H77=0,1,0))</f>
        <v>28</v>
      </c>
      <c r="U77" s="0" t="e">
        <f aca="false">IF(RESET=1,0,U77+H77)</f>
        <v>#N/A</v>
      </c>
      <c r="V77" s="10" t="n">
        <f aca="false">R77/(T77+0.00001)</f>
        <v>8.66081985070342</v>
      </c>
      <c r="W77" s="10" t="e">
        <f aca="false">S77/(U77+0.0001)</f>
        <v>#N/A</v>
      </c>
      <c r="X77" s="60" t="n">
        <f aca="false">IF(Informed=1,K77,0)</f>
        <v>0</v>
      </c>
      <c r="Y77" s="60" t="n">
        <f aca="false">IF(Informed=0,K77,0)</f>
        <v>0</v>
      </c>
      <c r="Z77" s="60" t="n">
        <f aca="false">IF(Informed=1,N77,0)</f>
        <v>5.10418283607743</v>
      </c>
      <c r="AA77" s="60" t="n">
        <f aca="false">IF(Informed=0,N77,0)</f>
        <v>0</v>
      </c>
      <c r="AB77" s="64" t="n">
        <f aca="false">IF(Arterial=0,IF(Informed=1,1,0),0)</f>
        <v>0</v>
      </c>
      <c r="AC77" s="64" t="n">
        <f aca="false">IF(Arterial=0,IF(Informed=0,1,0),0)</f>
        <v>0</v>
      </c>
      <c r="AD77" s="64" t="n">
        <f aca="false">IF(Arterial=1,IF(Informed=1,1,0),0)</f>
        <v>1</v>
      </c>
      <c r="AE77" s="64" t="n">
        <f aca="false">IF(Arterial=1,IF(Informed=0,1,0),0)</f>
        <v>0</v>
      </c>
      <c r="AF77" s="57" t="n">
        <f aca="false">IF(AB77=1,(X77-G$1030)^2,0)</f>
        <v>0</v>
      </c>
      <c r="AG77" s="57" t="n">
        <f aca="false">IF(AC77=1,(Y77-H$1030)^2,0)</f>
        <v>0</v>
      </c>
      <c r="AH77" s="57" t="n">
        <f aca="false">IF(AD77=1,(Z77-I$1030)^2,0)</f>
        <v>26.0526824241074</v>
      </c>
      <c r="AI77" s="57" t="n">
        <f aca="false">IF(AE77=1,(AA77-J$1030)^2,0)</f>
        <v>0</v>
      </c>
    </row>
    <row r="78" customFormat="false" ht="12" hidden="false" customHeight="false" outlineLevel="0" collapsed="false">
      <c r="A78" s="5" t="n">
        <v>61</v>
      </c>
      <c r="B78" s="58" t="n">
        <f aca="true">IF(RAND()&lt;$D$8,1,0)</f>
        <v>1</v>
      </c>
      <c r="C78" s="47" t="n">
        <f aca="true">-LN(RAND())/$D$2</f>
        <v>1.28882783384006</v>
      </c>
      <c r="D78" s="59" t="n">
        <f aca="false">D77+C78</f>
        <v>63.2158455421565</v>
      </c>
      <c r="E78" s="60" t="n">
        <f aca="false">MAX($D$3,(1+P77-VLOOKUP(VALUE(D78),$J$18:$Q77,7,TRUE()))*$D$3)</f>
        <v>4</v>
      </c>
      <c r="F78" s="60" t="n">
        <f aca="false">MAX($D$4,(1+Q77-VLOOKUP(VALUE(D78),$M$18:$Q77,5,TRUE()))*$D$4)</f>
        <v>6</v>
      </c>
      <c r="G78" s="61" t="n">
        <v>0.5</v>
      </c>
      <c r="H78" s="59" t="n">
        <f aca="true">IF((B78=1),(IF((F78&lt;E78),1,(IF((F78=E78),(IF(RAND()&lt;G78,1,0)),0)))),(IF((RAND()&lt;G78),1,0)))</f>
        <v>0</v>
      </c>
      <c r="I78" s="59" t="n">
        <f aca="true">IF((H78=1),0,$D$3+$D$5*(RAND()-0.5))</f>
        <v>2.13594925737797</v>
      </c>
      <c r="J78" s="59" t="n">
        <f aca="false">I78+MAX(D78,J77)</f>
        <v>67.5237190948806</v>
      </c>
      <c r="K78" s="59" t="n">
        <f aca="false">IF((H78=0),J78-D78,0)</f>
        <v>4.30787355272418</v>
      </c>
      <c r="L78" s="59" t="n">
        <f aca="true">IF(($H78=0),0,$D$4+$D$5*(RAND()-0.5))</f>
        <v>0</v>
      </c>
      <c r="M78" s="59" t="n">
        <f aca="false">L78+MAX(D78,M77)</f>
        <v>67.0312005443938</v>
      </c>
      <c r="N78" s="59" t="n">
        <f aca="false">IF((H78=1),M78-D78,0)</f>
        <v>0</v>
      </c>
      <c r="O78" s="5" t="n">
        <v>61</v>
      </c>
      <c r="P78" s="62" t="n">
        <f aca="false">IF((Arterial=0),P77+1,P77)</f>
        <v>30</v>
      </c>
      <c r="Q78" s="62" t="n">
        <f aca="false">IF((Arterial=1),Q77+1,Q77)</f>
        <v>31</v>
      </c>
      <c r="R78" s="63" t="e">
        <f aca="false">IF((RESET=1),0,R78+K78)</f>
        <v>#N/A</v>
      </c>
      <c r="S78" s="10" t="n">
        <f aca="false">IF(RESET=1,0,S78+N78)</f>
        <v>306.477474590041</v>
      </c>
      <c r="T78" s="0" t="e">
        <f aca="false">IF(RESET=1,0,T78+IF(H78=0,1,0))</f>
        <v>#N/A</v>
      </c>
      <c r="U78" s="0" t="n">
        <f aca="false">IF(RESET=1,0,U78+H78)</f>
        <v>30</v>
      </c>
      <c r="V78" s="10" t="e">
        <f aca="false">R78/(T78+0.00001)</f>
        <v>#N/A</v>
      </c>
      <c r="W78" s="10" t="n">
        <f aca="false">S78/(U78+0.0001)</f>
        <v>10.2158817667288</v>
      </c>
      <c r="X78" s="60" t="n">
        <f aca="false">IF(Informed=1,K78,0)</f>
        <v>4.30787355272418</v>
      </c>
      <c r="Y78" s="60" t="n">
        <f aca="false">IF(Informed=0,K78,0)</f>
        <v>0</v>
      </c>
      <c r="Z78" s="60" t="n">
        <f aca="false">IF(Informed=1,N78,0)</f>
        <v>0</v>
      </c>
      <c r="AA78" s="60" t="n">
        <f aca="false">IF(Informed=0,N78,0)</f>
        <v>0</v>
      </c>
      <c r="AB78" s="64" t="n">
        <f aca="false">IF(Arterial=0,IF(Informed=1,1,0),0)</f>
        <v>1</v>
      </c>
      <c r="AC78" s="64" t="n">
        <f aca="false">IF(Arterial=0,IF(Informed=0,1,0),0)</f>
        <v>0</v>
      </c>
      <c r="AD78" s="64" t="n">
        <f aca="false">IF(Arterial=1,IF(Informed=1,1,0),0)</f>
        <v>0</v>
      </c>
      <c r="AE78" s="64" t="n">
        <f aca="false">IF(Arterial=1,IF(Informed=0,1,0),0)</f>
        <v>0</v>
      </c>
      <c r="AF78" s="57" t="n">
        <f aca="false">IF(AB78=1,(X78-G$1030)^2,0)</f>
        <v>18.5577745462604</v>
      </c>
      <c r="AG78" s="57" t="n">
        <f aca="false">IF(AC78=1,(Y78-H$1030)^2,0)</f>
        <v>0</v>
      </c>
      <c r="AH78" s="57" t="n">
        <f aca="false">IF(AD78=1,(Z78-I$1030)^2,0)</f>
        <v>0</v>
      </c>
      <c r="AI78" s="57" t="n">
        <f aca="false">IF(AE78=1,(AA78-J$1030)^2,0)</f>
        <v>0</v>
      </c>
    </row>
    <row r="79" customFormat="false" ht="12" hidden="false" customHeight="false" outlineLevel="0" collapsed="false">
      <c r="A79" s="5" t="n">
        <v>62</v>
      </c>
      <c r="B79" s="58" t="n">
        <f aca="true">IF(RAND()&lt;$D$8,1,0)</f>
        <v>1</v>
      </c>
      <c r="C79" s="47" t="n">
        <f aca="true">-LN(RAND())/$D$2</f>
        <v>1.03267127519789</v>
      </c>
      <c r="D79" s="59" t="n">
        <f aca="false">D78+C79</f>
        <v>64.2485168173544</v>
      </c>
      <c r="E79" s="60" t="n">
        <f aca="false">MAX($D$3,(1+P78-VLOOKUP(VALUE(D79),$J$18:$Q78,7,TRUE()))*$D$3)</f>
        <v>6</v>
      </c>
      <c r="F79" s="60" t="n">
        <f aca="false">MAX($D$4,(1+Q78-VLOOKUP(VALUE(D79),$M$18:$Q78,5,TRUE()))*$D$4)</f>
        <v>6</v>
      </c>
      <c r="G79" s="61" t="n">
        <v>0.5</v>
      </c>
      <c r="H79" s="59" t="n">
        <f aca="true">IF((B79=1),(IF((F79&lt;E79),1,(IF((F79=E79),(IF(RAND()&lt;G79,1,0)),0)))),(IF((RAND()&lt;G79),1,0)))</f>
        <v>0</v>
      </c>
      <c r="I79" s="59" t="n">
        <f aca="true">IF((H79=1),0,$D$3+$D$5*(RAND()-0.5))</f>
        <v>1.78796134099622</v>
      </c>
      <c r="J79" s="59" t="n">
        <f aca="false">I79+MAX(D79,J78)</f>
        <v>69.3116804358769</v>
      </c>
      <c r="K79" s="59" t="n">
        <f aca="false">IF((H79=0),J79-D79,0)</f>
        <v>5.0631636185225</v>
      </c>
      <c r="L79" s="59" t="n">
        <f aca="true">IF(($H79=0),0,$D$4+$D$5*(RAND()-0.5))</f>
        <v>0</v>
      </c>
      <c r="M79" s="59" t="n">
        <f aca="false">L79+MAX(D79,M78)</f>
        <v>67.0312005443938</v>
      </c>
      <c r="N79" s="59" t="n">
        <f aca="false">IF((H79=1),M79-D79,0)</f>
        <v>0</v>
      </c>
      <c r="O79" s="5" t="n">
        <v>62</v>
      </c>
      <c r="P79" s="62" t="n">
        <f aca="false">IF((Arterial=0),P78+1,P78)</f>
        <v>31</v>
      </c>
      <c r="Q79" s="62" t="n">
        <f aca="false">IF((Arterial=1),Q78+1,Q78)</f>
        <v>31</v>
      </c>
      <c r="R79" s="63" t="e">
        <f aca="false">IF((RESET=1),0,R79+K79)</f>
        <v>#N/A</v>
      </c>
      <c r="S79" s="10" t="n">
        <f aca="false">IF(RESET=1,0,S79+N79)</f>
        <v>248.957191625604</v>
      </c>
      <c r="T79" s="0" t="e">
        <f aca="false">IF(RESET=1,0,T79+IF(H79=0,1,0))</f>
        <v>#N/A</v>
      </c>
      <c r="U79" s="0" t="n">
        <f aca="false">IF(RESET=1,0,U79+H79)</f>
        <v>27</v>
      </c>
      <c r="V79" s="10" t="e">
        <f aca="false">R79/(T79+0.00001)</f>
        <v>#N/A</v>
      </c>
      <c r="W79" s="10" t="n">
        <f aca="false">S79/(U79+0.0001)</f>
        <v>9.22060257649431</v>
      </c>
      <c r="X79" s="60" t="n">
        <f aca="false">IF(Informed=1,K79,0)</f>
        <v>5.0631636185225</v>
      </c>
      <c r="Y79" s="60" t="n">
        <f aca="false">IF(Informed=0,K79,0)</f>
        <v>0</v>
      </c>
      <c r="Z79" s="60" t="n">
        <f aca="false">IF(Informed=1,N79,0)</f>
        <v>0</v>
      </c>
      <c r="AA79" s="60" t="n">
        <f aca="false">IF(Informed=0,N79,0)</f>
        <v>0</v>
      </c>
      <c r="AB79" s="64" t="n">
        <f aca="false">IF(Arterial=0,IF(Informed=1,1,0),0)</f>
        <v>1</v>
      </c>
      <c r="AC79" s="64" t="n">
        <f aca="false">IF(Arterial=0,IF(Informed=0,1,0),0)</f>
        <v>0</v>
      </c>
      <c r="AD79" s="64" t="n">
        <f aca="false">IF(Arterial=1,IF(Informed=1,1,0),0)</f>
        <v>0</v>
      </c>
      <c r="AE79" s="64" t="n">
        <f aca="false">IF(Arterial=1,IF(Informed=0,1,0),0)</f>
        <v>0</v>
      </c>
      <c r="AF79" s="57" t="n">
        <f aca="false">IF(AB79=1,(X79-G$1030)^2,0)</f>
        <v>25.6356258279298</v>
      </c>
      <c r="AG79" s="57" t="n">
        <f aca="false">IF(AC79=1,(Y79-H$1030)^2,0)</f>
        <v>0</v>
      </c>
      <c r="AH79" s="57" t="n">
        <f aca="false">IF(AD79=1,(Z79-I$1030)^2,0)</f>
        <v>0</v>
      </c>
      <c r="AI79" s="57" t="n">
        <f aca="false">IF(AE79=1,(AA79-J$1030)^2,0)</f>
        <v>0</v>
      </c>
    </row>
    <row r="80" customFormat="false" ht="12" hidden="false" customHeight="false" outlineLevel="0" collapsed="false">
      <c r="A80" s="5" t="n">
        <v>63</v>
      </c>
      <c r="B80" s="58" t="n">
        <f aca="true">IF(RAND()&lt;$D$8,1,0)</f>
        <v>0</v>
      </c>
      <c r="C80" s="47" t="n">
        <f aca="true">-LN(RAND())/$D$2</f>
        <v>1.09120097398566</v>
      </c>
      <c r="D80" s="59" t="n">
        <f aca="false">D79+C80</f>
        <v>65.33971779134</v>
      </c>
      <c r="E80" s="60" t="n">
        <f aca="false">MAX($D$3,(1+P79-VLOOKUP(VALUE(D80),$J$18:$Q79,7,TRUE()))*$D$3)</f>
        <v>8</v>
      </c>
      <c r="F80" s="60" t="n">
        <f aca="false">MAX($D$4,(1+Q79-VLOOKUP(VALUE(D80),$M$18:$Q79,5,TRUE()))*$D$4)</f>
        <v>4</v>
      </c>
      <c r="G80" s="61" t="n">
        <v>0.5</v>
      </c>
      <c r="H80" s="59" t="n">
        <f aca="true">IF((B80=1),(IF((F80&lt;E80),1,(IF((F80=E80),(IF(RAND()&lt;G80,1,0)),0)))),(IF((RAND()&lt;G80),1,0)))</f>
        <v>0</v>
      </c>
      <c r="I80" s="59" t="n">
        <f aca="true">IF((H80=1),0,$D$3+$D$5*(RAND()-0.5))</f>
        <v>1.91426742087219</v>
      </c>
      <c r="J80" s="59" t="n">
        <f aca="false">I80+MAX(D80,J79)</f>
        <v>71.225947856749</v>
      </c>
      <c r="K80" s="59" t="n">
        <f aca="false">IF((H80=0),J80-D80,0)</f>
        <v>5.88623006540902</v>
      </c>
      <c r="L80" s="59" t="n">
        <f aca="true">IF(($H80=0),0,$D$4+$D$5*(RAND()-0.5))</f>
        <v>0</v>
      </c>
      <c r="M80" s="59" t="n">
        <f aca="false">L80+MAX(D80,M79)</f>
        <v>67.0312005443938</v>
      </c>
      <c r="N80" s="59" t="n">
        <f aca="false">IF((H80=1),M80-D80,0)</f>
        <v>0</v>
      </c>
      <c r="O80" s="5" t="n">
        <v>63</v>
      </c>
      <c r="P80" s="62" t="n">
        <f aca="false">IF((Arterial=0),P79+1,P79)</f>
        <v>32</v>
      </c>
      <c r="Q80" s="62" t="n">
        <f aca="false">IF((Arterial=1),Q79+1,Q79)</f>
        <v>31</v>
      </c>
      <c r="R80" s="63" t="e">
        <f aca="false">IF((RESET=1),0,R80+K80)</f>
        <v>#N/A</v>
      </c>
      <c r="S80" s="10" t="n">
        <f aca="false">IF(RESET=1,0,S80+N80)</f>
        <v>215.480828314438</v>
      </c>
      <c r="T80" s="0" t="e">
        <f aca="false">IF(RESET=1,0,T80+IF(H80=0,1,0))</f>
        <v>#N/A</v>
      </c>
      <c r="U80" s="0" t="n">
        <f aca="false">IF(RESET=1,0,U80+H80)</f>
        <v>21</v>
      </c>
      <c r="V80" s="10" t="e">
        <f aca="false">R80/(T80+0.00001)</f>
        <v>#N/A</v>
      </c>
      <c r="W80" s="10" t="n">
        <f aca="false">S80/(U80+0.0001)</f>
        <v>10.2609429628639</v>
      </c>
      <c r="X80" s="60" t="n">
        <f aca="false">IF(Informed=1,K80,0)</f>
        <v>0</v>
      </c>
      <c r="Y80" s="60" t="n">
        <f aca="false">IF(Informed=0,K80,0)</f>
        <v>5.88623006540902</v>
      </c>
      <c r="Z80" s="60" t="n">
        <f aca="false">IF(Informed=1,N80,0)</f>
        <v>0</v>
      </c>
      <c r="AA80" s="60" t="n">
        <f aca="false">IF(Informed=0,N80,0)</f>
        <v>0</v>
      </c>
      <c r="AB80" s="64" t="n">
        <f aca="false">IF(Arterial=0,IF(Informed=1,1,0),0)</f>
        <v>0</v>
      </c>
      <c r="AC80" s="64" t="n">
        <f aca="false">IF(Arterial=0,IF(Informed=0,1,0),0)</f>
        <v>1</v>
      </c>
      <c r="AD80" s="64" t="n">
        <f aca="false">IF(Arterial=1,IF(Informed=1,1,0),0)</f>
        <v>0</v>
      </c>
      <c r="AE80" s="64" t="n">
        <f aca="false">IF(Arterial=1,IF(Informed=0,1,0),0)</f>
        <v>0</v>
      </c>
      <c r="AF80" s="57" t="n">
        <f aca="false">IF(AB80=1,(X80-G$1030)^2,0)</f>
        <v>0</v>
      </c>
      <c r="AG80" s="57" t="n">
        <f aca="false">IF(AC80=1,(Y80-H$1030)^2,0)</f>
        <v>34.6477043829251</v>
      </c>
      <c r="AH80" s="57" t="n">
        <f aca="false">IF(AD80=1,(Z80-I$1030)^2,0)</f>
        <v>0</v>
      </c>
      <c r="AI80" s="57" t="n">
        <f aca="false">IF(AE80=1,(AA80-J$1030)^2,0)</f>
        <v>0</v>
      </c>
    </row>
    <row r="81" customFormat="false" ht="12" hidden="false" customHeight="false" outlineLevel="0" collapsed="false">
      <c r="A81" s="5" t="n">
        <v>64</v>
      </c>
      <c r="B81" s="58" t="n">
        <f aca="true">IF(RAND()&lt;$D$8,1,0)</f>
        <v>1</v>
      </c>
      <c r="C81" s="47" t="n">
        <f aca="true">-LN(RAND())/$D$2</f>
        <v>1.41297193083982</v>
      </c>
      <c r="D81" s="59" t="n">
        <f aca="false">D80+C81</f>
        <v>66.7526897221798</v>
      </c>
      <c r="E81" s="60" t="n">
        <f aca="false">MAX($D$3,(1+P80-VLOOKUP(VALUE(D81),$J$18:$Q80,7,TRUE()))*$D$3)</f>
        <v>8</v>
      </c>
      <c r="F81" s="60" t="n">
        <f aca="false">MAX($D$4,(1+Q80-VLOOKUP(VALUE(D81),$M$18:$Q80,5,TRUE()))*$D$4)</f>
        <v>4</v>
      </c>
      <c r="G81" s="61" t="n">
        <v>0.5</v>
      </c>
      <c r="H81" s="59" t="n">
        <f aca="true">IF((B81=1),(IF((F81&lt;E81),1,(IF((F81=E81),(IF(RAND()&lt;G81,1,0)),0)))),(IF((RAND()&lt;G81),1,0)))</f>
        <v>1</v>
      </c>
      <c r="I81" s="59" t="n">
        <f aca="true">IF((H81=1),0,$D$3+$D$5*(RAND()-0.5))</f>
        <v>0</v>
      </c>
      <c r="J81" s="59" t="n">
        <f aca="false">I81+MAX(D81,J80)</f>
        <v>71.225947856749</v>
      </c>
      <c r="K81" s="59" t="n">
        <f aca="false">IF((H81=0),J81-D81,0)</f>
        <v>0</v>
      </c>
      <c r="L81" s="59" t="n">
        <f aca="true">IF(($H81=0),0,$D$4+$D$5*(RAND()-0.5))</f>
        <v>2.1415292996911</v>
      </c>
      <c r="M81" s="59" t="n">
        <f aca="false">L81+MAX(D81,M80)</f>
        <v>69.1727298440849</v>
      </c>
      <c r="N81" s="59" t="n">
        <f aca="false">IF((H81=1),M81-D81,0)</f>
        <v>2.42004012190509</v>
      </c>
      <c r="O81" s="5" t="n">
        <v>64</v>
      </c>
      <c r="P81" s="62" t="n">
        <f aca="false">IF((Arterial=0),P80+1,P80)</f>
        <v>32</v>
      </c>
      <c r="Q81" s="62" t="n">
        <f aca="false">IF((Arterial=1),Q80+1,Q80)</f>
        <v>32</v>
      </c>
      <c r="R81" s="63" t="n">
        <f aca="false">IF((RESET=1),0,R81+K81)</f>
        <v>240.048901547436</v>
      </c>
      <c r="S81" s="10" t="e">
        <f aca="false">IF(RESET=1,0,S81+N81)</f>
        <v>#N/A</v>
      </c>
      <c r="T81" s="0" t="n">
        <f aca="false">IF(RESET=1,0,T81+IF(H81=0,1,0))</f>
        <v>27</v>
      </c>
      <c r="U81" s="0" t="e">
        <f aca="false">IF(RESET=1,0,U81+H81)</f>
        <v>#N/A</v>
      </c>
      <c r="V81" s="10" t="n">
        <f aca="false">R81/(T81+0.00001)</f>
        <v>8.8906967644618</v>
      </c>
      <c r="W81" s="10" t="e">
        <f aca="false">S81/(U81+0.0001)</f>
        <v>#N/A</v>
      </c>
      <c r="X81" s="60" t="n">
        <f aca="false">IF(Informed=1,K81,0)</f>
        <v>0</v>
      </c>
      <c r="Y81" s="60" t="n">
        <f aca="false">IF(Informed=0,K81,0)</f>
        <v>0</v>
      </c>
      <c r="Z81" s="60" t="n">
        <f aca="false">IF(Informed=1,N81,0)</f>
        <v>2.42004012190509</v>
      </c>
      <c r="AA81" s="60" t="n">
        <f aca="false">IF(Informed=0,N81,0)</f>
        <v>0</v>
      </c>
      <c r="AB81" s="64" t="n">
        <f aca="false">IF(Arterial=0,IF(Informed=1,1,0),0)</f>
        <v>0</v>
      </c>
      <c r="AC81" s="64" t="n">
        <f aca="false">IF(Arterial=0,IF(Informed=0,1,0),0)</f>
        <v>0</v>
      </c>
      <c r="AD81" s="64" t="n">
        <f aca="false">IF(Arterial=1,IF(Informed=1,1,0),0)</f>
        <v>1</v>
      </c>
      <c r="AE81" s="64" t="n">
        <f aca="false">IF(Arterial=1,IF(Informed=0,1,0),0)</f>
        <v>0</v>
      </c>
      <c r="AF81" s="57" t="n">
        <f aca="false">IF(AB81=1,(X81-G$1030)^2,0)</f>
        <v>0</v>
      </c>
      <c r="AG81" s="57" t="n">
        <f aca="false">IF(AC81=1,(Y81-H$1030)^2,0)</f>
        <v>0</v>
      </c>
      <c r="AH81" s="57" t="n">
        <f aca="false">IF(AD81=1,(Z81-I$1030)^2,0)</f>
        <v>5.8565941916304</v>
      </c>
      <c r="AI81" s="57" t="n">
        <f aca="false">IF(AE81=1,(AA81-J$1030)^2,0)</f>
        <v>0</v>
      </c>
    </row>
    <row r="82" customFormat="false" ht="12" hidden="false" customHeight="false" outlineLevel="0" collapsed="false">
      <c r="A82" s="5" t="n">
        <v>65</v>
      </c>
      <c r="B82" s="58" t="n">
        <f aca="true">IF(RAND()&lt;$D$8,1,0)</f>
        <v>1</v>
      </c>
      <c r="C82" s="47" t="n">
        <f aca="true">-LN(RAND())/$D$2</f>
        <v>0.168849942346059</v>
      </c>
      <c r="D82" s="59" t="n">
        <f aca="false">D81+C82</f>
        <v>66.9215396645259</v>
      </c>
      <c r="E82" s="60" t="n">
        <f aca="false">MAX($D$3,(1+P81-VLOOKUP(VALUE(D82),$J$18:$Q81,7,TRUE()))*$D$3)</f>
        <v>8</v>
      </c>
      <c r="F82" s="60" t="n">
        <f aca="false">MAX($D$4,(1+Q81-VLOOKUP(VALUE(D82),$M$18:$Q81,5,TRUE()))*$D$4)</f>
        <v>6</v>
      </c>
      <c r="G82" s="61" t="n">
        <v>0.5</v>
      </c>
      <c r="H82" s="59" t="n">
        <f aca="true">IF((B82=1),(IF((F82&lt;E82),1,(IF((F82=E82),(IF(RAND()&lt;G82,1,0)),0)))),(IF((RAND()&lt;G82),1,0)))</f>
        <v>1</v>
      </c>
      <c r="I82" s="59" t="n">
        <f aca="true">IF((H82=1),0,$D$3+$D$5*(RAND()-0.5))</f>
        <v>0</v>
      </c>
      <c r="J82" s="59" t="n">
        <f aca="false">I82+MAX(D82,J81)</f>
        <v>71.225947856749</v>
      </c>
      <c r="K82" s="59" t="n">
        <f aca="false">IF((H82=0),J82-D82,0)</f>
        <v>0</v>
      </c>
      <c r="L82" s="59" t="n">
        <f aca="true">IF(($H82=0),0,$D$4+$D$5*(RAND()-0.5))</f>
        <v>2.11396163520635</v>
      </c>
      <c r="M82" s="59" t="n">
        <f aca="false">L82+MAX(D82,M81)</f>
        <v>71.2866914792913</v>
      </c>
      <c r="N82" s="59" t="n">
        <f aca="false">IF((H82=1),M82-D82,0)</f>
        <v>4.36515181476538</v>
      </c>
      <c r="O82" s="5" t="n">
        <v>65</v>
      </c>
      <c r="P82" s="62" t="n">
        <f aca="false">IF((Arterial=0),P81+1,P81)</f>
        <v>32</v>
      </c>
      <c r="Q82" s="62" t="n">
        <f aca="false">IF((Arterial=1),Q81+1,Q81)</f>
        <v>33</v>
      </c>
      <c r="R82" s="63" t="n">
        <f aca="false">IF((RESET=1),0,R82+K82)</f>
        <v>346.461419768902</v>
      </c>
      <c r="S82" s="10" t="e">
        <f aca="false">IF(RESET=1,0,S82+N82)</f>
        <v>#N/A</v>
      </c>
      <c r="T82" s="0" t="n">
        <f aca="false">IF(RESET=1,0,T82+IF(H82=0,1,0))</f>
        <v>31</v>
      </c>
      <c r="U82" s="0" t="e">
        <f aca="false">IF(RESET=1,0,U82+H82)</f>
        <v>#N/A</v>
      </c>
      <c r="V82" s="10" t="n">
        <f aca="false">R82/(T82+0.00001)</f>
        <v>11.1761712260384</v>
      </c>
      <c r="W82" s="10" t="e">
        <f aca="false">S82/(U82+0.0001)</f>
        <v>#N/A</v>
      </c>
      <c r="X82" s="60" t="n">
        <f aca="false">IF(Informed=1,K82,0)</f>
        <v>0</v>
      </c>
      <c r="Y82" s="60" t="n">
        <f aca="false">IF(Informed=0,K82,0)</f>
        <v>0</v>
      </c>
      <c r="Z82" s="60" t="n">
        <f aca="false">IF(Informed=1,N82,0)</f>
        <v>4.36515181476538</v>
      </c>
      <c r="AA82" s="60" t="n">
        <f aca="false">IF(Informed=0,N82,0)</f>
        <v>0</v>
      </c>
      <c r="AB82" s="64" t="n">
        <f aca="false">IF(Arterial=0,IF(Informed=1,1,0),0)</f>
        <v>0</v>
      </c>
      <c r="AC82" s="64" t="n">
        <f aca="false">IF(Arterial=0,IF(Informed=0,1,0),0)</f>
        <v>0</v>
      </c>
      <c r="AD82" s="64" t="n">
        <f aca="false">IF(Arterial=1,IF(Informed=1,1,0),0)</f>
        <v>1</v>
      </c>
      <c r="AE82" s="64" t="n">
        <f aca="false">IF(Arterial=1,IF(Informed=0,1,0),0)</f>
        <v>0</v>
      </c>
      <c r="AF82" s="57" t="n">
        <f aca="false">IF(AB82=1,(X82-G$1030)^2,0)</f>
        <v>0</v>
      </c>
      <c r="AG82" s="57" t="n">
        <f aca="false">IF(AC82=1,(Y82-H$1030)^2,0)</f>
        <v>0</v>
      </c>
      <c r="AH82" s="57" t="n">
        <f aca="false">IF(AD82=1,(Z82-I$1030)^2,0)</f>
        <v>19.0545503659495</v>
      </c>
      <c r="AI82" s="57" t="n">
        <f aca="false">IF(AE82=1,(AA82-J$1030)^2,0)</f>
        <v>0</v>
      </c>
    </row>
    <row r="83" customFormat="false" ht="12" hidden="false" customHeight="false" outlineLevel="0" collapsed="false">
      <c r="A83" s="5" t="n">
        <v>66</v>
      </c>
      <c r="B83" s="58" t="n">
        <f aca="true">IF(RAND()&lt;$D$8,1,0)</f>
        <v>1</v>
      </c>
      <c r="C83" s="47" t="n">
        <f aca="true">-LN(RAND())/$D$2</f>
        <v>1.18328661039659</v>
      </c>
      <c r="D83" s="59" t="n">
        <f aca="false">D82+C83</f>
        <v>68.1048262749225</v>
      </c>
      <c r="E83" s="60" t="n">
        <f aca="false">MAX($D$3,(1+P82-VLOOKUP(VALUE(D83),$J$18:$Q82,7,TRUE()))*$D$3)</f>
        <v>6</v>
      </c>
      <c r="F83" s="60" t="n">
        <f aca="false">MAX($D$4,(1+Q82-VLOOKUP(VALUE(D83),$M$18:$Q82,5,TRUE()))*$D$4)</f>
        <v>6</v>
      </c>
      <c r="G83" s="61" t="n">
        <v>0.5</v>
      </c>
      <c r="H83" s="59" t="n">
        <f aca="true">IF((B83=1),(IF((F83&lt;E83),1,(IF((F83=E83),(IF(RAND()&lt;G83,1,0)),0)))),(IF((RAND()&lt;G83),1,0)))</f>
        <v>0</v>
      </c>
      <c r="I83" s="59" t="n">
        <f aca="true">IF((H83=1),0,$D$3+$D$5*(RAND()-0.5))</f>
        <v>2.04748429356294</v>
      </c>
      <c r="J83" s="59" t="n">
        <f aca="false">I83+MAX(D83,J82)</f>
        <v>73.273432150312</v>
      </c>
      <c r="K83" s="59" t="n">
        <f aca="false">IF((H83=0),J83-D83,0)</f>
        <v>5.1686058753895</v>
      </c>
      <c r="L83" s="59" t="n">
        <f aca="true">IF(($H83=0),0,$D$4+$D$5*(RAND()-0.5))</f>
        <v>0</v>
      </c>
      <c r="M83" s="59" t="n">
        <f aca="false">L83+MAX(D83,M82)</f>
        <v>71.2866914792913</v>
      </c>
      <c r="N83" s="59" t="n">
        <f aca="false">IF((H83=1),M83-D83,0)</f>
        <v>0</v>
      </c>
      <c r="O83" s="5" t="n">
        <v>66</v>
      </c>
      <c r="P83" s="62" t="n">
        <f aca="false">IF((Arterial=0),P82+1,P82)</f>
        <v>33</v>
      </c>
      <c r="Q83" s="62" t="n">
        <f aca="false">IF((Arterial=1),Q82+1,Q82)</f>
        <v>33</v>
      </c>
      <c r="R83" s="63" t="e">
        <f aca="false">IF((RESET=1),0,R83+K83)</f>
        <v>#N/A</v>
      </c>
      <c r="S83" s="10" t="n">
        <f aca="false">IF(RESET=1,0,S83+N83)</f>
        <v>322.754295633525</v>
      </c>
      <c r="T83" s="0" t="e">
        <f aca="false">IF(RESET=1,0,T83+IF(H83=0,1,0))</f>
        <v>#N/A</v>
      </c>
      <c r="U83" s="0" t="n">
        <f aca="false">IF(RESET=1,0,U83+H83)</f>
        <v>31</v>
      </c>
      <c r="V83" s="10" t="e">
        <f aca="false">R83/(T83+0.00001)</f>
        <v>#N/A</v>
      </c>
      <c r="W83" s="10" t="n">
        <f aca="false">S83/(U83+0.0001)</f>
        <v>10.4113953062579</v>
      </c>
      <c r="X83" s="60" t="n">
        <f aca="false">IF(Informed=1,K83,0)</f>
        <v>5.1686058753895</v>
      </c>
      <c r="Y83" s="60" t="n">
        <f aca="false">IF(Informed=0,K83,0)</f>
        <v>0</v>
      </c>
      <c r="Z83" s="60" t="n">
        <f aca="false">IF(Informed=1,N83,0)</f>
        <v>0</v>
      </c>
      <c r="AA83" s="60" t="n">
        <f aca="false">IF(Informed=0,N83,0)</f>
        <v>0</v>
      </c>
      <c r="AB83" s="64" t="n">
        <f aca="false">IF(Arterial=0,IF(Informed=1,1,0),0)</f>
        <v>1</v>
      </c>
      <c r="AC83" s="64" t="n">
        <f aca="false">IF(Arterial=0,IF(Informed=0,1,0),0)</f>
        <v>0</v>
      </c>
      <c r="AD83" s="64" t="n">
        <f aca="false">IF(Arterial=1,IF(Informed=1,1,0),0)</f>
        <v>0</v>
      </c>
      <c r="AE83" s="64" t="n">
        <f aca="false">IF(Arterial=1,IF(Informed=0,1,0),0)</f>
        <v>0</v>
      </c>
      <c r="AF83" s="57" t="n">
        <f aca="false">IF(AB83=1,(X83-G$1030)^2,0)</f>
        <v>26.7144866951109</v>
      </c>
      <c r="AG83" s="57" t="n">
        <f aca="false">IF(AC83=1,(Y83-H$1030)^2,0)</f>
        <v>0</v>
      </c>
      <c r="AH83" s="57" t="n">
        <f aca="false">IF(AD83=1,(Z83-I$1030)^2,0)</f>
        <v>0</v>
      </c>
      <c r="AI83" s="57" t="n">
        <f aca="false">IF(AE83=1,(AA83-J$1030)^2,0)</f>
        <v>0</v>
      </c>
    </row>
    <row r="84" customFormat="false" ht="12" hidden="false" customHeight="false" outlineLevel="0" collapsed="false">
      <c r="A84" s="5" t="n">
        <v>67</v>
      </c>
      <c r="B84" s="58" t="n">
        <f aca="true">IF(RAND()&lt;$D$8,1,0)</f>
        <v>0</v>
      </c>
      <c r="C84" s="47" t="n">
        <f aca="true">-LN(RAND())/$D$2</f>
        <v>1.39348676912736</v>
      </c>
      <c r="D84" s="59" t="n">
        <f aca="false">D83+C84</f>
        <v>69.4983130440499</v>
      </c>
      <c r="E84" s="60" t="n">
        <f aca="false">MAX($D$3,(1+P83-VLOOKUP(VALUE(D84),$J$18:$Q83,7,TRUE()))*$D$3)</f>
        <v>6</v>
      </c>
      <c r="F84" s="60" t="n">
        <f aca="false">MAX($D$4,(1+Q83-VLOOKUP(VALUE(D84),$M$18:$Q83,5,TRUE()))*$D$4)</f>
        <v>4</v>
      </c>
      <c r="G84" s="61" t="n">
        <v>0.5</v>
      </c>
      <c r="H84" s="59" t="n">
        <f aca="true">IF((B84=1),(IF((F84&lt;E84),1,(IF((F84=E84),(IF(RAND()&lt;G84,1,0)),0)))),(IF((RAND()&lt;G84),1,0)))</f>
        <v>1</v>
      </c>
      <c r="I84" s="59" t="n">
        <f aca="true">IF((H84=1),0,$D$3+$D$5*(RAND()-0.5))</f>
        <v>0</v>
      </c>
      <c r="J84" s="59" t="n">
        <f aca="false">I84+MAX(D84,J83)</f>
        <v>73.273432150312</v>
      </c>
      <c r="K84" s="59" t="n">
        <f aca="false">IF((H84=0),J84-D84,0)</f>
        <v>0</v>
      </c>
      <c r="L84" s="59" t="n">
        <f aca="true">IF(($H84=0),0,$D$4+$D$5*(RAND()-0.5))</f>
        <v>2.14163666472965</v>
      </c>
      <c r="M84" s="59" t="n">
        <f aca="false">L84+MAX(D84,M83)</f>
        <v>73.4283281440209</v>
      </c>
      <c r="N84" s="59" t="n">
        <f aca="false">IF((H84=1),M84-D84,0)</f>
        <v>3.93001509997107</v>
      </c>
      <c r="O84" s="5" t="n">
        <v>67</v>
      </c>
      <c r="P84" s="62" t="n">
        <f aca="false">IF((Arterial=0),P83+1,P83)</f>
        <v>33</v>
      </c>
      <c r="Q84" s="62" t="n">
        <f aca="false">IF((Arterial=1),Q83+1,Q83)</f>
        <v>34</v>
      </c>
      <c r="R84" s="63" t="n">
        <f aca="false">IF((RESET=1),0,R84+K84)</f>
        <v>301.118357713851</v>
      </c>
      <c r="S84" s="10" t="e">
        <f aca="false">IF(RESET=1,0,S84+N84)</f>
        <v>#N/A</v>
      </c>
      <c r="T84" s="0" t="n">
        <f aca="false">IF(RESET=1,0,T84+IF(H84=0,1,0))</f>
        <v>28</v>
      </c>
      <c r="U84" s="0" t="e">
        <f aca="false">IF(RESET=1,0,U84+H84)</f>
        <v>#N/A</v>
      </c>
      <c r="V84" s="10" t="n">
        <f aca="false">R84/(T84+0.00001)</f>
        <v>10.754223220415</v>
      </c>
      <c r="W84" s="10" t="e">
        <f aca="false">S84/(U84+0.0001)</f>
        <v>#N/A</v>
      </c>
      <c r="X84" s="60" t="n">
        <f aca="false">IF(Informed=1,K84,0)</f>
        <v>0</v>
      </c>
      <c r="Y84" s="60" t="n">
        <f aca="false">IF(Informed=0,K84,0)</f>
        <v>0</v>
      </c>
      <c r="Z84" s="60" t="n">
        <f aca="false">IF(Informed=1,N84,0)</f>
        <v>0</v>
      </c>
      <c r="AA84" s="60" t="n">
        <f aca="false">IF(Informed=0,N84,0)</f>
        <v>3.93001509997107</v>
      </c>
      <c r="AB84" s="64" t="n">
        <f aca="false">IF(Arterial=0,IF(Informed=1,1,0),0)</f>
        <v>0</v>
      </c>
      <c r="AC84" s="64" t="n">
        <f aca="false">IF(Arterial=0,IF(Informed=0,1,0),0)</f>
        <v>0</v>
      </c>
      <c r="AD84" s="64" t="n">
        <f aca="false">IF(Arterial=1,IF(Informed=1,1,0),0)</f>
        <v>0</v>
      </c>
      <c r="AE84" s="64" t="n">
        <f aca="false">IF(Arterial=1,IF(Informed=0,1,0),0)</f>
        <v>1</v>
      </c>
      <c r="AF84" s="57" t="n">
        <f aca="false">IF(AB84=1,(X84-G$1030)^2,0)</f>
        <v>0</v>
      </c>
      <c r="AG84" s="57" t="n">
        <f aca="false">IF(AC84=1,(Y84-H$1030)^2,0)</f>
        <v>0</v>
      </c>
      <c r="AH84" s="57" t="n">
        <f aca="false">IF(AD84=1,(Z84-I$1030)^2,0)</f>
        <v>0</v>
      </c>
      <c r="AI84" s="57" t="n">
        <f aca="false">IF(AE84=1,(AA84-J$1030)^2,0)</f>
        <v>15.4450186860006</v>
      </c>
    </row>
    <row r="85" customFormat="false" ht="12" hidden="false" customHeight="false" outlineLevel="0" collapsed="false">
      <c r="A85" s="5" t="n">
        <v>68</v>
      </c>
      <c r="B85" s="58" t="n">
        <f aca="true">IF(RAND()&lt;$D$8,1,0)</f>
        <v>0</v>
      </c>
      <c r="C85" s="47" t="n">
        <f aca="true">-LN(RAND())/$D$2</f>
        <v>0.196733534664676</v>
      </c>
      <c r="D85" s="59" t="n">
        <f aca="false">D84+C85</f>
        <v>69.6950465787145</v>
      </c>
      <c r="E85" s="60" t="n">
        <f aca="false">MAX($D$3,(1+P84-VLOOKUP(VALUE(D85),$J$18:$Q84,7,TRUE()))*$D$3)</f>
        <v>6</v>
      </c>
      <c r="F85" s="60" t="n">
        <f aca="false">MAX($D$4,(1+Q84-VLOOKUP(VALUE(D85),$M$18:$Q84,5,TRUE()))*$D$4)</f>
        <v>6</v>
      </c>
      <c r="G85" s="61" t="n">
        <v>0.5</v>
      </c>
      <c r="H85" s="59" t="n">
        <f aca="true">IF((B85=1),(IF((F85&lt;E85),1,(IF((F85=E85),(IF(RAND()&lt;G85,1,0)),0)))),(IF((RAND()&lt;G85),1,0)))</f>
        <v>1</v>
      </c>
      <c r="I85" s="59" t="n">
        <f aca="true">IF((H85=1),0,$D$3+$D$5*(RAND()-0.5))</f>
        <v>0</v>
      </c>
      <c r="J85" s="59" t="n">
        <f aca="false">I85+MAX(D85,J84)</f>
        <v>73.273432150312</v>
      </c>
      <c r="K85" s="59" t="n">
        <f aca="false">IF((H85=0),J85-D85,0)</f>
        <v>0</v>
      </c>
      <c r="L85" s="59" t="n">
        <f aca="true">IF(($H85=0),0,$D$4+$D$5*(RAND()-0.5))</f>
        <v>2.05136531637389</v>
      </c>
      <c r="M85" s="59" t="n">
        <f aca="false">L85+MAX(D85,M84)</f>
        <v>75.4796934603948</v>
      </c>
      <c r="N85" s="59" t="n">
        <f aca="false">IF((H85=1),M85-D85,0)</f>
        <v>5.78464688168029</v>
      </c>
      <c r="O85" s="5" t="n">
        <v>68</v>
      </c>
      <c r="P85" s="62" t="n">
        <f aca="false">IF((Arterial=0),P84+1,P84)</f>
        <v>33</v>
      </c>
      <c r="Q85" s="62" t="n">
        <f aca="false">IF((Arterial=1),Q84+1,Q84)</f>
        <v>35</v>
      </c>
      <c r="R85" s="63" t="n">
        <f aca="false">IF((RESET=1),0,R85+K85)</f>
        <v>292.782373208881</v>
      </c>
      <c r="S85" s="10" t="e">
        <f aca="false">IF(RESET=1,0,S85+N85)</f>
        <v>#N/A</v>
      </c>
      <c r="T85" s="0" t="n">
        <f aca="false">IF(RESET=1,0,T85+IF(H85=0,1,0))</f>
        <v>27</v>
      </c>
      <c r="U85" s="0" t="e">
        <f aca="false">IF(RESET=1,0,U85+H85)</f>
        <v>#N/A</v>
      </c>
      <c r="V85" s="10" t="n">
        <f aca="false">R85/(T85+0.00001)</f>
        <v>10.8437875841113</v>
      </c>
      <c r="W85" s="10" t="e">
        <f aca="false">S85/(U85+0.0001)</f>
        <v>#N/A</v>
      </c>
      <c r="X85" s="60" t="n">
        <f aca="false">IF(Informed=1,K85,0)</f>
        <v>0</v>
      </c>
      <c r="Y85" s="60" t="n">
        <f aca="false">IF(Informed=0,K85,0)</f>
        <v>0</v>
      </c>
      <c r="Z85" s="60" t="n">
        <f aca="false">IF(Informed=1,N85,0)</f>
        <v>0</v>
      </c>
      <c r="AA85" s="60" t="n">
        <f aca="false">IF(Informed=0,N85,0)</f>
        <v>5.78464688168029</v>
      </c>
      <c r="AB85" s="64" t="n">
        <f aca="false">IF(Arterial=0,IF(Informed=1,1,0),0)</f>
        <v>0</v>
      </c>
      <c r="AC85" s="64" t="n">
        <f aca="false">IF(Arterial=0,IF(Informed=0,1,0),0)</f>
        <v>0</v>
      </c>
      <c r="AD85" s="64" t="n">
        <f aca="false">IF(Arterial=1,IF(Informed=1,1,0),0)</f>
        <v>0</v>
      </c>
      <c r="AE85" s="64" t="n">
        <f aca="false">IF(Arterial=1,IF(Informed=0,1,0),0)</f>
        <v>1</v>
      </c>
      <c r="AF85" s="57" t="n">
        <f aca="false">IF(AB85=1,(X85-G$1030)^2,0)</f>
        <v>0</v>
      </c>
      <c r="AG85" s="57" t="n">
        <f aca="false">IF(AC85=1,(Y85-H$1030)^2,0)</f>
        <v>0</v>
      </c>
      <c r="AH85" s="57" t="n">
        <f aca="false">IF(AD85=1,(Z85-I$1030)^2,0)</f>
        <v>0</v>
      </c>
      <c r="AI85" s="57" t="n">
        <f aca="false">IF(AE85=1,(AA85-J$1030)^2,0)</f>
        <v>33.4621395457335</v>
      </c>
    </row>
    <row r="86" customFormat="false" ht="12" hidden="false" customHeight="false" outlineLevel="0" collapsed="false">
      <c r="A86" s="5" t="n">
        <v>69</v>
      </c>
      <c r="B86" s="58" t="n">
        <f aca="true">IF(RAND()&lt;$D$8,1,0)</f>
        <v>1</v>
      </c>
      <c r="C86" s="47" t="n">
        <f aca="true">-LN(RAND())/$D$2</f>
        <v>0.399052469038445</v>
      </c>
      <c r="D86" s="59" t="n">
        <f aca="false">D85+C86</f>
        <v>70.094099047753</v>
      </c>
      <c r="E86" s="60" t="n">
        <f aca="false">MAX($D$3,(1+P85-VLOOKUP(VALUE(D86),$J$18:$Q85,7,TRUE()))*$D$3)</f>
        <v>6</v>
      </c>
      <c r="F86" s="60" t="n">
        <f aca="false">MAX($D$4,(1+Q85-VLOOKUP(VALUE(D86),$M$18:$Q85,5,TRUE()))*$D$4)</f>
        <v>8</v>
      </c>
      <c r="G86" s="61" t="n">
        <v>0.5</v>
      </c>
      <c r="H86" s="59" t="n">
        <f aca="true">IF((B86=1),(IF((F86&lt;E86),1,(IF((F86=E86),(IF(RAND()&lt;G86,1,0)),0)))),(IF((RAND()&lt;G86),1,0)))</f>
        <v>0</v>
      </c>
      <c r="I86" s="59" t="n">
        <f aca="true">IF((H86=1),0,$D$3+$D$5*(RAND()-0.5))</f>
        <v>1.82953809585033</v>
      </c>
      <c r="J86" s="59" t="n">
        <f aca="false">I86+MAX(D86,J85)</f>
        <v>75.1029702461623</v>
      </c>
      <c r="K86" s="59" t="n">
        <f aca="false">IF((H86=0),J86-D86,0)</f>
        <v>5.00887119840934</v>
      </c>
      <c r="L86" s="59" t="n">
        <f aca="true">IF(($H86=0),0,$D$4+$D$5*(RAND()-0.5))</f>
        <v>0</v>
      </c>
      <c r="M86" s="59" t="n">
        <f aca="false">L86+MAX(D86,M85)</f>
        <v>75.4796934603948</v>
      </c>
      <c r="N86" s="59" t="n">
        <f aca="false">IF((H86=1),M86-D86,0)</f>
        <v>0</v>
      </c>
      <c r="O86" s="5" t="n">
        <v>69</v>
      </c>
      <c r="P86" s="62" t="n">
        <f aca="false">IF((Arterial=0),P85+1,P85)</f>
        <v>34</v>
      </c>
      <c r="Q86" s="62" t="n">
        <f aca="false">IF((Arterial=1),Q85+1,Q85)</f>
        <v>35</v>
      </c>
      <c r="R86" s="63" t="e">
        <f aca="false">IF((RESET=1),0,R86+K86)</f>
        <v>#N/A</v>
      </c>
      <c r="S86" s="10" t="n">
        <f aca="false">IF(RESET=1,0,S86+N86)</f>
        <v>295.353861863987</v>
      </c>
      <c r="T86" s="0" t="e">
        <f aca="false">IF(RESET=1,0,T86+IF(H86=0,1,0))</f>
        <v>#N/A</v>
      </c>
      <c r="U86" s="0" t="n">
        <f aca="false">IF(RESET=1,0,U86+H86)</f>
        <v>28</v>
      </c>
      <c r="V86" s="10" t="e">
        <f aca="false">R86/(T86+0.00001)</f>
        <v>#N/A</v>
      </c>
      <c r="W86" s="10" t="n">
        <f aca="false">S86/(U86+0.0001)</f>
        <v>10.5483145368762</v>
      </c>
      <c r="X86" s="60" t="n">
        <f aca="false">IF(Informed=1,K86,0)</f>
        <v>5.00887119840934</v>
      </c>
      <c r="Y86" s="60" t="n">
        <f aca="false">IF(Informed=0,K86,0)</f>
        <v>0</v>
      </c>
      <c r="Z86" s="60" t="n">
        <f aca="false">IF(Informed=1,N86,0)</f>
        <v>0</v>
      </c>
      <c r="AA86" s="60" t="n">
        <f aca="false">IF(Informed=0,N86,0)</f>
        <v>0</v>
      </c>
      <c r="AB86" s="64" t="n">
        <f aca="false">IF(Arterial=0,IF(Informed=1,1,0),0)</f>
        <v>1</v>
      </c>
      <c r="AC86" s="64" t="n">
        <f aca="false">IF(Arterial=0,IF(Informed=0,1,0),0)</f>
        <v>0</v>
      </c>
      <c r="AD86" s="64" t="n">
        <f aca="false">IF(Arterial=1,IF(Informed=1,1,0),0)</f>
        <v>0</v>
      </c>
      <c r="AE86" s="64" t="n">
        <f aca="false">IF(Arterial=1,IF(Informed=0,1,0),0)</f>
        <v>0</v>
      </c>
      <c r="AF86" s="57" t="n">
        <f aca="false">IF(AB86=1,(X86-G$1030)^2,0)</f>
        <v>25.0887906822546</v>
      </c>
      <c r="AG86" s="57" t="n">
        <f aca="false">IF(AC86=1,(Y86-H$1030)^2,0)</f>
        <v>0</v>
      </c>
      <c r="AH86" s="57" t="n">
        <f aca="false">IF(AD86=1,(Z86-I$1030)^2,0)</f>
        <v>0</v>
      </c>
      <c r="AI86" s="57" t="n">
        <f aca="false">IF(AE86=1,(AA86-J$1030)^2,0)</f>
        <v>0</v>
      </c>
    </row>
    <row r="87" customFormat="false" ht="12" hidden="false" customHeight="false" outlineLevel="0" collapsed="false">
      <c r="A87" s="5" t="n">
        <v>70</v>
      </c>
      <c r="B87" s="58" t="n">
        <f aca="true">IF(RAND()&lt;$D$8,1,0)</f>
        <v>0</v>
      </c>
      <c r="C87" s="47" t="n">
        <f aca="true">-LN(RAND())/$D$2</f>
        <v>0.287041628108916</v>
      </c>
      <c r="D87" s="59" t="n">
        <f aca="false">D86+C87</f>
        <v>70.3811406758619</v>
      </c>
      <c r="E87" s="60" t="n">
        <f aca="false">MAX($D$3,(1+P86-VLOOKUP(VALUE(D87),$J$18:$Q86,7,TRUE()))*$D$3)</f>
        <v>8</v>
      </c>
      <c r="F87" s="60" t="n">
        <f aca="false">MAX($D$4,(1+Q86-VLOOKUP(VALUE(D87),$M$18:$Q86,5,TRUE()))*$D$4)</f>
        <v>8</v>
      </c>
      <c r="G87" s="61" t="n">
        <v>0.5</v>
      </c>
      <c r="H87" s="59" t="n">
        <f aca="true">IF((B87=1),(IF((F87&lt;E87),1,(IF((F87=E87),(IF(RAND()&lt;G87,1,0)),0)))),(IF((RAND()&lt;G87),1,0)))</f>
        <v>1</v>
      </c>
      <c r="I87" s="59" t="n">
        <f aca="true">IF((H87=1),0,$D$3+$D$5*(RAND()-0.5))</f>
        <v>0</v>
      </c>
      <c r="J87" s="59" t="n">
        <f aca="false">I87+MAX(D87,J86)</f>
        <v>75.1029702461623</v>
      </c>
      <c r="K87" s="59" t="n">
        <f aca="false">IF((H87=0),J87-D87,0)</f>
        <v>0</v>
      </c>
      <c r="L87" s="59" t="n">
        <f aca="true">IF(($H87=0),0,$D$4+$D$5*(RAND()-0.5))</f>
        <v>2.24413194311054</v>
      </c>
      <c r="M87" s="59" t="n">
        <f aca="false">L87+MAX(D87,M86)</f>
        <v>77.7238254035053</v>
      </c>
      <c r="N87" s="59" t="n">
        <f aca="false">IF((H87=1),M87-D87,0)</f>
        <v>7.34268472764346</v>
      </c>
      <c r="O87" s="5" t="n">
        <v>70</v>
      </c>
      <c r="P87" s="62" t="n">
        <f aca="false">IF((Arterial=0),P86+1,P86)</f>
        <v>34</v>
      </c>
      <c r="Q87" s="62" t="n">
        <f aca="false">IF((Arterial=1),Q86+1,Q86)</f>
        <v>36</v>
      </c>
      <c r="R87" s="63" t="n">
        <f aca="false">IF((RESET=1),0,R87+K87)</f>
        <v>282.106496909205</v>
      </c>
      <c r="S87" s="10" t="e">
        <f aca="false">IF(RESET=1,0,S87+N87)</f>
        <v>#N/A</v>
      </c>
      <c r="T87" s="0" t="n">
        <f aca="false">IF(RESET=1,0,T87+IF(H87=0,1,0))</f>
        <v>30</v>
      </c>
      <c r="U87" s="0" t="e">
        <f aca="false">IF(RESET=1,0,U87+H87)</f>
        <v>#N/A</v>
      </c>
      <c r="V87" s="10" t="n">
        <f aca="false">R87/(T87+0.00001)</f>
        <v>9.40354676245791</v>
      </c>
      <c r="W87" s="10" t="e">
        <f aca="false">S87/(U87+0.0001)</f>
        <v>#N/A</v>
      </c>
      <c r="X87" s="60" t="n">
        <f aca="false">IF(Informed=1,K87,0)</f>
        <v>0</v>
      </c>
      <c r="Y87" s="60" t="n">
        <f aca="false">IF(Informed=0,K87,0)</f>
        <v>0</v>
      </c>
      <c r="Z87" s="60" t="n">
        <f aca="false">IF(Informed=1,N87,0)</f>
        <v>0</v>
      </c>
      <c r="AA87" s="60" t="n">
        <f aca="false">IF(Informed=0,N87,0)</f>
        <v>7.34268472764346</v>
      </c>
      <c r="AB87" s="64" t="n">
        <f aca="false">IF(Arterial=0,IF(Informed=1,1,0),0)</f>
        <v>0</v>
      </c>
      <c r="AC87" s="64" t="n">
        <f aca="false">IF(Arterial=0,IF(Informed=0,1,0),0)</f>
        <v>0</v>
      </c>
      <c r="AD87" s="64" t="n">
        <f aca="false">IF(Arterial=1,IF(Informed=1,1,0),0)</f>
        <v>0</v>
      </c>
      <c r="AE87" s="64" t="n">
        <f aca="false">IF(Arterial=1,IF(Informed=0,1,0),0)</f>
        <v>1</v>
      </c>
      <c r="AF87" s="57" t="n">
        <f aca="false">IF(AB87=1,(X87-G$1030)^2,0)</f>
        <v>0</v>
      </c>
      <c r="AG87" s="57" t="n">
        <f aca="false">IF(AC87=1,(Y87-H$1030)^2,0)</f>
        <v>0</v>
      </c>
      <c r="AH87" s="57" t="n">
        <f aca="false">IF(AD87=1,(Z87-I$1030)^2,0)</f>
        <v>0</v>
      </c>
      <c r="AI87" s="57" t="n">
        <f aca="false">IF(AE87=1,(AA87-J$1030)^2,0)</f>
        <v>53.9150190095685</v>
      </c>
    </row>
    <row r="88" customFormat="false" ht="12" hidden="false" customHeight="false" outlineLevel="0" collapsed="false">
      <c r="A88" s="5" t="n">
        <v>71</v>
      </c>
      <c r="B88" s="58" t="n">
        <f aca="true">IF(RAND()&lt;$D$8,1,0)</f>
        <v>1</v>
      </c>
      <c r="C88" s="47" t="n">
        <f aca="true">-LN(RAND())/$D$2</f>
        <v>2.03520451901579</v>
      </c>
      <c r="D88" s="59" t="n">
        <f aca="false">D87+C88</f>
        <v>72.4163451948777</v>
      </c>
      <c r="E88" s="60" t="n">
        <f aca="false">MAX($D$3,(1+P87-VLOOKUP(VALUE(D88),$J$18:$Q87,7,TRUE()))*$D$3)</f>
        <v>6</v>
      </c>
      <c r="F88" s="60" t="n">
        <f aca="false">MAX($D$4,(1+Q87-VLOOKUP(VALUE(D88),$M$18:$Q87,5,TRUE()))*$D$4)</f>
        <v>8</v>
      </c>
      <c r="G88" s="61" t="n">
        <v>0.5</v>
      </c>
      <c r="H88" s="59" t="n">
        <f aca="true">IF((B88=1),(IF((F88&lt;E88),1,(IF((F88=E88),(IF(RAND()&lt;G88,1,0)),0)))),(IF((RAND()&lt;G88),1,0)))</f>
        <v>0</v>
      </c>
      <c r="I88" s="59" t="n">
        <f aca="true">IF((H88=1),0,$D$3+$D$5*(RAND()-0.5))</f>
        <v>2.0159886709368</v>
      </c>
      <c r="J88" s="59" t="n">
        <f aca="false">I88+MAX(D88,J87)</f>
        <v>77.1189589170991</v>
      </c>
      <c r="K88" s="59" t="n">
        <f aca="false">IF((H88=0),J88-D88,0)</f>
        <v>4.70261372222143</v>
      </c>
      <c r="L88" s="59" t="n">
        <f aca="true">IF(($H88=0),0,$D$4+$D$5*(RAND()-0.5))</f>
        <v>0</v>
      </c>
      <c r="M88" s="59" t="n">
        <f aca="false">L88+MAX(D88,M87)</f>
        <v>77.7238254035053</v>
      </c>
      <c r="N88" s="59" t="n">
        <f aca="false">IF((H88=1),M88-D88,0)</f>
        <v>0</v>
      </c>
      <c r="O88" s="5" t="n">
        <v>71</v>
      </c>
      <c r="P88" s="62" t="n">
        <f aca="false">IF((Arterial=0),P87+1,P87)</f>
        <v>35</v>
      </c>
      <c r="Q88" s="62" t="n">
        <f aca="false">IF((Arterial=1),Q87+1,Q87)</f>
        <v>36</v>
      </c>
      <c r="R88" s="63" t="e">
        <f aca="false">IF((RESET=1),0,R88+K88)</f>
        <v>#N/A</v>
      </c>
      <c r="S88" s="10" t="n">
        <f aca="false">IF(RESET=1,0,S88+N88)</f>
        <v>299.30272996829</v>
      </c>
      <c r="T88" s="0" t="e">
        <f aca="false">IF(RESET=1,0,T88+IF(H88=0,1,0))</f>
        <v>#N/A</v>
      </c>
      <c r="U88" s="0" t="n">
        <f aca="false">IF(RESET=1,0,U88+H88)</f>
        <v>29</v>
      </c>
      <c r="V88" s="10" t="e">
        <f aca="false">R88/(T88+0.00001)</f>
        <v>#N/A</v>
      </c>
      <c r="W88" s="10" t="n">
        <f aca="false">S88/(U88+0.0001)</f>
        <v>10.3207482032231</v>
      </c>
      <c r="X88" s="60" t="n">
        <f aca="false">IF(Informed=1,K88,0)</f>
        <v>4.70261372222143</v>
      </c>
      <c r="Y88" s="60" t="n">
        <f aca="false">IF(Informed=0,K88,0)</f>
        <v>0</v>
      </c>
      <c r="Z88" s="60" t="n">
        <f aca="false">IF(Informed=1,N88,0)</f>
        <v>0</v>
      </c>
      <c r="AA88" s="60" t="n">
        <f aca="false">IF(Informed=0,N88,0)</f>
        <v>0</v>
      </c>
      <c r="AB88" s="64" t="n">
        <f aca="false">IF(Arterial=0,IF(Informed=1,1,0),0)</f>
        <v>1</v>
      </c>
      <c r="AC88" s="64" t="n">
        <f aca="false">IF(Arterial=0,IF(Informed=0,1,0),0)</f>
        <v>0</v>
      </c>
      <c r="AD88" s="64" t="n">
        <f aca="false">IF(Arterial=1,IF(Informed=1,1,0),0)</f>
        <v>0</v>
      </c>
      <c r="AE88" s="64" t="n">
        <f aca="false">IF(Arterial=1,IF(Informed=0,1,0),0)</f>
        <v>0</v>
      </c>
      <c r="AF88" s="57" t="n">
        <f aca="false">IF(AB88=1,(X88-G$1030)^2,0)</f>
        <v>22.1145758204253</v>
      </c>
      <c r="AG88" s="57" t="n">
        <f aca="false">IF(AC88=1,(Y88-H$1030)^2,0)</f>
        <v>0</v>
      </c>
      <c r="AH88" s="57" t="n">
        <f aca="false">IF(AD88=1,(Z88-I$1030)^2,0)</f>
        <v>0</v>
      </c>
      <c r="AI88" s="57" t="n">
        <f aca="false">IF(AE88=1,(AA88-J$1030)^2,0)</f>
        <v>0</v>
      </c>
    </row>
    <row r="89" customFormat="false" ht="12" hidden="false" customHeight="false" outlineLevel="0" collapsed="false">
      <c r="A89" s="5" t="n">
        <v>72</v>
      </c>
      <c r="B89" s="58" t="n">
        <f aca="true">IF(RAND()&lt;$D$8,1,0)</f>
        <v>0</v>
      </c>
      <c r="C89" s="47" t="n">
        <f aca="true">-LN(RAND())/$D$2</f>
        <v>0.50869169266858</v>
      </c>
      <c r="D89" s="59" t="n">
        <f aca="false">D88+C89</f>
        <v>72.9250368875463</v>
      </c>
      <c r="E89" s="60" t="n">
        <f aca="false">MAX($D$3,(1+P88-VLOOKUP(VALUE(D89),$J$18:$Q88,7,TRUE()))*$D$3)</f>
        <v>8</v>
      </c>
      <c r="F89" s="60" t="n">
        <f aca="false">MAX($D$4,(1+Q88-VLOOKUP(VALUE(D89),$M$18:$Q88,5,TRUE()))*$D$4)</f>
        <v>8</v>
      </c>
      <c r="G89" s="61" t="n">
        <v>0.5</v>
      </c>
      <c r="H89" s="59" t="n">
        <f aca="true">IF((B89=1),(IF((F89&lt;E89),1,(IF((F89=E89),(IF(RAND()&lt;G89,1,0)),0)))),(IF((RAND()&lt;G89),1,0)))</f>
        <v>0</v>
      </c>
      <c r="I89" s="59" t="n">
        <f aca="true">IF((H89=1),0,$D$3+$D$5*(RAND()-0.5))</f>
        <v>2.04437332456675</v>
      </c>
      <c r="J89" s="59" t="n">
        <f aca="false">I89+MAX(D89,J88)</f>
        <v>79.1633322416659</v>
      </c>
      <c r="K89" s="59" t="n">
        <f aca="false">IF((H89=0),J89-D89,0)</f>
        <v>6.2382953541196</v>
      </c>
      <c r="L89" s="59" t="n">
        <f aca="true">IF(($H89=0),0,$D$4+$D$5*(RAND()-0.5))</f>
        <v>0</v>
      </c>
      <c r="M89" s="59" t="n">
        <f aca="false">L89+MAX(D89,M88)</f>
        <v>77.7238254035053</v>
      </c>
      <c r="N89" s="59" t="n">
        <f aca="false">IF((H89=1),M89-D89,0)</f>
        <v>0</v>
      </c>
      <c r="O89" s="5" t="n">
        <v>72</v>
      </c>
      <c r="P89" s="62" t="n">
        <f aca="false">IF((Arterial=0),P88+1,P88)</f>
        <v>36</v>
      </c>
      <c r="Q89" s="62" t="n">
        <f aca="false">IF((Arterial=1),Q88+1,Q88)</f>
        <v>36</v>
      </c>
      <c r="R89" s="63" t="e">
        <f aca="false">IF((RESET=1),0,R89+K89)</f>
        <v>#N/A</v>
      </c>
      <c r="S89" s="10" t="n">
        <f aca="false">IF(RESET=1,0,S89+N89)</f>
        <v>316.276211299484</v>
      </c>
      <c r="T89" s="0" t="e">
        <f aca="false">IF(RESET=1,0,T89+IF(H89=0,1,0))</f>
        <v>#N/A</v>
      </c>
      <c r="U89" s="0" t="n">
        <f aca="false">IF(RESET=1,0,U89+H89)</f>
        <v>29</v>
      </c>
      <c r="V89" s="10" t="e">
        <f aca="false">R89/(T89+0.00001)</f>
        <v>#N/A</v>
      </c>
      <c r="W89" s="10" t="n">
        <f aca="false">S89/(U89+0.0001)</f>
        <v>10.9060386446765</v>
      </c>
      <c r="X89" s="60" t="n">
        <f aca="false">IF(Informed=1,K89,0)</f>
        <v>0</v>
      </c>
      <c r="Y89" s="60" t="n">
        <f aca="false">IF(Informed=0,K89,0)</f>
        <v>6.2382953541196</v>
      </c>
      <c r="Z89" s="60" t="n">
        <f aca="false">IF(Informed=1,N89,0)</f>
        <v>0</v>
      </c>
      <c r="AA89" s="60" t="n">
        <f aca="false">IF(Informed=0,N89,0)</f>
        <v>0</v>
      </c>
      <c r="AB89" s="64" t="n">
        <f aca="false">IF(Arterial=0,IF(Informed=1,1,0),0)</f>
        <v>0</v>
      </c>
      <c r="AC89" s="64" t="n">
        <f aca="false">IF(Arterial=0,IF(Informed=0,1,0),0)</f>
        <v>1</v>
      </c>
      <c r="AD89" s="64" t="n">
        <f aca="false">IF(Arterial=1,IF(Informed=1,1,0),0)</f>
        <v>0</v>
      </c>
      <c r="AE89" s="64" t="n">
        <f aca="false">IF(Arterial=1,IF(Informed=0,1,0),0)</f>
        <v>0</v>
      </c>
      <c r="AF89" s="57" t="n">
        <f aca="false">IF(AB89=1,(X89-G$1030)^2,0)</f>
        <v>0</v>
      </c>
      <c r="AG89" s="57" t="n">
        <f aca="false">IF(AC89=1,(Y89-H$1030)^2,0)</f>
        <v>38.9163289252302</v>
      </c>
      <c r="AH89" s="57" t="n">
        <f aca="false">IF(AD89=1,(Z89-I$1030)^2,0)</f>
        <v>0</v>
      </c>
      <c r="AI89" s="57" t="n">
        <f aca="false">IF(AE89=1,(AA89-J$1030)^2,0)</f>
        <v>0</v>
      </c>
    </row>
    <row r="90" customFormat="false" ht="12" hidden="false" customHeight="false" outlineLevel="0" collapsed="false">
      <c r="A90" s="5" t="n">
        <v>73</v>
      </c>
      <c r="B90" s="58" t="n">
        <f aca="true">IF(RAND()&lt;$D$8,1,0)</f>
        <v>0</v>
      </c>
      <c r="C90" s="47" t="n">
        <f aca="true">-LN(RAND())/$D$2</f>
        <v>2.19323728296962</v>
      </c>
      <c r="D90" s="59" t="n">
        <f aca="false">D89+C90</f>
        <v>75.1182741705159</v>
      </c>
      <c r="E90" s="60" t="n">
        <f aca="false">MAX($D$3,(1+P89-VLOOKUP(VALUE(D90),$J$18:$Q89,7,TRUE()))*$D$3)</f>
        <v>6</v>
      </c>
      <c r="F90" s="60" t="n">
        <f aca="false">MAX($D$4,(1+Q89-VLOOKUP(VALUE(D90),$M$18:$Q89,5,TRUE()))*$D$4)</f>
        <v>6</v>
      </c>
      <c r="G90" s="61" t="n">
        <v>0.5</v>
      </c>
      <c r="H90" s="59" t="n">
        <f aca="true">IF((B90=1),(IF((F90&lt;E90),1,(IF((F90=E90),(IF(RAND()&lt;G90,1,0)),0)))),(IF((RAND()&lt;G90),1,0)))</f>
        <v>0</v>
      </c>
      <c r="I90" s="59" t="n">
        <f aca="true">IF((H90=1),0,$D$3+$D$5*(RAND()-0.5))</f>
        <v>1.93484018533969</v>
      </c>
      <c r="J90" s="59" t="n">
        <f aca="false">I90+MAX(D90,J89)</f>
        <v>81.0981724270055</v>
      </c>
      <c r="K90" s="59" t="n">
        <f aca="false">IF((H90=0),J90-D90,0)</f>
        <v>5.97989825648966</v>
      </c>
      <c r="L90" s="59" t="n">
        <f aca="true">IF(($H90=0),0,$D$4+$D$5*(RAND()-0.5))</f>
        <v>0</v>
      </c>
      <c r="M90" s="59" t="n">
        <f aca="false">L90+MAX(D90,M89)</f>
        <v>77.7238254035053</v>
      </c>
      <c r="N90" s="59" t="n">
        <f aca="false">IF((H90=1),M90-D90,0)</f>
        <v>0</v>
      </c>
      <c r="O90" s="5" t="n">
        <v>73</v>
      </c>
      <c r="P90" s="62" t="n">
        <f aca="false">IF((Arterial=0),P89+1,P89)</f>
        <v>37</v>
      </c>
      <c r="Q90" s="62" t="n">
        <f aca="false">IF((Arterial=1),Q89+1,Q89)</f>
        <v>36</v>
      </c>
      <c r="R90" s="63" t="e">
        <f aca="false">IF((RESET=1),0,R90+K90)</f>
        <v>#N/A</v>
      </c>
      <c r="S90" s="10" t="n">
        <f aca="false">IF(RESET=1,0,S90+N90)</f>
        <v>335.237557311689</v>
      </c>
      <c r="T90" s="0" t="e">
        <f aca="false">IF(RESET=1,0,T90+IF(H90=0,1,0))</f>
        <v>#N/A</v>
      </c>
      <c r="U90" s="0" t="n">
        <f aca="false">IF(RESET=1,0,U90+H90)</f>
        <v>32</v>
      </c>
      <c r="V90" s="10" t="e">
        <f aca="false">R90/(T90+0.00001)</f>
        <v>#N/A</v>
      </c>
      <c r="W90" s="10" t="n">
        <f aca="false">S90/(U90+0.0001)</f>
        <v>10.4761409280499</v>
      </c>
      <c r="X90" s="60" t="n">
        <f aca="false">IF(Informed=1,K90,0)</f>
        <v>0</v>
      </c>
      <c r="Y90" s="60" t="n">
        <f aca="false">IF(Informed=0,K90,0)</f>
        <v>5.97989825648966</v>
      </c>
      <c r="Z90" s="60" t="n">
        <f aca="false">IF(Informed=1,N90,0)</f>
        <v>0</v>
      </c>
      <c r="AA90" s="60" t="n">
        <f aca="false">IF(Informed=0,N90,0)</f>
        <v>0</v>
      </c>
      <c r="AB90" s="64" t="n">
        <f aca="false">IF(Arterial=0,IF(Informed=1,1,0),0)</f>
        <v>0</v>
      </c>
      <c r="AC90" s="64" t="n">
        <f aca="false">IF(Arterial=0,IF(Informed=0,1,0),0)</f>
        <v>1</v>
      </c>
      <c r="AD90" s="64" t="n">
        <f aca="false">IF(Arterial=1,IF(Informed=1,1,0),0)</f>
        <v>0</v>
      </c>
      <c r="AE90" s="64" t="n">
        <f aca="false">IF(Arterial=1,IF(Informed=0,1,0),0)</f>
        <v>0</v>
      </c>
      <c r="AF90" s="57" t="n">
        <f aca="false">IF(AB90=1,(X90-G$1030)^2,0)</f>
        <v>0</v>
      </c>
      <c r="AG90" s="57" t="n">
        <f aca="false">IF(AC90=1,(Y90-H$1030)^2,0)</f>
        <v>35.7591831579681</v>
      </c>
      <c r="AH90" s="57" t="n">
        <f aca="false">IF(AD90=1,(Z90-I$1030)^2,0)</f>
        <v>0</v>
      </c>
      <c r="AI90" s="57" t="n">
        <f aca="false">IF(AE90=1,(AA90-J$1030)^2,0)</f>
        <v>0</v>
      </c>
    </row>
    <row r="91" customFormat="false" ht="12" hidden="false" customHeight="false" outlineLevel="0" collapsed="false">
      <c r="A91" s="5" t="n">
        <v>74</v>
      </c>
      <c r="B91" s="58" t="n">
        <f aca="true">IF(RAND()&lt;$D$8,1,0)</f>
        <v>0</v>
      </c>
      <c r="C91" s="47" t="n">
        <f aca="true">-LN(RAND())/$D$2</f>
        <v>0.180104422533204</v>
      </c>
      <c r="D91" s="59" t="n">
        <f aca="false">D90+C91</f>
        <v>75.2983785930491</v>
      </c>
      <c r="E91" s="60" t="n">
        <f aca="false">MAX($D$3,(1+P90-VLOOKUP(VALUE(D91),$J$18:$Q90,7,TRUE()))*$D$3)</f>
        <v>8</v>
      </c>
      <c r="F91" s="60" t="n">
        <f aca="false">MAX($D$4,(1+Q90-VLOOKUP(VALUE(D91),$M$18:$Q90,5,TRUE()))*$D$4)</f>
        <v>6</v>
      </c>
      <c r="G91" s="61" t="n">
        <v>0.5</v>
      </c>
      <c r="H91" s="59" t="n">
        <f aca="true">IF((B91=1),(IF((F91&lt;E91),1,(IF((F91=E91),(IF(RAND()&lt;G91,1,0)),0)))),(IF((RAND()&lt;G91),1,0)))</f>
        <v>1</v>
      </c>
      <c r="I91" s="59" t="n">
        <f aca="true">IF((H91=1),0,$D$3+$D$5*(RAND()-0.5))</f>
        <v>0</v>
      </c>
      <c r="J91" s="59" t="n">
        <f aca="false">I91+MAX(D91,J90)</f>
        <v>81.0981724270055</v>
      </c>
      <c r="K91" s="59" t="n">
        <f aca="false">IF((H91=0),J91-D91,0)</f>
        <v>0</v>
      </c>
      <c r="L91" s="59" t="n">
        <f aca="true">IF(($H91=0),0,$D$4+$D$5*(RAND()-0.5))</f>
        <v>2.09977218857382</v>
      </c>
      <c r="M91" s="59" t="n">
        <f aca="false">L91+MAX(D91,M90)</f>
        <v>79.8235975920792</v>
      </c>
      <c r="N91" s="59" t="n">
        <f aca="false">IF((H91=1),M91-D91,0)</f>
        <v>4.52521899903007</v>
      </c>
      <c r="O91" s="5" t="n">
        <v>74</v>
      </c>
      <c r="P91" s="62" t="n">
        <f aca="false">IF((Arterial=0),P90+1,P90)</f>
        <v>37</v>
      </c>
      <c r="Q91" s="62" t="n">
        <f aca="false">IF((Arterial=1),Q90+1,Q90)</f>
        <v>37</v>
      </c>
      <c r="R91" s="63" t="n">
        <f aca="false">IF((RESET=1),0,R91+K91)</f>
        <v>308.490009631822</v>
      </c>
      <c r="S91" s="10" t="e">
        <f aca="false">IF(RESET=1,0,S91+N91)</f>
        <v>#N/A</v>
      </c>
      <c r="T91" s="0" t="n">
        <f aca="false">IF(RESET=1,0,T91+IF(H91=0,1,0))</f>
        <v>30</v>
      </c>
      <c r="U91" s="0" t="e">
        <f aca="false">IF(RESET=1,0,U91+H91)</f>
        <v>#N/A</v>
      </c>
      <c r="V91" s="10" t="n">
        <f aca="false">R91/(T91+0.00001)</f>
        <v>10.2829968933951</v>
      </c>
      <c r="W91" s="10" t="e">
        <f aca="false">S91/(U91+0.0001)</f>
        <v>#N/A</v>
      </c>
      <c r="X91" s="60" t="n">
        <f aca="false">IF(Informed=1,K91,0)</f>
        <v>0</v>
      </c>
      <c r="Y91" s="60" t="n">
        <f aca="false">IF(Informed=0,K91,0)</f>
        <v>0</v>
      </c>
      <c r="Z91" s="60" t="n">
        <f aca="false">IF(Informed=1,N91,0)</f>
        <v>0</v>
      </c>
      <c r="AA91" s="60" t="n">
        <f aca="false">IF(Informed=0,N91,0)</f>
        <v>4.52521899903007</v>
      </c>
      <c r="AB91" s="64" t="n">
        <f aca="false">IF(Arterial=0,IF(Informed=1,1,0),0)</f>
        <v>0</v>
      </c>
      <c r="AC91" s="64" t="n">
        <f aca="false">IF(Arterial=0,IF(Informed=0,1,0),0)</f>
        <v>0</v>
      </c>
      <c r="AD91" s="64" t="n">
        <f aca="false">IF(Arterial=1,IF(Informed=1,1,0),0)</f>
        <v>0</v>
      </c>
      <c r="AE91" s="64" t="n">
        <f aca="false">IF(Arterial=1,IF(Informed=0,1,0),0)</f>
        <v>1</v>
      </c>
      <c r="AF91" s="57" t="n">
        <f aca="false">IF(AB91=1,(X91-G$1030)^2,0)</f>
        <v>0</v>
      </c>
      <c r="AG91" s="57" t="n">
        <f aca="false">IF(AC91=1,(Y91-H$1030)^2,0)</f>
        <v>0</v>
      </c>
      <c r="AH91" s="57" t="n">
        <f aca="false">IF(AD91=1,(Z91-I$1030)^2,0)</f>
        <v>0</v>
      </c>
      <c r="AI91" s="57" t="n">
        <f aca="false">IF(AE91=1,(AA91-J$1030)^2,0)</f>
        <v>20.4776069891827</v>
      </c>
    </row>
    <row r="92" customFormat="false" ht="12" hidden="false" customHeight="false" outlineLevel="0" collapsed="false">
      <c r="A92" s="5" t="n">
        <v>75</v>
      </c>
      <c r="B92" s="58" t="n">
        <f aca="true">IF(RAND()&lt;$D$8,1,0)</f>
        <v>1</v>
      </c>
      <c r="C92" s="47" t="n">
        <f aca="true">-LN(RAND())/$D$2</f>
        <v>0.97690303947911</v>
      </c>
      <c r="D92" s="59" t="n">
        <f aca="false">D91+C92</f>
        <v>76.2752816325282</v>
      </c>
      <c r="E92" s="60" t="n">
        <f aca="false">MAX($D$3,(1+P91-VLOOKUP(VALUE(D92),$J$18:$Q91,7,TRUE()))*$D$3)</f>
        <v>8</v>
      </c>
      <c r="F92" s="60" t="n">
        <f aca="false">MAX($D$4,(1+Q91-VLOOKUP(VALUE(D92),$M$18:$Q91,5,TRUE()))*$D$4)</f>
        <v>6</v>
      </c>
      <c r="G92" s="61" t="n">
        <v>0.5</v>
      </c>
      <c r="H92" s="59" t="n">
        <f aca="true">IF((B92=1),(IF((F92&lt;E92),1,(IF((F92=E92),(IF(RAND()&lt;G92,1,0)),0)))),(IF((RAND()&lt;G92),1,0)))</f>
        <v>1</v>
      </c>
      <c r="I92" s="59" t="n">
        <f aca="true">IF((H92=1),0,$D$3+$D$5*(RAND()-0.5))</f>
        <v>0</v>
      </c>
      <c r="J92" s="59" t="n">
        <f aca="false">I92+MAX(D92,J91)</f>
        <v>81.0981724270055</v>
      </c>
      <c r="K92" s="59" t="n">
        <f aca="false">IF((H92=0),J92-D92,0)</f>
        <v>0</v>
      </c>
      <c r="L92" s="59" t="n">
        <f aca="true">IF(($H92=0),0,$D$4+$D$5*(RAND()-0.5))</f>
        <v>1.89203155011531</v>
      </c>
      <c r="M92" s="59" t="n">
        <f aca="false">L92+MAX(D92,M91)</f>
        <v>81.7156291421945</v>
      </c>
      <c r="N92" s="59" t="n">
        <f aca="false">IF((H92=1),M92-D92,0)</f>
        <v>5.44034750966627</v>
      </c>
      <c r="O92" s="5" t="n">
        <v>75</v>
      </c>
      <c r="P92" s="62" t="n">
        <f aca="false">IF((Arterial=0),P91+1,P91)</f>
        <v>37</v>
      </c>
      <c r="Q92" s="62" t="n">
        <f aca="false">IF((Arterial=1),Q91+1,Q91)</f>
        <v>38</v>
      </c>
      <c r="R92" s="63" t="n">
        <f aca="false">IF((RESET=1),0,R92+K92)</f>
        <v>307.233524092308</v>
      </c>
      <c r="S92" s="10" t="e">
        <f aca="false">IF(RESET=1,0,S92+N92)</f>
        <v>#N/A</v>
      </c>
      <c r="T92" s="0" t="n">
        <f aca="false">IF(RESET=1,0,T92+IF(H92=0,1,0))</f>
        <v>28</v>
      </c>
      <c r="U92" s="0" t="e">
        <f aca="false">IF(RESET=1,0,U92+H92)</f>
        <v>#N/A</v>
      </c>
      <c r="V92" s="10" t="n">
        <f aca="false">R92/(T92+0.00001)</f>
        <v>10.972621941646</v>
      </c>
      <c r="W92" s="10" t="e">
        <f aca="false">S92/(U92+0.0001)</f>
        <v>#N/A</v>
      </c>
      <c r="X92" s="60" t="n">
        <f aca="false">IF(Informed=1,K92,0)</f>
        <v>0</v>
      </c>
      <c r="Y92" s="60" t="n">
        <f aca="false">IF(Informed=0,K92,0)</f>
        <v>0</v>
      </c>
      <c r="Z92" s="60" t="n">
        <f aca="false">IF(Informed=1,N92,0)</f>
        <v>5.44034750966627</v>
      </c>
      <c r="AA92" s="60" t="n">
        <f aca="false">IF(Informed=0,N92,0)</f>
        <v>0</v>
      </c>
      <c r="AB92" s="64" t="n">
        <f aca="false">IF(Arterial=0,IF(Informed=1,1,0),0)</f>
        <v>0</v>
      </c>
      <c r="AC92" s="64" t="n">
        <f aca="false">IF(Arterial=0,IF(Informed=0,1,0),0)</f>
        <v>0</v>
      </c>
      <c r="AD92" s="64" t="n">
        <f aca="false">IF(Arterial=1,IF(Informed=1,1,0),0)</f>
        <v>1</v>
      </c>
      <c r="AE92" s="64" t="n">
        <f aca="false">IF(Arterial=1,IF(Informed=0,1,0),0)</f>
        <v>0</v>
      </c>
      <c r="AF92" s="57" t="n">
        <f aca="false">IF(AB92=1,(X92-G$1030)^2,0)</f>
        <v>0</v>
      </c>
      <c r="AG92" s="57" t="n">
        <f aca="false">IF(AC92=1,(Y92-H$1030)^2,0)</f>
        <v>0</v>
      </c>
      <c r="AH92" s="57" t="n">
        <f aca="false">IF(AD92=1,(Z92-I$1030)^2,0)</f>
        <v>29.597381025932</v>
      </c>
      <c r="AI92" s="57" t="n">
        <f aca="false">IF(AE92=1,(AA92-J$1030)^2,0)</f>
        <v>0</v>
      </c>
    </row>
    <row r="93" customFormat="false" ht="12" hidden="false" customHeight="false" outlineLevel="0" collapsed="false">
      <c r="A93" s="5" t="n">
        <v>76</v>
      </c>
      <c r="B93" s="58" t="n">
        <f aca="true">IF(RAND()&lt;$D$8,1,0)</f>
        <v>0</v>
      </c>
      <c r="C93" s="47" t="n">
        <f aca="true">-LN(RAND())/$D$2</f>
        <v>0.98044922137179</v>
      </c>
      <c r="D93" s="59" t="n">
        <f aca="false">D92+C93</f>
        <v>77.2557308539</v>
      </c>
      <c r="E93" s="60" t="n">
        <f aca="false">MAX($D$3,(1+P92-VLOOKUP(VALUE(D93),$J$18:$Q92,7,TRUE()))*$D$3)</f>
        <v>6</v>
      </c>
      <c r="F93" s="60" t="n">
        <f aca="false">MAX($D$4,(1+Q92-VLOOKUP(VALUE(D93),$M$18:$Q92,5,TRUE()))*$D$4)</f>
        <v>8</v>
      </c>
      <c r="G93" s="61" t="n">
        <v>0.5</v>
      </c>
      <c r="H93" s="59" t="n">
        <f aca="true">IF((B93=1),(IF((F93&lt;E93),1,(IF((F93=E93),(IF(RAND()&lt;G93,1,0)),0)))),(IF((RAND()&lt;G93),1,0)))</f>
        <v>1</v>
      </c>
      <c r="I93" s="59" t="n">
        <f aca="true">IF((H93=1),0,$D$3+$D$5*(RAND()-0.5))</f>
        <v>0</v>
      </c>
      <c r="J93" s="59" t="n">
        <f aca="false">I93+MAX(D93,J92)</f>
        <v>81.0981724270055</v>
      </c>
      <c r="K93" s="59" t="n">
        <f aca="false">IF((H93=0),J93-D93,0)</f>
        <v>0</v>
      </c>
      <c r="L93" s="59" t="n">
        <f aca="true">IF(($H93=0),0,$D$4+$D$5*(RAND()-0.5))</f>
        <v>1.99824068336768</v>
      </c>
      <c r="M93" s="59" t="n">
        <f aca="false">L93+MAX(D93,M92)</f>
        <v>83.7138698255621</v>
      </c>
      <c r="N93" s="59" t="n">
        <f aca="false">IF((H93=1),M93-D93,0)</f>
        <v>6.45813897166217</v>
      </c>
      <c r="O93" s="5" t="n">
        <v>76</v>
      </c>
      <c r="P93" s="62" t="n">
        <f aca="false">IF((Arterial=0),P92+1,P92)</f>
        <v>37</v>
      </c>
      <c r="Q93" s="62" t="n">
        <f aca="false">IF((Arterial=1),Q92+1,Q92)</f>
        <v>39</v>
      </c>
      <c r="R93" s="63" t="n">
        <f aca="false">IF((RESET=1),0,R93+K93)</f>
        <v>287.997344267648</v>
      </c>
      <c r="S93" s="10" t="e">
        <f aca="false">IF(RESET=1,0,S93+N93)</f>
        <v>#N/A</v>
      </c>
      <c r="T93" s="0" t="n">
        <f aca="false">IF(RESET=1,0,T93+IF(H93=0,1,0))</f>
        <v>28</v>
      </c>
      <c r="U93" s="0" t="e">
        <f aca="false">IF(RESET=1,0,U93+H93)</f>
        <v>#N/A</v>
      </c>
      <c r="V93" s="10" t="n">
        <f aca="false">R93/(T93+0.00001)</f>
        <v>10.2856157646961</v>
      </c>
      <c r="W93" s="10" t="e">
        <f aca="false">S93/(U93+0.0001)</f>
        <v>#N/A</v>
      </c>
      <c r="X93" s="60" t="n">
        <f aca="false">IF(Informed=1,K93,0)</f>
        <v>0</v>
      </c>
      <c r="Y93" s="60" t="n">
        <f aca="false">IF(Informed=0,K93,0)</f>
        <v>0</v>
      </c>
      <c r="Z93" s="60" t="n">
        <f aca="false">IF(Informed=1,N93,0)</f>
        <v>0</v>
      </c>
      <c r="AA93" s="60" t="n">
        <f aca="false">IF(Informed=0,N93,0)</f>
        <v>6.45813897166217</v>
      </c>
      <c r="AB93" s="64" t="n">
        <f aca="false">IF(Arterial=0,IF(Informed=1,1,0),0)</f>
        <v>0</v>
      </c>
      <c r="AC93" s="64" t="n">
        <f aca="false">IF(Arterial=0,IF(Informed=0,1,0),0)</f>
        <v>0</v>
      </c>
      <c r="AD93" s="64" t="n">
        <f aca="false">IF(Arterial=1,IF(Informed=1,1,0),0)</f>
        <v>0</v>
      </c>
      <c r="AE93" s="64" t="n">
        <f aca="false">IF(Arterial=1,IF(Informed=0,1,0),0)</f>
        <v>1</v>
      </c>
      <c r="AF93" s="57" t="n">
        <f aca="false">IF(AB93=1,(X93-G$1030)^2,0)</f>
        <v>0</v>
      </c>
      <c r="AG93" s="57" t="n">
        <f aca="false">IF(AC93=1,(Y93-H$1030)^2,0)</f>
        <v>0</v>
      </c>
      <c r="AH93" s="57" t="n">
        <f aca="false">IF(AD93=1,(Z93-I$1030)^2,0)</f>
        <v>0</v>
      </c>
      <c r="AI93" s="57" t="n">
        <f aca="false">IF(AE93=1,(AA93-J$1030)^2,0)</f>
        <v>41.7075589773017</v>
      </c>
    </row>
    <row r="94" customFormat="false" ht="12" hidden="false" customHeight="false" outlineLevel="0" collapsed="false">
      <c r="A94" s="5" t="n">
        <v>77</v>
      </c>
      <c r="B94" s="58" t="n">
        <f aca="true">IF(RAND()&lt;$D$8,1,0)</f>
        <v>0</v>
      </c>
      <c r="C94" s="47" t="n">
        <f aca="true">-LN(RAND())/$D$2</f>
        <v>0.635744309921064</v>
      </c>
      <c r="D94" s="59" t="n">
        <f aca="false">D93+C94</f>
        <v>77.891475163821</v>
      </c>
      <c r="E94" s="60" t="n">
        <f aca="false">MAX($D$3,(1+P93-VLOOKUP(VALUE(D94),$J$18:$Q93,7,TRUE()))*$D$3)</f>
        <v>6</v>
      </c>
      <c r="F94" s="60" t="n">
        <f aca="false">MAX($D$4,(1+Q93-VLOOKUP(VALUE(D94),$M$18:$Q93,5,TRUE()))*$D$4)</f>
        <v>8</v>
      </c>
      <c r="G94" s="61" t="n">
        <v>0.5</v>
      </c>
      <c r="H94" s="59" t="n">
        <f aca="true">IF((B94=1),(IF((F94&lt;E94),1,(IF((F94=E94),(IF(RAND()&lt;G94,1,0)),0)))),(IF((RAND()&lt;G94),1,0)))</f>
        <v>1</v>
      </c>
      <c r="I94" s="59" t="n">
        <f aca="true">IF((H94=1),0,$D$3+$D$5*(RAND()-0.5))</f>
        <v>0</v>
      </c>
      <c r="J94" s="59" t="n">
        <f aca="false">I94+MAX(D94,J93)</f>
        <v>81.0981724270055</v>
      </c>
      <c r="K94" s="59" t="n">
        <f aca="false">IF((H94=0),J94-D94,0)</f>
        <v>0</v>
      </c>
      <c r="L94" s="59" t="n">
        <f aca="true">IF(($H94=0),0,$D$4+$D$5*(RAND()-0.5))</f>
        <v>1.75510268781817</v>
      </c>
      <c r="M94" s="59" t="n">
        <f aca="false">L94+MAX(D94,M93)</f>
        <v>85.4689725133803</v>
      </c>
      <c r="N94" s="59" t="n">
        <f aca="false">IF((H94=1),M94-D94,0)</f>
        <v>7.57749734955927</v>
      </c>
      <c r="O94" s="5" t="n">
        <v>77</v>
      </c>
      <c r="P94" s="62" t="n">
        <f aca="false">IF((Arterial=0),P93+1,P93)</f>
        <v>37</v>
      </c>
      <c r="Q94" s="62" t="n">
        <f aca="false">IF((Arterial=1),Q93+1,Q93)</f>
        <v>40</v>
      </c>
      <c r="R94" s="63" t="n">
        <f aca="false">IF((RESET=1),0,R94+K94)</f>
        <v>291.371163050048</v>
      </c>
      <c r="S94" s="10" t="e">
        <f aca="false">IF(RESET=1,0,S94+N94)</f>
        <v>#N/A</v>
      </c>
      <c r="T94" s="0" t="n">
        <f aca="false">IF(RESET=1,0,T94+IF(H94=0,1,0))</f>
        <v>26</v>
      </c>
      <c r="U94" s="0" t="e">
        <f aca="false">IF(RESET=1,0,U94+H94)</f>
        <v>#N/A</v>
      </c>
      <c r="V94" s="10" t="n">
        <f aca="false">R94/(T94+0.00001)</f>
        <v>11.20657888401</v>
      </c>
      <c r="W94" s="10" t="e">
        <f aca="false">S94/(U94+0.0001)</f>
        <v>#N/A</v>
      </c>
      <c r="X94" s="60" t="n">
        <f aca="false">IF(Informed=1,K94,0)</f>
        <v>0</v>
      </c>
      <c r="Y94" s="60" t="n">
        <f aca="false">IF(Informed=0,K94,0)</f>
        <v>0</v>
      </c>
      <c r="Z94" s="60" t="n">
        <f aca="false">IF(Informed=1,N94,0)</f>
        <v>0</v>
      </c>
      <c r="AA94" s="60" t="n">
        <f aca="false">IF(Informed=0,N94,0)</f>
        <v>7.57749734955927</v>
      </c>
      <c r="AB94" s="64" t="n">
        <f aca="false">IF(Arterial=0,IF(Informed=1,1,0),0)</f>
        <v>0</v>
      </c>
      <c r="AC94" s="64" t="n">
        <f aca="false">IF(Arterial=0,IF(Informed=0,1,0),0)</f>
        <v>0</v>
      </c>
      <c r="AD94" s="64" t="n">
        <f aca="false">IF(Arterial=1,IF(Informed=1,1,0),0)</f>
        <v>0</v>
      </c>
      <c r="AE94" s="64" t="n">
        <f aca="false">IF(Arterial=1,IF(Informed=0,1,0),0)</f>
        <v>1</v>
      </c>
      <c r="AF94" s="57" t="n">
        <f aca="false">IF(AB94=1,(X94-G$1030)^2,0)</f>
        <v>0</v>
      </c>
      <c r="AG94" s="57" t="n">
        <f aca="false">IF(AC94=1,(Y94-H$1030)^2,0)</f>
        <v>0</v>
      </c>
      <c r="AH94" s="57" t="n">
        <f aca="false">IF(AD94=1,(Z94-I$1030)^2,0)</f>
        <v>0</v>
      </c>
      <c r="AI94" s="57" t="n">
        <f aca="false">IF(AE94=1,(AA94-J$1030)^2,0)</f>
        <v>57.4184660825777</v>
      </c>
    </row>
    <row r="95" customFormat="false" ht="12" hidden="false" customHeight="false" outlineLevel="0" collapsed="false">
      <c r="A95" s="5" t="n">
        <v>78</v>
      </c>
      <c r="B95" s="58" t="n">
        <f aca="true">IF(RAND()&lt;$D$8,1,0)</f>
        <v>1</v>
      </c>
      <c r="C95" s="47" t="n">
        <f aca="true">-LN(RAND())/$D$2</f>
        <v>0.649307305887302</v>
      </c>
      <c r="D95" s="59" t="n">
        <f aca="false">D94+C95</f>
        <v>78.5407824697084</v>
      </c>
      <c r="E95" s="60" t="n">
        <f aca="false">MAX($D$3,(1+P94-VLOOKUP(VALUE(D95),$J$18:$Q94,7,TRUE()))*$D$3)</f>
        <v>6</v>
      </c>
      <c r="F95" s="60" t="n">
        <f aca="false">MAX($D$4,(1+Q94-VLOOKUP(VALUE(D95),$M$18:$Q94,5,TRUE()))*$D$4)</f>
        <v>10</v>
      </c>
      <c r="G95" s="61" t="n">
        <v>0.5</v>
      </c>
      <c r="H95" s="59" t="n">
        <f aca="true">IF((B95=1),(IF((F95&lt;E95),1,(IF((F95=E95),(IF(RAND()&lt;G95,1,0)),0)))),(IF((RAND()&lt;G95),1,0)))</f>
        <v>0</v>
      </c>
      <c r="I95" s="59" t="n">
        <f aca="true">IF((H95=1),0,$D$3+$D$5*(RAND()-0.5))</f>
        <v>2.03284568622099</v>
      </c>
      <c r="J95" s="59" t="n">
        <f aca="false">I95+MAX(D95,J94)</f>
        <v>83.1310181132265</v>
      </c>
      <c r="K95" s="59" t="n">
        <f aca="false">IF((H95=0),J95-D95,0)</f>
        <v>4.59023564351818</v>
      </c>
      <c r="L95" s="59" t="n">
        <f aca="true">IF(($H95=0),0,$D$4+$D$5*(RAND()-0.5))</f>
        <v>0</v>
      </c>
      <c r="M95" s="59" t="n">
        <f aca="false">L95+MAX(D95,M94)</f>
        <v>85.4689725133803</v>
      </c>
      <c r="N95" s="59" t="n">
        <f aca="false">IF((H95=1),M95-D95,0)</f>
        <v>0</v>
      </c>
      <c r="O95" s="5" t="n">
        <v>78</v>
      </c>
      <c r="P95" s="62" t="n">
        <f aca="false">IF((Arterial=0),P94+1,P94)</f>
        <v>38</v>
      </c>
      <c r="Q95" s="62" t="n">
        <f aca="false">IF((Arterial=1),Q94+1,Q94)</f>
        <v>40</v>
      </c>
      <c r="R95" s="63" t="e">
        <f aca="false">IF((RESET=1),0,R95+K95)</f>
        <v>#N/A</v>
      </c>
      <c r="S95" s="10" t="n">
        <f aca="false">IF(RESET=1,0,S95+N95)</f>
        <v>367.928156157363</v>
      </c>
      <c r="T95" s="0" t="e">
        <f aca="false">IF(RESET=1,0,T95+IF(H95=0,1,0))</f>
        <v>#N/A</v>
      </c>
      <c r="U95" s="0" t="n">
        <f aca="false">IF(RESET=1,0,U95+H95)</f>
        <v>30</v>
      </c>
      <c r="V95" s="10" t="e">
        <f aca="false">R95/(T95+0.00001)</f>
        <v>#N/A</v>
      </c>
      <c r="W95" s="10" t="n">
        <f aca="false">S95/(U95+0.0001)</f>
        <v>12.2642309911421</v>
      </c>
      <c r="X95" s="60" t="n">
        <f aca="false">IF(Informed=1,K95,0)</f>
        <v>4.59023564351818</v>
      </c>
      <c r="Y95" s="60" t="n">
        <f aca="false">IF(Informed=0,K95,0)</f>
        <v>0</v>
      </c>
      <c r="Z95" s="60" t="n">
        <f aca="false">IF(Informed=1,N95,0)</f>
        <v>0</v>
      </c>
      <c r="AA95" s="60" t="n">
        <f aca="false">IF(Informed=0,N95,0)</f>
        <v>0</v>
      </c>
      <c r="AB95" s="64" t="n">
        <f aca="false">IF(Arterial=0,IF(Informed=1,1,0),0)</f>
        <v>1</v>
      </c>
      <c r="AC95" s="64" t="n">
        <f aca="false">IF(Arterial=0,IF(Informed=0,1,0),0)</f>
        <v>0</v>
      </c>
      <c r="AD95" s="64" t="n">
        <f aca="false">IF(Arterial=1,IF(Informed=1,1,0),0)</f>
        <v>0</v>
      </c>
      <c r="AE95" s="64" t="n">
        <f aca="false">IF(Arterial=1,IF(Informed=0,1,0),0)</f>
        <v>0</v>
      </c>
      <c r="AF95" s="57" t="n">
        <f aca="false">IF(AB95=1,(X95-G$1030)^2,0)</f>
        <v>21.0702632630248</v>
      </c>
      <c r="AG95" s="57" t="n">
        <f aca="false">IF(AC95=1,(Y95-H$1030)^2,0)</f>
        <v>0</v>
      </c>
      <c r="AH95" s="57" t="n">
        <f aca="false">IF(AD95=1,(Z95-I$1030)^2,0)</f>
        <v>0</v>
      </c>
      <c r="AI95" s="57" t="n">
        <f aca="false">IF(AE95=1,(AA95-J$1030)^2,0)</f>
        <v>0</v>
      </c>
    </row>
    <row r="96" customFormat="false" ht="12" hidden="false" customHeight="false" outlineLevel="0" collapsed="false">
      <c r="A96" s="5" t="n">
        <v>79</v>
      </c>
      <c r="B96" s="58" t="n">
        <f aca="true">IF(RAND()&lt;$D$8,1,0)</f>
        <v>1</v>
      </c>
      <c r="C96" s="47" t="n">
        <f aca="true">-LN(RAND())/$D$2</f>
        <v>1.62944856020685</v>
      </c>
      <c r="D96" s="59" t="n">
        <f aca="false">D95+C96</f>
        <v>80.1702310299152</v>
      </c>
      <c r="E96" s="60" t="n">
        <f aca="false">MAX($D$3,(1+P95-VLOOKUP(VALUE(D96),$J$18:$Q95,7,TRUE()))*$D$3)</f>
        <v>6</v>
      </c>
      <c r="F96" s="60" t="n">
        <f aca="false">MAX($D$4,(1+Q95-VLOOKUP(VALUE(D96),$M$18:$Q95,5,TRUE()))*$D$4)</f>
        <v>8</v>
      </c>
      <c r="G96" s="61" t="n">
        <v>0.5</v>
      </c>
      <c r="H96" s="59" t="n">
        <f aca="true">IF((B96=1),(IF((F96&lt;E96),1,(IF((F96=E96),(IF(RAND()&lt;G96,1,0)),0)))),(IF((RAND()&lt;G96),1,0)))</f>
        <v>0</v>
      </c>
      <c r="I96" s="59" t="n">
        <f aca="true">IF((H96=1),0,$D$3+$D$5*(RAND()-0.5))</f>
        <v>1.90634838191765</v>
      </c>
      <c r="J96" s="59" t="n">
        <f aca="false">I96+MAX(D96,J95)</f>
        <v>85.0373664951442</v>
      </c>
      <c r="K96" s="59" t="n">
        <f aca="false">IF((H96=0),J96-D96,0)</f>
        <v>4.86713546522897</v>
      </c>
      <c r="L96" s="59" t="n">
        <f aca="true">IF(($H96=0),0,$D$4+$D$5*(RAND()-0.5))</f>
        <v>0</v>
      </c>
      <c r="M96" s="59" t="n">
        <f aca="false">L96+MAX(D96,M95)</f>
        <v>85.4689725133803</v>
      </c>
      <c r="N96" s="59" t="n">
        <f aca="false">IF((H96=1),M96-D96,0)</f>
        <v>0</v>
      </c>
      <c r="O96" s="5" t="n">
        <v>79</v>
      </c>
      <c r="P96" s="62" t="n">
        <f aca="false">IF((Arterial=0),P95+1,P95)</f>
        <v>39</v>
      </c>
      <c r="Q96" s="62" t="n">
        <f aca="false">IF((Arterial=1),Q95+1,Q95)</f>
        <v>40</v>
      </c>
      <c r="R96" s="63" t="e">
        <f aca="false">IF((RESET=1),0,R96+K96)</f>
        <v>#N/A</v>
      </c>
      <c r="S96" s="10" t="n">
        <f aca="false">IF(RESET=1,0,S96+N96)</f>
        <v>292.135663263494</v>
      </c>
      <c r="T96" s="0" t="e">
        <f aca="false">IF(RESET=1,0,T96+IF(H96=0,1,0))</f>
        <v>#N/A</v>
      </c>
      <c r="U96" s="0" t="n">
        <f aca="false">IF(RESET=1,0,U96+H96)</f>
        <v>29</v>
      </c>
      <c r="V96" s="10" t="e">
        <f aca="false">R96/(T96+0.00001)</f>
        <v>#N/A</v>
      </c>
      <c r="W96" s="10" t="n">
        <f aca="false">S96/(U96+0.0001)</f>
        <v>10.073608824228</v>
      </c>
      <c r="X96" s="60" t="n">
        <f aca="false">IF(Informed=1,K96,0)</f>
        <v>4.86713546522897</v>
      </c>
      <c r="Y96" s="60" t="n">
        <f aca="false">IF(Informed=0,K96,0)</f>
        <v>0</v>
      </c>
      <c r="Z96" s="60" t="n">
        <f aca="false">IF(Informed=1,N96,0)</f>
        <v>0</v>
      </c>
      <c r="AA96" s="60" t="n">
        <f aca="false">IF(Informed=0,N96,0)</f>
        <v>0</v>
      </c>
      <c r="AB96" s="64" t="n">
        <f aca="false">IF(Arterial=0,IF(Informed=1,1,0),0)</f>
        <v>1</v>
      </c>
      <c r="AC96" s="64" t="n">
        <f aca="false">IF(Arterial=0,IF(Informed=0,1,0),0)</f>
        <v>0</v>
      </c>
      <c r="AD96" s="64" t="n">
        <f aca="false">IF(Arterial=1,IF(Informed=1,1,0),0)</f>
        <v>0</v>
      </c>
      <c r="AE96" s="64" t="n">
        <f aca="false">IF(Arterial=1,IF(Informed=0,1,0),0)</f>
        <v>0</v>
      </c>
      <c r="AF96" s="57" t="n">
        <f aca="false">IF(AB96=1,(X96-G$1030)^2,0)</f>
        <v>23.6890076368896</v>
      </c>
      <c r="AG96" s="57" t="n">
        <f aca="false">IF(AC96=1,(Y96-H$1030)^2,0)</f>
        <v>0</v>
      </c>
      <c r="AH96" s="57" t="n">
        <f aca="false">IF(AD96=1,(Z96-I$1030)^2,0)</f>
        <v>0</v>
      </c>
      <c r="AI96" s="57" t="n">
        <f aca="false">IF(AE96=1,(AA96-J$1030)^2,0)</f>
        <v>0</v>
      </c>
    </row>
    <row r="97" customFormat="false" ht="12" hidden="false" customHeight="false" outlineLevel="0" collapsed="false">
      <c r="A97" s="5" t="n">
        <v>80</v>
      </c>
      <c r="B97" s="58" t="n">
        <f aca="true">IF(RAND()&lt;$D$8,1,0)</f>
        <v>1</v>
      </c>
      <c r="C97" s="47" t="n">
        <f aca="true">-LN(RAND())/$D$2</f>
        <v>0.481845541639728</v>
      </c>
      <c r="D97" s="59" t="n">
        <f aca="false">D96+C97</f>
        <v>80.6520765715549</v>
      </c>
      <c r="E97" s="60" t="n">
        <f aca="false">MAX($D$3,(1+P96-VLOOKUP(VALUE(D97),$J$18:$Q96,7,TRUE()))*$D$3)</f>
        <v>8</v>
      </c>
      <c r="F97" s="60" t="n">
        <f aca="false">MAX($D$4,(1+Q96-VLOOKUP(VALUE(D97),$M$18:$Q96,5,TRUE()))*$D$4)</f>
        <v>8</v>
      </c>
      <c r="G97" s="61" t="n">
        <v>0.5</v>
      </c>
      <c r="H97" s="59" t="n">
        <f aca="true">IF((B97=1),(IF((F97&lt;E97),1,(IF((F97=E97),(IF(RAND()&lt;G97,1,0)),0)))),(IF((RAND()&lt;G97),1,0)))</f>
        <v>0</v>
      </c>
      <c r="I97" s="59" t="n">
        <f aca="true">IF((H97=1),0,$D$3+$D$5*(RAND()-0.5))</f>
        <v>2.17669854466881</v>
      </c>
      <c r="J97" s="59" t="n">
        <f aca="false">I97+MAX(D97,J96)</f>
        <v>87.214065039813</v>
      </c>
      <c r="K97" s="59" t="n">
        <f aca="false">IF((H97=0),J97-D97,0)</f>
        <v>6.56198846825805</v>
      </c>
      <c r="L97" s="59" t="n">
        <f aca="true">IF(($H97=0),0,$D$4+$D$5*(RAND()-0.5))</f>
        <v>0</v>
      </c>
      <c r="M97" s="59" t="n">
        <f aca="false">L97+MAX(D97,M96)</f>
        <v>85.4689725133803</v>
      </c>
      <c r="N97" s="59" t="n">
        <f aca="false">IF((H97=1),M97-D97,0)</f>
        <v>0</v>
      </c>
      <c r="O97" s="5" t="n">
        <v>80</v>
      </c>
      <c r="P97" s="62" t="n">
        <f aca="false">IF((Arterial=0),P96+1,P96)</f>
        <v>40</v>
      </c>
      <c r="Q97" s="62" t="n">
        <f aca="false">IF((Arterial=1),Q96+1,Q96)</f>
        <v>40</v>
      </c>
      <c r="R97" s="63" t="e">
        <f aca="false">IF((RESET=1),0,R97+K97)</f>
        <v>#N/A</v>
      </c>
      <c r="S97" s="10" t="n">
        <f aca="false">IF(RESET=1,0,S97+N97)</f>
        <v>269.914880971319</v>
      </c>
      <c r="T97" s="0" t="e">
        <f aca="false">IF(RESET=1,0,T97+IF(H97=0,1,0))</f>
        <v>#N/A</v>
      </c>
      <c r="U97" s="0" t="n">
        <f aca="false">IF(RESET=1,0,U97+H97)</f>
        <v>23</v>
      </c>
      <c r="V97" s="10" t="e">
        <f aca="false">R97/(T97+0.00001)</f>
        <v>#N/A</v>
      </c>
      <c r="W97" s="10" t="n">
        <f aca="false">S97/(U97+0.0001)</f>
        <v>11.7353785840635</v>
      </c>
      <c r="X97" s="60" t="n">
        <f aca="false">IF(Informed=1,K97,0)</f>
        <v>6.56198846825805</v>
      </c>
      <c r="Y97" s="60" t="n">
        <f aca="false">IF(Informed=0,K97,0)</f>
        <v>0</v>
      </c>
      <c r="Z97" s="60" t="n">
        <f aca="false">IF(Informed=1,N97,0)</f>
        <v>0</v>
      </c>
      <c r="AA97" s="60" t="n">
        <f aca="false">IF(Informed=0,N97,0)</f>
        <v>0</v>
      </c>
      <c r="AB97" s="64" t="n">
        <f aca="false">IF(Arterial=0,IF(Informed=1,1,0),0)</f>
        <v>1</v>
      </c>
      <c r="AC97" s="64" t="n">
        <f aca="false">IF(Arterial=0,IF(Informed=0,1,0),0)</f>
        <v>0</v>
      </c>
      <c r="AD97" s="64" t="n">
        <f aca="false">IF(Arterial=1,IF(Informed=1,1,0),0)</f>
        <v>0</v>
      </c>
      <c r="AE97" s="64" t="n">
        <f aca="false">IF(Arterial=1,IF(Informed=0,1,0),0)</f>
        <v>0</v>
      </c>
      <c r="AF97" s="57" t="n">
        <f aca="false">IF(AB97=1,(X97-G$1030)^2,0)</f>
        <v>43.0596926575516</v>
      </c>
      <c r="AG97" s="57" t="n">
        <f aca="false">IF(AC97=1,(Y97-H$1030)^2,0)</f>
        <v>0</v>
      </c>
      <c r="AH97" s="57" t="n">
        <f aca="false">IF(AD97=1,(Z97-I$1030)^2,0)</f>
        <v>0</v>
      </c>
      <c r="AI97" s="57" t="n">
        <f aca="false">IF(AE97=1,(AA97-J$1030)^2,0)</f>
        <v>0</v>
      </c>
    </row>
    <row r="98" customFormat="false" ht="12" hidden="false" customHeight="false" outlineLevel="0" collapsed="false">
      <c r="A98" s="5" t="n">
        <v>81</v>
      </c>
      <c r="B98" s="58" t="n">
        <f aca="true">IF(RAND()&lt;$D$8,1,0)</f>
        <v>0</v>
      </c>
      <c r="C98" s="47" t="n">
        <f aca="true">-LN(RAND())/$D$2</f>
        <v>1.27384374078464</v>
      </c>
      <c r="D98" s="59" t="n">
        <f aca="false">D97+C98</f>
        <v>81.9259203123396</v>
      </c>
      <c r="E98" s="60" t="n">
        <f aca="false">MAX($D$3,(1+P97-VLOOKUP(VALUE(D98),$J$18:$Q97,7,TRUE()))*$D$3)</f>
        <v>8</v>
      </c>
      <c r="F98" s="60" t="n">
        <f aca="false">MAX($D$4,(1+Q97-VLOOKUP(VALUE(D98),$M$18:$Q97,5,TRUE()))*$D$4)</f>
        <v>6</v>
      </c>
      <c r="G98" s="61" t="n">
        <v>0.5</v>
      </c>
      <c r="H98" s="59" t="n">
        <f aca="true">IF((B98=1),(IF((F98&lt;E98),1,(IF((F98=E98),(IF(RAND()&lt;G98,1,0)),0)))),(IF((RAND()&lt;G98),1,0)))</f>
        <v>0</v>
      </c>
      <c r="I98" s="59" t="n">
        <f aca="true">IF((H98=1),0,$D$3+$D$5*(RAND()-0.5))</f>
        <v>1.77570300748188</v>
      </c>
      <c r="J98" s="59" t="n">
        <f aca="false">I98+MAX(D98,J97)</f>
        <v>88.9897680472949</v>
      </c>
      <c r="K98" s="59" t="n">
        <f aca="false">IF((H98=0),J98-D98,0)</f>
        <v>7.06384773495529</v>
      </c>
      <c r="L98" s="59" t="n">
        <f aca="true">IF(($H98=0),0,$D$4+$D$5*(RAND()-0.5))</f>
        <v>0</v>
      </c>
      <c r="M98" s="59" t="n">
        <f aca="false">L98+MAX(D98,M97)</f>
        <v>85.4689725133803</v>
      </c>
      <c r="N98" s="59" t="n">
        <f aca="false">IF((H98=1),M98-D98,0)</f>
        <v>0</v>
      </c>
      <c r="O98" s="5" t="n">
        <v>81</v>
      </c>
      <c r="P98" s="62" t="n">
        <f aca="false">IF((Arterial=0),P97+1,P97)</f>
        <v>41</v>
      </c>
      <c r="Q98" s="62" t="n">
        <f aca="false">IF((Arterial=1),Q97+1,Q97)</f>
        <v>40</v>
      </c>
      <c r="R98" s="63" t="e">
        <f aca="false">IF((RESET=1),0,R98+K98)</f>
        <v>#N/A</v>
      </c>
      <c r="S98" s="10" t="n">
        <f aca="false">IF(RESET=1,0,S98+N98)</f>
        <v>263.389740931919</v>
      </c>
      <c r="T98" s="0" t="e">
        <f aca="false">IF(RESET=1,0,T98+IF(H98=0,1,0))</f>
        <v>#N/A</v>
      </c>
      <c r="U98" s="0" t="n">
        <f aca="false">IF(RESET=1,0,U98+H98)</f>
        <v>25</v>
      </c>
      <c r="V98" s="10" t="e">
        <f aca="false">R98/(T98+0.00001)</f>
        <v>#N/A</v>
      </c>
      <c r="W98" s="10" t="n">
        <f aca="false">S98/(U98+0.0001)</f>
        <v>10.5355474950868</v>
      </c>
      <c r="X98" s="60" t="n">
        <f aca="false">IF(Informed=1,K98,0)</f>
        <v>0</v>
      </c>
      <c r="Y98" s="60" t="n">
        <f aca="false">IF(Informed=0,K98,0)</f>
        <v>7.06384773495529</v>
      </c>
      <c r="Z98" s="60" t="n">
        <f aca="false">IF(Informed=1,N98,0)</f>
        <v>0</v>
      </c>
      <c r="AA98" s="60" t="n">
        <f aca="false">IF(Informed=0,N98,0)</f>
        <v>0</v>
      </c>
      <c r="AB98" s="64" t="n">
        <f aca="false">IF(Arterial=0,IF(Informed=1,1,0),0)</f>
        <v>0</v>
      </c>
      <c r="AC98" s="64" t="n">
        <f aca="false">IF(Arterial=0,IF(Informed=0,1,0),0)</f>
        <v>1</v>
      </c>
      <c r="AD98" s="64" t="n">
        <f aca="false">IF(Arterial=1,IF(Informed=1,1,0),0)</f>
        <v>0</v>
      </c>
      <c r="AE98" s="64" t="n">
        <f aca="false">IF(Arterial=1,IF(Informed=0,1,0),0)</f>
        <v>0</v>
      </c>
      <c r="AF98" s="57" t="n">
        <f aca="false">IF(AB98=1,(X98-G$1030)^2,0)</f>
        <v>0</v>
      </c>
      <c r="AG98" s="57" t="n">
        <f aca="false">IF(AC98=1,(Y98-H$1030)^2,0)</f>
        <v>49.897944822633</v>
      </c>
      <c r="AH98" s="57" t="n">
        <f aca="false">IF(AD98=1,(Z98-I$1030)^2,0)</f>
        <v>0</v>
      </c>
      <c r="AI98" s="57" t="n">
        <f aca="false">IF(AE98=1,(AA98-J$1030)^2,0)</f>
        <v>0</v>
      </c>
    </row>
    <row r="99" customFormat="false" ht="12" hidden="false" customHeight="false" outlineLevel="0" collapsed="false">
      <c r="A99" s="5" t="n">
        <v>82</v>
      </c>
      <c r="B99" s="58" t="n">
        <f aca="true">IF(RAND()&lt;$D$8,1,0)</f>
        <v>1</v>
      </c>
      <c r="C99" s="47" t="n">
        <f aca="true">-LN(RAND())/$D$2</f>
        <v>1.6899483235498</v>
      </c>
      <c r="D99" s="59" t="n">
        <f aca="false">D98+C99</f>
        <v>83.6158686358894</v>
      </c>
      <c r="E99" s="60" t="n">
        <f aca="false">MAX($D$3,(1+P98-VLOOKUP(VALUE(D99),$J$18:$Q98,7,TRUE()))*$D$3)</f>
        <v>8</v>
      </c>
      <c r="F99" s="60" t="n">
        <f aca="false">MAX($D$4,(1+Q98-VLOOKUP(VALUE(D99),$M$18:$Q98,5,TRUE()))*$D$4)</f>
        <v>6</v>
      </c>
      <c r="G99" s="61" t="n">
        <v>0.5</v>
      </c>
      <c r="H99" s="59" t="n">
        <f aca="true">IF((B99=1),(IF((F99&lt;E99),1,(IF((F99=E99),(IF(RAND()&lt;G99,1,0)),0)))),(IF((RAND()&lt;G99),1,0)))</f>
        <v>1</v>
      </c>
      <c r="I99" s="59" t="n">
        <f aca="true">IF((H99=1),0,$D$3+$D$5*(RAND()-0.5))</f>
        <v>0</v>
      </c>
      <c r="J99" s="59" t="n">
        <f aca="false">I99+MAX(D99,J98)</f>
        <v>88.9897680472949</v>
      </c>
      <c r="K99" s="59" t="n">
        <f aca="false">IF((H99=0),J99-D99,0)</f>
        <v>0</v>
      </c>
      <c r="L99" s="59" t="n">
        <f aca="true">IF(($H99=0),0,$D$4+$D$5*(RAND()-0.5))</f>
        <v>2.14393390646387</v>
      </c>
      <c r="M99" s="59" t="n">
        <f aca="false">L99+MAX(D99,M98)</f>
        <v>87.6129064198442</v>
      </c>
      <c r="N99" s="59" t="n">
        <f aca="false">IF((H99=1),M99-D99,0)</f>
        <v>3.99703778395481</v>
      </c>
      <c r="O99" s="5" t="n">
        <v>82</v>
      </c>
      <c r="P99" s="62" t="n">
        <f aca="false">IF((Arterial=0),P98+1,P98)</f>
        <v>41</v>
      </c>
      <c r="Q99" s="62" t="n">
        <f aca="false">IF((Arterial=1),Q98+1,Q98)</f>
        <v>41</v>
      </c>
      <c r="R99" s="63" t="n">
        <f aca="false">IF((RESET=1),0,R99+K99)</f>
        <v>386.652556813086</v>
      </c>
      <c r="S99" s="10" t="e">
        <f aca="false">IF(RESET=1,0,S99+N99)</f>
        <v>#N/A</v>
      </c>
      <c r="T99" s="0" t="n">
        <f aca="false">IF(RESET=1,0,T99+IF(H99=0,1,0))</f>
        <v>36</v>
      </c>
      <c r="U99" s="0" t="e">
        <f aca="false">IF(RESET=1,0,U99+H99)</f>
        <v>#N/A</v>
      </c>
      <c r="V99" s="10" t="n">
        <f aca="false">R99/(T99+0.00001)</f>
        <v>10.7403458169341</v>
      </c>
      <c r="W99" s="10" t="e">
        <f aca="false">S99/(U99+0.0001)</f>
        <v>#N/A</v>
      </c>
      <c r="X99" s="60" t="n">
        <f aca="false">IF(Informed=1,K99,0)</f>
        <v>0</v>
      </c>
      <c r="Y99" s="60" t="n">
        <f aca="false">IF(Informed=0,K99,0)</f>
        <v>0</v>
      </c>
      <c r="Z99" s="60" t="n">
        <f aca="false">IF(Informed=1,N99,0)</f>
        <v>3.99703778395481</v>
      </c>
      <c r="AA99" s="60" t="n">
        <f aca="false">IF(Informed=0,N99,0)</f>
        <v>0</v>
      </c>
      <c r="AB99" s="64" t="n">
        <f aca="false">IF(Arterial=0,IF(Informed=1,1,0),0)</f>
        <v>0</v>
      </c>
      <c r="AC99" s="64" t="n">
        <f aca="false">IF(Arterial=0,IF(Informed=0,1,0),0)</f>
        <v>0</v>
      </c>
      <c r="AD99" s="64" t="n">
        <f aca="false">IF(Arterial=1,IF(Informed=1,1,0),0)</f>
        <v>1</v>
      </c>
      <c r="AE99" s="64" t="n">
        <f aca="false">IF(Arterial=1,IF(Informed=0,1,0),0)</f>
        <v>0</v>
      </c>
      <c r="AF99" s="57" t="n">
        <f aca="false">IF(AB99=1,(X99-G$1030)^2,0)</f>
        <v>0</v>
      </c>
      <c r="AG99" s="57" t="n">
        <f aca="false">IF(AC99=1,(Y99-H$1030)^2,0)</f>
        <v>0</v>
      </c>
      <c r="AH99" s="57" t="n">
        <f aca="false">IF(AD99=1,(Z99-I$1030)^2,0)</f>
        <v>15.9763110463624</v>
      </c>
      <c r="AI99" s="57" t="n">
        <f aca="false">IF(AE99=1,(AA99-J$1030)^2,0)</f>
        <v>0</v>
      </c>
    </row>
    <row r="100" customFormat="false" ht="12" hidden="false" customHeight="false" outlineLevel="0" collapsed="false">
      <c r="A100" s="5" t="n">
        <v>83</v>
      </c>
      <c r="B100" s="58" t="n">
        <f aca="true">IF(RAND()&lt;$D$8,1,0)</f>
        <v>1</v>
      </c>
      <c r="C100" s="47" t="n">
        <f aca="true">-LN(RAND())/$D$2</f>
        <v>0.215039441694112</v>
      </c>
      <c r="D100" s="59" t="n">
        <f aca="false">D99+C100</f>
        <v>83.8309080775835</v>
      </c>
      <c r="E100" s="60" t="n">
        <f aca="false">MAX($D$3,(1+P99-VLOOKUP(VALUE(D100),$J$18:$Q99,7,TRUE()))*$D$3)</f>
        <v>8</v>
      </c>
      <c r="F100" s="60" t="n">
        <f aca="false">MAX($D$4,(1+Q99-VLOOKUP(VALUE(D100),$M$18:$Q99,5,TRUE()))*$D$4)</f>
        <v>6</v>
      </c>
      <c r="G100" s="61" t="n">
        <v>0.5</v>
      </c>
      <c r="H100" s="59" t="n">
        <f aca="true">IF((B100=1),(IF((F100&lt;E100),1,(IF((F100=E100),(IF(RAND()&lt;G100,1,0)),0)))),(IF((RAND()&lt;G100),1,0)))</f>
        <v>1</v>
      </c>
      <c r="I100" s="59" t="n">
        <f aca="true">IF((H100=1),0,$D$3+$D$5*(RAND()-0.5))</f>
        <v>0</v>
      </c>
      <c r="J100" s="59" t="n">
        <f aca="false">I100+MAX(D100,J99)</f>
        <v>88.9897680472949</v>
      </c>
      <c r="K100" s="59" t="n">
        <f aca="false">IF((H100=0),J100-D100,0)</f>
        <v>0</v>
      </c>
      <c r="L100" s="59" t="n">
        <f aca="true">IF(($H100=0),0,$D$4+$D$5*(RAND()-0.5))</f>
        <v>2.18101709351203</v>
      </c>
      <c r="M100" s="59" t="n">
        <f aca="false">L100+MAX(D100,M99)</f>
        <v>89.7939235133562</v>
      </c>
      <c r="N100" s="59" t="n">
        <f aca="false">IF((H100=1),M100-D100,0)</f>
        <v>5.96301543577272</v>
      </c>
      <c r="O100" s="5" t="n">
        <v>83</v>
      </c>
      <c r="P100" s="62" t="n">
        <f aca="false">IF((Arterial=0),P99+1,P99)</f>
        <v>41</v>
      </c>
      <c r="Q100" s="62" t="n">
        <f aca="false">IF((Arterial=1),Q99+1,Q99)</f>
        <v>42</v>
      </c>
      <c r="R100" s="63" t="n">
        <f aca="false">IF((RESET=1),0,R100+K100)</f>
        <v>184.90909031783</v>
      </c>
      <c r="S100" s="10" t="e">
        <f aca="false">IF(RESET=1,0,S100+N100)</f>
        <v>#N/A</v>
      </c>
      <c r="T100" s="0" t="n">
        <f aca="false">IF(RESET=1,0,T100+IF(H100=0,1,0))</f>
        <v>20</v>
      </c>
      <c r="U100" s="0" t="e">
        <f aca="false">IF(RESET=1,0,U100+H100)</f>
        <v>#N/A</v>
      </c>
      <c r="V100" s="10" t="n">
        <f aca="false">R100/(T100+0.00001)</f>
        <v>9.24544989316653</v>
      </c>
      <c r="W100" s="10" t="e">
        <f aca="false">S100/(U100+0.0001)</f>
        <v>#N/A</v>
      </c>
      <c r="X100" s="60" t="n">
        <f aca="false">IF(Informed=1,K100,0)</f>
        <v>0</v>
      </c>
      <c r="Y100" s="60" t="n">
        <f aca="false">IF(Informed=0,K100,0)</f>
        <v>0</v>
      </c>
      <c r="Z100" s="60" t="n">
        <f aca="false">IF(Informed=1,N100,0)</f>
        <v>5.96301543577272</v>
      </c>
      <c r="AA100" s="60" t="n">
        <f aca="false">IF(Informed=0,N100,0)</f>
        <v>0</v>
      </c>
      <c r="AB100" s="64" t="n">
        <f aca="false">IF(Arterial=0,IF(Informed=1,1,0),0)</f>
        <v>0</v>
      </c>
      <c r="AC100" s="64" t="n">
        <f aca="false">IF(Arterial=0,IF(Informed=0,1,0),0)</f>
        <v>0</v>
      </c>
      <c r="AD100" s="64" t="n">
        <f aca="false">IF(Arterial=1,IF(Informed=1,1,0),0)</f>
        <v>1</v>
      </c>
      <c r="AE100" s="64" t="n">
        <f aca="false">IF(Arterial=1,IF(Informed=0,1,0),0)</f>
        <v>0</v>
      </c>
      <c r="AF100" s="57" t="n">
        <f aca="false">IF(AB100=1,(X100-G$1030)^2,0)</f>
        <v>0</v>
      </c>
      <c r="AG100" s="57" t="n">
        <f aca="false">IF(AC100=1,(Y100-H$1030)^2,0)</f>
        <v>0</v>
      </c>
      <c r="AH100" s="57" t="n">
        <f aca="false">IF(AD100=1,(Z100-I$1030)^2,0)</f>
        <v>35.5575530872637</v>
      </c>
      <c r="AI100" s="57" t="n">
        <f aca="false">IF(AE100=1,(AA100-J$1030)^2,0)</f>
        <v>0</v>
      </c>
    </row>
    <row r="101" customFormat="false" ht="12" hidden="false" customHeight="false" outlineLevel="0" collapsed="false">
      <c r="A101" s="5" t="n">
        <v>84</v>
      </c>
      <c r="B101" s="58" t="n">
        <f aca="true">IF(RAND()&lt;$D$8,1,0)</f>
        <v>1</v>
      </c>
      <c r="C101" s="47" t="n">
        <f aca="true">-LN(RAND())/$D$2</f>
        <v>0.537972753816559</v>
      </c>
      <c r="D101" s="59" t="n">
        <f aca="false">D100+C101</f>
        <v>84.3688808314001</v>
      </c>
      <c r="E101" s="60" t="n">
        <f aca="false">MAX($D$3,(1+P100-VLOOKUP(VALUE(D101),$J$18:$Q100,7,TRUE()))*$D$3)</f>
        <v>8</v>
      </c>
      <c r="F101" s="60" t="n">
        <f aca="false">MAX($D$4,(1+Q100-VLOOKUP(VALUE(D101),$M$18:$Q100,5,TRUE()))*$D$4)</f>
        <v>8</v>
      </c>
      <c r="G101" s="61" t="n">
        <v>0.5</v>
      </c>
      <c r="H101" s="59" t="n">
        <f aca="true">IF((B101=1),(IF((F101&lt;E101),1,(IF((F101=E101),(IF(RAND()&lt;G101,1,0)),0)))),(IF((RAND()&lt;G101),1,0)))</f>
        <v>0</v>
      </c>
      <c r="I101" s="59" t="n">
        <f aca="true">IF((H101=1),0,$D$3+$D$5*(RAND()-0.5))</f>
        <v>1.82966287248635</v>
      </c>
      <c r="J101" s="59" t="n">
        <f aca="false">I101+MAX(D101,J100)</f>
        <v>90.8194309197812</v>
      </c>
      <c r="K101" s="59" t="n">
        <f aca="false">IF((H101=0),J101-D101,0)</f>
        <v>6.45055008838116</v>
      </c>
      <c r="L101" s="59" t="n">
        <f aca="true">IF(($H101=0),0,$D$4+$D$5*(RAND()-0.5))</f>
        <v>0</v>
      </c>
      <c r="M101" s="59" t="n">
        <f aca="false">L101+MAX(D101,M100)</f>
        <v>89.7939235133562</v>
      </c>
      <c r="N101" s="59" t="n">
        <f aca="false">IF((H101=1),M101-D101,0)</f>
        <v>0</v>
      </c>
      <c r="O101" s="5" t="n">
        <v>84</v>
      </c>
      <c r="P101" s="62" t="n">
        <f aca="false">IF((Arterial=0),P100+1,P100)</f>
        <v>42</v>
      </c>
      <c r="Q101" s="62" t="n">
        <f aca="false">IF((Arterial=1),Q100+1,Q100)</f>
        <v>42</v>
      </c>
      <c r="R101" s="63" t="e">
        <f aca="false">IF((RESET=1),0,R101+K101)</f>
        <v>#N/A</v>
      </c>
      <c r="S101" s="10" t="n">
        <f aca="false">IF(RESET=1,0,S101+N101)</f>
        <v>253.997360390316</v>
      </c>
      <c r="T101" s="0" t="e">
        <f aca="false">IF(RESET=1,0,T101+IF(H101=0,1,0))</f>
        <v>#N/A</v>
      </c>
      <c r="U101" s="0" t="n">
        <f aca="false">IF(RESET=1,0,U101+H101)</f>
        <v>24</v>
      </c>
      <c r="V101" s="10" t="e">
        <f aca="false">R101/(T101+0.00001)</f>
        <v>#N/A</v>
      </c>
      <c r="W101" s="10" t="n">
        <f aca="false">S101/(U101+0.0001)</f>
        <v>10.5831792530163</v>
      </c>
      <c r="X101" s="60" t="n">
        <f aca="false">IF(Informed=1,K101,0)</f>
        <v>6.45055008838116</v>
      </c>
      <c r="Y101" s="60" t="n">
        <f aca="false">IF(Informed=0,K101,0)</f>
        <v>0</v>
      </c>
      <c r="Z101" s="60" t="n">
        <f aca="false">IF(Informed=1,N101,0)</f>
        <v>0</v>
      </c>
      <c r="AA101" s="60" t="n">
        <f aca="false">IF(Informed=0,N101,0)</f>
        <v>0</v>
      </c>
      <c r="AB101" s="64" t="n">
        <f aca="false">IF(Arterial=0,IF(Informed=1,1,0),0)</f>
        <v>1</v>
      </c>
      <c r="AC101" s="64" t="n">
        <f aca="false">IF(Arterial=0,IF(Informed=0,1,0),0)</f>
        <v>0</v>
      </c>
      <c r="AD101" s="64" t="n">
        <f aca="false">IF(Arterial=1,IF(Informed=1,1,0),0)</f>
        <v>0</v>
      </c>
      <c r="AE101" s="64" t="n">
        <f aca="false">IF(Arterial=1,IF(Informed=0,1,0),0)</f>
        <v>0</v>
      </c>
      <c r="AF101" s="57" t="n">
        <f aca="false">IF(AB101=1,(X101-G$1030)^2,0)</f>
        <v>41.6095964427142</v>
      </c>
      <c r="AG101" s="57" t="n">
        <f aca="false">IF(AC101=1,(Y101-H$1030)^2,0)</f>
        <v>0</v>
      </c>
      <c r="AH101" s="57" t="n">
        <f aca="false">IF(AD101=1,(Z101-I$1030)^2,0)</f>
        <v>0</v>
      </c>
      <c r="AI101" s="57" t="n">
        <f aca="false">IF(AE101=1,(AA101-J$1030)^2,0)</f>
        <v>0</v>
      </c>
    </row>
    <row r="102" customFormat="false" ht="12" hidden="false" customHeight="false" outlineLevel="0" collapsed="false">
      <c r="A102" s="5" t="n">
        <v>85</v>
      </c>
      <c r="B102" s="58" t="n">
        <f aca="true">IF(RAND()&lt;$D$8,1,0)</f>
        <v>0</v>
      </c>
      <c r="C102" s="47" t="n">
        <f aca="true">-LN(RAND())/$D$2</f>
        <v>0.402956039989494</v>
      </c>
      <c r="D102" s="59" t="n">
        <f aca="false">D101+C102</f>
        <v>84.7718368713895</v>
      </c>
      <c r="E102" s="60" t="n">
        <f aca="false">MAX($D$3,(1+P101-VLOOKUP(VALUE(D102),$J$18:$Q101,7,TRUE()))*$D$3)</f>
        <v>10</v>
      </c>
      <c r="F102" s="60" t="n">
        <f aca="false">MAX($D$4,(1+Q101-VLOOKUP(VALUE(D102),$M$18:$Q101,5,TRUE()))*$D$4)</f>
        <v>8</v>
      </c>
      <c r="G102" s="61" t="n">
        <v>0.5</v>
      </c>
      <c r="H102" s="59" t="n">
        <f aca="true">IF((B102=1),(IF((F102&lt;E102),1,(IF((F102=E102),(IF(RAND()&lt;G102,1,0)),0)))),(IF((RAND()&lt;G102),1,0)))</f>
        <v>0</v>
      </c>
      <c r="I102" s="59" t="n">
        <f aca="true">IF((H102=1),0,$D$3+$D$5*(RAND()-0.5))</f>
        <v>1.97483032604762</v>
      </c>
      <c r="J102" s="59" t="n">
        <f aca="false">I102+MAX(D102,J101)</f>
        <v>92.7942612458288</v>
      </c>
      <c r="K102" s="59" t="n">
        <f aca="false">IF((H102=0),J102-D102,0)</f>
        <v>8.0224243744393</v>
      </c>
      <c r="L102" s="59" t="n">
        <f aca="true">IF(($H102=0),0,$D$4+$D$5*(RAND()-0.5))</f>
        <v>0</v>
      </c>
      <c r="M102" s="59" t="n">
        <f aca="false">L102+MAX(D102,M101)</f>
        <v>89.7939235133562</v>
      </c>
      <c r="N102" s="59" t="n">
        <f aca="false">IF((H102=1),M102-D102,0)</f>
        <v>0</v>
      </c>
      <c r="O102" s="5" t="n">
        <v>85</v>
      </c>
      <c r="P102" s="62" t="n">
        <f aca="false">IF((Arterial=0),P101+1,P101)</f>
        <v>43</v>
      </c>
      <c r="Q102" s="62" t="n">
        <f aca="false">IF((Arterial=1),Q101+1,Q101)</f>
        <v>42</v>
      </c>
      <c r="R102" s="63" t="e">
        <f aca="false">IF((RESET=1),0,R102+K102)</f>
        <v>#N/A</v>
      </c>
      <c r="S102" s="10" t="n">
        <f aca="false">IF(RESET=1,0,S102+N102)</f>
        <v>352.811553661709</v>
      </c>
      <c r="T102" s="0" t="e">
        <f aca="false">IF(RESET=1,0,T102+IF(H102=0,1,0))</f>
        <v>#N/A</v>
      </c>
      <c r="U102" s="0" t="n">
        <f aca="false">IF(RESET=1,0,U102+H102)</f>
        <v>33</v>
      </c>
      <c r="V102" s="10" t="e">
        <f aca="false">R102/(T102+0.00001)</f>
        <v>#N/A</v>
      </c>
      <c r="W102" s="10" t="n">
        <f aca="false">S102/(U102+0.0001)</f>
        <v>10.691226804213</v>
      </c>
      <c r="X102" s="60" t="n">
        <f aca="false">IF(Informed=1,K102,0)</f>
        <v>0</v>
      </c>
      <c r="Y102" s="60" t="n">
        <f aca="false">IF(Informed=0,K102,0)</f>
        <v>8.0224243744393</v>
      </c>
      <c r="Z102" s="60" t="n">
        <f aca="false">IF(Informed=1,N102,0)</f>
        <v>0</v>
      </c>
      <c r="AA102" s="60" t="n">
        <f aca="false">IF(Informed=0,N102,0)</f>
        <v>0</v>
      </c>
      <c r="AB102" s="64" t="n">
        <f aca="false">IF(Arterial=0,IF(Informed=1,1,0),0)</f>
        <v>0</v>
      </c>
      <c r="AC102" s="64" t="n">
        <f aca="false">IF(Arterial=0,IF(Informed=0,1,0),0)</f>
        <v>1</v>
      </c>
      <c r="AD102" s="64" t="n">
        <f aca="false">IF(Arterial=1,IF(Informed=1,1,0),0)</f>
        <v>0</v>
      </c>
      <c r="AE102" s="64" t="n">
        <f aca="false">IF(Arterial=1,IF(Informed=0,1,0),0)</f>
        <v>0</v>
      </c>
      <c r="AF102" s="57" t="n">
        <f aca="false">IF(AB102=1,(X102-G$1030)^2,0)</f>
        <v>0</v>
      </c>
      <c r="AG102" s="57" t="n">
        <f aca="false">IF(AC102=1,(Y102-H$1030)^2,0)</f>
        <v>64.3592928435977</v>
      </c>
      <c r="AH102" s="57" t="n">
        <f aca="false">IF(AD102=1,(Z102-I$1030)^2,0)</f>
        <v>0</v>
      </c>
      <c r="AI102" s="57" t="n">
        <f aca="false">IF(AE102=1,(AA102-J$1030)^2,0)</f>
        <v>0</v>
      </c>
    </row>
    <row r="103" customFormat="false" ht="12" hidden="false" customHeight="false" outlineLevel="0" collapsed="false">
      <c r="A103" s="5" t="n">
        <v>86</v>
      </c>
      <c r="B103" s="58" t="n">
        <f aca="true">IF(RAND()&lt;$D$8,1,0)</f>
        <v>0</v>
      </c>
      <c r="C103" s="47" t="n">
        <f aca="true">-LN(RAND())/$D$2</f>
        <v>0.294349412409388</v>
      </c>
      <c r="D103" s="59" t="n">
        <f aca="false">D102+C103</f>
        <v>85.0661862837989</v>
      </c>
      <c r="E103" s="60" t="n">
        <f aca="false">MAX($D$3,(1+P102-VLOOKUP(VALUE(D103),$J$18:$Q102,7,TRUE()))*$D$3)</f>
        <v>10</v>
      </c>
      <c r="F103" s="60" t="n">
        <f aca="false">MAX($D$4,(1+Q102-VLOOKUP(VALUE(D103),$M$18:$Q102,5,TRUE()))*$D$4)</f>
        <v>8</v>
      </c>
      <c r="G103" s="61" t="n">
        <v>0.5</v>
      </c>
      <c r="H103" s="59" t="n">
        <f aca="true">IF((B103=1),(IF((F103&lt;E103),1,(IF((F103=E103),(IF(RAND()&lt;G103,1,0)),0)))),(IF((RAND()&lt;G103),1,0)))</f>
        <v>0</v>
      </c>
      <c r="I103" s="59" t="n">
        <f aca="true">IF((H103=1),0,$D$3+$D$5*(RAND()-0.5))</f>
        <v>1.95522126460553</v>
      </c>
      <c r="J103" s="59" t="n">
        <f aca="false">I103+MAX(D103,J102)</f>
        <v>94.7494825104344</v>
      </c>
      <c r="K103" s="59" t="n">
        <f aca="false">IF((H103=0),J103-D103,0)</f>
        <v>9.68329622663543</v>
      </c>
      <c r="L103" s="59" t="n">
        <f aca="true">IF(($H103=0),0,$D$4+$D$5*(RAND()-0.5))</f>
        <v>0</v>
      </c>
      <c r="M103" s="59" t="n">
        <f aca="false">L103+MAX(D103,M102)</f>
        <v>89.7939235133562</v>
      </c>
      <c r="N103" s="59" t="n">
        <f aca="false">IF((H103=1),M103-D103,0)</f>
        <v>0</v>
      </c>
      <c r="O103" s="5" t="n">
        <v>86</v>
      </c>
      <c r="P103" s="62" t="n">
        <f aca="false">IF((Arterial=0),P102+1,P102)</f>
        <v>44</v>
      </c>
      <c r="Q103" s="62" t="n">
        <f aca="false">IF((Arterial=1),Q102+1,Q102)</f>
        <v>42</v>
      </c>
      <c r="R103" s="63" t="e">
        <f aca="false">IF((RESET=1),0,R103+K103)</f>
        <v>#N/A</v>
      </c>
      <c r="S103" s="10" t="n">
        <f aca="false">IF(RESET=1,0,S103+N103)</f>
        <v>301.503968076259</v>
      </c>
      <c r="T103" s="0" t="e">
        <f aca="false">IF(RESET=1,0,T103+IF(H103=0,1,0))</f>
        <v>#N/A</v>
      </c>
      <c r="U103" s="0" t="n">
        <f aca="false">IF(RESET=1,0,U103+H103)</f>
        <v>28</v>
      </c>
      <c r="V103" s="10" t="e">
        <f aca="false">R103/(T103+0.00001)</f>
        <v>#N/A</v>
      </c>
      <c r="W103" s="10" t="n">
        <f aca="false">S103/(U103+0.0001)</f>
        <v>10.7679604028649</v>
      </c>
      <c r="X103" s="60" t="n">
        <f aca="false">IF(Informed=1,K103,0)</f>
        <v>0</v>
      </c>
      <c r="Y103" s="60" t="n">
        <f aca="false">IF(Informed=0,K103,0)</f>
        <v>9.68329622663543</v>
      </c>
      <c r="Z103" s="60" t="n">
        <f aca="false">IF(Informed=1,N103,0)</f>
        <v>0</v>
      </c>
      <c r="AA103" s="60" t="n">
        <f aca="false">IF(Informed=0,N103,0)</f>
        <v>0</v>
      </c>
      <c r="AB103" s="64" t="n">
        <f aca="false">IF(Arterial=0,IF(Informed=1,1,0),0)</f>
        <v>0</v>
      </c>
      <c r="AC103" s="64" t="n">
        <f aca="false">IF(Arterial=0,IF(Informed=0,1,0),0)</f>
        <v>1</v>
      </c>
      <c r="AD103" s="64" t="n">
        <f aca="false">IF(Arterial=1,IF(Informed=1,1,0),0)</f>
        <v>0</v>
      </c>
      <c r="AE103" s="64" t="n">
        <f aca="false">IF(Arterial=1,IF(Informed=0,1,0),0)</f>
        <v>0</v>
      </c>
      <c r="AF103" s="57" t="n">
        <f aca="false">IF(AB103=1,(X103-G$1030)^2,0)</f>
        <v>0</v>
      </c>
      <c r="AG103" s="57" t="n">
        <f aca="false">IF(AC103=1,(Y103-H$1030)^2,0)</f>
        <v>93.766225812772</v>
      </c>
      <c r="AH103" s="57" t="n">
        <f aca="false">IF(AD103=1,(Z103-I$1030)^2,0)</f>
        <v>0</v>
      </c>
      <c r="AI103" s="57" t="n">
        <f aca="false">IF(AE103=1,(AA103-J$1030)^2,0)</f>
        <v>0</v>
      </c>
    </row>
    <row r="104" customFormat="false" ht="12" hidden="false" customHeight="false" outlineLevel="0" collapsed="false">
      <c r="A104" s="5" t="n">
        <v>87</v>
      </c>
      <c r="B104" s="58" t="n">
        <f aca="true">IF(RAND()&lt;$D$8,1,0)</f>
        <v>0</v>
      </c>
      <c r="C104" s="47" t="n">
        <f aca="true">-LN(RAND())/$D$2</f>
        <v>1.42466620805717</v>
      </c>
      <c r="D104" s="59" t="n">
        <f aca="false">D103+C104</f>
        <v>86.4908524918561</v>
      </c>
      <c r="E104" s="60" t="n">
        <f aca="false">MAX($D$3,(1+P103-VLOOKUP(VALUE(D104),$J$18:$Q103,7,TRUE()))*$D$3)</f>
        <v>12</v>
      </c>
      <c r="F104" s="60" t="n">
        <f aca="false">MAX($D$4,(1+Q103-VLOOKUP(VALUE(D104),$M$18:$Q103,5,TRUE()))*$D$4)</f>
        <v>6</v>
      </c>
      <c r="G104" s="61" t="n">
        <v>0.5</v>
      </c>
      <c r="H104" s="59" t="n">
        <f aca="true">IF((B104=1),(IF((F104&lt;E104),1,(IF((F104=E104),(IF(RAND()&lt;G104,1,0)),0)))),(IF((RAND()&lt;G104),1,0)))</f>
        <v>0</v>
      </c>
      <c r="I104" s="59" t="n">
        <f aca="true">IF((H104=1),0,$D$3+$D$5*(RAND()-0.5))</f>
        <v>1.78199674023431</v>
      </c>
      <c r="J104" s="59" t="n">
        <f aca="false">I104+MAX(D104,J103)</f>
        <v>96.5314792506687</v>
      </c>
      <c r="K104" s="59" t="n">
        <f aca="false">IF((H104=0),J104-D104,0)</f>
        <v>10.0406267588126</v>
      </c>
      <c r="L104" s="59" t="n">
        <f aca="true">IF(($H104=0),0,$D$4+$D$5*(RAND()-0.5))</f>
        <v>0</v>
      </c>
      <c r="M104" s="59" t="n">
        <f aca="false">L104+MAX(D104,M103)</f>
        <v>89.7939235133562</v>
      </c>
      <c r="N104" s="59" t="n">
        <f aca="false">IF((H104=1),M104-D104,0)</f>
        <v>0</v>
      </c>
      <c r="O104" s="5" t="n">
        <v>87</v>
      </c>
      <c r="P104" s="62" t="n">
        <f aca="false">IF((Arterial=0),P103+1,P103)</f>
        <v>45</v>
      </c>
      <c r="Q104" s="62" t="n">
        <f aca="false">IF((Arterial=1),Q103+1,Q103)</f>
        <v>42</v>
      </c>
      <c r="R104" s="63" t="e">
        <f aca="false">IF((RESET=1),0,R104+K104)</f>
        <v>#N/A</v>
      </c>
      <c r="S104" s="10" t="n">
        <f aca="false">IF(RESET=1,0,S104+N104)</f>
        <v>349.169780117975</v>
      </c>
      <c r="T104" s="0" t="e">
        <f aca="false">IF(RESET=1,0,T104+IF(H104=0,1,0))</f>
        <v>#N/A</v>
      </c>
      <c r="U104" s="0" t="n">
        <f aca="false">IF(RESET=1,0,U104+H104)</f>
        <v>29</v>
      </c>
      <c r="V104" s="10" t="e">
        <f aca="false">R104/(T104+0.00001)</f>
        <v>#N/A</v>
      </c>
      <c r="W104" s="10" t="n">
        <f aca="false">S104/(U104+0.0001)</f>
        <v>12.0402957271863</v>
      </c>
      <c r="X104" s="60" t="n">
        <f aca="false">IF(Informed=1,K104,0)</f>
        <v>0</v>
      </c>
      <c r="Y104" s="60" t="n">
        <f aca="false">IF(Informed=0,K104,0)</f>
        <v>10.0406267588126</v>
      </c>
      <c r="Z104" s="60" t="n">
        <f aca="false">IF(Informed=1,N104,0)</f>
        <v>0</v>
      </c>
      <c r="AA104" s="60" t="n">
        <f aca="false">IF(Informed=0,N104,0)</f>
        <v>0</v>
      </c>
      <c r="AB104" s="64" t="n">
        <f aca="false">IF(Arterial=0,IF(Informed=1,1,0),0)</f>
        <v>0</v>
      </c>
      <c r="AC104" s="64" t="n">
        <f aca="false">IF(Arterial=0,IF(Informed=0,1,0),0)</f>
        <v>1</v>
      </c>
      <c r="AD104" s="64" t="n">
        <f aca="false">IF(Arterial=1,IF(Informed=1,1,0),0)</f>
        <v>0</v>
      </c>
      <c r="AE104" s="64" t="n">
        <f aca="false">IF(Arterial=1,IF(Informed=0,1,0),0)</f>
        <v>0</v>
      </c>
      <c r="AF104" s="57" t="n">
        <f aca="false">IF(AB104=1,(X104-G$1030)^2,0)</f>
        <v>0</v>
      </c>
      <c r="AG104" s="57" t="n">
        <f aca="false">IF(AC104=1,(Y104-H$1030)^2,0)</f>
        <v>100.814185709783</v>
      </c>
      <c r="AH104" s="57" t="n">
        <f aca="false">IF(AD104=1,(Z104-I$1030)^2,0)</f>
        <v>0</v>
      </c>
      <c r="AI104" s="57" t="n">
        <f aca="false">IF(AE104=1,(AA104-J$1030)^2,0)</f>
        <v>0</v>
      </c>
    </row>
    <row r="105" customFormat="false" ht="12" hidden="false" customHeight="false" outlineLevel="0" collapsed="false">
      <c r="A105" s="5" t="n">
        <v>88</v>
      </c>
      <c r="B105" s="58" t="n">
        <f aca="true">IF(RAND()&lt;$D$8,1,0)</f>
        <v>1</v>
      </c>
      <c r="C105" s="47" t="n">
        <f aca="true">-LN(RAND())/$D$2</f>
        <v>0.825384914594385</v>
      </c>
      <c r="D105" s="59" t="n">
        <f aca="false">D104+C105</f>
        <v>87.3162374064505</v>
      </c>
      <c r="E105" s="60" t="n">
        <f aca="false">MAX($D$3,(1+P104-VLOOKUP(VALUE(D105),$J$18:$Q104,7,TRUE()))*$D$3)</f>
        <v>12</v>
      </c>
      <c r="F105" s="60" t="n">
        <f aca="false">MAX($D$4,(1+Q104-VLOOKUP(VALUE(D105),$M$18:$Q104,5,TRUE()))*$D$4)</f>
        <v>6</v>
      </c>
      <c r="G105" s="61" t="n">
        <v>0.5</v>
      </c>
      <c r="H105" s="59" t="n">
        <f aca="true">IF((B105=1),(IF((F105&lt;E105),1,(IF((F105=E105),(IF(RAND()&lt;G105,1,0)),0)))),(IF((RAND()&lt;G105),1,0)))</f>
        <v>1</v>
      </c>
      <c r="I105" s="59" t="n">
        <f aca="true">IF((H105=1),0,$D$3+$D$5*(RAND()-0.5))</f>
        <v>0</v>
      </c>
      <c r="J105" s="59" t="n">
        <f aca="false">I105+MAX(D105,J104)</f>
        <v>96.5314792506687</v>
      </c>
      <c r="K105" s="59" t="n">
        <f aca="false">IF((H105=0),J105-D105,0)</f>
        <v>0</v>
      </c>
      <c r="L105" s="59" t="n">
        <f aca="true">IF(($H105=0),0,$D$4+$D$5*(RAND()-0.5))</f>
        <v>1.983983874767</v>
      </c>
      <c r="M105" s="59" t="n">
        <f aca="false">L105+MAX(D105,M104)</f>
        <v>91.7779073881232</v>
      </c>
      <c r="N105" s="59" t="n">
        <f aca="false">IF((H105=1),M105-D105,0)</f>
        <v>4.46166998167271</v>
      </c>
      <c r="O105" s="5" t="n">
        <v>88</v>
      </c>
      <c r="P105" s="62" t="n">
        <f aca="false">IF((Arterial=0),P104+1,P104)</f>
        <v>45</v>
      </c>
      <c r="Q105" s="62" t="n">
        <f aca="false">IF((Arterial=1),Q104+1,Q104)</f>
        <v>43</v>
      </c>
      <c r="R105" s="63" t="n">
        <f aca="false">IF((RESET=1),0,R105+K105)</f>
        <v>281.806816272508</v>
      </c>
      <c r="S105" s="10" t="e">
        <f aca="false">IF(RESET=1,0,S105+N105)</f>
        <v>#N/A</v>
      </c>
      <c r="T105" s="0" t="n">
        <f aca="false">IF(RESET=1,0,T105+IF(H105=0,1,0))</f>
        <v>26</v>
      </c>
      <c r="U105" s="0" t="e">
        <f aca="false">IF(RESET=1,0,U105+H105)</f>
        <v>#N/A</v>
      </c>
      <c r="V105" s="10" t="n">
        <f aca="false">R105/(T105+0.00001)</f>
        <v>10.8387195340505</v>
      </c>
      <c r="W105" s="10" t="e">
        <f aca="false">S105/(U105+0.0001)</f>
        <v>#N/A</v>
      </c>
      <c r="X105" s="60" t="n">
        <f aca="false">IF(Informed=1,K105,0)</f>
        <v>0</v>
      </c>
      <c r="Y105" s="60" t="n">
        <f aca="false">IF(Informed=0,K105,0)</f>
        <v>0</v>
      </c>
      <c r="Z105" s="60" t="n">
        <f aca="false">IF(Informed=1,N105,0)</f>
        <v>4.46166998167271</v>
      </c>
      <c r="AA105" s="60" t="n">
        <f aca="false">IF(Informed=0,N105,0)</f>
        <v>0</v>
      </c>
      <c r="AB105" s="64" t="n">
        <f aca="false">IF(Arterial=0,IF(Informed=1,1,0),0)</f>
        <v>0</v>
      </c>
      <c r="AC105" s="64" t="n">
        <f aca="false">IF(Arterial=0,IF(Informed=0,1,0),0)</f>
        <v>0</v>
      </c>
      <c r="AD105" s="64" t="n">
        <f aca="false">IF(Arterial=1,IF(Informed=1,1,0),0)</f>
        <v>1</v>
      </c>
      <c r="AE105" s="64" t="n">
        <f aca="false">IF(Arterial=1,IF(Informed=0,1,0),0)</f>
        <v>0</v>
      </c>
      <c r="AF105" s="57" t="n">
        <f aca="false">IF(AB105=1,(X105-G$1030)^2,0)</f>
        <v>0</v>
      </c>
      <c r="AG105" s="57" t="n">
        <f aca="false">IF(AC105=1,(Y105-H$1030)^2,0)</f>
        <v>0</v>
      </c>
      <c r="AH105" s="57" t="n">
        <f aca="false">IF(AD105=1,(Z105-I$1030)^2,0)</f>
        <v>19.9064990253594</v>
      </c>
      <c r="AI105" s="57" t="n">
        <f aca="false">IF(AE105=1,(AA105-J$1030)^2,0)</f>
        <v>0</v>
      </c>
    </row>
    <row r="106" customFormat="false" ht="12" hidden="false" customHeight="false" outlineLevel="0" collapsed="false">
      <c r="A106" s="5" t="n">
        <v>89</v>
      </c>
      <c r="B106" s="58" t="n">
        <f aca="true">IF(RAND()&lt;$D$8,1,0)</f>
        <v>0</v>
      </c>
      <c r="C106" s="47" t="n">
        <f aca="true">-LN(RAND())/$D$2</f>
        <v>1.16427971600437</v>
      </c>
      <c r="D106" s="59" t="n">
        <f aca="false">D105+C106</f>
        <v>88.4805171224549</v>
      </c>
      <c r="E106" s="60" t="n">
        <f aca="false">MAX($D$3,(1+P105-VLOOKUP(VALUE(D106),$J$18:$Q105,7,TRUE()))*$D$3)</f>
        <v>12</v>
      </c>
      <c r="F106" s="60" t="n">
        <f aca="false">MAX($D$4,(1+Q105-VLOOKUP(VALUE(D106),$M$18:$Q105,5,TRUE()))*$D$4)</f>
        <v>6</v>
      </c>
      <c r="G106" s="61" t="n">
        <v>0.5</v>
      </c>
      <c r="H106" s="59" t="n">
        <f aca="true">IF((B106=1),(IF((F106&lt;E106),1,(IF((F106=E106),(IF(RAND()&lt;G106,1,0)),0)))),(IF((RAND()&lt;G106),1,0)))</f>
        <v>1</v>
      </c>
      <c r="I106" s="59" t="n">
        <f aca="true">IF((H106=1),0,$D$3+$D$5*(RAND()-0.5))</f>
        <v>0</v>
      </c>
      <c r="J106" s="59" t="n">
        <f aca="false">I106+MAX(D106,J105)</f>
        <v>96.5314792506687</v>
      </c>
      <c r="K106" s="59" t="n">
        <f aca="false">IF((H106=0),J106-D106,0)</f>
        <v>0</v>
      </c>
      <c r="L106" s="59" t="n">
        <f aca="true">IF(($H106=0),0,$D$4+$D$5*(RAND()-0.5))</f>
        <v>2.00893035463825</v>
      </c>
      <c r="M106" s="59" t="n">
        <f aca="false">L106+MAX(D106,M105)</f>
        <v>93.7868377427615</v>
      </c>
      <c r="N106" s="59" t="n">
        <f aca="false">IF((H106=1),M106-D106,0)</f>
        <v>5.30632062030659</v>
      </c>
      <c r="O106" s="5" t="n">
        <v>89</v>
      </c>
      <c r="P106" s="62" t="n">
        <f aca="false">IF((Arterial=0),P105+1,P105)</f>
        <v>45</v>
      </c>
      <c r="Q106" s="62" t="n">
        <f aca="false">IF((Arterial=1),Q105+1,Q105)</f>
        <v>44</v>
      </c>
      <c r="R106" s="63" t="n">
        <f aca="false">IF((RESET=1),0,R106+K106)</f>
        <v>340.967089488817</v>
      </c>
      <c r="S106" s="10" t="e">
        <f aca="false">IF(RESET=1,0,S106+N106)</f>
        <v>#N/A</v>
      </c>
      <c r="T106" s="0" t="n">
        <f aca="false">IF(RESET=1,0,T106+IF(H106=0,1,0))</f>
        <v>30</v>
      </c>
      <c r="U106" s="0" t="e">
        <f aca="false">IF(RESET=1,0,U106+H106)</f>
        <v>#N/A</v>
      </c>
      <c r="V106" s="10" t="n">
        <f aca="false">R106/(T106+0.00001)</f>
        <v>11.3655658611053</v>
      </c>
      <c r="W106" s="10" t="e">
        <f aca="false">S106/(U106+0.0001)</f>
        <v>#N/A</v>
      </c>
      <c r="X106" s="60" t="n">
        <f aca="false">IF(Informed=1,K106,0)</f>
        <v>0</v>
      </c>
      <c r="Y106" s="60" t="n">
        <f aca="false">IF(Informed=0,K106,0)</f>
        <v>0</v>
      </c>
      <c r="Z106" s="60" t="n">
        <f aca="false">IF(Informed=1,N106,0)</f>
        <v>0</v>
      </c>
      <c r="AA106" s="60" t="n">
        <f aca="false">IF(Informed=0,N106,0)</f>
        <v>5.30632062030659</v>
      </c>
      <c r="AB106" s="64" t="n">
        <f aca="false">IF(Arterial=0,IF(Informed=1,1,0),0)</f>
        <v>0</v>
      </c>
      <c r="AC106" s="64" t="n">
        <f aca="false">IF(Arterial=0,IF(Informed=0,1,0),0)</f>
        <v>0</v>
      </c>
      <c r="AD106" s="64" t="n">
        <f aca="false">IF(Arterial=1,IF(Informed=1,1,0),0)</f>
        <v>0</v>
      </c>
      <c r="AE106" s="64" t="n">
        <f aca="false">IF(Arterial=1,IF(Informed=0,1,0),0)</f>
        <v>1</v>
      </c>
      <c r="AF106" s="57" t="n">
        <f aca="false">IF(AB106=1,(X106-G$1030)^2,0)</f>
        <v>0</v>
      </c>
      <c r="AG106" s="57" t="n">
        <f aca="false">IF(AC106=1,(Y106-H$1030)^2,0)</f>
        <v>0</v>
      </c>
      <c r="AH106" s="57" t="n">
        <f aca="false">IF(AD106=1,(Z106-I$1030)^2,0)</f>
        <v>0</v>
      </c>
      <c r="AI106" s="57" t="n">
        <f aca="false">IF(AE106=1,(AA106-J$1030)^2,0)</f>
        <v>28.1570385254909</v>
      </c>
    </row>
    <row r="107" customFormat="false" ht="12" hidden="false" customHeight="false" outlineLevel="0" collapsed="false">
      <c r="A107" s="5" t="n">
        <v>90</v>
      </c>
      <c r="B107" s="58" t="n">
        <f aca="true">IF(RAND()&lt;$D$8,1,0)</f>
        <v>0</v>
      </c>
      <c r="C107" s="47" t="n">
        <f aca="true">-LN(RAND())/$D$2</f>
        <v>0.100814707080372</v>
      </c>
      <c r="D107" s="59" t="n">
        <f aca="false">D106+C107</f>
        <v>88.5813318295352</v>
      </c>
      <c r="E107" s="60" t="n">
        <f aca="false">MAX($D$3,(1+P106-VLOOKUP(VALUE(D107),$J$18:$Q106,7,TRUE()))*$D$3)</f>
        <v>12</v>
      </c>
      <c r="F107" s="60" t="n">
        <f aca="false">MAX($D$4,(1+Q106-VLOOKUP(VALUE(D107),$M$18:$Q106,5,TRUE()))*$D$4)</f>
        <v>8</v>
      </c>
      <c r="G107" s="61" t="n">
        <v>0.5</v>
      </c>
      <c r="H107" s="59" t="n">
        <f aca="true">IF((B107=1),(IF((F107&lt;E107),1,(IF((F107=E107),(IF(RAND()&lt;G107,1,0)),0)))),(IF((RAND()&lt;G107),1,0)))</f>
        <v>1</v>
      </c>
      <c r="I107" s="59" t="n">
        <f aca="true">IF((H107=1),0,$D$3+$D$5*(RAND()-0.5))</f>
        <v>0</v>
      </c>
      <c r="J107" s="59" t="n">
        <f aca="false">I107+MAX(D107,J106)</f>
        <v>96.5314792506687</v>
      </c>
      <c r="K107" s="59" t="n">
        <f aca="false">IF((H107=0),J107-D107,0)</f>
        <v>0</v>
      </c>
      <c r="L107" s="59" t="n">
        <f aca="true">IF(($H107=0),0,$D$4+$D$5*(RAND()-0.5))</f>
        <v>1.83854856236934</v>
      </c>
      <c r="M107" s="59" t="n">
        <f aca="false">L107+MAX(D107,M106)</f>
        <v>95.6253863051308</v>
      </c>
      <c r="N107" s="59" t="n">
        <f aca="false">IF((H107=1),M107-D107,0)</f>
        <v>7.04405447559556</v>
      </c>
      <c r="O107" s="5" t="n">
        <v>90</v>
      </c>
      <c r="P107" s="62" t="n">
        <f aca="false">IF((Arterial=0),P106+1,P106)</f>
        <v>45</v>
      </c>
      <c r="Q107" s="62" t="n">
        <f aca="false">IF((Arterial=1),Q106+1,Q106)</f>
        <v>45</v>
      </c>
      <c r="R107" s="63" t="n">
        <f aca="false">IF((RESET=1),0,R107+K107)</f>
        <v>330.769737494814</v>
      </c>
      <c r="S107" s="10" t="e">
        <f aca="false">IF(RESET=1,0,S107+N107)</f>
        <v>#N/A</v>
      </c>
      <c r="T107" s="0" t="n">
        <f aca="false">IF(RESET=1,0,T107+IF(H107=0,1,0))</f>
        <v>28</v>
      </c>
      <c r="U107" s="0" t="e">
        <f aca="false">IF(RESET=1,0,U107+H107)</f>
        <v>#N/A</v>
      </c>
      <c r="V107" s="10" t="n">
        <f aca="false">R107/(T107+0.00001)</f>
        <v>11.8132006915288</v>
      </c>
      <c r="W107" s="10" t="e">
        <f aca="false">S107/(U107+0.0001)</f>
        <v>#N/A</v>
      </c>
      <c r="X107" s="60" t="n">
        <f aca="false">IF(Informed=1,K107,0)</f>
        <v>0</v>
      </c>
      <c r="Y107" s="60" t="n">
        <f aca="false">IF(Informed=0,K107,0)</f>
        <v>0</v>
      </c>
      <c r="Z107" s="60" t="n">
        <f aca="false">IF(Informed=1,N107,0)</f>
        <v>0</v>
      </c>
      <c r="AA107" s="60" t="n">
        <f aca="false">IF(Informed=0,N107,0)</f>
        <v>7.04405447559556</v>
      </c>
      <c r="AB107" s="64" t="n">
        <f aca="false">IF(Arterial=0,IF(Informed=1,1,0),0)</f>
        <v>0</v>
      </c>
      <c r="AC107" s="64" t="n">
        <f aca="false">IF(Arterial=0,IF(Informed=0,1,0),0)</f>
        <v>0</v>
      </c>
      <c r="AD107" s="64" t="n">
        <f aca="false">IF(Arterial=1,IF(Informed=1,1,0),0)</f>
        <v>0</v>
      </c>
      <c r="AE107" s="64" t="n">
        <f aca="false">IF(Arterial=1,IF(Informed=0,1,0),0)</f>
        <v>1</v>
      </c>
      <c r="AF107" s="57" t="n">
        <f aca="false">IF(AB107=1,(X107-G$1030)^2,0)</f>
        <v>0</v>
      </c>
      <c r="AG107" s="57" t="n">
        <f aca="false">IF(AC107=1,(Y107-H$1030)^2,0)</f>
        <v>0</v>
      </c>
      <c r="AH107" s="57" t="n">
        <f aca="false">IF(AD107=1,(Z107-I$1030)^2,0)</f>
        <v>0</v>
      </c>
      <c r="AI107" s="57" t="n">
        <f aca="false">IF(AE107=1,(AA107-J$1030)^2,0)</f>
        <v>49.6187034551578</v>
      </c>
    </row>
    <row r="108" customFormat="false" ht="12" hidden="false" customHeight="false" outlineLevel="0" collapsed="false">
      <c r="A108" s="5" t="n">
        <v>91</v>
      </c>
      <c r="B108" s="58" t="n">
        <f aca="true">IF(RAND()&lt;$D$8,1,0)</f>
        <v>1</v>
      </c>
      <c r="C108" s="47" t="n">
        <f aca="true">-LN(RAND())/$D$2</f>
        <v>0.555184428175629</v>
      </c>
      <c r="D108" s="59" t="n">
        <f aca="false">D107+C108</f>
        <v>89.1365162577109</v>
      </c>
      <c r="E108" s="60" t="n">
        <f aca="false">MAX($D$3,(1+P107-VLOOKUP(VALUE(D108),$J$18:$Q107,7,TRUE()))*$D$3)</f>
        <v>10</v>
      </c>
      <c r="F108" s="60" t="n">
        <f aca="false">MAX($D$4,(1+Q107-VLOOKUP(VALUE(D108),$M$18:$Q107,5,TRUE()))*$D$4)</f>
        <v>10</v>
      </c>
      <c r="G108" s="61" t="n">
        <v>0.5</v>
      </c>
      <c r="H108" s="59" t="n">
        <f aca="true">IF((B108=1),(IF((F108&lt;E108),1,(IF((F108=E108),(IF(RAND()&lt;G108,1,0)),0)))),(IF((RAND()&lt;G108),1,0)))</f>
        <v>1</v>
      </c>
      <c r="I108" s="59" t="n">
        <f aca="true">IF((H108=1),0,$D$3+$D$5*(RAND()-0.5))</f>
        <v>0</v>
      </c>
      <c r="J108" s="59" t="n">
        <f aca="false">I108+MAX(D108,J107)</f>
        <v>96.5314792506687</v>
      </c>
      <c r="K108" s="59" t="n">
        <f aca="false">IF((H108=0),J108-D108,0)</f>
        <v>0</v>
      </c>
      <c r="L108" s="59" t="n">
        <f aca="true">IF(($H108=0),0,$D$4+$D$5*(RAND()-0.5))</f>
        <v>1.77402154453454</v>
      </c>
      <c r="M108" s="59" t="n">
        <f aca="false">L108+MAX(D108,M107)</f>
        <v>97.3994078496653</v>
      </c>
      <c r="N108" s="59" t="n">
        <f aca="false">IF((H108=1),M108-D108,0)</f>
        <v>8.26289159195449</v>
      </c>
      <c r="O108" s="5" t="n">
        <v>91</v>
      </c>
      <c r="P108" s="62" t="n">
        <f aca="false">IF((Arterial=0),P107+1,P107)</f>
        <v>45</v>
      </c>
      <c r="Q108" s="62" t="n">
        <f aca="false">IF((Arterial=1),Q107+1,Q107)</f>
        <v>46</v>
      </c>
      <c r="R108" s="63" t="n">
        <f aca="false">IF((RESET=1),0,R108+K108)</f>
        <v>220.430571235496</v>
      </c>
      <c r="S108" s="10" t="e">
        <f aca="false">IF(RESET=1,0,S108+N108)</f>
        <v>#N/A</v>
      </c>
      <c r="T108" s="0" t="n">
        <f aca="false">IF(RESET=1,0,T108+IF(H108=0,1,0))</f>
        <v>24</v>
      </c>
      <c r="U108" s="0" t="e">
        <f aca="false">IF(RESET=1,0,U108+H108)</f>
        <v>#N/A</v>
      </c>
      <c r="V108" s="10" t="n">
        <f aca="false">R108/(T108+0.00001)</f>
        <v>9.18460330789427</v>
      </c>
      <c r="W108" s="10" t="e">
        <f aca="false">S108/(U108+0.0001)</f>
        <v>#N/A</v>
      </c>
      <c r="X108" s="60" t="n">
        <f aca="false">IF(Informed=1,K108,0)</f>
        <v>0</v>
      </c>
      <c r="Y108" s="60" t="n">
        <f aca="false">IF(Informed=0,K108,0)</f>
        <v>0</v>
      </c>
      <c r="Z108" s="60" t="n">
        <f aca="false">IF(Informed=1,N108,0)</f>
        <v>8.26289159195449</v>
      </c>
      <c r="AA108" s="60" t="n">
        <f aca="false">IF(Informed=0,N108,0)</f>
        <v>0</v>
      </c>
      <c r="AB108" s="64" t="n">
        <f aca="false">IF(Arterial=0,IF(Informed=1,1,0),0)</f>
        <v>0</v>
      </c>
      <c r="AC108" s="64" t="n">
        <f aca="false">IF(Arterial=0,IF(Informed=0,1,0),0)</f>
        <v>0</v>
      </c>
      <c r="AD108" s="64" t="n">
        <f aca="false">IF(Arterial=1,IF(Informed=1,1,0),0)</f>
        <v>1</v>
      </c>
      <c r="AE108" s="64" t="n">
        <f aca="false">IF(Arterial=1,IF(Informed=0,1,0),0)</f>
        <v>0</v>
      </c>
      <c r="AF108" s="57" t="n">
        <f aca="false">IF(AB108=1,(X108-G$1030)^2,0)</f>
        <v>0</v>
      </c>
      <c r="AG108" s="57" t="n">
        <f aca="false">IF(AC108=1,(Y108-H$1030)^2,0)</f>
        <v>0</v>
      </c>
      <c r="AH108" s="57" t="n">
        <f aca="false">IF(AD108=1,(Z108-I$1030)^2,0)</f>
        <v>68.2753774603921</v>
      </c>
      <c r="AI108" s="57" t="n">
        <f aca="false">IF(AE108=1,(AA108-J$1030)^2,0)</f>
        <v>0</v>
      </c>
    </row>
    <row r="109" customFormat="false" ht="12" hidden="false" customHeight="false" outlineLevel="0" collapsed="false">
      <c r="A109" s="5" t="n">
        <v>92</v>
      </c>
      <c r="B109" s="58" t="n">
        <f aca="true">IF(RAND()&lt;$D$8,1,0)</f>
        <v>1</v>
      </c>
      <c r="C109" s="47" t="n">
        <f aca="true">-LN(RAND())/$D$2</f>
        <v>0.201660651145788</v>
      </c>
      <c r="D109" s="59" t="n">
        <f aca="false">D108+C109</f>
        <v>89.3381769088566</v>
      </c>
      <c r="E109" s="60" t="n">
        <f aca="false">MAX($D$3,(1+P108-VLOOKUP(VALUE(D109),$J$18:$Q108,7,TRUE()))*$D$3)</f>
        <v>10</v>
      </c>
      <c r="F109" s="60" t="n">
        <f aca="false">MAX($D$4,(1+Q108-VLOOKUP(VALUE(D109),$M$18:$Q108,5,TRUE()))*$D$4)</f>
        <v>12</v>
      </c>
      <c r="G109" s="61" t="n">
        <v>0.5</v>
      </c>
      <c r="H109" s="59" t="n">
        <f aca="true">IF((B109=1),(IF((F109&lt;E109),1,(IF((F109=E109),(IF(RAND()&lt;G109,1,0)),0)))),(IF((RAND()&lt;G109),1,0)))</f>
        <v>0</v>
      </c>
      <c r="I109" s="59" t="n">
        <f aca="true">IF((H109=1),0,$D$3+$D$5*(RAND()-0.5))</f>
        <v>1.87650491645602</v>
      </c>
      <c r="J109" s="59" t="n">
        <f aca="false">I109+MAX(D109,J108)</f>
        <v>98.4079841671247</v>
      </c>
      <c r="K109" s="59" t="n">
        <f aca="false">IF((H109=0),J109-D109,0)</f>
        <v>9.06980725826806</v>
      </c>
      <c r="L109" s="59" t="n">
        <f aca="true">IF(($H109=0),0,$D$4+$D$5*(RAND()-0.5))</f>
        <v>0</v>
      </c>
      <c r="M109" s="59" t="n">
        <f aca="false">L109+MAX(D109,M108)</f>
        <v>97.3994078496653</v>
      </c>
      <c r="N109" s="59" t="n">
        <f aca="false">IF((H109=1),M109-D109,0)</f>
        <v>0</v>
      </c>
      <c r="O109" s="5" t="n">
        <v>92</v>
      </c>
      <c r="P109" s="62" t="n">
        <f aca="false">IF((Arterial=0),P108+1,P108)</f>
        <v>46</v>
      </c>
      <c r="Q109" s="62" t="n">
        <f aca="false">IF((Arterial=1),Q108+1,Q108)</f>
        <v>46</v>
      </c>
      <c r="R109" s="63" t="e">
        <f aca="false">IF((RESET=1),0,R109+K109)</f>
        <v>#N/A</v>
      </c>
      <c r="S109" s="10" t="n">
        <f aca="false">IF(RESET=1,0,S109+N109)</f>
        <v>320.23537365492</v>
      </c>
      <c r="T109" s="0" t="e">
        <f aca="false">IF(RESET=1,0,T109+IF(H109=0,1,0))</f>
        <v>#N/A</v>
      </c>
      <c r="U109" s="0" t="n">
        <f aca="false">IF(RESET=1,0,U109+H109)</f>
        <v>29</v>
      </c>
      <c r="V109" s="10" t="e">
        <f aca="false">R109/(T109+0.00001)</f>
        <v>#N/A</v>
      </c>
      <c r="W109" s="10" t="n">
        <f aca="false">S109/(U109+0.0001)</f>
        <v>11.0425610137524</v>
      </c>
      <c r="X109" s="60" t="n">
        <f aca="false">IF(Informed=1,K109,0)</f>
        <v>9.06980725826806</v>
      </c>
      <c r="Y109" s="60" t="n">
        <f aca="false">IF(Informed=0,K109,0)</f>
        <v>0</v>
      </c>
      <c r="Z109" s="60" t="n">
        <f aca="false">IF(Informed=1,N109,0)</f>
        <v>0</v>
      </c>
      <c r="AA109" s="60" t="n">
        <f aca="false">IF(Informed=0,N109,0)</f>
        <v>0</v>
      </c>
      <c r="AB109" s="64" t="n">
        <f aca="false">IF(Arterial=0,IF(Informed=1,1,0),0)</f>
        <v>1</v>
      </c>
      <c r="AC109" s="64" t="n">
        <f aca="false">IF(Arterial=0,IF(Informed=0,1,0),0)</f>
        <v>0</v>
      </c>
      <c r="AD109" s="64" t="n">
        <f aca="false">IF(Arterial=1,IF(Informed=1,1,0),0)</f>
        <v>0</v>
      </c>
      <c r="AE109" s="64" t="n">
        <f aca="false">IF(Arterial=1,IF(Informed=0,1,0),0)</f>
        <v>0</v>
      </c>
      <c r="AF109" s="57" t="n">
        <f aca="false">IF(AB109=1,(X109-G$1030)^2,0)</f>
        <v>82.2614037021319</v>
      </c>
      <c r="AG109" s="57" t="n">
        <f aca="false">IF(AC109=1,(Y109-H$1030)^2,0)</f>
        <v>0</v>
      </c>
      <c r="AH109" s="57" t="n">
        <f aca="false">IF(AD109=1,(Z109-I$1030)^2,0)</f>
        <v>0</v>
      </c>
      <c r="AI109" s="57" t="n">
        <f aca="false">IF(AE109=1,(AA109-J$1030)^2,0)</f>
        <v>0</v>
      </c>
    </row>
    <row r="110" customFormat="false" ht="12" hidden="false" customHeight="false" outlineLevel="0" collapsed="false">
      <c r="A110" s="5" t="n">
        <v>93</v>
      </c>
      <c r="B110" s="58" t="n">
        <f aca="true">IF(RAND()&lt;$D$8,1,0)</f>
        <v>0</v>
      </c>
      <c r="C110" s="47" t="n">
        <f aca="true">-LN(RAND())/$D$2</f>
        <v>1.25942472855828</v>
      </c>
      <c r="D110" s="59" t="n">
        <f aca="false">D109+C110</f>
        <v>90.5976016374149</v>
      </c>
      <c r="E110" s="60" t="n">
        <f aca="false">MAX($D$3,(1+P109-VLOOKUP(VALUE(D110),$J$18:$Q109,7,TRUE()))*$D$3)</f>
        <v>12</v>
      </c>
      <c r="F110" s="60" t="n">
        <f aca="false">MAX($D$4,(1+Q109-VLOOKUP(VALUE(D110),$M$18:$Q109,5,TRUE()))*$D$4)</f>
        <v>10</v>
      </c>
      <c r="G110" s="61" t="n">
        <v>0.5</v>
      </c>
      <c r="H110" s="59" t="n">
        <f aca="true">IF((B110=1),(IF((F110&lt;E110),1,(IF((F110=E110),(IF(RAND()&lt;G110,1,0)),0)))),(IF((RAND()&lt;G110),1,0)))</f>
        <v>0</v>
      </c>
      <c r="I110" s="59" t="n">
        <f aca="true">IF((H110=1),0,$D$3+$D$5*(RAND()-0.5))</f>
        <v>1.78589708464791</v>
      </c>
      <c r="J110" s="59" t="n">
        <f aca="false">I110+MAX(D110,J109)</f>
        <v>100.193881251773</v>
      </c>
      <c r="K110" s="59" t="n">
        <f aca="false">IF((H110=0),J110-D110,0)</f>
        <v>9.59627961435767</v>
      </c>
      <c r="L110" s="59" t="n">
        <f aca="true">IF(($H110=0),0,$D$4+$D$5*(RAND()-0.5))</f>
        <v>0</v>
      </c>
      <c r="M110" s="59" t="n">
        <f aca="false">L110+MAX(D110,M109)</f>
        <v>97.3994078496653</v>
      </c>
      <c r="N110" s="59" t="n">
        <f aca="false">IF((H110=1),M110-D110,0)</f>
        <v>0</v>
      </c>
      <c r="O110" s="5" t="n">
        <v>93</v>
      </c>
      <c r="P110" s="62" t="n">
        <f aca="false">IF((Arterial=0),P109+1,P109)</f>
        <v>47</v>
      </c>
      <c r="Q110" s="62" t="n">
        <f aca="false">IF((Arterial=1),Q109+1,Q109)</f>
        <v>46</v>
      </c>
      <c r="R110" s="63" t="e">
        <f aca="false">IF((RESET=1),0,R110+K110)</f>
        <v>#N/A</v>
      </c>
      <c r="S110" s="10" t="n">
        <f aca="false">IF(RESET=1,0,S110+N110)</f>
        <v>340.846479164742</v>
      </c>
      <c r="T110" s="0" t="e">
        <f aca="false">IF(RESET=1,0,T110+IF(H110=0,1,0))</f>
        <v>#N/A</v>
      </c>
      <c r="U110" s="0" t="n">
        <f aca="false">IF(RESET=1,0,U110+H110)</f>
        <v>28</v>
      </c>
      <c r="V110" s="10" t="e">
        <f aca="false">R110/(T110+0.00001)</f>
        <v>#N/A</v>
      </c>
      <c r="W110" s="10" t="n">
        <f aca="false">S110/(U110+0.0001)</f>
        <v>12.173045066437</v>
      </c>
      <c r="X110" s="60" t="n">
        <f aca="false">IF(Informed=1,K110,0)</f>
        <v>0</v>
      </c>
      <c r="Y110" s="60" t="n">
        <f aca="false">IF(Informed=0,K110,0)</f>
        <v>9.59627961435767</v>
      </c>
      <c r="Z110" s="60" t="n">
        <f aca="false">IF(Informed=1,N110,0)</f>
        <v>0</v>
      </c>
      <c r="AA110" s="60" t="n">
        <f aca="false">IF(Informed=0,N110,0)</f>
        <v>0</v>
      </c>
      <c r="AB110" s="64" t="n">
        <f aca="false">IF(Arterial=0,IF(Informed=1,1,0),0)</f>
        <v>0</v>
      </c>
      <c r="AC110" s="64" t="n">
        <f aca="false">IF(Arterial=0,IF(Informed=0,1,0),0)</f>
        <v>1</v>
      </c>
      <c r="AD110" s="64" t="n">
        <f aca="false">IF(Arterial=1,IF(Informed=1,1,0),0)</f>
        <v>0</v>
      </c>
      <c r="AE110" s="64" t="n">
        <f aca="false">IF(Arterial=1,IF(Informed=0,1,0),0)</f>
        <v>0</v>
      </c>
      <c r="AF110" s="57" t="n">
        <f aca="false">IF(AB110=1,(X110-G$1030)^2,0)</f>
        <v>0</v>
      </c>
      <c r="AG110" s="57" t="n">
        <f aca="false">IF(AC110=1,(Y110-H$1030)^2,0)</f>
        <v>92.0885824369366</v>
      </c>
      <c r="AH110" s="57" t="n">
        <f aca="false">IF(AD110=1,(Z110-I$1030)^2,0)</f>
        <v>0</v>
      </c>
      <c r="AI110" s="57" t="n">
        <f aca="false">IF(AE110=1,(AA110-J$1030)^2,0)</f>
        <v>0</v>
      </c>
    </row>
    <row r="111" customFormat="false" ht="12" hidden="false" customHeight="false" outlineLevel="0" collapsed="false">
      <c r="A111" s="5" t="n">
        <v>94</v>
      </c>
      <c r="B111" s="58" t="n">
        <f aca="true">IF(RAND()&lt;$D$8,1,0)</f>
        <v>0</v>
      </c>
      <c r="C111" s="47" t="n">
        <f aca="true">-LN(RAND())/$D$2</f>
        <v>1.9875734387027</v>
      </c>
      <c r="D111" s="59" t="n">
        <f aca="false">D110+C111</f>
        <v>92.5851750761176</v>
      </c>
      <c r="E111" s="60" t="n">
        <f aca="false">MAX($D$3,(1+P110-VLOOKUP(VALUE(D111),$J$18:$Q110,7,TRUE()))*$D$3)</f>
        <v>12</v>
      </c>
      <c r="F111" s="60" t="n">
        <f aca="false">MAX($D$4,(1+Q110-VLOOKUP(VALUE(D111),$M$18:$Q110,5,TRUE()))*$D$4)</f>
        <v>8</v>
      </c>
      <c r="G111" s="61" t="n">
        <v>0.5</v>
      </c>
      <c r="H111" s="59" t="n">
        <f aca="true">IF((B111=1),(IF((F111&lt;E111),1,(IF((F111=E111),(IF(RAND()&lt;G111,1,0)),0)))),(IF((RAND()&lt;G111),1,0)))</f>
        <v>1</v>
      </c>
      <c r="I111" s="59" t="n">
        <f aca="true">IF((H111=1),0,$D$3+$D$5*(RAND()-0.5))</f>
        <v>0</v>
      </c>
      <c r="J111" s="59" t="n">
        <f aca="false">I111+MAX(D111,J110)</f>
        <v>100.193881251773</v>
      </c>
      <c r="K111" s="59" t="n">
        <f aca="false">IF((H111=0),J111-D111,0)</f>
        <v>0</v>
      </c>
      <c r="L111" s="59" t="n">
        <f aca="true">IF(($H111=0),0,$D$4+$D$5*(RAND()-0.5))</f>
        <v>1.94541840551245</v>
      </c>
      <c r="M111" s="59" t="n">
        <f aca="false">L111+MAX(D111,M110)</f>
        <v>99.3448262551778</v>
      </c>
      <c r="N111" s="59" t="n">
        <f aca="false">IF((H111=1),M111-D111,0)</f>
        <v>6.75965117906017</v>
      </c>
      <c r="O111" s="5" t="n">
        <v>94</v>
      </c>
      <c r="P111" s="62" t="n">
        <f aca="false">IF((Arterial=0),P110+1,P110)</f>
        <v>47</v>
      </c>
      <c r="Q111" s="62" t="n">
        <f aca="false">IF((Arterial=1),Q110+1,Q110)</f>
        <v>47</v>
      </c>
      <c r="R111" s="63" t="n">
        <f aca="false">IF((RESET=1),0,R111+K111)</f>
        <v>329.465408102771</v>
      </c>
      <c r="S111" s="10" t="e">
        <f aca="false">IF(RESET=1,0,S111+N111)</f>
        <v>#N/A</v>
      </c>
      <c r="T111" s="0" t="n">
        <f aca="false">IF(RESET=1,0,T111+IF(H111=0,1,0))</f>
        <v>27</v>
      </c>
      <c r="U111" s="0" t="e">
        <f aca="false">IF(RESET=1,0,U111+H111)</f>
        <v>#N/A</v>
      </c>
      <c r="V111" s="10" t="n">
        <f aca="false">R111/(T111+0.00001)</f>
        <v>12.2024180029108</v>
      </c>
      <c r="W111" s="10" t="e">
        <f aca="false">S111/(U111+0.0001)</f>
        <v>#N/A</v>
      </c>
      <c r="X111" s="60" t="n">
        <f aca="false">IF(Informed=1,K111,0)</f>
        <v>0</v>
      </c>
      <c r="Y111" s="60" t="n">
        <f aca="false">IF(Informed=0,K111,0)</f>
        <v>0</v>
      </c>
      <c r="Z111" s="60" t="n">
        <f aca="false">IF(Informed=1,N111,0)</f>
        <v>0</v>
      </c>
      <c r="AA111" s="60" t="n">
        <f aca="false">IF(Informed=0,N111,0)</f>
        <v>6.75965117906017</v>
      </c>
      <c r="AB111" s="64" t="n">
        <f aca="false">IF(Arterial=0,IF(Informed=1,1,0),0)</f>
        <v>0</v>
      </c>
      <c r="AC111" s="64" t="n">
        <f aca="false">IF(Arterial=0,IF(Informed=0,1,0),0)</f>
        <v>0</v>
      </c>
      <c r="AD111" s="64" t="n">
        <f aca="false">IF(Arterial=1,IF(Informed=1,1,0),0)</f>
        <v>0</v>
      </c>
      <c r="AE111" s="64" t="n">
        <f aca="false">IF(Arterial=1,IF(Informed=0,1,0),0)</f>
        <v>1</v>
      </c>
      <c r="AF111" s="57" t="n">
        <f aca="false">IF(AB111=1,(X111-G$1030)^2,0)</f>
        <v>0</v>
      </c>
      <c r="AG111" s="57" t="n">
        <f aca="false">IF(AC111=1,(Y111-H$1030)^2,0)</f>
        <v>0</v>
      </c>
      <c r="AH111" s="57" t="n">
        <f aca="false">IF(AD111=1,(Z111-I$1030)^2,0)</f>
        <v>0</v>
      </c>
      <c r="AI111" s="57" t="n">
        <f aca="false">IF(AE111=1,(AA111-J$1030)^2,0)</f>
        <v>45.6928840625696</v>
      </c>
    </row>
    <row r="112" customFormat="false" ht="12" hidden="false" customHeight="false" outlineLevel="0" collapsed="false">
      <c r="A112" s="5" t="n">
        <v>95</v>
      </c>
      <c r="B112" s="58" t="n">
        <f aca="true">IF(RAND()&lt;$D$8,1,0)</f>
        <v>1</v>
      </c>
      <c r="C112" s="47" t="n">
        <f aca="true">-LN(RAND())/$D$2</f>
        <v>0.0860653209442862</v>
      </c>
      <c r="D112" s="59" t="n">
        <f aca="false">D111+C112</f>
        <v>92.6712403970619</v>
      </c>
      <c r="E112" s="60" t="n">
        <f aca="false">MAX($D$3,(1+P111-VLOOKUP(VALUE(D112),$J$18:$Q111,7,TRUE()))*$D$3)</f>
        <v>12</v>
      </c>
      <c r="F112" s="60" t="n">
        <f aca="false">MAX($D$4,(1+Q111-VLOOKUP(VALUE(D112),$M$18:$Q111,5,TRUE()))*$D$4)</f>
        <v>10</v>
      </c>
      <c r="G112" s="61" t="n">
        <v>0.5</v>
      </c>
      <c r="H112" s="59" t="n">
        <f aca="true">IF((B112=1),(IF((F112&lt;E112),1,(IF((F112=E112),(IF(RAND()&lt;G112,1,0)),0)))),(IF((RAND()&lt;G112),1,0)))</f>
        <v>1</v>
      </c>
      <c r="I112" s="59" t="n">
        <f aca="true">IF((H112=1),0,$D$3+$D$5*(RAND()-0.5))</f>
        <v>0</v>
      </c>
      <c r="J112" s="59" t="n">
        <f aca="false">I112+MAX(D112,J111)</f>
        <v>100.193881251773</v>
      </c>
      <c r="K112" s="59" t="n">
        <f aca="false">IF((H112=0),J112-D112,0)</f>
        <v>0</v>
      </c>
      <c r="L112" s="59" t="n">
        <f aca="true">IF(($H112=0),0,$D$4+$D$5*(RAND()-0.5))</f>
        <v>2.18630954211647</v>
      </c>
      <c r="M112" s="59" t="n">
        <f aca="false">L112+MAX(D112,M111)</f>
        <v>101.531135797294</v>
      </c>
      <c r="N112" s="59" t="n">
        <f aca="false">IF((H112=1),M112-D112,0)</f>
        <v>8.85989540023236</v>
      </c>
      <c r="O112" s="5" t="n">
        <v>95</v>
      </c>
      <c r="P112" s="62" t="n">
        <f aca="false">IF((Arterial=0),P111+1,P111)</f>
        <v>47</v>
      </c>
      <c r="Q112" s="62" t="n">
        <f aca="false">IF((Arterial=1),Q111+1,Q111)</f>
        <v>48</v>
      </c>
      <c r="R112" s="63" t="n">
        <f aca="false">IF((RESET=1),0,R112+K112)</f>
        <v>416.844747975043</v>
      </c>
      <c r="S112" s="10" t="e">
        <f aca="false">IF(RESET=1,0,S112+N112)</f>
        <v>#N/A</v>
      </c>
      <c r="T112" s="0" t="n">
        <f aca="false">IF(RESET=1,0,T112+IF(H112=0,1,0))</f>
        <v>30</v>
      </c>
      <c r="U112" s="0" t="e">
        <f aca="false">IF(RESET=1,0,U112+H112)</f>
        <v>#N/A</v>
      </c>
      <c r="V112" s="10" t="n">
        <f aca="false">R112/(T112+0.00001)</f>
        <v>13.8948203008947</v>
      </c>
      <c r="W112" s="10" t="e">
        <f aca="false">S112/(U112+0.0001)</f>
        <v>#N/A</v>
      </c>
      <c r="X112" s="60" t="n">
        <f aca="false">IF(Informed=1,K112,0)</f>
        <v>0</v>
      </c>
      <c r="Y112" s="60" t="n">
        <f aca="false">IF(Informed=0,K112,0)</f>
        <v>0</v>
      </c>
      <c r="Z112" s="60" t="n">
        <f aca="false">IF(Informed=1,N112,0)</f>
        <v>8.85989540023236</v>
      </c>
      <c r="AA112" s="60" t="n">
        <f aca="false">IF(Informed=0,N112,0)</f>
        <v>0</v>
      </c>
      <c r="AB112" s="64" t="n">
        <f aca="false">IF(Arterial=0,IF(Informed=1,1,0),0)</f>
        <v>0</v>
      </c>
      <c r="AC112" s="64" t="n">
        <f aca="false">IF(Arterial=0,IF(Informed=0,1,0),0)</f>
        <v>0</v>
      </c>
      <c r="AD112" s="64" t="n">
        <f aca="false">IF(Arterial=1,IF(Informed=1,1,0),0)</f>
        <v>1</v>
      </c>
      <c r="AE112" s="64" t="n">
        <f aca="false">IF(Arterial=1,IF(Informed=0,1,0),0)</f>
        <v>0</v>
      </c>
      <c r="AF112" s="57" t="n">
        <f aca="false">IF(AB112=1,(X112-G$1030)^2,0)</f>
        <v>0</v>
      </c>
      <c r="AG112" s="57" t="n">
        <f aca="false">IF(AC112=1,(Y112-H$1030)^2,0)</f>
        <v>0</v>
      </c>
      <c r="AH112" s="57" t="n">
        <f aca="false">IF(AD112=1,(Z112-I$1030)^2,0)</f>
        <v>78.4977465030586</v>
      </c>
      <c r="AI112" s="57" t="n">
        <f aca="false">IF(AE112=1,(AA112-J$1030)^2,0)</f>
        <v>0</v>
      </c>
    </row>
    <row r="113" customFormat="false" ht="12" hidden="false" customHeight="false" outlineLevel="0" collapsed="false">
      <c r="A113" s="5" t="n">
        <v>96</v>
      </c>
      <c r="B113" s="58" t="n">
        <f aca="true">IF(RAND()&lt;$D$8,1,0)</f>
        <v>0</v>
      </c>
      <c r="C113" s="47" t="n">
        <f aca="true">-LN(RAND())/$D$2</f>
        <v>0.139327716777762</v>
      </c>
      <c r="D113" s="59" t="n">
        <f aca="false">D112+C113</f>
        <v>92.8105681138397</v>
      </c>
      <c r="E113" s="60" t="n">
        <f aca="false">MAX($D$3,(1+P112-VLOOKUP(VALUE(D113),$J$18:$Q112,7,TRUE()))*$D$3)</f>
        <v>10</v>
      </c>
      <c r="F113" s="60" t="n">
        <f aca="false">MAX($D$4,(1+Q112-VLOOKUP(VALUE(D113),$M$18:$Q112,5,TRUE()))*$D$4)</f>
        <v>12</v>
      </c>
      <c r="G113" s="61" t="n">
        <v>0.5</v>
      </c>
      <c r="H113" s="59" t="n">
        <f aca="true">IF((B113=1),(IF((F113&lt;E113),1,(IF((F113=E113),(IF(RAND()&lt;G113,1,0)),0)))),(IF((RAND()&lt;G113),1,0)))</f>
        <v>0</v>
      </c>
      <c r="I113" s="59" t="n">
        <f aca="true">IF((H113=1),0,$D$3+$D$5*(RAND()-0.5))</f>
        <v>2.17967134393653</v>
      </c>
      <c r="J113" s="59" t="n">
        <f aca="false">I113+MAX(D113,J112)</f>
        <v>102.373552595709</v>
      </c>
      <c r="K113" s="59" t="n">
        <f aca="false">IF((H113=0),J113-D113,0)</f>
        <v>9.56298448186945</v>
      </c>
      <c r="L113" s="59" t="n">
        <f aca="true">IF(($H113=0),0,$D$4+$D$5*(RAND()-0.5))</f>
        <v>0</v>
      </c>
      <c r="M113" s="59" t="n">
        <f aca="false">L113+MAX(D113,M112)</f>
        <v>101.531135797294</v>
      </c>
      <c r="N113" s="59" t="n">
        <f aca="false">IF((H113=1),M113-D113,0)</f>
        <v>0</v>
      </c>
      <c r="O113" s="5" t="n">
        <v>96</v>
      </c>
      <c r="P113" s="62" t="n">
        <f aca="false">IF((Arterial=0),P112+1,P112)</f>
        <v>48</v>
      </c>
      <c r="Q113" s="62" t="n">
        <f aca="false">IF((Arterial=1),Q112+1,Q112)</f>
        <v>48</v>
      </c>
      <c r="R113" s="63" t="e">
        <f aca="false">IF((RESET=1),0,R113+K113)</f>
        <v>#N/A</v>
      </c>
      <c r="S113" s="10" t="n">
        <f aca="false">IF(RESET=1,0,S113+N113)</f>
        <v>289.178853066833</v>
      </c>
      <c r="T113" s="0" t="e">
        <f aca="false">IF(RESET=1,0,T113+IF(H113=0,1,0))</f>
        <v>#N/A</v>
      </c>
      <c r="U113" s="0" t="n">
        <f aca="false">IF(RESET=1,0,U113+H113)</f>
        <v>24</v>
      </c>
      <c r="V113" s="10" t="e">
        <f aca="false">R113/(T113+0.00001)</f>
        <v>#N/A</v>
      </c>
      <c r="W113" s="10" t="n">
        <f aca="false">S113/(U113+0.0001)</f>
        <v>12.0490686733319</v>
      </c>
      <c r="X113" s="60" t="n">
        <f aca="false">IF(Informed=1,K113,0)</f>
        <v>0</v>
      </c>
      <c r="Y113" s="60" t="n">
        <f aca="false">IF(Informed=0,K113,0)</f>
        <v>9.56298448186945</v>
      </c>
      <c r="Z113" s="60" t="n">
        <f aca="false">IF(Informed=1,N113,0)</f>
        <v>0</v>
      </c>
      <c r="AA113" s="60" t="n">
        <f aca="false">IF(Informed=0,N113,0)</f>
        <v>0</v>
      </c>
      <c r="AB113" s="64" t="n">
        <f aca="false">IF(Arterial=0,IF(Informed=1,1,0),0)</f>
        <v>0</v>
      </c>
      <c r="AC113" s="64" t="n">
        <f aca="false">IF(Arterial=0,IF(Informed=0,1,0),0)</f>
        <v>1</v>
      </c>
      <c r="AD113" s="64" t="n">
        <f aca="false">IF(Arterial=1,IF(Informed=1,1,0),0)</f>
        <v>0</v>
      </c>
      <c r="AE113" s="64" t="n">
        <f aca="false">IF(Arterial=1,IF(Informed=0,1,0),0)</f>
        <v>0</v>
      </c>
      <c r="AF113" s="57" t="n">
        <f aca="false">IF(AB113=1,(X113-G$1030)^2,0)</f>
        <v>0</v>
      </c>
      <c r="AG113" s="57" t="n">
        <f aca="false">IF(AC113=1,(Y113-H$1030)^2,0)</f>
        <v>91.4506722004759</v>
      </c>
      <c r="AH113" s="57" t="n">
        <f aca="false">IF(AD113=1,(Z113-I$1030)^2,0)</f>
        <v>0</v>
      </c>
      <c r="AI113" s="57" t="n">
        <f aca="false">IF(AE113=1,(AA113-J$1030)^2,0)</f>
        <v>0</v>
      </c>
    </row>
    <row r="114" customFormat="false" ht="12" hidden="false" customHeight="false" outlineLevel="0" collapsed="false">
      <c r="A114" s="5" t="n">
        <v>97</v>
      </c>
      <c r="B114" s="58" t="n">
        <f aca="true">IF(RAND()&lt;$D$8,1,0)</f>
        <v>0</v>
      </c>
      <c r="C114" s="47" t="n">
        <f aca="true">-LN(RAND())/$D$2</f>
        <v>0.540155111070987</v>
      </c>
      <c r="D114" s="59" t="n">
        <f aca="false">D113+C114</f>
        <v>93.3507232249107</v>
      </c>
      <c r="E114" s="60" t="n">
        <f aca="false">MAX($D$3,(1+P113-VLOOKUP(VALUE(D114),$J$18:$Q113,7,TRUE()))*$D$3)</f>
        <v>12</v>
      </c>
      <c r="F114" s="60" t="n">
        <f aca="false">MAX($D$4,(1+Q113-VLOOKUP(VALUE(D114),$M$18:$Q113,5,TRUE()))*$D$4)</f>
        <v>12</v>
      </c>
      <c r="G114" s="61" t="n">
        <v>0.5</v>
      </c>
      <c r="H114" s="59" t="n">
        <f aca="true">IF((B114=1),(IF((F114&lt;E114),1,(IF((F114=E114),(IF(RAND()&lt;G114,1,0)),0)))),(IF((RAND()&lt;G114),1,0)))</f>
        <v>0</v>
      </c>
      <c r="I114" s="59" t="n">
        <f aca="true">IF((H114=1),0,$D$3+$D$5*(RAND()-0.5))</f>
        <v>1.98604747953706</v>
      </c>
      <c r="J114" s="59" t="n">
        <f aca="false">I114+MAX(D114,J113)</f>
        <v>104.359600075246</v>
      </c>
      <c r="K114" s="59" t="n">
        <f aca="false">IF((H114=0),J114-D114,0)</f>
        <v>11.0088768503355</v>
      </c>
      <c r="L114" s="59" t="n">
        <f aca="true">IF(($H114=0),0,$D$4+$D$5*(RAND()-0.5))</f>
        <v>0</v>
      </c>
      <c r="M114" s="59" t="n">
        <f aca="false">L114+MAX(D114,M113)</f>
        <v>101.531135797294</v>
      </c>
      <c r="N114" s="59" t="n">
        <f aca="false">IF((H114=1),M114-D114,0)</f>
        <v>0</v>
      </c>
      <c r="O114" s="5" t="n">
        <v>97</v>
      </c>
      <c r="P114" s="62" t="n">
        <f aca="false">IF((Arterial=0),P113+1,P113)</f>
        <v>49</v>
      </c>
      <c r="Q114" s="62" t="n">
        <f aca="false">IF((Arterial=1),Q113+1,Q113)</f>
        <v>48</v>
      </c>
      <c r="R114" s="63" t="e">
        <f aca="false">IF((RESET=1),0,R114+K114)</f>
        <v>#N/A</v>
      </c>
      <c r="S114" s="10" t="n">
        <f aca="false">IF(RESET=1,0,S114+N114)</f>
        <v>310.476584621653</v>
      </c>
      <c r="T114" s="0" t="e">
        <f aca="false">IF(RESET=1,0,T114+IF(H114=0,1,0))</f>
        <v>#N/A</v>
      </c>
      <c r="U114" s="0" t="n">
        <f aca="false">IF(RESET=1,0,U114+H114)</f>
        <v>28</v>
      </c>
      <c r="V114" s="10" t="e">
        <f aca="false">R114/(T114+0.00001)</f>
        <v>#N/A</v>
      </c>
      <c r="W114" s="10" t="n">
        <f aca="false">S114/(U114+0.0001)</f>
        <v>11.0884098493096</v>
      </c>
      <c r="X114" s="60" t="n">
        <f aca="false">IF(Informed=1,K114,0)</f>
        <v>0</v>
      </c>
      <c r="Y114" s="60" t="n">
        <f aca="false">IF(Informed=0,K114,0)</f>
        <v>11.0088768503355</v>
      </c>
      <c r="Z114" s="60" t="n">
        <f aca="false">IF(Informed=1,N114,0)</f>
        <v>0</v>
      </c>
      <c r="AA114" s="60" t="n">
        <f aca="false">IF(Informed=0,N114,0)</f>
        <v>0</v>
      </c>
      <c r="AB114" s="64" t="n">
        <f aca="false">IF(Arterial=0,IF(Informed=1,1,0),0)</f>
        <v>0</v>
      </c>
      <c r="AC114" s="64" t="n">
        <f aca="false">IF(Arterial=0,IF(Informed=0,1,0),0)</f>
        <v>1</v>
      </c>
      <c r="AD114" s="64" t="n">
        <f aca="false">IF(Arterial=1,IF(Informed=1,1,0),0)</f>
        <v>0</v>
      </c>
      <c r="AE114" s="64" t="n">
        <f aca="false">IF(Arterial=1,IF(Informed=0,1,0),0)</f>
        <v>0</v>
      </c>
      <c r="AF114" s="57" t="n">
        <f aca="false">IF(AB114=1,(X114-G$1030)^2,0)</f>
        <v>0</v>
      </c>
      <c r="AG114" s="57" t="n">
        <f aca="false">IF(AC114=1,(Y114-H$1030)^2,0)</f>
        <v>121.195369505853</v>
      </c>
      <c r="AH114" s="57" t="n">
        <f aca="false">IF(AD114=1,(Z114-I$1030)^2,0)</f>
        <v>0</v>
      </c>
      <c r="AI114" s="57" t="n">
        <f aca="false">IF(AE114=1,(AA114-J$1030)^2,0)</f>
        <v>0</v>
      </c>
    </row>
    <row r="115" customFormat="false" ht="12" hidden="false" customHeight="false" outlineLevel="0" collapsed="false">
      <c r="A115" s="5" t="n">
        <v>98</v>
      </c>
      <c r="B115" s="58" t="n">
        <f aca="true">IF(RAND()&lt;$D$8,1,0)</f>
        <v>0</v>
      </c>
      <c r="C115" s="47" t="n">
        <f aca="true">-LN(RAND())/$D$2</f>
        <v>1.28676625451498</v>
      </c>
      <c r="D115" s="59" t="n">
        <f aca="false">D114+C115</f>
        <v>94.6374894794256</v>
      </c>
      <c r="E115" s="60" t="n">
        <f aca="false">MAX($D$3,(1+P114-VLOOKUP(VALUE(D115),$J$18:$Q114,7,TRUE()))*$D$3)</f>
        <v>14</v>
      </c>
      <c r="F115" s="60" t="n">
        <f aca="false">MAX($D$4,(1+Q114-VLOOKUP(VALUE(D115),$M$18:$Q114,5,TRUE()))*$D$4)</f>
        <v>10</v>
      </c>
      <c r="G115" s="61" t="n">
        <v>0.5</v>
      </c>
      <c r="H115" s="59" t="n">
        <f aca="true">IF((B115=1),(IF((F115&lt;E115),1,(IF((F115=E115),(IF(RAND()&lt;G115,1,0)),0)))),(IF((RAND()&lt;G115),1,0)))</f>
        <v>1</v>
      </c>
      <c r="I115" s="59" t="n">
        <f aca="true">IF((H115=1),0,$D$3+$D$5*(RAND()-0.5))</f>
        <v>0</v>
      </c>
      <c r="J115" s="59" t="n">
        <f aca="false">I115+MAX(D115,J114)</f>
        <v>104.359600075246</v>
      </c>
      <c r="K115" s="59" t="n">
        <f aca="false">IF((H115=0),J115-D115,0)</f>
        <v>0</v>
      </c>
      <c r="L115" s="59" t="n">
        <f aca="true">IF(($H115=0),0,$D$4+$D$5*(RAND()-0.5))</f>
        <v>2.20802146585775</v>
      </c>
      <c r="M115" s="59" t="n">
        <f aca="false">L115+MAX(D115,M114)</f>
        <v>103.739157263152</v>
      </c>
      <c r="N115" s="59" t="n">
        <f aca="false">IF((H115=1),M115-D115,0)</f>
        <v>9.1016677837264</v>
      </c>
      <c r="O115" s="5" t="n">
        <v>98</v>
      </c>
      <c r="P115" s="62" t="n">
        <f aca="false">IF((Arterial=0),P114+1,P114)</f>
        <v>49</v>
      </c>
      <c r="Q115" s="62" t="n">
        <f aca="false">IF((Arterial=1),Q114+1,Q114)</f>
        <v>49</v>
      </c>
      <c r="R115" s="63" t="n">
        <f aca="false">IF((RESET=1),0,R115+K115)</f>
        <v>365.804418662481</v>
      </c>
      <c r="S115" s="10" t="e">
        <f aca="false">IF(RESET=1,0,S115+N115)</f>
        <v>#N/A</v>
      </c>
      <c r="T115" s="0" t="n">
        <f aca="false">IF(RESET=1,0,T115+IF(H115=0,1,0))</f>
        <v>29</v>
      </c>
      <c r="U115" s="0" t="e">
        <f aca="false">IF(RESET=1,0,U115+H115)</f>
        <v>#N/A</v>
      </c>
      <c r="V115" s="10" t="n">
        <f aca="false">R115/(T115+0.00001)</f>
        <v>12.6139411214852</v>
      </c>
      <c r="W115" s="10" t="e">
        <f aca="false">S115/(U115+0.0001)</f>
        <v>#N/A</v>
      </c>
      <c r="X115" s="60" t="n">
        <f aca="false">IF(Informed=1,K115,0)</f>
        <v>0</v>
      </c>
      <c r="Y115" s="60" t="n">
        <f aca="false">IF(Informed=0,K115,0)</f>
        <v>0</v>
      </c>
      <c r="Z115" s="60" t="n">
        <f aca="false">IF(Informed=1,N115,0)</f>
        <v>0</v>
      </c>
      <c r="AA115" s="60" t="n">
        <f aca="false">IF(Informed=0,N115,0)</f>
        <v>9.1016677837264</v>
      </c>
      <c r="AB115" s="64" t="n">
        <f aca="false">IF(Arterial=0,IF(Informed=1,1,0),0)</f>
        <v>0</v>
      </c>
      <c r="AC115" s="64" t="n">
        <f aca="false">IF(Arterial=0,IF(Informed=0,1,0),0)</f>
        <v>0</v>
      </c>
      <c r="AD115" s="64" t="n">
        <f aca="false">IF(Arterial=1,IF(Informed=1,1,0),0)</f>
        <v>0</v>
      </c>
      <c r="AE115" s="64" t="n">
        <f aca="false">IF(Arterial=1,IF(Informed=0,1,0),0)</f>
        <v>1</v>
      </c>
      <c r="AF115" s="57" t="n">
        <f aca="false">IF(AB115=1,(X115-G$1030)^2,0)</f>
        <v>0</v>
      </c>
      <c r="AG115" s="57" t="n">
        <f aca="false">IF(AC115=1,(Y115-H$1030)^2,0)</f>
        <v>0</v>
      </c>
      <c r="AH115" s="57" t="n">
        <f aca="false">IF(AD115=1,(Z115-I$1030)^2,0)</f>
        <v>0</v>
      </c>
      <c r="AI115" s="57" t="n">
        <f aca="false">IF(AE115=1,(AA115-J$1030)^2,0)</f>
        <v>82.840356445323</v>
      </c>
    </row>
    <row r="116" customFormat="false" ht="12" hidden="false" customHeight="false" outlineLevel="0" collapsed="false">
      <c r="A116" s="5" t="n">
        <v>99</v>
      </c>
      <c r="B116" s="58" t="n">
        <f aca="true">IF(RAND()&lt;$D$8,1,0)</f>
        <v>1</v>
      </c>
      <c r="C116" s="47" t="n">
        <f aca="true">-LN(RAND())/$D$2</f>
        <v>3.51259023626517</v>
      </c>
      <c r="D116" s="59" t="n">
        <f aca="false">D115+C116</f>
        <v>98.1500797156908</v>
      </c>
      <c r="E116" s="60" t="n">
        <f aca="false">MAX($D$3,(1+P115-VLOOKUP(VALUE(D116),$J$18:$Q115,7,TRUE()))*$D$3)</f>
        <v>10</v>
      </c>
      <c r="F116" s="60" t="n">
        <f aca="false">MAX($D$4,(1+Q115-VLOOKUP(VALUE(D116),$M$18:$Q115,5,TRUE()))*$D$4)</f>
        <v>8</v>
      </c>
      <c r="G116" s="61" t="n">
        <v>0.5</v>
      </c>
      <c r="H116" s="59" t="n">
        <f aca="true">IF((B116=1),(IF((F116&lt;E116),1,(IF((F116=E116),(IF(RAND()&lt;G116,1,0)),0)))),(IF((RAND()&lt;G116),1,0)))</f>
        <v>1</v>
      </c>
      <c r="I116" s="59" t="n">
        <f aca="true">IF((H116=1),0,$D$3+$D$5*(RAND()-0.5))</f>
        <v>0</v>
      </c>
      <c r="J116" s="59" t="n">
        <f aca="false">I116+MAX(D116,J115)</f>
        <v>104.359600075246</v>
      </c>
      <c r="K116" s="59" t="n">
        <f aca="false">IF((H116=0),J116-D116,0)</f>
        <v>0</v>
      </c>
      <c r="L116" s="59" t="n">
        <f aca="true">IF(($H116=0),0,$D$4+$D$5*(RAND()-0.5))</f>
        <v>1.80030763956167</v>
      </c>
      <c r="M116" s="59" t="n">
        <f aca="false">L116+MAX(D116,M115)</f>
        <v>105.539464902714</v>
      </c>
      <c r="N116" s="59" t="n">
        <f aca="false">IF((H116=1),M116-D116,0)</f>
        <v>7.3893851870229</v>
      </c>
      <c r="O116" s="5" t="n">
        <v>99</v>
      </c>
      <c r="P116" s="62" t="n">
        <f aca="false">IF((Arterial=0),P115+1,P115)</f>
        <v>49</v>
      </c>
      <c r="Q116" s="62" t="n">
        <f aca="false">IF((Arterial=1),Q115+1,Q115)</f>
        <v>50</v>
      </c>
      <c r="R116" s="63" t="n">
        <f aca="false">IF((RESET=1),0,R116+K116)</f>
        <v>256.618855140779</v>
      </c>
      <c r="S116" s="10" t="e">
        <f aca="false">IF(RESET=1,0,S116+N116)</f>
        <v>#N/A</v>
      </c>
      <c r="T116" s="0" t="n">
        <f aca="false">IF(RESET=1,0,T116+IF(H116=0,1,0))</f>
        <v>23</v>
      </c>
      <c r="U116" s="0" t="e">
        <f aca="false">IF(RESET=1,0,U116+H116)</f>
        <v>#N/A</v>
      </c>
      <c r="V116" s="10" t="n">
        <f aca="false">R116/(T116+0.00001)</f>
        <v>11.157336676844</v>
      </c>
      <c r="W116" s="10" t="e">
        <f aca="false">S116/(U116+0.0001)</f>
        <v>#N/A</v>
      </c>
      <c r="X116" s="60" t="n">
        <f aca="false">IF(Informed=1,K116,0)</f>
        <v>0</v>
      </c>
      <c r="Y116" s="60" t="n">
        <f aca="false">IF(Informed=0,K116,0)</f>
        <v>0</v>
      </c>
      <c r="Z116" s="60" t="n">
        <f aca="false">IF(Informed=1,N116,0)</f>
        <v>7.3893851870229</v>
      </c>
      <c r="AA116" s="60" t="n">
        <f aca="false">IF(Informed=0,N116,0)</f>
        <v>0</v>
      </c>
      <c r="AB116" s="64" t="n">
        <f aca="false">IF(Arterial=0,IF(Informed=1,1,0),0)</f>
        <v>0</v>
      </c>
      <c r="AC116" s="64" t="n">
        <f aca="false">IF(Arterial=0,IF(Informed=0,1,0),0)</f>
        <v>0</v>
      </c>
      <c r="AD116" s="64" t="n">
        <f aca="false">IF(Arterial=1,IF(Informed=1,1,0),0)</f>
        <v>1</v>
      </c>
      <c r="AE116" s="64" t="n">
        <f aca="false">IF(Arterial=1,IF(Informed=0,1,0),0)</f>
        <v>0</v>
      </c>
      <c r="AF116" s="57" t="n">
        <f aca="false">IF(AB116=1,(X116-G$1030)^2,0)</f>
        <v>0</v>
      </c>
      <c r="AG116" s="57" t="n">
        <f aca="false">IF(AC116=1,(Y116-H$1030)^2,0)</f>
        <v>0</v>
      </c>
      <c r="AH116" s="57" t="n">
        <f aca="false">IF(AD116=1,(Z116-I$1030)^2,0)</f>
        <v>54.6030134421934</v>
      </c>
      <c r="AI116" s="57" t="n">
        <f aca="false">IF(AE116=1,(AA116-J$1030)^2,0)</f>
        <v>0</v>
      </c>
    </row>
    <row r="117" customFormat="false" ht="12" hidden="false" customHeight="false" outlineLevel="0" collapsed="false">
      <c r="A117" s="5" t="n">
        <v>100</v>
      </c>
      <c r="B117" s="58" t="n">
        <f aca="true">IF(RAND()&lt;$D$8,1,0)</f>
        <v>1</v>
      </c>
      <c r="C117" s="47" t="n">
        <f aca="true">-LN(RAND())/$D$2</f>
        <v>0.0303989330267625</v>
      </c>
      <c r="D117" s="59" t="n">
        <f aca="false">D116+C117</f>
        <v>98.1804786487176</v>
      </c>
      <c r="E117" s="60" t="n">
        <f aca="false">MAX($D$3,(1+P116-VLOOKUP(VALUE(D117),$J$18:$Q116,7,TRUE()))*$D$3)</f>
        <v>10</v>
      </c>
      <c r="F117" s="60" t="n">
        <f aca="false">MAX($D$4,(1+Q116-VLOOKUP(VALUE(D117),$M$18:$Q116,5,TRUE()))*$D$4)</f>
        <v>10</v>
      </c>
      <c r="G117" s="61" t="n">
        <v>0.5</v>
      </c>
      <c r="H117" s="59" t="n">
        <f aca="true">IF((B117=1),(IF((F117&lt;E117),1,(IF((F117=E117),(IF(RAND()&lt;G117,1,0)),0)))),(IF((RAND()&lt;G117),1,0)))</f>
        <v>0</v>
      </c>
      <c r="I117" s="59" t="n">
        <f aca="true">IF((H117=1),0,$D$3+$D$5*(RAND()-0.5))</f>
        <v>2.11887125991791</v>
      </c>
      <c r="J117" s="59" t="n">
        <f aca="false">I117+MAX(D117,J116)</f>
        <v>106.478471335164</v>
      </c>
      <c r="K117" s="59" t="n">
        <f aca="false">IF((H117=0),J117-D117,0)</f>
        <v>8.29799268644653</v>
      </c>
      <c r="L117" s="59" t="n">
        <f aca="true">IF(($H117=0),0,$D$4+$D$5*(RAND()-0.5))</f>
        <v>0</v>
      </c>
      <c r="M117" s="59" t="n">
        <f aca="false">L117+MAX(D117,M116)</f>
        <v>105.539464902714</v>
      </c>
      <c r="N117" s="59" t="n">
        <f aca="false">IF((H117=1),M117-D117,0)</f>
        <v>0</v>
      </c>
      <c r="O117" s="5" t="n">
        <v>100</v>
      </c>
      <c r="P117" s="62" t="n">
        <f aca="false">IF((Arterial=0),P116+1,P116)</f>
        <v>50</v>
      </c>
      <c r="Q117" s="62" t="n">
        <f aca="false">IF((Arterial=1),Q116+1,Q116)</f>
        <v>50</v>
      </c>
      <c r="R117" s="63" t="e">
        <f aca="false">IF((RESET=1),0,R117+K117)</f>
        <v>#N/A</v>
      </c>
      <c r="S117" s="10" t="n">
        <f aca="false">IF(RESET=1,0,S117+N117)</f>
        <v>313.827688894904</v>
      </c>
      <c r="T117" s="0" t="e">
        <f aca="false">IF(RESET=1,0,T117+IF(H117=0,1,0))</f>
        <v>#N/A</v>
      </c>
      <c r="U117" s="0" t="n">
        <f aca="false">IF(RESET=1,0,U117+H117)</f>
        <v>26</v>
      </c>
      <c r="V117" s="10" t="e">
        <f aca="false">R117/(T117+0.00001)</f>
        <v>#N/A</v>
      </c>
      <c r="W117" s="10" t="n">
        <f aca="false">S117/(U117+0.0001)</f>
        <v>12.0702493026913</v>
      </c>
      <c r="X117" s="60" t="n">
        <f aca="false">IF(Informed=1,K117,0)</f>
        <v>8.29799268644653</v>
      </c>
      <c r="Y117" s="60" t="n">
        <f aca="false">IF(Informed=0,K117,0)</f>
        <v>0</v>
      </c>
      <c r="Z117" s="60" t="n">
        <f aca="false">IF(Informed=1,N117,0)</f>
        <v>0</v>
      </c>
      <c r="AA117" s="60" t="n">
        <f aca="false">IF(Informed=0,N117,0)</f>
        <v>0</v>
      </c>
      <c r="AB117" s="64" t="n">
        <f aca="false">IF(Arterial=0,IF(Informed=1,1,0),0)</f>
        <v>1</v>
      </c>
      <c r="AC117" s="64" t="n">
        <f aca="false">IF(Arterial=0,IF(Informed=0,1,0),0)</f>
        <v>0</v>
      </c>
      <c r="AD117" s="64" t="n">
        <f aca="false">IF(Arterial=1,IF(Informed=1,1,0),0)</f>
        <v>0</v>
      </c>
      <c r="AE117" s="64" t="n">
        <f aca="false">IF(Arterial=1,IF(Informed=0,1,0),0)</f>
        <v>0</v>
      </c>
      <c r="AF117" s="57" t="n">
        <f aca="false">IF(AB117=1,(X117-G$1030)^2,0)</f>
        <v>68.8566826243202</v>
      </c>
      <c r="AG117" s="57" t="n">
        <f aca="false">IF(AC117=1,(Y117-H$1030)^2,0)</f>
        <v>0</v>
      </c>
      <c r="AH117" s="57" t="n">
        <f aca="false">IF(AD117=1,(Z117-I$1030)^2,0)</f>
        <v>0</v>
      </c>
      <c r="AI117" s="57" t="n">
        <f aca="false">IF(AE117=1,(AA117-J$1030)^2,0)</f>
        <v>0</v>
      </c>
    </row>
    <row r="118" customFormat="false" ht="12" hidden="false" customHeight="false" outlineLevel="0" collapsed="false">
      <c r="A118" s="5" t="n">
        <v>101</v>
      </c>
      <c r="B118" s="58" t="n">
        <f aca="true">IF(RAND()&lt;$D$8,1,0)</f>
        <v>1</v>
      </c>
      <c r="C118" s="47" t="n">
        <f aca="true">-LN(RAND())/$D$2</f>
        <v>0.245927792954688</v>
      </c>
      <c r="D118" s="59" t="n">
        <f aca="false">D117+C118</f>
        <v>98.4264064416722</v>
      </c>
      <c r="E118" s="60" t="n">
        <f aca="false">MAX($D$3,(1+P117-VLOOKUP(VALUE(D118),$J$18:$Q117,7,TRUE()))*$D$3)</f>
        <v>10</v>
      </c>
      <c r="F118" s="60" t="n">
        <f aca="false">MAX($D$4,(1+Q117-VLOOKUP(VALUE(D118),$M$18:$Q117,5,TRUE()))*$D$4)</f>
        <v>10</v>
      </c>
      <c r="G118" s="61" t="n">
        <v>0.5</v>
      </c>
      <c r="H118" s="59" t="n">
        <f aca="true">IF((B118=1),(IF((F118&lt;E118),1,(IF((F118=E118),(IF(RAND()&lt;G118,1,0)),0)))),(IF((RAND()&lt;G118),1,0)))</f>
        <v>0</v>
      </c>
      <c r="I118" s="59" t="n">
        <f aca="true">IF((H118=1),0,$D$3+$D$5*(RAND()-0.5))</f>
        <v>2.20913478123163</v>
      </c>
      <c r="J118" s="59" t="n">
        <f aca="false">I118+MAX(D118,J117)</f>
        <v>108.687606116396</v>
      </c>
      <c r="K118" s="59" t="n">
        <f aca="false">IF((H118=0),J118-D118,0)</f>
        <v>10.2611996747235</v>
      </c>
      <c r="L118" s="59" t="n">
        <f aca="true">IF(($H118=0),0,$D$4+$D$5*(RAND()-0.5))</f>
        <v>0</v>
      </c>
      <c r="M118" s="59" t="n">
        <f aca="false">L118+MAX(D118,M117)</f>
        <v>105.539464902714</v>
      </c>
      <c r="N118" s="59" t="n">
        <f aca="false">IF((H118=1),M118-D118,0)</f>
        <v>0</v>
      </c>
      <c r="O118" s="5" t="n">
        <v>101</v>
      </c>
      <c r="P118" s="62" t="n">
        <f aca="false">IF((Arterial=0),P117+1,P117)</f>
        <v>51</v>
      </c>
      <c r="Q118" s="62" t="n">
        <f aca="false">IF((Arterial=1),Q117+1,Q117)</f>
        <v>50</v>
      </c>
      <c r="R118" s="63" t="e">
        <f aca="false">IF((RESET=1),0,R118+K118)</f>
        <v>#N/A</v>
      </c>
      <c r="S118" s="10" t="n">
        <f aca="false">IF(RESET=1,0,S118+N118)</f>
        <v>232.465726081681</v>
      </c>
      <c r="T118" s="0" t="e">
        <f aca="false">IF(RESET=1,0,T118+IF(H118=0,1,0))</f>
        <v>#N/A</v>
      </c>
      <c r="U118" s="0" t="n">
        <f aca="false">IF(RESET=1,0,U118+H118)</f>
        <v>21</v>
      </c>
      <c r="V118" s="10" t="e">
        <f aca="false">R118/(T118+0.00001)</f>
        <v>#N/A</v>
      </c>
      <c r="W118" s="10" t="n">
        <f aca="false">S118/(U118+0.0001)</f>
        <v>11.0697437670145</v>
      </c>
      <c r="X118" s="60" t="n">
        <f aca="false">IF(Informed=1,K118,0)</f>
        <v>10.2611996747235</v>
      </c>
      <c r="Y118" s="60" t="n">
        <f aca="false">IF(Informed=0,K118,0)</f>
        <v>0</v>
      </c>
      <c r="Z118" s="60" t="n">
        <f aca="false">IF(Informed=1,N118,0)</f>
        <v>0</v>
      </c>
      <c r="AA118" s="60" t="n">
        <f aca="false">IF(Informed=0,N118,0)</f>
        <v>0</v>
      </c>
      <c r="AB118" s="64" t="n">
        <f aca="false">IF(Arterial=0,IF(Informed=1,1,0),0)</f>
        <v>1</v>
      </c>
      <c r="AC118" s="64" t="n">
        <f aca="false">IF(Arterial=0,IF(Informed=0,1,0),0)</f>
        <v>0</v>
      </c>
      <c r="AD118" s="64" t="n">
        <f aca="false">IF(Arterial=1,IF(Informed=1,1,0),0)</f>
        <v>0</v>
      </c>
      <c r="AE118" s="64" t="n">
        <f aca="false">IF(Arterial=1,IF(Informed=0,1,0),0)</f>
        <v>0</v>
      </c>
      <c r="AF118" s="57" t="n">
        <f aca="false">IF(AB118=1,(X118-G$1030)^2,0)</f>
        <v>105.292218764545</v>
      </c>
      <c r="AG118" s="57" t="n">
        <f aca="false">IF(AC118=1,(Y118-H$1030)^2,0)</f>
        <v>0</v>
      </c>
      <c r="AH118" s="57" t="n">
        <f aca="false">IF(AD118=1,(Z118-I$1030)^2,0)</f>
        <v>0</v>
      </c>
      <c r="AI118" s="57" t="n">
        <f aca="false">IF(AE118=1,(AA118-J$1030)^2,0)</f>
        <v>0</v>
      </c>
    </row>
    <row r="119" customFormat="false" ht="12" hidden="false" customHeight="false" outlineLevel="0" collapsed="false">
      <c r="A119" s="5" t="n">
        <v>102</v>
      </c>
      <c r="B119" s="58" t="n">
        <f aca="true">IF(RAND()&lt;$D$8,1,0)</f>
        <v>0</v>
      </c>
      <c r="C119" s="47" t="n">
        <f aca="true">-LN(RAND())/$D$2</f>
        <v>1.81095344235056</v>
      </c>
      <c r="D119" s="59" t="n">
        <f aca="false">D118+C119</f>
        <v>100.237359884023</v>
      </c>
      <c r="E119" s="60" t="n">
        <f aca="false">MAX($D$3,(1+P118-VLOOKUP(VALUE(D119),$J$18:$Q118,7,TRUE()))*$D$3)</f>
        <v>10</v>
      </c>
      <c r="F119" s="60" t="n">
        <f aca="false">MAX($D$4,(1+Q118-VLOOKUP(VALUE(D119),$M$18:$Q118,5,TRUE()))*$D$4)</f>
        <v>8</v>
      </c>
      <c r="G119" s="61" t="n">
        <v>0.5</v>
      </c>
      <c r="H119" s="59" t="n">
        <f aca="true">IF((B119=1),(IF((F119&lt;E119),1,(IF((F119=E119),(IF(RAND()&lt;G119,1,0)),0)))),(IF((RAND()&lt;G119),1,0)))</f>
        <v>1</v>
      </c>
      <c r="I119" s="59" t="n">
        <f aca="true">IF((H119=1),0,$D$3+$D$5*(RAND()-0.5))</f>
        <v>0</v>
      </c>
      <c r="J119" s="59" t="n">
        <f aca="false">I119+MAX(D119,J118)</f>
        <v>108.687606116396</v>
      </c>
      <c r="K119" s="59" t="n">
        <f aca="false">IF((H119=0),J119-D119,0)</f>
        <v>0</v>
      </c>
      <c r="L119" s="59" t="n">
        <f aca="true">IF(($H119=0),0,$D$4+$D$5*(RAND()-0.5))</f>
        <v>1.8578703789576</v>
      </c>
      <c r="M119" s="59" t="n">
        <f aca="false">L119+MAX(D119,M118)</f>
        <v>107.397335281671</v>
      </c>
      <c r="N119" s="59" t="n">
        <f aca="false">IF((H119=1),M119-D119,0)</f>
        <v>7.15997539764848</v>
      </c>
      <c r="O119" s="5" t="n">
        <v>102</v>
      </c>
      <c r="P119" s="62" t="n">
        <f aca="false">IF((Arterial=0),P118+1,P118)</f>
        <v>51</v>
      </c>
      <c r="Q119" s="62" t="n">
        <f aca="false">IF((Arterial=1),Q118+1,Q118)</f>
        <v>51</v>
      </c>
      <c r="R119" s="63" t="n">
        <f aca="false">IF((RESET=1),0,R119+K119)</f>
        <v>356.850294849942</v>
      </c>
      <c r="S119" s="10" t="e">
        <f aca="false">IF(RESET=1,0,S119+N119)</f>
        <v>#N/A</v>
      </c>
      <c r="T119" s="0" t="n">
        <f aca="false">IF(RESET=1,0,T119+IF(H119=0,1,0))</f>
        <v>28</v>
      </c>
      <c r="U119" s="0" t="e">
        <f aca="false">IF(RESET=1,0,U119+H119)</f>
        <v>#N/A</v>
      </c>
      <c r="V119" s="10" t="n">
        <f aca="false">R119/(T119+0.00001)</f>
        <v>12.7446488358376</v>
      </c>
      <c r="W119" s="10" t="e">
        <f aca="false">S119/(U119+0.0001)</f>
        <v>#N/A</v>
      </c>
      <c r="X119" s="60" t="n">
        <f aca="false">IF(Informed=1,K119,0)</f>
        <v>0</v>
      </c>
      <c r="Y119" s="60" t="n">
        <f aca="false">IF(Informed=0,K119,0)</f>
        <v>0</v>
      </c>
      <c r="Z119" s="60" t="n">
        <f aca="false">IF(Informed=1,N119,0)</f>
        <v>0</v>
      </c>
      <c r="AA119" s="60" t="n">
        <f aca="false">IF(Informed=0,N119,0)</f>
        <v>7.15997539764848</v>
      </c>
      <c r="AB119" s="64" t="n">
        <f aca="false">IF(Arterial=0,IF(Informed=1,1,0),0)</f>
        <v>0</v>
      </c>
      <c r="AC119" s="64" t="n">
        <f aca="false">IF(Arterial=0,IF(Informed=0,1,0),0)</f>
        <v>0</v>
      </c>
      <c r="AD119" s="64" t="n">
        <f aca="false">IF(Arterial=1,IF(Informed=1,1,0),0)</f>
        <v>0</v>
      </c>
      <c r="AE119" s="64" t="n">
        <f aca="false">IF(Arterial=1,IF(Informed=0,1,0),0)</f>
        <v>1</v>
      </c>
      <c r="AF119" s="57" t="n">
        <f aca="false">IF(AB119=1,(X119-G$1030)^2,0)</f>
        <v>0</v>
      </c>
      <c r="AG119" s="57" t="n">
        <f aca="false">IF(AC119=1,(Y119-H$1030)^2,0)</f>
        <v>0</v>
      </c>
      <c r="AH119" s="57" t="n">
        <f aca="false">IF(AD119=1,(Z119-I$1030)^2,0)</f>
        <v>0</v>
      </c>
      <c r="AI119" s="57" t="n">
        <f aca="false">IF(AE119=1,(AA119-J$1030)^2,0)</f>
        <v>51.2652476949315</v>
      </c>
    </row>
    <row r="120" customFormat="false" ht="12" hidden="false" customHeight="false" outlineLevel="0" collapsed="false">
      <c r="A120" s="5" t="n">
        <v>103</v>
      </c>
      <c r="B120" s="58" t="n">
        <f aca="true">IF(RAND()&lt;$D$8,1,0)</f>
        <v>0</v>
      </c>
      <c r="C120" s="47" t="n">
        <f aca="true">-LN(RAND())/$D$2</f>
        <v>0.109162351472322</v>
      </c>
      <c r="D120" s="59" t="n">
        <f aca="false">D119+C120</f>
        <v>100.346522235495</v>
      </c>
      <c r="E120" s="60" t="n">
        <f aca="false">MAX($D$3,(1+P119-VLOOKUP(VALUE(D120),$J$18:$Q119,7,TRUE()))*$D$3)</f>
        <v>10</v>
      </c>
      <c r="F120" s="60" t="n">
        <f aca="false">MAX($D$4,(1+Q119-VLOOKUP(VALUE(D120),$M$18:$Q119,5,TRUE()))*$D$4)</f>
        <v>10</v>
      </c>
      <c r="G120" s="61" t="n">
        <v>0.5</v>
      </c>
      <c r="H120" s="59" t="n">
        <f aca="true">IF((B120=1),(IF((F120&lt;E120),1,(IF((F120=E120),(IF(RAND()&lt;G120,1,0)),0)))),(IF((RAND()&lt;G120),1,0)))</f>
        <v>0</v>
      </c>
      <c r="I120" s="59" t="n">
        <f aca="true">IF((H120=1),0,$D$3+$D$5*(RAND()-0.5))</f>
        <v>2.23198802518563</v>
      </c>
      <c r="J120" s="59" t="n">
        <f aca="false">I120+MAX(D120,J119)</f>
        <v>110.919594141581</v>
      </c>
      <c r="K120" s="59" t="n">
        <f aca="false">IF((H120=0),J120-D120,0)</f>
        <v>10.5730719060862</v>
      </c>
      <c r="L120" s="59" t="n">
        <f aca="true">IF(($H120=0),0,$D$4+$D$5*(RAND()-0.5))</f>
        <v>0</v>
      </c>
      <c r="M120" s="59" t="n">
        <f aca="false">L120+MAX(D120,M119)</f>
        <v>107.397335281671</v>
      </c>
      <c r="N120" s="59" t="n">
        <f aca="false">IF((H120=1),M120-D120,0)</f>
        <v>0</v>
      </c>
      <c r="O120" s="5" t="n">
        <v>103</v>
      </c>
      <c r="P120" s="62" t="n">
        <f aca="false">IF((Arterial=0),P119+1,P119)</f>
        <v>52</v>
      </c>
      <c r="Q120" s="62" t="n">
        <f aca="false">IF((Arterial=1),Q119+1,Q119)</f>
        <v>51</v>
      </c>
      <c r="R120" s="63" t="e">
        <f aca="false">IF((RESET=1),0,R120+K120)</f>
        <v>#N/A</v>
      </c>
      <c r="S120" s="10" t="n">
        <f aca="false">IF(RESET=1,0,S120+N120)</f>
        <v>447.708166097255</v>
      </c>
      <c r="T120" s="0" t="e">
        <f aca="false">IF(RESET=1,0,T120+IF(H120=0,1,0))</f>
        <v>#N/A</v>
      </c>
      <c r="U120" s="0" t="n">
        <f aca="false">IF(RESET=1,0,U120+H120)</f>
        <v>34</v>
      </c>
      <c r="V120" s="10" t="e">
        <f aca="false">R120/(T120+0.00001)</f>
        <v>#N/A</v>
      </c>
      <c r="W120" s="10" t="n">
        <f aca="false">S120/(U120+0.0001)</f>
        <v>13.1678485091883</v>
      </c>
      <c r="X120" s="60" t="n">
        <f aca="false">IF(Informed=1,K120,0)</f>
        <v>0</v>
      </c>
      <c r="Y120" s="60" t="n">
        <f aca="false">IF(Informed=0,K120,0)</f>
        <v>10.5730719060862</v>
      </c>
      <c r="Z120" s="60" t="n">
        <f aca="false">IF(Informed=1,N120,0)</f>
        <v>0</v>
      </c>
      <c r="AA120" s="60" t="n">
        <f aca="false">IF(Informed=0,N120,0)</f>
        <v>0</v>
      </c>
      <c r="AB120" s="64" t="n">
        <f aca="false">IF(Arterial=0,IF(Informed=1,1,0),0)</f>
        <v>0</v>
      </c>
      <c r="AC120" s="64" t="n">
        <f aca="false">IF(Arterial=0,IF(Informed=0,1,0),0)</f>
        <v>1</v>
      </c>
      <c r="AD120" s="64" t="n">
        <f aca="false">IF(Arterial=1,IF(Informed=1,1,0),0)</f>
        <v>0</v>
      </c>
      <c r="AE120" s="64" t="n">
        <f aca="false">IF(Arterial=1,IF(Informed=0,1,0),0)</f>
        <v>0</v>
      </c>
      <c r="AF120" s="57" t="n">
        <f aca="false">IF(AB120=1,(X120-G$1030)^2,0)</f>
        <v>0</v>
      </c>
      <c r="AG120" s="57" t="n">
        <f aca="false">IF(AC120=1,(Y120-H$1030)^2,0)</f>
        <v>111.78984953127</v>
      </c>
      <c r="AH120" s="57" t="n">
        <f aca="false">IF(AD120=1,(Z120-I$1030)^2,0)</f>
        <v>0</v>
      </c>
      <c r="AI120" s="57" t="n">
        <f aca="false">IF(AE120=1,(AA120-J$1030)^2,0)</f>
        <v>0</v>
      </c>
    </row>
    <row r="121" customFormat="false" ht="12" hidden="false" customHeight="false" outlineLevel="0" collapsed="false">
      <c r="A121" s="5" t="n">
        <v>104</v>
      </c>
      <c r="B121" s="58" t="n">
        <f aca="true">IF(RAND()&lt;$D$8,1,0)</f>
        <v>0</v>
      </c>
      <c r="C121" s="47" t="n">
        <f aca="true">-LN(RAND())/$D$2</f>
        <v>1.19194454220917</v>
      </c>
      <c r="D121" s="59" t="n">
        <f aca="false">D120+C121</f>
        <v>101.538466777704</v>
      </c>
      <c r="E121" s="60" t="n">
        <f aca="false">MAX($D$3,(1+P120-VLOOKUP(VALUE(D121),$J$18:$Q120,7,TRUE()))*$D$3)</f>
        <v>12</v>
      </c>
      <c r="F121" s="60" t="n">
        <f aca="false">MAX($D$4,(1+Q120-VLOOKUP(VALUE(D121),$M$18:$Q120,5,TRUE()))*$D$4)</f>
        <v>8</v>
      </c>
      <c r="G121" s="61" t="n">
        <v>0.5</v>
      </c>
      <c r="H121" s="59" t="n">
        <f aca="true">IF((B121=1),(IF((F121&lt;E121),1,(IF((F121=E121),(IF(RAND()&lt;G121,1,0)),0)))),(IF((RAND()&lt;G121),1,0)))</f>
        <v>1</v>
      </c>
      <c r="I121" s="59" t="n">
        <f aca="true">IF((H121=1),0,$D$3+$D$5*(RAND()-0.5))</f>
        <v>0</v>
      </c>
      <c r="J121" s="59" t="n">
        <f aca="false">I121+MAX(D121,J120)</f>
        <v>110.919594141581</v>
      </c>
      <c r="K121" s="59" t="n">
        <f aca="false">IF((H121=0),J121-D121,0)</f>
        <v>0</v>
      </c>
      <c r="L121" s="59" t="n">
        <f aca="true">IF(($H121=0),0,$D$4+$D$5*(RAND()-0.5))</f>
        <v>2.14703373840996</v>
      </c>
      <c r="M121" s="59" t="n">
        <f aca="false">L121+MAX(D121,M120)</f>
        <v>109.544369020081</v>
      </c>
      <c r="N121" s="59" t="n">
        <f aca="false">IF((H121=1),M121-D121,0)</f>
        <v>8.00590224237695</v>
      </c>
      <c r="O121" s="5" t="n">
        <v>104</v>
      </c>
      <c r="P121" s="62" t="n">
        <f aca="false">IF((Arterial=0),P120+1,P120)</f>
        <v>52</v>
      </c>
      <c r="Q121" s="62" t="n">
        <f aca="false">IF((Arterial=1),Q120+1,Q120)</f>
        <v>52</v>
      </c>
      <c r="R121" s="63" t="n">
        <f aca="false">IF((RESET=1),0,R121+K121)</f>
        <v>272.586176091076</v>
      </c>
      <c r="S121" s="10" t="e">
        <f aca="false">IF(RESET=1,0,S121+N121)</f>
        <v>#N/A</v>
      </c>
      <c r="T121" s="0" t="n">
        <f aca="false">IF(RESET=1,0,T121+IF(H121=0,1,0))</f>
        <v>22</v>
      </c>
      <c r="U121" s="0" t="e">
        <f aca="false">IF(RESET=1,0,U121+H121)</f>
        <v>#N/A</v>
      </c>
      <c r="V121" s="10" t="n">
        <f aca="false">R121/(T121+0.00001)</f>
        <v>12.3902750994693</v>
      </c>
      <c r="W121" s="10" t="e">
        <f aca="false">S121/(U121+0.0001)</f>
        <v>#N/A</v>
      </c>
      <c r="X121" s="60" t="n">
        <f aca="false">IF(Informed=1,K121,0)</f>
        <v>0</v>
      </c>
      <c r="Y121" s="60" t="n">
        <f aca="false">IF(Informed=0,K121,0)</f>
        <v>0</v>
      </c>
      <c r="Z121" s="60" t="n">
        <f aca="false">IF(Informed=1,N121,0)</f>
        <v>0</v>
      </c>
      <c r="AA121" s="60" t="n">
        <f aca="false">IF(Informed=0,N121,0)</f>
        <v>8.00590224237695</v>
      </c>
      <c r="AB121" s="64" t="n">
        <f aca="false">IF(Arterial=0,IF(Informed=1,1,0),0)</f>
        <v>0</v>
      </c>
      <c r="AC121" s="64" t="n">
        <f aca="false">IF(Arterial=0,IF(Informed=0,1,0),0)</f>
        <v>0</v>
      </c>
      <c r="AD121" s="64" t="n">
        <f aca="false">IF(Arterial=1,IF(Informed=1,1,0),0)</f>
        <v>0</v>
      </c>
      <c r="AE121" s="64" t="n">
        <f aca="false">IF(Arterial=1,IF(Informed=0,1,0),0)</f>
        <v>1</v>
      </c>
      <c r="AF121" s="57" t="n">
        <f aca="false">IF(AB121=1,(X121-G$1030)^2,0)</f>
        <v>0</v>
      </c>
      <c r="AG121" s="57" t="n">
        <f aca="false">IF(AC121=1,(Y121-H$1030)^2,0)</f>
        <v>0</v>
      </c>
      <c r="AH121" s="57" t="n">
        <f aca="false">IF(AD121=1,(Z121-I$1030)^2,0)</f>
        <v>0</v>
      </c>
      <c r="AI121" s="57" t="n">
        <f aca="false">IF(AE121=1,(AA121-J$1030)^2,0)</f>
        <v>64.0944707144962</v>
      </c>
    </row>
    <row r="122" customFormat="false" ht="12" hidden="false" customHeight="false" outlineLevel="0" collapsed="false">
      <c r="A122" s="5" t="n">
        <v>105</v>
      </c>
      <c r="B122" s="58" t="n">
        <f aca="true">IF(RAND()&lt;$D$8,1,0)</f>
        <v>0</v>
      </c>
      <c r="C122" s="47" t="n">
        <f aca="true">-LN(RAND())/$D$2</f>
        <v>1.25708015705395</v>
      </c>
      <c r="D122" s="59" t="n">
        <f aca="false">D121+C122</f>
        <v>102.795546934758</v>
      </c>
      <c r="E122" s="60" t="n">
        <f aca="false">MAX($D$3,(1+P121-VLOOKUP(VALUE(D122),$J$18:$Q121,7,TRUE()))*$D$3)</f>
        <v>10</v>
      </c>
      <c r="F122" s="60" t="n">
        <f aca="false">MAX($D$4,(1+Q121-VLOOKUP(VALUE(D122),$M$18:$Q121,5,TRUE()))*$D$4)</f>
        <v>10</v>
      </c>
      <c r="G122" s="61" t="n">
        <v>0.5</v>
      </c>
      <c r="H122" s="59" t="n">
        <f aca="true">IF((B122=1),(IF((F122&lt;E122),1,(IF((F122=E122),(IF(RAND()&lt;G122,1,0)),0)))),(IF((RAND()&lt;G122),1,0)))</f>
        <v>0</v>
      </c>
      <c r="I122" s="59" t="n">
        <f aca="true">IF((H122=1),0,$D$3+$D$5*(RAND()-0.5))</f>
        <v>2.11729074788171</v>
      </c>
      <c r="J122" s="59" t="n">
        <f aca="false">I122+MAX(D122,J121)</f>
        <v>113.036884889463</v>
      </c>
      <c r="K122" s="59" t="n">
        <f aca="false">IF((H122=0),J122-D122,0)</f>
        <v>10.2413379547048</v>
      </c>
      <c r="L122" s="59" t="n">
        <f aca="true">IF(($H122=0),0,$D$4+$D$5*(RAND()-0.5))</f>
        <v>0</v>
      </c>
      <c r="M122" s="59" t="n">
        <f aca="false">L122+MAX(D122,M121)</f>
        <v>109.544369020081</v>
      </c>
      <c r="N122" s="59" t="n">
        <f aca="false">IF((H122=1),M122-D122,0)</f>
        <v>0</v>
      </c>
      <c r="O122" s="5" t="n">
        <v>105</v>
      </c>
      <c r="P122" s="62" t="n">
        <f aca="false">IF((Arterial=0),P121+1,P121)</f>
        <v>53</v>
      </c>
      <c r="Q122" s="62" t="n">
        <f aca="false">IF((Arterial=1),Q121+1,Q121)</f>
        <v>52</v>
      </c>
      <c r="R122" s="63" t="e">
        <f aca="false">IF((RESET=1),0,R122+K122)</f>
        <v>#N/A</v>
      </c>
      <c r="S122" s="10" t="n">
        <f aca="false">IF(RESET=1,0,S122+N122)</f>
        <v>264.54164059594</v>
      </c>
      <c r="T122" s="0" t="e">
        <f aca="false">IF(RESET=1,0,T122+IF(H122=0,1,0))</f>
        <v>#N/A</v>
      </c>
      <c r="U122" s="0" t="n">
        <f aca="false">IF(RESET=1,0,U122+H122)</f>
        <v>21</v>
      </c>
      <c r="V122" s="10" t="e">
        <f aca="false">R122/(T122+0.00001)</f>
        <v>#N/A</v>
      </c>
      <c r="W122" s="10" t="n">
        <f aca="false">S122/(U122+0.0001)</f>
        <v>12.5971609942781</v>
      </c>
      <c r="X122" s="60" t="n">
        <f aca="false">IF(Informed=1,K122,0)</f>
        <v>0</v>
      </c>
      <c r="Y122" s="60" t="n">
        <f aca="false">IF(Informed=0,K122,0)</f>
        <v>10.2413379547048</v>
      </c>
      <c r="Z122" s="60" t="n">
        <f aca="false">IF(Informed=1,N122,0)</f>
        <v>0</v>
      </c>
      <c r="AA122" s="60" t="n">
        <f aca="false">IF(Informed=0,N122,0)</f>
        <v>0</v>
      </c>
      <c r="AB122" s="64" t="n">
        <f aca="false">IF(Arterial=0,IF(Informed=1,1,0),0)</f>
        <v>0</v>
      </c>
      <c r="AC122" s="64" t="n">
        <f aca="false">IF(Arterial=0,IF(Informed=0,1,0),0)</f>
        <v>1</v>
      </c>
      <c r="AD122" s="64" t="n">
        <f aca="false">IF(Arterial=1,IF(Informed=1,1,0),0)</f>
        <v>0</v>
      </c>
      <c r="AE122" s="64" t="n">
        <f aca="false">IF(Arterial=1,IF(Informed=0,1,0),0)</f>
        <v>0</v>
      </c>
      <c r="AF122" s="57" t="n">
        <f aca="false">IF(AB122=1,(X122-G$1030)^2,0)</f>
        <v>0</v>
      </c>
      <c r="AG122" s="57" t="n">
        <f aca="false">IF(AC122=1,(Y122-H$1030)^2,0)</f>
        <v>104.885003102477</v>
      </c>
      <c r="AH122" s="57" t="n">
        <f aca="false">IF(AD122=1,(Z122-I$1030)^2,0)</f>
        <v>0</v>
      </c>
      <c r="AI122" s="57" t="n">
        <f aca="false">IF(AE122=1,(AA122-J$1030)^2,0)</f>
        <v>0</v>
      </c>
    </row>
    <row r="123" customFormat="false" ht="12" hidden="false" customHeight="false" outlineLevel="0" collapsed="false">
      <c r="A123" s="5" t="n">
        <v>106</v>
      </c>
      <c r="B123" s="58" t="n">
        <f aca="true">IF(RAND()&lt;$D$8,1,0)</f>
        <v>0</v>
      </c>
      <c r="C123" s="47" t="n">
        <f aca="true">-LN(RAND())/$D$2</f>
        <v>1.02321309554245</v>
      </c>
      <c r="D123" s="59" t="n">
        <f aca="false">D122+C123</f>
        <v>103.818760030301</v>
      </c>
      <c r="E123" s="60" t="n">
        <f aca="false">MAX($D$3,(1+P122-VLOOKUP(VALUE(D123),$J$18:$Q122,7,TRUE()))*$D$3)</f>
        <v>12</v>
      </c>
      <c r="F123" s="60" t="n">
        <f aca="false">MAX($D$4,(1+Q122-VLOOKUP(VALUE(D123),$M$18:$Q122,5,TRUE()))*$D$4)</f>
        <v>8</v>
      </c>
      <c r="G123" s="61" t="n">
        <v>0.5</v>
      </c>
      <c r="H123" s="59" t="n">
        <f aca="true">IF((B123=1),(IF((F123&lt;E123),1,(IF((F123=E123),(IF(RAND()&lt;G123,1,0)),0)))),(IF((RAND()&lt;G123),1,0)))</f>
        <v>0</v>
      </c>
      <c r="I123" s="59" t="n">
        <f aca="true">IF((H123=1),0,$D$3+$D$5*(RAND()-0.5))</f>
        <v>2.07933395206581</v>
      </c>
      <c r="J123" s="59" t="n">
        <f aca="false">I123+MAX(D123,J122)</f>
        <v>115.116218841529</v>
      </c>
      <c r="K123" s="59" t="n">
        <f aca="false">IF((H123=0),J123-D123,0)</f>
        <v>11.2974588112282</v>
      </c>
      <c r="L123" s="59" t="n">
        <f aca="true">IF(($H123=0),0,$D$4+$D$5*(RAND()-0.5))</f>
        <v>0</v>
      </c>
      <c r="M123" s="59" t="n">
        <f aca="false">L123+MAX(D123,M122)</f>
        <v>109.544369020081</v>
      </c>
      <c r="N123" s="59" t="n">
        <f aca="false">IF((H123=1),M123-D123,0)</f>
        <v>0</v>
      </c>
      <c r="O123" s="5" t="n">
        <v>106</v>
      </c>
      <c r="P123" s="62" t="n">
        <f aca="false">IF((Arterial=0),P122+1,P122)</f>
        <v>54</v>
      </c>
      <c r="Q123" s="62" t="n">
        <f aca="false">IF((Arterial=1),Q122+1,Q122)</f>
        <v>52</v>
      </c>
      <c r="R123" s="63" t="e">
        <f aca="false">IF((RESET=1),0,R123+K123)</f>
        <v>#N/A</v>
      </c>
      <c r="S123" s="10" t="n">
        <f aca="false">IF(RESET=1,0,S123+N123)</f>
        <v>337.766873060321</v>
      </c>
      <c r="T123" s="0" t="e">
        <f aca="false">IF(RESET=1,0,T123+IF(H123=0,1,0))</f>
        <v>#N/A</v>
      </c>
      <c r="U123" s="0" t="n">
        <f aca="false">IF(RESET=1,0,U123+H123)</f>
        <v>26</v>
      </c>
      <c r="V123" s="10" t="e">
        <f aca="false">R123/(T123+0.00001)</f>
        <v>#N/A</v>
      </c>
      <c r="W123" s="10" t="n">
        <f aca="false">S123/(U123+0.0001)</f>
        <v>12.9909836139215</v>
      </c>
      <c r="X123" s="60" t="n">
        <f aca="false">IF(Informed=1,K123,0)</f>
        <v>0</v>
      </c>
      <c r="Y123" s="60" t="n">
        <f aca="false">IF(Informed=0,K123,0)</f>
        <v>11.2974588112282</v>
      </c>
      <c r="Z123" s="60" t="n">
        <f aca="false">IF(Informed=1,N123,0)</f>
        <v>0</v>
      </c>
      <c r="AA123" s="60" t="n">
        <f aca="false">IF(Informed=0,N123,0)</f>
        <v>0</v>
      </c>
      <c r="AB123" s="64" t="n">
        <f aca="false">IF(Arterial=0,IF(Informed=1,1,0),0)</f>
        <v>0</v>
      </c>
      <c r="AC123" s="64" t="n">
        <f aca="false">IF(Arterial=0,IF(Informed=0,1,0),0)</f>
        <v>1</v>
      </c>
      <c r="AD123" s="64" t="n">
        <f aca="false">IF(Arterial=1,IF(Informed=1,1,0),0)</f>
        <v>0</v>
      </c>
      <c r="AE123" s="64" t="n">
        <f aca="false">IF(Arterial=1,IF(Informed=0,1,0),0)</f>
        <v>0</v>
      </c>
      <c r="AF123" s="57" t="n">
        <f aca="false">IF(AB123=1,(X123-G$1030)^2,0)</f>
        <v>0</v>
      </c>
      <c r="AG123" s="57" t="n">
        <f aca="false">IF(AC123=1,(Y123-H$1030)^2,0)</f>
        <v>127.632575591397</v>
      </c>
      <c r="AH123" s="57" t="n">
        <f aca="false">IF(AD123=1,(Z123-I$1030)^2,0)</f>
        <v>0</v>
      </c>
      <c r="AI123" s="57" t="n">
        <f aca="false">IF(AE123=1,(AA123-J$1030)^2,0)</f>
        <v>0</v>
      </c>
    </row>
    <row r="124" customFormat="false" ht="12" hidden="false" customHeight="false" outlineLevel="0" collapsed="false">
      <c r="A124" s="5" t="n">
        <v>107</v>
      </c>
      <c r="B124" s="58" t="n">
        <f aca="true">IF(RAND()&lt;$D$8,1,0)</f>
        <v>1</v>
      </c>
      <c r="C124" s="47" t="n">
        <f aca="true">-LN(RAND())/$D$2</f>
        <v>0.109138667626873</v>
      </c>
      <c r="D124" s="59" t="n">
        <f aca="false">D123+C124</f>
        <v>103.927898697928</v>
      </c>
      <c r="E124" s="60" t="n">
        <f aca="false">MAX($D$3,(1+P123-VLOOKUP(VALUE(D124),$J$18:$Q123,7,TRUE()))*$D$3)</f>
        <v>14</v>
      </c>
      <c r="F124" s="60" t="n">
        <f aca="false">MAX($D$4,(1+Q123-VLOOKUP(VALUE(D124),$M$18:$Q123,5,TRUE()))*$D$4)</f>
        <v>8</v>
      </c>
      <c r="G124" s="61" t="n">
        <v>0.5</v>
      </c>
      <c r="H124" s="59" t="n">
        <f aca="true">IF((B124=1),(IF((F124&lt;E124),1,(IF((F124=E124),(IF(RAND()&lt;G124,1,0)),0)))),(IF((RAND()&lt;G124),1,0)))</f>
        <v>1</v>
      </c>
      <c r="I124" s="59" t="n">
        <f aca="true">IF((H124=1),0,$D$3+$D$5*(RAND()-0.5))</f>
        <v>0</v>
      </c>
      <c r="J124" s="59" t="n">
        <f aca="false">I124+MAX(D124,J123)</f>
        <v>115.116218841529</v>
      </c>
      <c r="K124" s="59" t="n">
        <f aca="false">IF((H124=0),J124-D124,0)</f>
        <v>0</v>
      </c>
      <c r="L124" s="59" t="n">
        <f aca="true">IF(($H124=0),0,$D$4+$D$5*(RAND()-0.5))</f>
        <v>1.78924255199875</v>
      </c>
      <c r="M124" s="59" t="n">
        <f aca="false">L124+MAX(D124,M123)</f>
        <v>111.33361157208</v>
      </c>
      <c r="N124" s="59" t="n">
        <f aca="false">IF((H124=1),M124-D124,0)</f>
        <v>7.40571287415243</v>
      </c>
      <c r="O124" s="5" t="n">
        <v>107</v>
      </c>
      <c r="P124" s="62" t="n">
        <f aca="false">IF((Arterial=0),P123+1,P123)</f>
        <v>54</v>
      </c>
      <c r="Q124" s="62" t="n">
        <f aca="false">IF((Arterial=1),Q123+1,Q123)</f>
        <v>53</v>
      </c>
      <c r="R124" s="63" t="n">
        <f aca="false">IF((RESET=1),0,R124+K124)</f>
        <v>386.375140012353</v>
      </c>
      <c r="S124" s="10" t="e">
        <f aca="false">IF(RESET=1,0,S124+N124)</f>
        <v>#N/A</v>
      </c>
      <c r="T124" s="0" t="n">
        <f aca="false">IF(RESET=1,0,T124+IF(H124=0,1,0))</f>
        <v>31</v>
      </c>
      <c r="U124" s="0" t="e">
        <f aca="false">IF(RESET=1,0,U124+H124)</f>
        <v>#N/A</v>
      </c>
      <c r="V124" s="10" t="n">
        <f aca="false">R124/(T124+0.00001)</f>
        <v>12.4637101733952</v>
      </c>
      <c r="W124" s="10" t="e">
        <f aca="false">S124/(U124+0.0001)</f>
        <v>#N/A</v>
      </c>
      <c r="X124" s="60" t="n">
        <f aca="false">IF(Informed=1,K124,0)</f>
        <v>0</v>
      </c>
      <c r="Y124" s="60" t="n">
        <f aca="false">IF(Informed=0,K124,0)</f>
        <v>0</v>
      </c>
      <c r="Z124" s="60" t="n">
        <f aca="false">IF(Informed=1,N124,0)</f>
        <v>7.40571287415243</v>
      </c>
      <c r="AA124" s="60" t="n">
        <f aca="false">IF(Informed=0,N124,0)</f>
        <v>0</v>
      </c>
      <c r="AB124" s="64" t="n">
        <f aca="false">IF(Arterial=0,IF(Informed=1,1,0),0)</f>
        <v>0</v>
      </c>
      <c r="AC124" s="64" t="n">
        <f aca="false">IF(Arterial=0,IF(Informed=0,1,0),0)</f>
        <v>0</v>
      </c>
      <c r="AD124" s="64" t="n">
        <f aca="false">IF(Arterial=1,IF(Informed=1,1,0),0)</f>
        <v>1</v>
      </c>
      <c r="AE124" s="64" t="n">
        <f aca="false">IF(Arterial=1,IF(Informed=0,1,0),0)</f>
        <v>0</v>
      </c>
      <c r="AF124" s="57" t="n">
        <f aca="false">IF(AB124=1,(X124-G$1030)^2,0)</f>
        <v>0</v>
      </c>
      <c r="AG124" s="57" t="n">
        <f aca="false">IF(AC124=1,(Y124-H$1030)^2,0)</f>
        <v>0</v>
      </c>
      <c r="AH124" s="57" t="n">
        <f aca="false">IF(AD124=1,(Z124-I$1030)^2,0)</f>
        <v>54.844583174387</v>
      </c>
      <c r="AI124" s="57" t="n">
        <f aca="false">IF(AE124=1,(AA124-J$1030)^2,0)</f>
        <v>0</v>
      </c>
    </row>
    <row r="125" customFormat="false" ht="12" hidden="false" customHeight="false" outlineLevel="0" collapsed="false">
      <c r="A125" s="5" t="n">
        <v>108</v>
      </c>
      <c r="B125" s="58" t="n">
        <f aca="true">IF(RAND()&lt;$D$8,1,0)</f>
        <v>0</v>
      </c>
      <c r="C125" s="47" t="n">
        <f aca="true">-LN(RAND())/$D$2</f>
        <v>0.309470763389141</v>
      </c>
      <c r="D125" s="59" t="n">
        <f aca="false">D124+C125</f>
        <v>104.237369461317</v>
      </c>
      <c r="E125" s="60" t="n">
        <f aca="false">MAX($D$3,(1+P124-VLOOKUP(VALUE(D125),$J$18:$Q124,7,TRUE()))*$D$3)</f>
        <v>14</v>
      </c>
      <c r="F125" s="60" t="n">
        <f aca="false">MAX($D$4,(1+Q124-VLOOKUP(VALUE(D125),$M$18:$Q124,5,TRUE()))*$D$4)</f>
        <v>10</v>
      </c>
      <c r="G125" s="61" t="n">
        <v>0.5</v>
      </c>
      <c r="H125" s="59" t="n">
        <f aca="true">IF((B125=1),(IF((F125&lt;E125),1,(IF((F125=E125),(IF(RAND()&lt;G125,1,0)),0)))),(IF((RAND()&lt;G125),1,0)))</f>
        <v>0</v>
      </c>
      <c r="I125" s="59" t="n">
        <f aca="true">IF((H125=1),0,$D$3+$D$5*(RAND()-0.5))</f>
        <v>1.85001084942485</v>
      </c>
      <c r="J125" s="59" t="n">
        <f aca="false">I125+MAX(D125,J124)</f>
        <v>116.966229690954</v>
      </c>
      <c r="K125" s="59" t="n">
        <f aca="false">IF((H125=0),J125-D125,0)</f>
        <v>12.728860229637</v>
      </c>
      <c r="L125" s="59" t="n">
        <f aca="true">IF(($H125=0),0,$D$4+$D$5*(RAND()-0.5))</f>
        <v>0</v>
      </c>
      <c r="M125" s="59" t="n">
        <f aca="false">L125+MAX(D125,M124)</f>
        <v>111.33361157208</v>
      </c>
      <c r="N125" s="59" t="n">
        <f aca="false">IF((H125=1),M125-D125,0)</f>
        <v>0</v>
      </c>
      <c r="O125" s="5" t="n">
        <v>108</v>
      </c>
      <c r="P125" s="62" t="n">
        <f aca="false">IF((Arterial=0),P124+1,P124)</f>
        <v>55</v>
      </c>
      <c r="Q125" s="62" t="n">
        <f aca="false">IF((Arterial=1),Q124+1,Q124)</f>
        <v>53</v>
      </c>
      <c r="R125" s="63" t="e">
        <f aca="false">IF((RESET=1),0,R125+K125)</f>
        <v>#N/A</v>
      </c>
      <c r="S125" s="10" t="n">
        <f aca="false">IF(RESET=1,0,S125+N125)</f>
        <v>413.42057368929</v>
      </c>
      <c r="T125" s="0" t="e">
        <f aca="false">IF(RESET=1,0,T125+IF(H125=0,1,0))</f>
        <v>#N/A</v>
      </c>
      <c r="U125" s="0" t="n">
        <f aca="false">IF(RESET=1,0,U125+H125)</f>
        <v>33</v>
      </c>
      <c r="V125" s="10" t="e">
        <f aca="false">R125/(T125+0.00001)</f>
        <v>#N/A</v>
      </c>
      <c r="W125" s="10" t="n">
        <f aca="false">S125/(U125+0.0001)</f>
        <v>12.527858209196</v>
      </c>
      <c r="X125" s="60" t="n">
        <f aca="false">IF(Informed=1,K125,0)</f>
        <v>0</v>
      </c>
      <c r="Y125" s="60" t="n">
        <f aca="false">IF(Informed=0,K125,0)</f>
        <v>12.728860229637</v>
      </c>
      <c r="Z125" s="60" t="n">
        <f aca="false">IF(Informed=1,N125,0)</f>
        <v>0</v>
      </c>
      <c r="AA125" s="60" t="n">
        <f aca="false">IF(Informed=0,N125,0)</f>
        <v>0</v>
      </c>
      <c r="AB125" s="64" t="n">
        <f aca="false">IF(Arterial=0,IF(Informed=1,1,0),0)</f>
        <v>0</v>
      </c>
      <c r="AC125" s="64" t="n">
        <f aca="false">IF(Arterial=0,IF(Informed=0,1,0),0)</f>
        <v>1</v>
      </c>
      <c r="AD125" s="64" t="n">
        <f aca="false">IF(Arterial=1,IF(Informed=1,1,0),0)</f>
        <v>0</v>
      </c>
      <c r="AE125" s="64" t="n">
        <f aca="false">IF(Arterial=1,IF(Informed=0,1,0),0)</f>
        <v>0</v>
      </c>
      <c r="AF125" s="57" t="n">
        <f aca="false">IF(AB125=1,(X125-G$1030)^2,0)</f>
        <v>0</v>
      </c>
      <c r="AG125" s="57" t="n">
        <f aca="false">IF(AC125=1,(Y125-H$1030)^2,0)</f>
        <v>162.023882745634</v>
      </c>
      <c r="AH125" s="57" t="n">
        <f aca="false">IF(AD125=1,(Z125-I$1030)^2,0)</f>
        <v>0</v>
      </c>
      <c r="AI125" s="57" t="n">
        <f aca="false">IF(AE125=1,(AA125-J$1030)^2,0)</f>
        <v>0</v>
      </c>
    </row>
    <row r="126" customFormat="false" ht="12" hidden="false" customHeight="false" outlineLevel="0" collapsed="false">
      <c r="A126" s="5" t="n">
        <v>109</v>
      </c>
      <c r="B126" s="58" t="n">
        <f aca="true">IF(RAND()&lt;$D$8,1,0)</f>
        <v>0</v>
      </c>
      <c r="C126" s="47" t="n">
        <f aca="true">-LN(RAND())/$D$2</f>
        <v>0.168342376932004</v>
      </c>
      <c r="D126" s="59" t="n">
        <f aca="false">D125+C126</f>
        <v>104.405711838249</v>
      </c>
      <c r="E126" s="60" t="n">
        <f aca="false">MAX($D$3,(1+P125-VLOOKUP(VALUE(D126),$J$18:$Q125,7,TRUE()))*$D$3)</f>
        <v>14</v>
      </c>
      <c r="F126" s="60" t="n">
        <f aca="false">MAX($D$4,(1+Q125-VLOOKUP(VALUE(D126),$M$18:$Q125,5,TRUE()))*$D$4)</f>
        <v>10</v>
      </c>
      <c r="G126" s="61" t="n">
        <v>0.5</v>
      </c>
      <c r="H126" s="59" t="n">
        <f aca="true">IF((B126=1),(IF((F126&lt;E126),1,(IF((F126=E126),(IF(RAND()&lt;G126,1,0)),0)))),(IF((RAND()&lt;G126),1,0)))</f>
        <v>1</v>
      </c>
      <c r="I126" s="59" t="n">
        <f aca="true">IF((H126=1),0,$D$3+$D$5*(RAND()-0.5))</f>
        <v>0</v>
      </c>
      <c r="J126" s="59" t="n">
        <f aca="false">I126+MAX(D126,J125)</f>
        <v>116.966229690954</v>
      </c>
      <c r="K126" s="59" t="n">
        <f aca="false">IF((H126=0),J126-D126,0)</f>
        <v>0</v>
      </c>
      <c r="L126" s="59" t="n">
        <f aca="true">IF(($H126=0),0,$D$4+$D$5*(RAND()-0.5))</f>
        <v>1.92364611351149</v>
      </c>
      <c r="M126" s="59" t="n">
        <f aca="false">L126+MAX(D126,M125)</f>
        <v>113.257257685591</v>
      </c>
      <c r="N126" s="59" t="n">
        <f aca="false">IF((H126=1),M126-D126,0)</f>
        <v>8.85154584734276</v>
      </c>
      <c r="O126" s="5" t="n">
        <v>109</v>
      </c>
      <c r="P126" s="62" t="n">
        <f aca="false">IF((Arterial=0),P125+1,P125)</f>
        <v>55</v>
      </c>
      <c r="Q126" s="62" t="n">
        <f aca="false">IF((Arterial=1),Q125+1,Q125)</f>
        <v>54</v>
      </c>
      <c r="R126" s="63" t="n">
        <f aca="false">IF((RESET=1),0,R126+K126)</f>
        <v>296.742351454234</v>
      </c>
      <c r="S126" s="10" t="e">
        <f aca="false">IF(RESET=1,0,S126+N126)</f>
        <v>#N/A</v>
      </c>
      <c r="T126" s="0" t="n">
        <f aca="false">IF(RESET=1,0,T126+IF(H126=0,1,0))</f>
        <v>25</v>
      </c>
      <c r="U126" s="0" t="e">
        <f aca="false">IF(RESET=1,0,U126+H126)</f>
        <v>#N/A</v>
      </c>
      <c r="V126" s="10" t="n">
        <f aca="false">R126/(T126+0.00001)</f>
        <v>11.8696893102936</v>
      </c>
      <c r="W126" s="10" t="e">
        <f aca="false">S126/(U126+0.0001)</f>
        <v>#N/A</v>
      </c>
      <c r="X126" s="60" t="n">
        <f aca="false">IF(Informed=1,K126,0)</f>
        <v>0</v>
      </c>
      <c r="Y126" s="60" t="n">
        <f aca="false">IF(Informed=0,K126,0)</f>
        <v>0</v>
      </c>
      <c r="Z126" s="60" t="n">
        <f aca="false">IF(Informed=1,N126,0)</f>
        <v>0</v>
      </c>
      <c r="AA126" s="60" t="n">
        <f aca="false">IF(Informed=0,N126,0)</f>
        <v>8.85154584734276</v>
      </c>
      <c r="AB126" s="64" t="n">
        <f aca="false">IF(Arterial=0,IF(Informed=1,1,0),0)</f>
        <v>0</v>
      </c>
      <c r="AC126" s="64" t="n">
        <f aca="false">IF(Arterial=0,IF(Informed=0,1,0),0)</f>
        <v>0</v>
      </c>
      <c r="AD126" s="64" t="n">
        <f aca="false">IF(Arterial=1,IF(Informed=1,1,0),0)</f>
        <v>0</v>
      </c>
      <c r="AE126" s="64" t="n">
        <f aca="false">IF(Arterial=1,IF(Informed=0,1,0),0)</f>
        <v>1</v>
      </c>
      <c r="AF126" s="57" t="n">
        <f aca="false">IF(AB126=1,(X126-G$1030)^2,0)</f>
        <v>0</v>
      </c>
      <c r="AG126" s="57" t="n">
        <f aca="false">IF(AC126=1,(Y126-H$1030)^2,0)</f>
        <v>0</v>
      </c>
      <c r="AH126" s="57" t="n">
        <f aca="false">IF(AD126=1,(Z126-I$1030)^2,0)</f>
        <v>0</v>
      </c>
      <c r="AI126" s="57" t="n">
        <f aca="false">IF(AE126=1,(AA126-J$1030)^2,0)</f>
        <v>78.3498638876109</v>
      </c>
    </row>
    <row r="127" customFormat="false" ht="12" hidden="false" customHeight="false" outlineLevel="0" collapsed="false">
      <c r="A127" s="5" t="n">
        <v>110</v>
      </c>
      <c r="B127" s="58" t="n">
        <f aca="true">IF(RAND()&lt;$D$8,1,0)</f>
        <v>0</v>
      </c>
      <c r="C127" s="47" t="n">
        <f aca="true">-LN(RAND())/$D$2</f>
        <v>3.0998719205477</v>
      </c>
      <c r="D127" s="59" t="n">
        <f aca="false">D126+C127</f>
        <v>107.505583758796</v>
      </c>
      <c r="E127" s="60" t="n">
        <f aca="false">MAX($D$3,(1+P126-VLOOKUP(VALUE(D127),$J$18:$Q126,7,TRUE()))*$D$3)</f>
        <v>12</v>
      </c>
      <c r="F127" s="60" t="n">
        <f aca="false">MAX($D$4,(1+Q126-VLOOKUP(VALUE(D127),$M$18:$Q126,5,TRUE()))*$D$4)</f>
        <v>8</v>
      </c>
      <c r="G127" s="61" t="n">
        <v>0.5</v>
      </c>
      <c r="H127" s="59" t="n">
        <f aca="true">IF((B127=1),(IF((F127&lt;E127),1,(IF((F127=E127),(IF(RAND()&lt;G127,1,0)),0)))),(IF((RAND()&lt;G127),1,0)))</f>
        <v>1</v>
      </c>
      <c r="I127" s="59" t="n">
        <f aca="true">IF((H127=1),0,$D$3+$D$5*(RAND()-0.5))</f>
        <v>0</v>
      </c>
      <c r="J127" s="59" t="n">
        <f aca="false">I127+MAX(D127,J126)</f>
        <v>116.966229690954</v>
      </c>
      <c r="K127" s="59" t="n">
        <f aca="false">IF((H127=0),J127-D127,0)</f>
        <v>0</v>
      </c>
      <c r="L127" s="59" t="n">
        <f aca="true">IF(($H127=0),0,$D$4+$D$5*(RAND()-0.5))</f>
        <v>2.24394080257422</v>
      </c>
      <c r="M127" s="59" t="n">
        <f aca="false">L127+MAX(D127,M126)</f>
        <v>115.501198488166</v>
      </c>
      <c r="N127" s="59" t="n">
        <f aca="false">IF((H127=1),M127-D127,0)</f>
        <v>7.99561472936929</v>
      </c>
      <c r="O127" s="5" t="n">
        <v>110</v>
      </c>
      <c r="P127" s="62" t="n">
        <f aca="false">IF((Arterial=0),P126+1,P126)</f>
        <v>55</v>
      </c>
      <c r="Q127" s="62" t="n">
        <f aca="false">IF((Arterial=1),Q126+1,Q126)</f>
        <v>55</v>
      </c>
      <c r="R127" s="63" t="n">
        <f aca="false">IF((RESET=1),0,R127+K127)</f>
        <v>306.20991368617</v>
      </c>
      <c r="S127" s="10" t="e">
        <f aca="false">IF(RESET=1,0,S127+N127)</f>
        <v>#N/A</v>
      </c>
      <c r="T127" s="0" t="n">
        <f aca="false">IF(RESET=1,0,T127+IF(H127=0,1,0))</f>
        <v>25</v>
      </c>
      <c r="U127" s="0" t="e">
        <f aca="false">IF(RESET=1,0,U127+H127)</f>
        <v>#N/A</v>
      </c>
      <c r="V127" s="10" t="n">
        <f aca="false">R127/(T127+0.00001)</f>
        <v>12.2483916480901</v>
      </c>
      <c r="W127" s="10" t="e">
        <f aca="false">S127/(U127+0.0001)</f>
        <v>#N/A</v>
      </c>
      <c r="X127" s="60" t="n">
        <f aca="false">IF(Informed=1,K127,0)</f>
        <v>0</v>
      </c>
      <c r="Y127" s="60" t="n">
        <f aca="false">IF(Informed=0,K127,0)</f>
        <v>0</v>
      </c>
      <c r="Z127" s="60" t="n">
        <f aca="false">IF(Informed=1,N127,0)</f>
        <v>0</v>
      </c>
      <c r="AA127" s="60" t="n">
        <f aca="false">IF(Informed=0,N127,0)</f>
        <v>7.99561472936929</v>
      </c>
      <c r="AB127" s="64" t="n">
        <f aca="false">IF(Arterial=0,IF(Informed=1,1,0),0)</f>
        <v>0</v>
      </c>
      <c r="AC127" s="64" t="n">
        <f aca="false">IF(Arterial=0,IF(Informed=0,1,0),0)</f>
        <v>0</v>
      </c>
      <c r="AD127" s="64" t="n">
        <f aca="false">IF(Arterial=1,IF(Informed=1,1,0),0)</f>
        <v>0</v>
      </c>
      <c r="AE127" s="64" t="n">
        <f aca="false">IF(Arterial=1,IF(Informed=0,1,0),0)</f>
        <v>1</v>
      </c>
      <c r="AF127" s="57" t="n">
        <f aca="false">IF(AB127=1,(X127-G$1030)^2,0)</f>
        <v>0</v>
      </c>
      <c r="AG127" s="57" t="n">
        <f aca="false">IF(AC127=1,(Y127-H$1030)^2,0)</f>
        <v>0</v>
      </c>
      <c r="AH127" s="57" t="n">
        <f aca="false">IF(AD127=1,(Z127-I$1030)^2,0)</f>
        <v>0</v>
      </c>
      <c r="AI127" s="57" t="n">
        <f aca="false">IF(AE127=1,(AA127-J$1030)^2,0)</f>
        <v>63.9298549005072</v>
      </c>
    </row>
    <row r="128" customFormat="false" ht="12" hidden="false" customHeight="false" outlineLevel="0" collapsed="false">
      <c r="A128" s="5" t="n">
        <v>111</v>
      </c>
      <c r="B128" s="58" t="n">
        <f aca="true">IF(RAND()&lt;$D$8,1,0)</f>
        <v>0</v>
      </c>
      <c r="C128" s="47" t="n">
        <f aca="true">-LN(RAND())/$D$2</f>
        <v>1.84413015979335</v>
      </c>
      <c r="D128" s="59" t="n">
        <f aca="false">D127+C128</f>
        <v>109.34971391859</v>
      </c>
      <c r="E128" s="60" t="n">
        <f aca="false">MAX($D$3,(1+P127-VLOOKUP(VALUE(D128),$J$18:$Q127,7,TRUE()))*$D$3)</f>
        <v>10</v>
      </c>
      <c r="F128" s="60" t="n">
        <f aca="false">MAX($D$4,(1+Q127-VLOOKUP(VALUE(D128),$M$18:$Q127,5,TRUE()))*$D$4)</f>
        <v>10</v>
      </c>
      <c r="G128" s="61" t="n">
        <v>0.5</v>
      </c>
      <c r="H128" s="59" t="n">
        <f aca="true">IF((B128=1),(IF((F128&lt;E128),1,(IF((F128=E128),(IF(RAND()&lt;G128,1,0)),0)))),(IF((RAND()&lt;G128),1,0)))</f>
        <v>0</v>
      </c>
      <c r="I128" s="59" t="n">
        <f aca="true">IF((H128=1),0,$D$3+$D$5*(RAND()-0.5))</f>
        <v>1.91032885716682</v>
      </c>
      <c r="J128" s="59" t="n">
        <f aca="false">I128+MAX(D128,J127)</f>
        <v>118.876558548121</v>
      </c>
      <c r="K128" s="59" t="n">
        <f aca="false">IF((H128=0),J128-D128,0)</f>
        <v>9.52684462953076</v>
      </c>
      <c r="L128" s="59" t="n">
        <f aca="true">IF(($H128=0),0,$D$4+$D$5*(RAND()-0.5))</f>
        <v>0</v>
      </c>
      <c r="M128" s="59" t="n">
        <f aca="false">L128+MAX(D128,M127)</f>
        <v>115.501198488166</v>
      </c>
      <c r="N128" s="59" t="n">
        <f aca="false">IF((H128=1),M128-D128,0)</f>
        <v>0</v>
      </c>
      <c r="O128" s="5" t="n">
        <v>111</v>
      </c>
      <c r="P128" s="62" t="n">
        <f aca="false">IF((Arterial=0),P127+1,P127)</f>
        <v>56</v>
      </c>
      <c r="Q128" s="62" t="n">
        <f aca="false">IF((Arterial=1),Q127+1,Q127)</f>
        <v>55</v>
      </c>
      <c r="R128" s="63" t="e">
        <f aca="false">IF((RESET=1),0,R128+K128)</f>
        <v>#N/A</v>
      </c>
      <c r="S128" s="10" t="n">
        <f aca="false">IF(RESET=1,0,S128+N128)</f>
        <v>304.280076372002</v>
      </c>
      <c r="T128" s="0" t="e">
        <f aca="false">IF(RESET=1,0,T128+IF(H128=0,1,0))</f>
        <v>#N/A</v>
      </c>
      <c r="U128" s="0" t="n">
        <f aca="false">IF(RESET=1,0,U128+H128)</f>
        <v>24</v>
      </c>
      <c r="V128" s="10" t="e">
        <f aca="false">R128/(T128+0.00001)</f>
        <v>#N/A</v>
      </c>
      <c r="W128" s="10" t="n">
        <f aca="false">S128/(U128+0.0001)</f>
        <v>12.6782836893181</v>
      </c>
      <c r="X128" s="60" t="n">
        <f aca="false">IF(Informed=1,K128,0)</f>
        <v>0</v>
      </c>
      <c r="Y128" s="60" t="n">
        <f aca="false">IF(Informed=0,K128,0)</f>
        <v>9.52684462953076</v>
      </c>
      <c r="Z128" s="60" t="n">
        <f aca="false">IF(Informed=1,N128,0)</f>
        <v>0</v>
      </c>
      <c r="AA128" s="60" t="n">
        <f aca="false">IF(Informed=0,N128,0)</f>
        <v>0</v>
      </c>
      <c r="AB128" s="64" t="n">
        <f aca="false">IF(Arterial=0,IF(Informed=1,1,0),0)</f>
        <v>0</v>
      </c>
      <c r="AC128" s="64" t="n">
        <f aca="false">IF(Arterial=0,IF(Informed=0,1,0),0)</f>
        <v>1</v>
      </c>
      <c r="AD128" s="64" t="n">
        <f aca="false">IF(Arterial=1,IF(Informed=1,1,0),0)</f>
        <v>0</v>
      </c>
      <c r="AE128" s="64" t="n">
        <f aca="false">IF(Arterial=1,IF(Informed=0,1,0),0)</f>
        <v>0</v>
      </c>
      <c r="AF128" s="57" t="n">
        <f aca="false">IF(AB128=1,(X128-G$1030)^2,0)</f>
        <v>0</v>
      </c>
      <c r="AG128" s="57" t="n">
        <f aca="false">IF(AC128=1,(Y128-H$1030)^2,0)</f>
        <v>90.760768595219</v>
      </c>
      <c r="AH128" s="57" t="n">
        <f aca="false">IF(AD128=1,(Z128-I$1030)^2,0)</f>
        <v>0</v>
      </c>
      <c r="AI128" s="57" t="n">
        <f aca="false">IF(AE128=1,(AA128-J$1030)^2,0)</f>
        <v>0</v>
      </c>
    </row>
    <row r="129" customFormat="false" ht="12" hidden="false" customHeight="false" outlineLevel="0" collapsed="false">
      <c r="A129" s="5" t="n">
        <v>112</v>
      </c>
      <c r="B129" s="58" t="n">
        <f aca="true">IF(RAND()&lt;$D$8,1,0)</f>
        <v>0</v>
      </c>
      <c r="C129" s="47" t="n">
        <f aca="true">-LN(RAND())/$D$2</f>
        <v>1.02987722900154</v>
      </c>
      <c r="D129" s="59" t="n">
        <f aca="false">D128+C129</f>
        <v>110.379591147591</v>
      </c>
      <c r="E129" s="60" t="n">
        <f aca="false">MAX($D$3,(1+P128-VLOOKUP(VALUE(D129),$J$18:$Q128,7,TRUE()))*$D$3)</f>
        <v>12</v>
      </c>
      <c r="F129" s="60" t="n">
        <f aca="false">MAX($D$4,(1+Q128-VLOOKUP(VALUE(D129),$M$18:$Q128,5,TRUE()))*$D$4)</f>
        <v>8</v>
      </c>
      <c r="G129" s="61" t="n">
        <v>0.5</v>
      </c>
      <c r="H129" s="59" t="n">
        <f aca="true">IF((B129=1),(IF((F129&lt;E129),1,(IF((F129=E129),(IF(RAND()&lt;G129,1,0)),0)))),(IF((RAND()&lt;G129),1,0)))</f>
        <v>0</v>
      </c>
      <c r="I129" s="59" t="n">
        <f aca="true">IF((H129=1),0,$D$3+$D$5*(RAND()-0.5))</f>
        <v>2.0691905015508</v>
      </c>
      <c r="J129" s="59" t="n">
        <f aca="false">I129+MAX(D129,J128)</f>
        <v>120.945749049671</v>
      </c>
      <c r="K129" s="59" t="n">
        <f aca="false">IF((H129=0),J129-D129,0)</f>
        <v>10.56615790208</v>
      </c>
      <c r="L129" s="59" t="n">
        <f aca="true">IF(($H129=0),0,$D$4+$D$5*(RAND()-0.5))</f>
        <v>0</v>
      </c>
      <c r="M129" s="59" t="n">
        <f aca="false">L129+MAX(D129,M128)</f>
        <v>115.501198488166</v>
      </c>
      <c r="N129" s="59" t="n">
        <f aca="false">IF((H129=1),M129-D129,0)</f>
        <v>0</v>
      </c>
      <c r="O129" s="5" t="n">
        <v>112</v>
      </c>
      <c r="P129" s="62" t="n">
        <f aca="false">IF((Arterial=0),P128+1,P128)</f>
        <v>57</v>
      </c>
      <c r="Q129" s="62" t="n">
        <f aca="false">IF((Arterial=1),Q128+1,Q128)</f>
        <v>55</v>
      </c>
      <c r="R129" s="63" t="e">
        <f aca="false">IF((RESET=1),0,R129+K129)</f>
        <v>#N/A</v>
      </c>
      <c r="S129" s="10" t="n">
        <f aca="false">IF(RESET=1,0,S129+N129)</f>
        <v>464.251499095385</v>
      </c>
      <c r="T129" s="0" t="e">
        <f aca="false">IF(RESET=1,0,T129+IF(H129=0,1,0))</f>
        <v>#N/A</v>
      </c>
      <c r="U129" s="0" t="n">
        <f aca="false">IF(RESET=1,0,U129+H129)</f>
        <v>33</v>
      </c>
      <c r="V129" s="10" t="e">
        <f aca="false">R129/(T129+0.00001)</f>
        <v>#N/A</v>
      </c>
      <c r="W129" s="10" t="n">
        <f aca="false">S129/(U129+0.0001)</f>
        <v>14.0681846144522</v>
      </c>
      <c r="X129" s="60" t="n">
        <f aca="false">IF(Informed=1,K129,0)</f>
        <v>0</v>
      </c>
      <c r="Y129" s="60" t="n">
        <f aca="false">IF(Informed=0,K129,0)</f>
        <v>10.56615790208</v>
      </c>
      <c r="Z129" s="60" t="n">
        <f aca="false">IF(Informed=1,N129,0)</f>
        <v>0</v>
      </c>
      <c r="AA129" s="60" t="n">
        <f aca="false">IF(Informed=0,N129,0)</f>
        <v>0</v>
      </c>
      <c r="AB129" s="64" t="n">
        <f aca="false">IF(Arterial=0,IF(Informed=1,1,0),0)</f>
        <v>0</v>
      </c>
      <c r="AC129" s="64" t="n">
        <f aca="false">IF(Arterial=0,IF(Informed=0,1,0),0)</f>
        <v>1</v>
      </c>
      <c r="AD129" s="64" t="n">
        <f aca="false">IF(Arterial=1,IF(Informed=1,1,0),0)</f>
        <v>0</v>
      </c>
      <c r="AE129" s="64" t="n">
        <f aca="false">IF(Arterial=1,IF(Informed=0,1,0),0)</f>
        <v>0</v>
      </c>
      <c r="AF129" s="57" t="n">
        <f aca="false">IF(AB129=1,(X129-G$1030)^2,0)</f>
        <v>0</v>
      </c>
      <c r="AG129" s="57" t="n">
        <f aca="false">IF(AC129=1,(Y129-H$1030)^2,0)</f>
        <v>111.643692811688</v>
      </c>
      <c r="AH129" s="57" t="n">
        <f aca="false">IF(AD129=1,(Z129-I$1030)^2,0)</f>
        <v>0</v>
      </c>
      <c r="AI129" s="57" t="n">
        <f aca="false">IF(AE129=1,(AA129-J$1030)^2,0)</f>
        <v>0</v>
      </c>
    </row>
    <row r="130" customFormat="false" ht="12" hidden="false" customHeight="false" outlineLevel="0" collapsed="false">
      <c r="A130" s="5" t="n">
        <v>113</v>
      </c>
      <c r="B130" s="58" t="n">
        <f aca="true">IF(RAND()&lt;$D$8,1,0)</f>
        <v>1</v>
      </c>
      <c r="C130" s="47" t="n">
        <f aca="true">-LN(RAND())/$D$2</f>
        <v>0.404504642667716</v>
      </c>
      <c r="D130" s="59" t="n">
        <f aca="false">D129+C130</f>
        <v>110.784095790259</v>
      </c>
      <c r="E130" s="60" t="n">
        <f aca="false">MAX($D$3,(1+P129-VLOOKUP(VALUE(D130),$J$18:$Q129,7,TRUE()))*$D$3)</f>
        <v>14</v>
      </c>
      <c r="F130" s="60" t="n">
        <f aca="false">MAX($D$4,(1+Q129-VLOOKUP(VALUE(D130),$M$18:$Q129,5,TRUE()))*$D$4)</f>
        <v>8</v>
      </c>
      <c r="G130" s="61" t="n">
        <v>0.5</v>
      </c>
      <c r="H130" s="59" t="n">
        <f aca="true">IF((B130=1),(IF((F130&lt;E130),1,(IF((F130=E130),(IF(RAND()&lt;G130,1,0)),0)))),(IF((RAND()&lt;G130),1,0)))</f>
        <v>1</v>
      </c>
      <c r="I130" s="59" t="n">
        <f aca="true">IF((H130=1),0,$D$3+$D$5*(RAND()-0.5))</f>
        <v>0</v>
      </c>
      <c r="J130" s="59" t="n">
        <f aca="false">I130+MAX(D130,J129)</f>
        <v>120.945749049671</v>
      </c>
      <c r="K130" s="59" t="n">
        <f aca="false">IF((H130=0),J130-D130,0)</f>
        <v>0</v>
      </c>
      <c r="L130" s="59" t="n">
        <f aca="true">IF(($H130=0),0,$D$4+$D$5*(RAND()-0.5))</f>
        <v>2.16304192793422</v>
      </c>
      <c r="M130" s="59" t="n">
        <f aca="false">L130+MAX(D130,M129)</f>
        <v>117.6642404161</v>
      </c>
      <c r="N130" s="59" t="n">
        <f aca="false">IF((H130=1),M130-D130,0)</f>
        <v>6.8801446258409</v>
      </c>
      <c r="O130" s="5" t="n">
        <v>113</v>
      </c>
      <c r="P130" s="62" t="n">
        <f aca="false">IF((Arterial=0),P129+1,P129)</f>
        <v>57</v>
      </c>
      <c r="Q130" s="62" t="n">
        <f aca="false">IF((Arterial=1),Q129+1,Q129)</f>
        <v>56</v>
      </c>
      <c r="R130" s="63" t="n">
        <f aca="false">IF((RESET=1),0,R130+K130)</f>
        <v>382.695060825218</v>
      </c>
      <c r="S130" s="10" t="e">
        <f aca="false">IF(RESET=1,0,S130+N130)</f>
        <v>#N/A</v>
      </c>
      <c r="T130" s="0" t="n">
        <f aca="false">IF(RESET=1,0,T130+IF(H130=0,1,0))</f>
        <v>30</v>
      </c>
      <c r="U130" s="0" t="e">
        <f aca="false">IF(RESET=1,0,U130+H130)</f>
        <v>#N/A</v>
      </c>
      <c r="V130" s="10" t="n">
        <f aca="false">R130/(T130+0.00001)</f>
        <v>12.7564977753414</v>
      </c>
      <c r="W130" s="10" t="e">
        <f aca="false">S130/(U130+0.0001)</f>
        <v>#N/A</v>
      </c>
      <c r="X130" s="60" t="n">
        <f aca="false">IF(Informed=1,K130,0)</f>
        <v>0</v>
      </c>
      <c r="Y130" s="60" t="n">
        <f aca="false">IF(Informed=0,K130,0)</f>
        <v>0</v>
      </c>
      <c r="Z130" s="60" t="n">
        <f aca="false">IF(Informed=1,N130,0)</f>
        <v>6.8801446258409</v>
      </c>
      <c r="AA130" s="60" t="n">
        <f aca="false">IF(Informed=0,N130,0)</f>
        <v>0</v>
      </c>
      <c r="AB130" s="64" t="n">
        <f aca="false">IF(Arterial=0,IF(Informed=1,1,0),0)</f>
        <v>0</v>
      </c>
      <c r="AC130" s="64" t="n">
        <f aca="false">IF(Arterial=0,IF(Informed=0,1,0),0)</f>
        <v>0</v>
      </c>
      <c r="AD130" s="64" t="n">
        <f aca="false">IF(Arterial=1,IF(Informed=1,1,0),0)</f>
        <v>1</v>
      </c>
      <c r="AE130" s="64" t="n">
        <f aca="false">IF(Arterial=1,IF(Informed=0,1,0),0)</f>
        <v>0</v>
      </c>
      <c r="AF130" s="57" t="n">
        <f aca="false">IF(AB130=1,(X130-G$1030)^2,0)</f>
        <v>0</v>
      </c>
      <c r="AG130" s="57" t="n">
        <f aca="false">IF(AC130=1,(Y130-H$1030)^2,0)</f>
        <v>0</v>
      </c>
      <c r="AH130" s="57" t="n">
        <f aca="false">IF(AD130=1,(Z130-I$1030)^2,0)</f>
        <v>47.3363900724874</v>
      </c>
      <c r="AI130" s="57" t="n">
        <f aca="false">IF(AE130=1,(AA130-J$1030)^2,0)</f>
        <v>0</v>
      </c>
    </row>
    <row r="131" customFormat="false" ht="12" hidden="false" customHeight="false" outlineLevel="0" collapsed="false">
      <c r="A131" s="5" t="n">
        <v>114</v>
      </c>
      <c r="B131" s="58" t="n">
        <f aca="true">IF(RAND()&lt;$D$8,1,0)</f>
        <v>1</v>
      </c>
      <c r="C131" s="47" t="n">
        <f aca="true">-LN(RAND())/$D$2</f>
        <v>0.966019796046391</v>
      </c>
      <c r="D131" s="59" t="n">
        <f aca="false">D130+C131</f>
        <v>111.750115586305</v>
      </c>
      <c r="E131" s="60" t="n">
        <f aca="false">MAX($D$3,(1+P130-VLOOKUP(VALUE(D131),$J$18:$Q130,7,TRUE()))*$D$3)</f>
        <v>12</v>
      </c>
      <c r="F131" s="60" t="n">
        <f aca="false">MAX($D$4,(1+Q130-VLOOKUP(VALUE(D131),$M$18:$Q130,5,TRUE()))*$D$4)</f>
        <v>8</v>
      </c>
      <c r="G131" s="61" t="n">
        <v>0.5</v>
      </c>
      <c r="H131" s="59" t="n">
        <f aca="true">IF((B131=1),(IF((F131&lt;E131),1,(IF((F131=E131),(IF(RAND()&lt;G131,1,0)),0)))),(IF((RAND()&lt;G131),1,0)))</f>
        <v>1</v>
      </c>
      <c r="I131" s="59" t="n">
        <f aca="true">IF((H131=1),0,$D$3+$D$5*(RAND()-0.5))</f>
        <v>0</v>
      </c>
      <c r="J131" s="59" t="n">
        <f aca="false">I131+MAX(D131,J130)</f>
        <v>120.945749049671</v>
      </c>
      <c r="K131" s="59" t="n">
        <f aca="false">IF((H131=0),J131-D131,0)</f>
        <v>0</v>
      </c>
      <c r="L131" s="59" t="n">
        <f aca="true">IF(($H131=0),0,$D$4+$D$5*(RAND()-0.5))</f>
        <v>2.17066605494796</v>
      </c>
      <c r="M131" s="59" t="n">
        <f aca="false">L131+MAX(D131,M130)</f>
        <v>119.834906471048</v>
      </c>
      <c r="N131" s="59" t="n">
        <f aca="false">IF((H131=1),M131-D131,0)</f>
        <v>8.08479088474246</v>
      </c>
      <c r="O131" s="5" t="n">
        <v>114</v>
      </c>
      <c r="P131" s="62" t="n">
        <f aca="false">IF((Arterial=0),P130+1,P130)</f>
        <v>57</v>
      </c>
      <c r="Q131" s="62" t="n">
        <f aca="false">IF((Arterial=1),Q130+1,Q130)</f>
        <v>57</v>
      </c>
      <c r="R131" s="63" t="n">
        <f aca="false">IF((RESET=1),0,R131+K131)</f>
        <v>435.386816421182</v>
      </c>
      <c r="S131" s="10" t="e">
        <f aca="false">IF(RESET=1,0,S131+N131)</f>
        <v>#N/A</v>
      </c>
      <c r="T131" s="0" t="n">
        <f aca="false">IF(RESET=1,0,T131+IF(H131=0,1,0))</f>
        <v>31</v>
      </c>
      <c r="U131" s="0" t="e">
        <f aca="false">IF(RESET=1,0,U131+H131)</f>
        <v>#N/A</v>
      </c>
      <c r="V131" s="10" t="n">
        <f aca="false">R131/(T131+0.00001)</f>
        <v>14.044731483028</v>
      </c>
      <c r="W131" s="10" t="e">
        <f aca="false">S131/(U131+0.0001)</f>
        <v>#N/A</v>
      </c>
      <c r="X131" s="60" t="n">
        <f aca="false">IF(Informed=1,K131,0)</f>
        <v>0</v>
      </c>
      <c r="Y131" s="60" t="n">
        <f aca="false">IF(Informed=0,K131,0)</f>
        <v>0</v>
      </c>
      <c r="Z131" s="60" t="n">
        <f aca="false">IF(Informed=1,N131,0)</f>
        <v>8.08479088474246</v>
      </c>
      <c r="AA131" s="60" t="n">
        <f aca="false">IF(Informed=0,N131,0)</f>
        <v>0</v>
      </c>
      <c r="AB131" s="64" t="n">
        <f aca="false">IF(Arterial=0,IF(Informed=1,1,0),0)</f>
        <v>0</v>
      </c>
      <c r="AC131" s="64" t="n">
        <f aca="false">IF(Arterial=0,IF(Informed=0,1,0),0)</f>
        <v>0</v>
      </c>
      <c r="AD131" s="64" t="n">
        <f aca="false">IF(Arterial=1,IF(Informed=1,1,0),0)</f>
        <v>1</v>
      </c>
      <c r="AE131" s="64" t="n">
        <f aca="false">IF(Arterial=1,IF(Informed=0,1,0),0)</f>
        <v>0</v>
      </c>
      <c r="AF131" s="57" t="n">
        <f aca="false">IF(AB131=1,(X131-G$1030)^2,0)</f>
        <v>0</v>
      </c>
      <c r="AG131" s="57" t="n">
        <f aca="false">IF(AC131=1,(Y131-H$1030)^2,0)</f>
        <v>0</v>
      </c>
      <c r="AH131" s="57" t="n">
        <f aca="false">IF(AD131=1,(Z131-I$1030)^2,0)</f>
        <v>65.3638436500148</v>
      </c>
      <c r="AI131" s="57" t="n">
        <f aca="false">IF(AE131=1,(AA131-J$1030)^2,0)</f>
        <v>0</v>
      </c>
    </row>
    <row r="132" customFormat="false" ht="12" hidden="false" customHeight="false" outlineLevel="0" collapsed="false">
      <c r="A132" s="5" t="n">
        <v>115</v>
      </c>
      <c r="B132" s="58" t="n">
        <f aca="true">IF(RAND()&lt;$D$8,1,0)</f>
        <v>1</v>
      </c>
      <c r="C132" s="47" t="n">
        <f aca="true">-LN(RAND())/$D$2</f>
        <v>1.77961962647446</v>
      </c>
      <c r="D132" s="59" t="n">
        <f aca="false">D131+C132</f>
        <v>113.52973521278</v>
      </c>
      <c r="E132" s="60" t="n">
        <f aca="false">MAX($D$3,(1+P131-VLOOKUP(VALUE(D132),$J$18:$Q131,7,TRUE()))*$D$3)</f>
        <v>10</v>
      </c>
      <c r="F132" s="60" t="n">
        <f aca="false">MAX($D$4,(1+Q131-VLOOKUP(VALUE(D132),$M$18:$Q131,5,TRUE()))*$D$4)</f>
        <v>8</v>
      </c>
      <c r="G132" s="61" t="n">
        <v>0.5</v>
      </c>
      <c r="H132" s="59" t="n">
        <f aca="true">IF((B132=1),(IF((F132&lt;E132),1,(IF((F132=E132),(IF(RAND()&lt;G132,1,0)),0)))),(IF((RAND()&lt;G132),1,0)))</f>
        <v>1</v>
      </c>
      <c r="I132" s="59" t="n">
        <f aca="true">IF((H132=1),0,$D$3+$D$5*(RAND()-0.5))</f>
        <v>0</v>
      </c>
      <c r="J132" s="59" t="n">
        <f aca="false">I132+MAX(D132,J131)</f>
        <v>120.945749049671</v>
      </c>
      <c r="K132" s="59" t="n">
        <f aca="false">IF((H132=0),J132-D132,0)</f>
        <v>0</v>
      </c>
      <c r="L132" s="59" t="n">
        <f aca="true">IF(($H132=0),0,$D$4+$D$5*(RAND()-0.5))</f>
        <v>2.22476277324722</v>
      </c>
      <c r="M132" s="59" t="n">
        <f aca="false">L132+MAX(D132,M131)</f>
        <v>122.059669244295</v>
      </c>
      <c r="N132" s="59" t="n">
        <f aca="false">IF((H132=1),M132-D132,0)</f>
        <v>8.52993403151523</v>
      </c>
      <c r="O132" s="5" t="n">
        <v>115</v>
      </c>
      <c r="P132" s="62" t="n">
        <f aca="false">IF((Arterial=0),P131+1,P131)</f>
        <v>57</v>
      </c>
      <c r="Q132" s="62" t="n">
        <f aca="false">IF((Arterial=1),Q131+1,Q131)</f>
        <v>58</v>
      </c>
      <c r="R132" s="63" t="n">
        <f aca="false">IF((RESET=1),0,R132+K132)</f>
        <v>451.629736110639</v>
      </c>
      <c r="S132" s="10" t="e">
        <f aca="false">IF(RESET=1,0,S132+N132)</f>
        <v>#N/A</v>
      </c>
      <c r="T132" s="0" t="n">
        <f aca="false">IF(RESET=1,0,T132+IF(H132=0,1,0))</f>
        <v>32</v>
      </c>
      <c r="U132" s="0" t="e">
        <f aca="false">IF(RESET=1,0,U132+H132)</f>
        <v>#N/A</v>
      </c>
      <c r="V132" s="10" t="n">
        <f aca="false">R132/(T132+0.00001)</f>
        <v>14.1134248430122</v>
      </c>
      <c r="W132" s="10" t="e">
        <f aca="false">S132/(U132+0.0001)</f>
        <v>#N/A</v>
      </c>
      <c r="X132" s="60" t="n">
        <f aca="false">IF(Informed=1,K132,0)</f>
        <v>0</v>
      </c>
      <c r="Y132" s="60" t="n">
        <f aca="false">IF(Informed=0,K132,0)</f>
        <v>0</v>
      </c>
      <c r="Z132" s="60" t="n">
        <f aca="false">IF(Informed=1,N132,0)</f>
        <v>8.52993403151523</v>
      </c>
      <c r="AA132" s="60" t="n">
        <f aca="false">IF(Informed=0,N132,0)</f>
        <v>0</v>
      </c>
      <c r="AB132" s="64" t="n">
        <f aca="false">IF(Arterial=0,IF(Informed=1,1,0),0)</f>
        <v>0</v>
      </c>
      <c r="AC132" s="64" t="n">
        <f aca="false">IF(Arterial=0,IF(Informed=0,1,0),0)</f>
        <v>0</v>
      </c>
      <c r="AD132" s="64" t="n">
        <f aca="false">IF(Arterial=1,IF(Informed=1,1,0),0)</f>
        <v>1</v>
      </c>
      <c r="AE132" s="64" t="n">
        <f aca="false">IF(Arterial=1,IF(Informed=0,1,0),0)</f>
        <v>0</v>
      </c>
      <c r="AF132" s="57" t="n">
        <f aca="false">IF(AB132=1,(X132-G$1030)^2,0)</f>
        <v>0</v>
      </c>
      <c r="AG132" s="57" t="n">
        <f aca="false">IF(AC132=1,(Y132-H$1030)^2,0)</f>
        <v>0</v>
      </c>
      <c r="AH132" s="57" t="n">
        <f aca="false">IF(AD132=1,(Z132-I$1030)^2,0)</f>
        <v>72.7597745820016</v>
      </c>
      <c r="AI132" s="57" t="n">
        <f aca="false">IF(AE132=1,(AA132-J$1030)^2,0)</f>
        <v>0</v>
      </c>
    </row>
    <row r="133" customFormat="false" ht="12" hidden="false" customHeight="false" outlineLevel="0" collapsed="false">
      <c r="A133" s="5" t="n">
        <v>116</v>
      </c>
      <c r="B133" s="58" t="n">
        <f aca="true">IF(RAND()&lt;$D$8,1,0)</f>
        <v>0</v>
      </c>
      <c r="C133" s="47" t="n">
        <f aca="true">-LN(RAND())/$D$2</f>
        <v>0.00705314798597547</v>
      </c>
      <c r="D133" s="59" t="n">
        <f aca="false">D132+C133</f>
        <v>113.536788360766</v>
      </c>
      <c r="E133" s="60" t="n">
        <f aca="false">MAX($D$3,(1+P132-VLOOKUP(VALUE(D133),$J$18:$Q132,7,TRUE()))*$D$3)</f>
        <v>10</v>
      </c>
      <c r="F133" s="60" t="n">
        <f aca="false">MAX($D$4,(1+Q132-VLOOKUP(VALUE(D133),$M$18:$Q132,5,TRUE()))*$D$4)</f>
        <v>10</v>
      </c>
      <c r="G133" s="61" t="n">
        <v>0.5</v>
      </c>
      <c r="H133" s="59" t="n">
        <f aca="true">IF((B133=1),(IF((F133&lt;E133),1,(IF((F133=E133),(IF(RAND()&lt;G133,1,0)),0)))),(IF((RAND()&lt;G133),1,0)))</f>
        <v>1</v>
      </c>
      <c r="I133" s="59" t="n">
        <f aca="true">IF((H133=1),0,$D$3+$D$5*(RAND()-0.5))</f>
        <v>0</v>
      </c>
      <c r="J133" s="59" t="n">
        <f aca="false">I133+MAX(D133,J132)</f>
        <v>120.945749049671</v>
      </c>
      <c r="K133" s="59" t="n">
        <f aca="false">IF((H133=0),J133-D133,0)</f>
        <v>0</v>
      </c>
      <c r="L133" s="59" t="n">
        <f aca="true">IF(($H133=0),0,$D$4+$D$5*(RAND()-0.5))</f>
        <v>1.87666739093871</v>
      </c>
      <c r="M133" s="59" t="n">
        <f aca="false">L133+MAX(D133,M132)</f>
        <v>123.936336635234</v>
      </c>
      <c r="N133" s="59" t="n">
        <f aca="false">IF((H133=1),M133-D133,0)</f>
        <v>10.399548274468</v>
      </c>
      <c r="O133" s="5" t="n">
        <v>116</v>
      </c>
      <c r="P133" s="62" t="n">
        <f aca="false">IF((Arterial=0),P132+1,P132)</f>
        <v>57</v>
      </c>
      <c r="Q133" s="62" t="n">
        <f aca="false">IF((Arterial=1),Q132+1,Q132)</f>
        <v>59</v>
      </c>
      <c r="R133" s="63" t="n">
        <f aca="false">IF((RESET=1),0,R133+K133)</f>
        <v>301.776368800353</v>
      </c>
      <c r="S133" s="10" t="e">
        <f aca="false">IF(RESET=1,0,S133+N133)</f>
        <v>#N/A</v>
      </c>
      <c r="T133" s="0" t="n">
        <f aca="false">IF(RESET=1,0,T133+IF(H133=0,1,0))</f>
        <v>23</v>
      </c>
      <c r="U133" s="0" t="e">
        <f aca="false">IF(RESET=1,0,U133+H133)</f>
        <v>#N/A</v>
      </c>
      <c r="V133" s="10" t="n">
        <f aca="false">R133/(T133+0.00001)</f>
        <v>13.1207059823171</v>
      </c>
      <c r="W133" s="10" t="e">
        <f aca="false">S133/(U133+0.0001)</f>
        <v>#N/A</v>
      </c>
      <c r="X133" s="60" t="n">
        <f aca="false">IF(Informed=1,K133,0)</f>
        <v>0</v>
      </c>
      <c r="Y133" s="60" t="n">
        <f aca="false">IF(Informed=0,K133,0)</f>
        <v>0</v>
      </c>
      <c r="Z133" s="60" t="n">
        <f aca="false">IF(Informed=1,N133,0)</f>
        <v>0</v>
      </c>
      <c r="AA133" s="60" t="n">
        <f aca="false">IF(Informed=0,N133,0)</f>
        <v>10.399548274468</v>
      </c>
      <c r="AB133" s="64" t="n">
        <f aca="false">IF(Arterial=0,IF(Informed=1,1,0),0)</f>
        <v>0</v>
      </c>
      <c r="AC133" s="64" t="n">
        <f aca="false">IF(Arterial=0,IF(Informed=0,1,0),0)</f>
        <v>0</v>
      </c>
      <c r="AD133" s="64" t="n">
        <f aca="false">IF(Arterial=1,IF(Informed=1,1,0),0)</f>
        <v>0</v>
      </c>
      <c r="AE133" s="64" t="n">
        <f aca="false">IF(Arterial=1,IF(Informed=0,1,0),0)</f>
        <v>1</v>
      </c>
      <c r="AF133" s="57" t="n">
        <f aca="false">IF(AB133=1,(X133-G$1030)^2,0)</f>
        <v>0</v>
      </c>
      <c r="AG133" s="57" t="n">
        <f aca="false">IF(AC133=1,(Y133-H$1030)^2,0)</f>
        <v>0</v>
      </c>
      <c r="AH133" s="57" t="n">
        <f aca="false">IF(AD133=1,(Z133-I$1030)^2,0)</f>
        <v>0</v>
      </c>
      <c r="AI133" s="57" t="n">
        <f aca="false">IF(AE133=1,(AA133-J$1030)^2,0)</f>
        <v>108.15060431299</v>
      </c>
    </row>
    <row r="134" customFormat="false" ht="12" hidden="false" customHeight="false" outlineLevel="0" collapsed="false">
      <c r="A134" s="5" t="n">
        <v>117</v>
      </c>
      <c r="B134" s="58" t="n">
        <f aca="true">IF(RAND()&lt;$D$8,1,0)</f>
        <v>0</v>
      </c>
      <c r="C134" s="47" t="n">
        <f aca="true">-LN(RAND())/$D$2</f>
        <v>1.05456128884362</v>
      </c>
      <c r="D134" s="59" t="n">
        <f aca="false">D133+C134</f>
        <v>114.591349649609</v>
      </c>
      <c r="E134" s="60" t="n">
        <f aca="false">MAX($D$3,(1+P133-VLOOKUP(VALUE(D134),$J$18:$Q133,7,TRUE()))*$D$3)</f>
        <v>10</v>
      </c>
      <c r="F134" s="60" t="n">
        <f aca="false">MAX($D$4,(1+Q133-VLOOKUP(VALUE(D134),$M$18:$Q133,5,TRUE()))*$D$4)</f>
        <v>12</v>
      </c>
      <c r="G134" s="61" t="n">
        <v>0.5</v>
      </c>
      <c r="H134" s="59" t="n">
        <f aca="true">IF((B134=1),(IF((F134&lt;E134),1,(IF((F134=E134),(IF(RAND()&lt;G134,1,0)),0)))),(IF((RAND()&lt;G134),1,0)))</f>
        <v>1</v>
      </c>
      <c r="I134" s="59" t="n">
        <f aca="true">IF((H134=1),0,$D$3+$D$5*(RAND()-0.5))</f>
        <v>0</v>
      </c>
      <c r="J134" s="59" t="n">
        <f aca="false">I134+MAX(D134,J133)</f>
        <v>120.945749049671</v>
      </c>
      <c r="K134" s="59" t="n">
        <f aca="false">IF((H134=0),J134-D134,0)</f>
        <v>0</v>
      </c>
      <c r="L134" s="59" t="n">
        <f aca="true">IF(($H134=0),0,$D$4+$D$5*(RAND()-0.5))</f>
        <v>1.75981997808572</v>
      </c>
      <c r="M134" s="59" t="n">
        <f aca="false">L134+MAX(D134,M133)</f>
        <v>125.69615661332</v>
      </c>
      <c r="N134" s="59" t="n">
        <f aca="false">IF((H134=1),M134-D134,0)</f>
        <v>11.1048069637101</v>
      </c>
      <c r="O134" s="5" t="n">
        <v>117</v>
      </c>
      <c r="P134" s="62" t="n">
        <f aca="false">IF((Arterial=0),P133+1,P133)</f>
        <v>57</v>
      </c>
      <c r="Q134" s="62" t="n">
        <f aca="false">IF((Arterial=1),Q133+1,Q133)</f>
        <v>60</v>
      </c>
      <c r="R134" s="63" t="n">
        <f aca="false">IF((RESET=1),0,R134+K134)</f>
        <v>325.308222258374</v>
      </c>
      <c r="S134" s="10" t="e">
        <f aca="false">IF(RESET=1,0,S134+N134)</f>
        <v>#N/A</v>
      </c>
      <c r="T134" s="0" t="n">
        <f aca="false">IF(RESET=1,0,T134+IF(H134=0,1,0))</f>
        <v>27</v>
      </c>
      <c r="U134" s="0" t="e">
        <f aca="false">IF(RESET=1,0,U134+H134)</f>
        <v>#N/A</v>
      </c>
      <c r="V134" s="10" t="n">
        <f aca="false">R134/(T134+0.00001)</f>
        <v>12.0484482138478</v>
      </c>
      <c r="W134" s="10" t="e">
        <f aca="false">S134/(U134+0.0001)</f>
        <v>#N/A</v>
      </c>
      <c r="X134" s="60" t="n">
        <f aca="false">IF(Informed=1,K134,0)</f>
        <v>0</v>
      </c>
      <c r="Y134" s="60" t="n">
        <f aca="false">IF(Informed=0,K134,0)</f>
        <v>0</v>
      </c>
      <c r="Z134" s="60" t="n">
        <f aca="false">IF(Informed=1,N134,0)</f>
        <v>0</v>
      </c>
      <c r="AA134" s="60" t="n">
        <f aca="false">IF(Informed=0,N134,0)</f>
        <v>11.1048069637101</v>
      </c>
      <c r="AB134" s="64" t="n">
        <f aca="false">IF(Arterial=0,IF(Informed=1,1,0),0)</f>
        <v>0</v>
      </c>
      <c r="AC134" s="64" t="n">
        <f aca="false">IF(Arterial=0,IF(Informed=0,1,0),0)</f>
        <v>0</v>
      </c>
      <c r="AD134" s="64" t="n">
        <f aca="false">IF(Arterial=1,IF(Informed=1,1,0),0)</f>
        <v>0</v>
      </c>
      <c r="AE134" s="64" t="n">
        <f aca="false">IF(Arterial=1,IF(Informed=0,1,0),0)</f>
        <v>1</v>
      </c>
      <c r="AF134" s="57" t="n">
        <f aca="false">IF(AB134=1,(X134-G$1030)^2,0)</f>
        <v>0</v>
      </c>
      <c r="AG134" s="57" t="n">
        <f aca="false">IF(AC134=1,(Y134-H$1030)^2,0)</f>
        <v>0</v>
      </c>
      <c r="AH134" s="57" t="n">
        <f aca="false">IF(AD134=1,(Z134-I$1030)^2,0)</f>
        <v>0</v>
      </c>
      <c r="AI134" s="57" t="n">
        <f aca="false">IF(AE134=1,(AA134-J$1030)^2,0)</f>
        <v>123.316737701264</v>
      </c>
    </row>
    <row r="135" customFormat="false" ht="12" hidden="false" customHeight="false" outlineLevel="0" collapsed="false">
      <c r="A135" s="5" t="n">
        <v>118</v>
      </c>
      <c r="B135" s="58" t="n">
        <f aca="true">IF(RAND()&lt;$D$8,1,0)</f>
        <v>0</v>
      </c>
      <c r="C135" s="47" t="n">
        <f aca="true">-LN(RAND())/$D$2</f>
        <v>1.37476471128255</v>
      </c>
      <c r="D135" s="59" t="n">
        <f aca="false">D134+C135</f>
        <v>115.966114360892</v>
      </c>
      <c r="E135" s="60" t="n">
        <f aca="false">MAX($D$3,(1+P134-VLOOKUP(VALUE(D135),$J$18:$Q134,7,TRUE()))*$D$3)</f>
        <v>8</v>
      </c>
      <c r="F135" s="60" t="n">
        <f aca="false">MAX($D$4,(1+Q134-VLOOKUP(VALUE(D135),$M$18:$Q134,5,TRUE()))*$D$4)</f>
        <v>12</v>
      </c>
      <c r="G135" s="61" t="n">
        <v>0.5</v>
      </c>
      <c r="H135" s="59" t="n">
        <f aca="true">IF((B135=1),(IF((F135&lt;E135),1,(IF((F135=E135),(IF(RAND()&lt;G135,1,0)),0)))),(IF((RAND()&lt;G135),1,0)))</f>
        <v>1</v>
      </c>
      <c r="I135" s="59" t="n">
        <f aca="true">IF((H135=1),0,$D$3+$D$5*(RAND()-0.5))</f>
        <v>0</v>
      </c>
      <c r="J135" s="59" t="n">
        <f aca="false">I135+MAX(D135,J134)</f>
        <v>120.945749049671</v>
      </c>
      <c r="K135" s="59" t="n">
        <f aca="false">IF((H135=0),J135-D135,0)</f>
        <v>0</v>
      </c>
      <c r="L135" s="59" t="n">
        <f aca="true">IF(($H135=0),0,$D$4+$D$5*(RAND()-0.5))</f>
        <v>1.75311324682819</v>
      </c>
      <c r="M135" s="59" t="n">
        <f aca="false">L135+MAX(D135,M134)</f>
        <v>127.449269860148</v>
      </c>
      <c r="N135" s="59" t="n">
        <f aca="false">IF((H135=1),M135-D135,0)</f>
        <v>11.4831554992557</v>
      </c>
      <c r="O135" s="5" t="n">
        <v>118</v>
      </c>
      <c r="P135" s="62" t="n">
        <f aca="false">IF((Arterial=0),P134+1,P134)</f>
        <v>57</v>
      </c>
      <c r="Q135" s="62" t="n">
        <f aca="false">IF((Arterial=1),Q134+1,Q134)</f>
        <v>61</v>
      </c>
      <c r="R135" s="63" t="n">
        <f aca="false">IF((RESET=1),0,R135+K135)</f>
        <v>325.359459918922</v>
      </c>
      <c r="S135" s="10" t="e">
        <f aca="false">IF(RESET=1,0,S135+N135)</f>
        <v>#N/A</v>
      </c>
      <c r="T135" s="0" t="n">
        <f aca="false">IF(RESET=1,0,T135+IF(H135=0,1,0))</f>
        <v>26</v>
      </c>
      <c r="U135" s="0" t="e">
        <f aca="false">IF(RESET=1,0,U135+H135)</f>
        <v>#N/A</v>
      </c>
      <c r="V135" s="10" t="n">
        <f aca="false">R135/(T135+0.00001)</f>
        <v>12.5138205684891</v>
      </c>
      <c r="W135" s="10" t="e">
        <f aca="false">S135/(U135+0.0001)</f>
        <v>#N/A</v>
      </c>
      <c r="X135" s="60" t="n">
        <f aca="false">IF(Informed=1,K135,0)</f>
        <v>0</v>
      </c>
      <c r="Y135" s="60" t="n">
        <f aca="false">IF(Informed=0,K135,0)</f>
        <v>0</v>
      </c>
      <c r="Z135" s="60" t="n">
        <f aca="false">IF(Informed=1,N135,0)</f>
        <v>0</v>
      </c>
      <c r="AA135" s="60" t="n">
        <f aca="false">IF(Informed=0,N135,0)</f>
        <v>11.4831554992557</v>
      </c>
      <c r="AB135" s="64" t="n">
        <f aca="false">IF(Arterial=0,IF(Informed=1,1,0),0)</f>
        <v>0</v>
      </c>
      <c r="AC135" s="64" t="n">
        <f aca="false">IF(Arterial=0,IF(Informed=0,1,0),0)</f>
        <v>0</v>
      </c>
      <c r="AD135" s="64" t="n">
        <f aca="false">IF(Arterial=1,IF(Informed=1,1,0),0)</f>
        <v>0</v>
      </c>
      <c r="AE135" s="64" t="n">
        <f aca="false">IF(Arterial=1,IF(Informed=0,1,0),0)</f>
        <v>1</v>
      </c>
      <c r="AF135" s="57" t="n">
        <f aca="false">IF(AB135=1,(X135-G$1030)^2,0)</f>
        <v>0</v>
      </c>
      <c r="AG135" s="57" t="n">
        <f aca="false">IF(AC135=1,(Y135-H$1030)^2,0)</f>
        <v>0</v>
      </c>
      <c r="AH135" s="57" t="n">
        <f aca="false">IF(AD135=1,(Z135-I$1030)^2,0)</f>
        <v>0</v>
      </c>
      <c r="AI135" s="57" t="n">
        <f aca="false">IF(AE135=1,(AA135-J$1030)^2,0)</f>
        <v>131.862860220087</v>
      </c>
    </row>
    <row r="136" customFormat="false" ht="12" hidden="false" customHeight="false" outlineLevel="0" collapsed="false">
      <c r="A136" s="5" t="n">
        <v>119</v>
      </c>
      <c r="B136" s="58" t="n">
        <f aca="true">IF(RAND()&lt;$D$8,1,0)</f>
        <v>1</v>
      </c>
      <c r="C136" s="47" t="n">
        <f aca="true">-LN(RAND())/$D$2</f>
        <v>0.424682791831346</v>
      </c>
      <c r="D136" s="59" t="n">
        <f aca="false">D135+C136</f>
        <v>116.390797152723</v>
      </c>
      <c r="E136" s="60" t="n">
        <f aca="false">MAX($D$3,(1+P135-VLOOKUP(VALUE(D136),$J$18:$Q135,7,TRUE()))*$D$3)</f>
        <v>8</v>
      </c>
      <c r="F136" s="60" t="n">
        <f aca="false">MAX($D$4,(1+Q135-VLOOKUP(VALUE(D136),$M$18:$Q135,5,TRUE()))*$D$4)</f>
        <v>14</v>
      </c>
      <c r="G136" s="61" t="n">
        <v>0.5</v>
      </c>
      <c r="H136" s="59" t="n">
        <f aca="true">IF((B136=1),(IF((F136&lt;E136),1,(IF((F136=E136),(IF(RAND()&lt;G136,1,0)),0)))),(IF((RAND()&lt;G136),1,0)))</f>
        <v>0</v>
      </c>
      <c r="I136" s="59" t="n">
        <f aca="true">IF((H136=1),0,$D$3+$D$5*(RAND()-0.5))</f>
        <v>1.84107797025667</v>
      </c>
      <c r="J136" s="59" t="n">
        <f aca="false">I136+MAX(D136,J135)</f>
        <v>122.786827019928</v>
      </c>
      <c r="K136" s="59" t="n">
        <f aca="false">IF((H136=0),J136-D136,0)</f>
        <v>6.39602986720462</v>
      </c>
      <c r="L136" s="59" t="n">
        <f aca="true">IF(($H136=0),0,$D$4+$D$5*(RAND()-0.5))</f>
        <v>0</v>
      </c>
      <c r="M136" s="59" t="n">
        <f aca="false">L136+MAX(D136,M135)</f>
        <v>127.449269860148</v>
      </c>
      <c r="N136" s="59" t="n">
        <f aca="false">IF((H136=1),M136-D136,0)</f>
        <v>0</v>
      </c>
      <c r="O136" s="5" t="n">
        <v>119</v>
      </c>
      <c r="P136" s="62" t="n">
        <f aca="false">IF((Arterial=0),P135+1,P135)</f>
        <v>58</v>
      </c>
      <c r="Q136" s="62" t="n">
        <f aca="false">IF((Arterial=1),Q135+1,Q135)</f>
        <v>61</v>
      </c>
      <c r="R136" s="63" t="e">
        <f aca="false">IF((RESET=1),0,R136+K136)</f>
        <v>#N/A</v>
      </c>
      <c r="S136" s="10" t="n">
        <f aca="false">IF(RESET=1,0,S136+N136)</f>
        <v>332.999382077635</v>
      </c>
      <c r="T136" s="0" t="e">
        <f aca="false">IF(RESET=1,0,T136+IF(H136=0,1,0))</f>
        <v>#N/A</v>
      </c>
      <c r="U136" s="0" t="n">
        <f aca="false">IF(RESET=1,0,U136+H136)</f>
        <v>27</v>
      </c>
      <c r="V136" s="10" t="e">
        <f aca="false">R136/(T136+0.00001)</f>
        <v>#N/A</v>
      </c>
      <c r="W136" s="10" t="n">
        <f aca="false">S136/(U136+0.0001)</f>
        <v>12.3332647685614</v>
      </c>
      <c r="X136" s="60" t="n">
        <f aca="false">IF(Informed=1,K136,0)</f>
        <v>6.39602986720462</v>
      </c>
      <c r="Y136" s="60" t="n">
        <f aca="false">IF(Informed=0,K136,0)</f>
        <v>0</v>
      </c>
      <c r="Z136" s="60" t="n">
        <f aca="false">IF(Informed=1,N136,0)</f>
        <v>0</v>
      </c>
      <c r="AA136" s="60" t="n">
        <f aca="false">IF(Informed=0,N136,0)</f>
        <v>0</v>
      </c>
      <c r="AB136" s="64" t="n">
        <f aca="false">IF(Arterial=0,IF(Informed=1,1,0),0)</f>
        <v>1</v>
      </c>
      <c r="AC136" s="64" t="n">
        <f aca="false">IF(Arterial=0,IF(Informed=0,1,0),0)</f>
        <v>0</v>
      </c>
      <c r="AD136" s="64" t="n">
        <f aca="false">IF(Arterial=1,IF(Informed=1,1,0),0)</f>
        <v>0</v>
      </c>
      <c r="AE136" s="64" t="n">
        <f aca="false">IF(Arterial=1,IF(Informed=0,1,0),0)</f>
        <v>0</v>
      </c>
      <c r="AF136" s="57" t="n">
        <f aca="false">IF(AB136=1,(X136-G$1030)^2,0)</f>
        <v>40.9091980621735</v>
      </c>
      <c r="AG136" s="57" t="n">
        <f aca="false">IF(AC136=1,(Y136-H$1030)^2,0)</f>
        <v>0</v>
      </c>
      <c r="AH136" s="57" t="n">
        <f aca="false">IF(AD136=1,(Z136-I$1030)^2,0)</f>
        <v>0</v>
      </c>
      <c r="AI136" s="57" t="n">
        <f aca="false">IF(AE136=1,(AA136-J$1030)^2,0)</f>
        <v>0</v>
      </c>
    </row>
    <row r="137" customFormat="false" ht="12" hidden="false" customHeight="false" outlineLevel="0" collapsed="false">
      <c r="A137" s="5" t="n">
        <v>120</v>
      </c>
      <c r="B137" s="58" t="n">
        <f aca="true">IF(RAND()&lt;$D$8,1,0)</f>
        <v>1</v>
      </c>
      <c r="C137" s="47" t="n">
        <f aca="true">-LN(RAND())/$D$2</f>
        <v>0.724952054938758</v>
      </c>
      <c r="D137" s="59" t="n">
        <f aca="false">D136+C137</f>
        <v>117.115749207662</v>
      </c>
      <c r="E137" s="60" t="n">
        <f aca="false">MAX($D$3,(1+P136-VLOOKUP(VALUE(D137),$J$18:$Q136,7,TRUE()))*$D$3)</f>
        <v>8</v>
      </c>
      <c r="F137" s="60" t="n">
        <f aca="false">MAX($D$4,(1+Q136-VLOOKUP(VALUE(D137),$M$18:$Q136,5,TRUE()))*$D$4)</f>
        <v>14</v>
      </c>
      <c r="G137" s="61" t="n">
        <v>0.5</v>
      </c>
      <c r="H137" s="59" t="n">
        <f aca="true">IF((B137=1),(IF((F137&lt;E137),1,(IF((F137=E137),(IF(RAND()&lt;G137,1,0)),0)))),(IF((RAND()&lt;G137),1,0)))</f>
        <v>0</v>
      </c>
      <c r="I137" s="59" t="n">
        <f aca="true">IF((H137=1),0,$D$3+$D$5*(RAND()-0.5))</f>
        <v>2.00444227641749</v>
      </c>
      <c r="J137" s="59" t="n">
        <f aca="false">I137+MAX(D137,J136)</f>
        <v>124.791269296345</v>
      </c>
      <c r="K137" s="59" t="n">
        <f aca="false">IF((H137=0),J137-D137,0)</f>
        <v>7.67552008868336</v>
      </c>
      <c r="L137" s="59" t="n">
        <f aca="true">IF(($H137=0),0,$D$4+$D$5*(RAND()-0.5))</f>
        <v>0</v>
      </c>
      <c r="M137" s="59" t="n">
        <f aca="false">L137+MAX(D137,M136)</f>
        <v>127.449269860148</v>
      </c>
      <c r="N137" s="59" t="n">
        <f aca="false">IF((H137=1),M137-D137,0)</f>
        <v>0</v>
      </c>
      <c r="O137" s="5" t="n">
        <v>120</v>
      </c>
      <c r="P137" s="62" t="n">
        <f aca="false">IF((Arterial=0),P136+1,P136)</f>
        <v>59</v>
      </c>
      <c r="Q137" s="62" t="n">
        <f aca="false">IF((Arterial=1),Q136+1,Q136)</f>
        <v>61</v>
      </c>
      <c r="R137" s="63" t="e">
        <f aca="false">IF((RESET=1),0,R137+K137)</f>
        <v>#N/A</v>
      </c>
      <c r="S137" s="10" t="n">
        <f aca="false">IF(RESET=1,0,S137+N137)</f>
        <v>368.03032747443</v>
      </c>
      <c r="T137" s="0" t="e">
        <f aca="false">IF(RESET=1,0,T137+IF(H137=0,1,0))</f>
        <v>#N/A</v>
      </c>
      <c r="U137" s="0" t="n">
        <f aca="false">IF(RESET=1,0,U137+H137)</f>
        <v>28</v>
      </c>
      <c r="V137" s="10" t="e">
        <f aca="false">R137/(T137+0.00001)</f>
        <v>#N/A</v>
      </c>
      <c r="W137" s="10" t="n">
        <f aca="false">S137/(U137+0.0001)</f>
        <v>13.1438933244678</v>
      </c>
      <c r="X137" s="60" t="n">
        <f aca="false">IF(Informed=1,K137,0)</f>
        <v>7.67552008868336</v>
      </c>
      <c r="Y137" s="60" t="n">
        <f aca="false">IF(Informed=0,K137,0)</f>
        <v>0</v>
      </c>
      <c r="Z137" s="60" t="n">
        <f aca="false">IF(Informed=1,N137,0)</f>
        <v>0</v>
      </c>
      <c r="AA137" s="60" t="n">
        <f aca="false">IF(Informed=0,N137,0)</f>
        <v>0</v>
      </c>
      <c r="AB137" s="64" t="n">
        <f aca="false">IF(Arterial=0,IF(Informed=1,1,0),0)</f>
        <v>1</v>
      </c>
      <c r="AC137" s="64" t="n">
        <f aca="false">IF(Arterial=0,IF(Informed=0,1,0),0)</f>
        <v>0</v>
      </c>
      <c r="AD137" s="64" t="n">
        <f aca="false">IF(Arterial=1,IF(Informed=1,1,0),0)</f>
        <v>0</v>
      </c>
      <c r="AE137" s="64" t="n">
        <f aca="false">IF(Arterial=1,IF(Informed=0,1,0),0)</f>
        <v>0</v>
      </c>
      <c r="AF137" s="57" t="n">
        <f aca="false">IF(AB137=1,(X137-G$1030)^2,0)</f>
        <v>58.9136086317818</v>
      </c>
      <c r="AG137" s="57" t="n">
        <f aca="false">IF(AC137=1,(Y137-H$1030)^2,0)</f>
        <v>0</v>
      </c>
      <c r="AH137" s="57" t="n">
        <f aca="false">IF(AD137=1,(Z137-I$1030)^2,0)</f>
        <v>0</v>
      </c>
      <c r="AI137" s="57" t="n">
        <f aca="false">IF(AE137=1,(AA137-J$1030)^2,0)</f>
        <v>0</v>
      </c>
    </row>
    <row r="138" customFormat="false" ht="12" hidden="false" customHeight="false" outlineLevel="0" collapsed="false">
      <c r="A138" s="5" t="n">
        <v>121</v>
      </c>
      <c r="B138" s="58" t="n">
        <f aca="true">IF(RAND()&lt;$D$8,1,0)</f>
        <v>0</v>
      </c>
      <c r="C138" s="47" t="n">
        <f aca="true">-LN(RAND())/$D$2</f>
        <v>1.06735307758855</v>
      </c>
      <c r="D138" s="59" t="n">
        <f aca="false">D137+C138</f>
        <v>118.183102285251</v>
      </c>
      <c r="E138" s="60" t="n">
        <f aca="false">MAX($D$3,(1+P137-VLOOKUP(VALUE(D138),$J$18:$Q137,7,TRUE()))*$D$3)</f>
        <v>10</v>
      </c>
      <c r="F138" s="60" t="n">
        <f aca="false">MAX($D$4,(1+Q137-VLOOKUP(VALUE(D138),$M$18:$Q137,5,TRUE()))*$D$4)</f>
        <v>12</v>
      </c>
      <c r="G138" s="61" t="n">
        <v>0.5</v>
      </c>
      <c r="H138" s="59" t="n">
        <f aca="true">IF((B138=1),(IF((F138&lt;E138),1,(IF((F138=E138),(IF(RAND()&lt;G138,1,0)),0)))),(IF((RAND()&lt;G138),1,0)))</f>
        <v>0</v>
      </c>
      <c r="I138" s="59" t="n">
        <f aca="true">IF((H138=1),0,$D$3+$D$5*(RAND()-0.5))</f>
        <v>2.06516928650062</v>
      </c>
      <c r="J138" s="59" t="n">
        <f aca="false">I138+MAX(D138,J137)</f>
        <v>126.856438582846</v>
      </c>
      <c r="K138" s="59" t="n">
        <f aca="false">IF((H138=0),J138-D138,0)</f>
        <v>8.67333629759543</v>
      </c>
      <c r="L138" s="59" t="n">
        <f aca="true">IF(($H138=0),0,$D$4+$D$5*(RAND()-0.5))</f>
        <v>0</v>
      </c>
      <c r="M138" s="59" t="n">
        <f aca="false">L138+MAX(D138,M137)</f>
        <v>127.449269860148</v>
      </c>
      <c r="N138" s="59" t="n">
        <f aca="false">IF((H138=1),M138-D138,0)</f>
        <v>0</v>
      </c>
      <c r="O138" s="5" t="n">
        <v>121</v>
      </c>
      <c r="P138" s="62" t="n">
        <f aca="false">IF((Arterial=0),P137+1,P137)</f>
        <v>60</v>
      </c>
      <c r="Q138" s="62" t="n">
        <f aca="false">IF((Arterial=1),Q137+1,Q137)</f>
        <v>61</v>
      </c>
      <c r="R138" s="63" t="e">
        <f aca="false">IF((RESET=1),0,R138+K138)</f>
        <v>#N/A</v>
      </c>
      <c r="S138" s="10" t="n">
        <f aca="false">IF(RESET=1,0,S138+N138)</f>
        <v>322.649016322379</v>
      </c>
      <c r="T138" s="0" t="e">
        <f aca="false">IF(RESET=1,0,T138+IF(H138=0,1,0))</f>
        <v>#N/A</v>
      </c>
      <c r="U138" s="0" t="n">
        <f aca="false">IF(RESET=1,0,U138+H138)</f>
        <v>26</v>
      </c>
      <c r="V138" s="10" t="e">
        <f aca="false">R138/(T138+0.00001)</f>
        <v>#N/A</v>
      </c>
      <c r="W138" s="10" t="n">
        <f aca="false">S138/(U138+0.0001)</f>
        <v>12.4095298218999</v>
      </c>
      <c r="X138" s="60" t="n">
        <f aca="false">IF(Informed=1,K138,0)</f>
        <v>0</v>
      </c>
      <c r="Y138" s="60" t="n">
        <f aca="false">IF(Informed=0,K138,0)</f>
        <v>8.67333629759543</v>
      </c>
      <c r="Z138" s="60" t="n">
        <f aca="false">IF(Informed=1,N138,0)</f>
        <v>0</v>
      </c>
      <c r="AA138" s="60" t="n">
        <f aca="false">IF(Informed=0,N138,0)</f>
        <v>0</v>
      </c>
      <c r="AB138" s="64" t="n">
        <f aca="false">IF(Arterial=0,IF(Informed=1,1,0),0)</f>
        <v>0</v>
      </c>
      <c r="AC138" s="64" t="n">
        <f aca="false">IF(Arterial=0,IF(Informed=0,1,0),0)</f>
        <v>1</v>
      </c>
      <c r="AD138" s="64" t="n">
        <f aca="false">IF(Arterial=1,IF(Informed=1,1,0),0)</f>
        <v>0</v>
      </c>
      <c r="AE138" s="64" t="n">
        <f aca="false">IF(Arterial=1,IF(Informed=0,1,0),0)</f>
        <v>0</v>
      </c>
      <c r="AF138" s="57" t="n">
        <f aca="false">IF(AB138=1,(X138-G$1030)^2,0)</f>
        <v>0</v>
      </c>
      <c r="AG138" s="57" t="n">
        <f aca="false">IF(AC138=1,(Y138-H$1030)^2,0)</f>
        <v>75.2267625311863</v>
      </c>
      <c r="AH138" s="57" t="n">
        <f aca="false">IF(AD138=1,(Z138-I$1030)^2,0)</f>
        <v>0</v>
      </c>
      <c r="AI138" s="57" t="n">
        <f aca="false">IF(AE138=1,(AA138-J$1030)^2,0)</f>
        <v>0</v>
      </c>
    </row>
    <row r="139" customFormat="false" ht="12" hidden="false" customHeight="false" outlineLevel="0" collapsed="false">
      <c r="A139" s="5" t="n">
        <v>122</v>
      </c>
      <c r="B139" s="58" t="n">
        <f aca="true">IF(RAND()&lt;$D$8,1,0)</f>
        <v>0</v>
      </c>
      <c r="C139" s="47" t="n">
        <f aca="true">-LN(RAND())/$D$2</f>
        <v>1.85982739730189</v>
      </c>
      <c r="D139" s="59" t="n">
        <f aca="false">D138+C139</f>
        <v>120.042929682553</v>
      </c>
      <c r="E139" s="60" t="n">
        <f aca="false">MAX($D$3,(1+P138-VLOOKUP(VALUE(D139),$J$18:$Q138,7,TRUE()))*$D$3)</f>
        <v>10</v>
      </c>
      <c r="F139" s="60" t="n">
        <f aca="false">MAX($D$4,(1+Q138-VLOOKUP(VALUE(D139),$M$18:$Q138,5,TRUE()))*$D$4)</f>
        <v>10</v>
      </c>
      <c r="G139" s="61" t="n">
        <v>0.5</v>
      </c>
      <c r="H139" s="59" t="n">
        <f aca="true">IF((B139=1),(IF((F139&lt;E139),1,(IF((F139=E139),(IF(RAND()&lt;G139,1,0)),0)))),(IF((RAND()&lt;G139),1,0)))</f>
        <v>0</v>
      </c>
      <c r="I139" s="59" t="n">
        <f aca="true">IF((H139=1),0,$D$3+$D$5*(RAND()-0.5))</f>
        <v>1.85589065853143</v>
      </c>
      <c r="J139" s="59" t="n">
        <f aca="false">I139+MAX(D139,J138)</f>
        <v>128.712329241378</v>
      </c>
      <c r="K139" s="59" t="n">
        <f aca="false">IF((H139=0),J139-D139,0)</f>
        <v>8.66939955882495</v>
      </c>
      <c r="L139" s="59" t="n">
        <f aca="true">IF(($H139=0),0,$D$4+$D$5*(RAND()-0.5))</f>
        <v>0</v>
      </c>
      <c r="M139" s="59" t="n">
        <f aca="false">L139+MAX(D139,M138)</f>
        <v>127.449269860148</v>
      </c>
      <c r="N139" s="59" t="n">
        <f aca="false">IF((H139=1),M139-D139,0)</f>
        <v>0</v>
      </c>
      <c r="O139" s="5" t="n">
        <v>122</v>
      </c>
      <c r="P139" s="62" t="n">
        <f aca="false">IF((Arterial=0),P138+1,P138)</f>
        <v>61</v>
      </c>
      <c r="Q139" s="62" t="n">
        <f aca="false">IF((Arterial=1),Q138+1,Q138)</f>
        <v>61</v>
      </c>
      <c r="R139" s="63" t="e">
        <f aca="false">IF((RESET=1),0,R139+K139)</f>
        <v>#N/A</v>
      </c>
      <c r="S139" s="10" t="n">
        <f aca="false">IF(RESET=1,0,S139+N139)</f>
        <v>407.115574749909</v>
      </c>
      <c r="T139" s="0" t="e">
        <f aca="false">IF(RESET=1,0,T139+IF(H139=0,1,0))</f>
        <v>#N/A</v>
      </c>
      <c r="U139" s="0" t="n">
        <f aca="false">IF(RESET=1,0,U139+H139)</f>
        <v>31</v>
      </c>
      <c r="V139" s="10" t="e">
        <f aca="false">R139/(T139+0.00001)</f>
        <v>#N/A</v>
      </c>
      <c r="W139" s="10" t="n">
        <f aca="false">S139/(U139+0.0001)</f>
        <v>13.1327181121967</v>
      </c>
      <c r="X139" s="60" t="n">
        <f aca="false">IF(Informed=1,K139,0)</f>
        <v>0</v>
      </c>
      <c r="Y139" s="60" t="n">
        <f aca="false">IF(Informed=0,K139,0)</f>
        <v>8.66939955882495</v>
      </c>
      <c r="Z139" s="60" t="n">
        <f aca="false">IF(Informed=1,N139,0)</f>
        <v>0</v>
      </c>
      <c r="AA139" s="60" t="n">
        <f aca="false">IF(Informed=0,N139,0)</f>
        <v>0</v>
      </c>
      <c r="AB139" s="64" t="n">
        <f aca="false">IF(Arterial=0,IF(Informed=1,1,0),0)</f>
        <v>0</v>
      </c>
      <c r="AC139" s="64" t="n">
        <f aca="false">IF(Arterial=0,IF(Informed=0,1,0),0)</f>
        <v>1</v>
      </c>
      <c r="AD139" s="64" t="n">
        <f aca="false">IF(Arterial=1,IF(Informed=1,1,0),0)</f>
        <v>0</v>
      </c>
      <c r="AE139" s="64" t="n">
        <f aca="false">IF(Arterial=1,IF(Informed=0,1,0),0)</f>
        <v>0</v>
      </c>
      <c r="AF139" s="57" t="n">
        <f aca="false">IF(AB139=1,(X139-G$1030)^2,0)</f>
        <v>0</v>
      </c>
      <c r="AG139" s="57" t="n">
        <f aca="false">IF(AC139=1,(Y139-H$1030)^2,0)</f>
        <v>75.1584887105542</v>
      </c>
      <c r="AH139" s="57" t="n">
        <f aca="false">IF(AD139=1,(Z139-I$1030)^2,0)</f>
        <v>0</v>
      </c>
      <c r="AI139" s="57" t="n">
        <f aca="false">IF(AE139=1,(AA139-J$1030)^2,0)</f>
        <v>0</v>
      </c>
    </row>
    <row r="140" customFormat="false" ht="12" hidden="false" customHeight="false" outlineLevel="0" collapsed="false">
      <c r="A140" s="5" t="n">
        <v>123</v>
      </c>
      <c r="B140" s="58" t="n">
        <f aca="true">IF(RAND()&lt;$D$8,1,0)</f>
        <v>1</v>
      </c>
      <c r="C140" s="47" t="n">
        <f aca="true">-LN(RAND())/$D$2</f>
        <v>0.427588099020704</v>
      </c>
      <c r="D140" s="59" t="n">
        <f aca="false">D139+C140</f>
        <v>120.470517781573</v>
      </c>
      <c r="E140" s="60" t="n">
        <f aca="false">MAX($D$3,(1+P139-VLOOKUP(VALUE(D140),$J$18:$Q139,7,TRUE()))*$D$3)</f>
        <v>12</v>
      </c>
      <c r="F140" s="60" t="n">
        <f aca="false">MAX($D$4,(1+Q139-VLOOKUP(VALUE(D140),$M$18:$Q139,5,TRUE()))*$D$4)</f>
        <v>10</v>
      </c>
      <c r="G140" s="61" t="n">
        <v>0.5</v>
      </c>
      <c r="H140" s="59" t="n">
        <f aca="true">IF((B140=1),(IF((F140&lt;E140),1,(IF((F140=E140),(IF(RAND()&lt;G140,1,0)),0)))),(IF((RAND()&lt;G140),1,0)))</f>
        <v>1</v>
      </c>
      <c r="I140" s="59" t="n">
        <f aca="true">IF((H140=1),0,$D$3+$D$5*(RAND()-0.5))</f>
        <v>0</v>
      </c>
      <c r="J140" s="59" t="n">
        <f aca="false">I140+MAX(D140,J139)</f>
        <v>128.712329241378</v>
      </c>
      <c r="K140" s="59" t="n">
        <f aca="false">IF((H140=0),J140-D140,0)</f>
        <v>0</v>
      </c>
      <c r="L140" s="59" t="n">
        <f aca="true">IF(($H140=0),0,$D$4+$D$5*(RAND()-0.5))</f>
        <v>2.08267583652044</v>
      </c>
      <c r="M140" s="59" t="n">
        <f aca="false">L140+MAX(D140,M139)</f>
        <v>129.531945696668</v>
      </c>
      <c r="N140" s="59" t="n">
        <f aca="false">IF((H140=1),M140-D140,0)</f>
        <v>9.0614279150949</v>
      </c>
      <c r="O140" s="5" t="n">
        <v>123</v>
      </c>
      <c r="P140" s="62" t="n">
        <f aca="false">IF((Arterial=0),P139+1,P139)</f>
        <v>61</v>
      </c>
      <c r="Q140" s="62" t="n">
        <f aca="false">IF((Arterial=1),Q139+1,Q139)</f>
        <v>62</v>
      </c>
      <c r="R140" s="63" t="n">
        <f aca="false">IF((RESET=1),0,R140+K140)</f>
        <v>411.861065787348</v>
      </c>
      <c r="S140" s="10" t="e">
        <f aca="false">IF(RESET=1,0,S140+N140)</f>
        <v>#N/A</v>
      </c>
      <c r="T140" s="0" t="n">
        <f aca="false">IF(RESET=1,0,T140+IF(H140=0,1,0))</f>
        <v>29</v>
      </c>
      <c r="U140" s="0" t="e">
        <f aca="false">IF(RESET=1,0,U140+H140)</f>
        <v>#N/A</v>
      </c>
      <c r="V140" s="10" t="n">
        <f aca="false">R140/(T140+0.00001)</f>
        <v>14.202100819529</v>
      </c>
      <c r="W140" s="10" t="e">
        <f aca="false">S140/(U140+0.0001)</f>
        <v>#N/A</v>
      </c>
      <c r="X140" s="60" t="n">
        <f aca="false">IF(Informed=1,K140,0)</f>
        <v>0</v>
      </c>
      <c r="Y140" s="60" t="n">
        <f aca="false">IF(Informed=0,K140,0)</f>
        <v>0</v>
      </c>
      <c r="Z140" s="60" t="n">
        <f aca="false">IF(Informed=1,N140,0)</f>
        <v>9.0614279150949</v>
      </c>
      <c r="AA140" s="60" t="n">
        <f aca="false">IF(Informed=0,N140,0)</f>
        <v>0</v>
      </c>
      <c r="AB140" s="64" t="n">
        <f aca="false">IF(Arterial=0,IF(Informed=1,1,0),0)</f>
        <v>0</v>
      </c>
      <c r="AC140" s="64" t="n">
        <f aca="false">IF(Arterial=0,IF(Informed=0,1,0),0)</f>
        <v>0</v>
      </c>
      <c r="AD140" s="64" t="n">
        <f aca="false">IF(Arterial=1,IF(Informed=1,1,0),0)</f>
        <v>1</v>
      </c>
      <c r="AE140" s="64" t="n">
        <f aca="false">IF(Arterial=1,IF(Informed=0,1,0),0)</f>
        <v>0</v>
      </c>
      <c r="AF140" s="57" t="n">
        <f aca="false">IF(AB140=1,(X140-G$1030)^2,0)</f>
        <v>0</v>
      </c>
      <c r="AG140" s="57" t="n">
        <f aca="false">IF(AC140=1,(Y140-H$1030)^2,0)</f>
        <v>0</v>
      </c>
      <c r="AH140" s="57" t="n">
        <f aca="false">IF(AD140=1,(Z140-I$1030)^2,0)</f>
        <v>82.109475860461</v>
      </c>
      <c r="AI140" s="57" t="n">
        <f aca="false">IF(AE140=1,(AA140-J$1030)^2,0)</f>
        <v>0</v>
      </c>
    </row>
    <row r="141" customFormat="false" ht="12" hidden="false" customHeight="false" outlineLevel="0" collapsed="false">
      <c r="A141" s="5" t="n">
        <v>124</v>
      </c>
      <c r="B141" s="58" t="n">
        <f aca="true">IF(RAND()&lt;$D$8,1,0)</f>
        <v>0</v>
      </c>
      <c r="C141" s="47" t="n">
        <f aca="true">-LN(RAND())/$D$2</f>
        <v>0.149028853957536</v>
      </c>
      <c r="D141" s="59" t="n">
        <f aca="false">D140+C141</f>
        <v>120.619546635531</v>
      </c>
      <c r="E141" s="60" t="n">
        <f aca="false">MAX($D$3,(1+P140-VLOOKUP(VALUE(D141),$J$18:$Q140,7,TRUE()))*$D$3)</f>
        <v>12</v>
      </c>
      <c r="F141" s="60" t="n">
        <f aca="false">MAX($D$4,(1+Q140-VLOOKUP(VALUE(D141),$M$18:$Q140,5,TRUE()))*$D$4)</f>
        <v>12</v>
      </c>
      <c r="G141" s="61" t="n">
        <v>0.5</v>
      </c>
      <c r="H141" s="59" t="n">
        <f aca="true">IF((B141=1),(IF((F141&lt;E141),1,(IF((F141=E141),(IF(RAND()&lt;G141,1,0)),0)))),(IF((RAND()&lt;G141),1,0)))</f>
        <v>0</v>
      </c>
      <c r="I141" s="59" t="n">
        <f aca="true">IF((H141=1),0,$D$3+$D$5*(RAND()-0.5))</f>
        <v>1.87699234356884</v>
      </c>
      <c r="J141" s="59" t="n">
        <f aca="false">I141+MAX(D141,J140)</f>
        <v>130.589321584946</v>
      </c>
      <c r="K141" s="59" t="n">
        <f aca="false">IF((H141=0),J141-D141,0)</f>
        <v>9.96977494941555</v>
      </c>
      <c r="L141" s="59" t="n">
        <f aca="true">IF(($H141=0),0,$D$4+$D$5*(RAND()-0.5))</f>
        <v>0</v>
      </c>
      <c r="M141" s="59" t="n">
        <f aca="false">L141+MAX(D141,M140)</f>
        <v>129.531945696668</v>
      </c>
      <c r="N141" s="59" t="n">
        <f aca="false">IF((H141=1),M141-D141,0)</f>
        <v>0</v>
      </c>
      <c r="O141" s="5" t="n">
        <v>124</v>
      </c>
      <c r="P141" s="62" t="n">
        <f aca="false">IF((Arterial=0),P140+1,P140)</f>
        <v>62</v>
      </c>
      <c r="Q141" s="62" t="n">
        <f aca="false">IF((Arterial=1),Q140+1,Q140)</f>
        <v>62</v>
      </c>
      <c r="R141" s="63" t="e">
        <f aca="false">IF((RESET=1),0,R141+K141)</f>
        <v>#N/A</v>
      </c>
      <c r="S141" s="10" t="n">
        <f aca="false">IF(RESET=1,0,S141+N141)</f>
        <v>381.654147774831</v>
      </c>
      <c r="T141" s="0" t="e">
        <f aca="false">IF(RESET=1,0,T141+IF(H141=0,1,0))</f>
        <v>#N/A</v>
      </c>
      <c r="U141" s="0" t="n">
        <f aca="false">IF(RESET=1,0,U141+H141)</f>
        <v>28</v>
      </c>
      <c r="V141" s="10" t="e">
        <f aca="false">R141/(T141+0.00001)</f>
        <v>#N/A</v>
      </c>
      <c r="W141" s="10" t="n">
        <f aca="false">S141/(U141+0.0001)</f>
        <v>13.6304565974704</v>
      </c>
      <c r="X141" s="60" t="n">
        <f aca="false">IF(Informed=1,K141,0)</f>
        <v>0</v>
      </c>
      <c r="Y141" s="60" t="n">
        <f aca="false">IF(Informed=0,K141,0)</f>
        <v>9.96977494941555</v>
      </c>
      <c r="Z141" s="60" t="n">
        <f aca="false">IF(Informed=1,N141,0)</f>
        <v>0</v>
      </c>
      <c r="AA141" s="60" t="n">
        <f aca="false">IF(Informed=0,N141,0)</f>
        <v>0</v>
      </c>
      <c r="AB141" s="64" t="n">
        <f aca="false">IF(Arterial=0,IF(Informed=1,1,0),0)</f>
        <v>0</v>
      </c>
      <c r="AC141" s="64" t="n">
        <f aca="false">IF(Arterial=0,IF(Informed=0,1,0),0)</f>
        <v>1</v>
      </c>
      <c r="AD141" s="64" t="n">
        <f aca="false">IF(Arterial=1,IF(Informed=1,1,0),0)</f>
        <v>0</v>
      </c>
      <c r="AE141" s="64" t="n">
        <f aca="false">IF(Arterial=1,IF(Informed=0,1,0),0)</f>
        <v>0</v>
      </c>
      <c r="AF141" s="57" t="n">
        <f aca="false">IF(AB141=1,(X141-G$1030)^2,0)</f>
        <v>0</v>
      </c>
      <c r="AG141" s="57" t="n">
        <f aca="false">IF(AC141=1,(Y141-H$1030)^2,0)</f>
        <v>99.3964125419939</v>
      </c>
      <c r="AH141" s="57" t="n">
        <f aca="false">IF(AD141=1,(Z141-I$1030)^2,0)</f>
        <v>0</v>
      </c>
      <c r="AI141" s="57" t="n">
        <f aca="false">IF(AE141=1,(AA141-J$1030)^2,0)</f>
        <v>0</v>
      </c>
    </row>
    <row r="142" customFormat="false" ht="12" hidden="false" customHeight="false" outlineLevel="0" collapsed="false">
      <c r="A142" s="5" t="n">
        <v>125</v>
      </c>
      <c r="B142" s="58" t="n">
        <f aca="true">IF(RAND()&lt;$D$8,1,0)</f>
        <v>0</v>
      </c>
      <c r="C142" s="47" t="n">
        <f aca="true">-LN(RAND())/$D$2</f>
        <v>0.723438153507379</v>
      </c>
      <c r="D142" s="59" t="n">
        <f aca="false">D141+C142</f>
        <v>121.342984789038</v>
      </c>
      <c r="E142" s="60" t="n">
        <f aca="false">MAX($D$3,(1+P141-VLOOKUP(VALUE(D142),$J$18:$Q141,7,TRUE()))*$D$3)</f>
        <v>12</v>
      </c>
      <c r="F142" s="60" t="n">
        <f aca="false">MAX($D$4,(1+Q141-VLOOKUP(VALUE(D142),$M$18:$Q141,5,TRUE()))*$D$4)</f>
        <v>12</v>
      </c>
      <c r="G142" s="61" t="n">
        <v>0.5</v>
      </c>
      <c r="H142" s="59" t="n">
        <f aca="true">IF((B142=1),(IF((F142&lt;E142),1,(IF((F142=E142),(IF(RAND()&lt;G142,1,0)),0)))),(IF((RAND()&lt;G142),1,0)))</f>
        <v>1</v>
      </c>
      <c r="I142" s="59" t="n">
        <f aca="true">IF((H142=1),0,$D$3+$D$5*(RAND()-0.5))</f>
        <v>0</v>
      </c>
      <c r="J142" s="59" t="n">
        <f aca="false">I142+MAX(D142,J141)</f>
        <v>130.589321584946</v>
      </c>
      <c r="K142" s="59" t="n">
        <f aca="false">IF((H142=0),J142-D142,0)</f>
        <v>0</v>
      </c>
      <c r="L142" s="59" t="n">
        <f aca="true">IF(($H142=0),0,$D$4+$D$5*(RAND()-0.5))</f>
        <v>2.05093062177395</v>
      </c>
      <c r="M142" s="59" t="n">
        <f aca="false">L142+MAX(D142,M141)</f>
        <v>131.582876318442</v>
      </c>
      <c r="N142" s="59" t="n">
        <f aca="false">IF((H142=1),M142-D142,0)</f>
        <v>10.2398915294039</v>
      </c>
      <c r="O142" s="5" t="n">
        <v>125</v>
      </c>
      <c r="P142" s="62" t="n">
        <f aca="false">IF((Arterial=0),P141+1,P141)</f>
        <v>62</v>
      </c>
      <c r="Q142" s="62" t="n">
        <f aca="false">IF((Arterial=1),Q141+1,Q141)</f>
        <v>63</v>
      </c>
      <c r="R142" s="63" t="n">
        <f aca="false">IF((RESET=1),0,R142+K142)</f>
        <v>443.063994448037</v>
      </c>
      <c r="S142" s="10" t="e">
        <f aca="false">IF(RESET=1,0,S142+N142)</f>
        <v>#N/A</v>
      </c>
      <c r="T142" s="0" t="n">
        <f aca="false">IF(RESET=1,0,T142+IF(H142=0,1,0))</f>
        <v>35</v>
      </c>
      <c r="U142" s="0" t="e">
        <f aca="false">IF(RESET=1,0,U142+H142)</f>
        <v>#N/A</v>
      </c>
      <c r="V142" s="10" t="n">
        <f aca="false">R142/(T142+0.00001)</f>
        <v>12.658967653096</v>
      </c>
      <c r="W142" s="10" t="e">
        <f aca="false">S142/(U142+0.0001)</f>
        <v>#N/A</v>
      </c>
      <c r="X142" s="60" t="n">
        <f aca="false">IF(Informed=1,K142,0)</f>
        <v>0</v>
      </c>
      <c r="Y142" s="60" t="n">
        <f aca="false">IF(Informed=0,K142,0)</f>
        <v>0</v>
      </c>
      <c r="Z142" s="60" t="n">
        <f aca="false">IF(Informed=1,N142,0)</f>
        <v>0</v>
      </c>
      <c r="AA142" s="60" t="n">
        <f aca="false">IF(Informed=0,N142,0)</f>
        <v>10.2398915294039</v>
      </c>
      <c r="AB142" s="64" t="n">
        <f aca="false">IF(Arterial=0,IF(Informed=1,1,0),0)</f>
        <v>0</v>
      </c>
      <c r="AC142" s="64" t="n">
        <f aca="false">IF(Arterial=0,IF(Informed=0,1,0),0)</f>
        <v>0</v>
      </c>
      <c r="AD142" s="64" t="n">
        <f aca="false">IF(Arterial=1,IF(Informed=1,1,0),0)</f>
        <v>0</v>
      </c>
      <c r="AE142" s="64" t="n">
        <f aca="false">IF(Arterial=1,IF(Informed=0,1,0),0)</f>
        <v>1</v>
      </c>
      <c r="AF142" s="57" t="n">
        <f aca="false">IF(AB142=1,(X142-G$1030)^2,0)</f>
        <v>0</v>
      </c>
      <c r="AG142" s="57" t="n">
        <f aca="false">IF(AC142=1,(Y142-H$1030)^2,0)</f>
        <v>0</v>
      </c>
      <c r="AH142" s="57" t="n">
        <f aca="false">IF(AD142=1,(Z142-I$1030)^2,0)</f>
        <v>0</v>
      </c>
      <c r="AI142" s="57" t="n">
        <f aca="false">IF(AE142=1,(AA142-J$1030)^2,0)</f>
        <v>104.855378533958</v>
      </c>
    </row>
    <row r="143" customFormat="false" ht="12" hidden="false" customHeight="false" outlineLevel="0" collapsed="false">
      <c r="A143" s="5" t="n">
        <v>126</v>
      </c>
      <c r="B143" s="58" t="n">
        <f aca="true">IF(RAND()&lt;$D$8,1,0)</f>
        <v>1</v>
      </c>
      <c r="C143" s="47" t="n">
        <f aca="true">-LN(RAND())/$D$2</f>
        <v>1.7886924064111</v>
      </c>
      <c r="D143" s="59" t="n">
        <f aca="false">D142+C143</f>
        <v>123.131677195449</v>
      </c>
      <c r="E143" s="60" t="n">
        <f aca="false">MAX($D$3,(1+P142-VLOOKUP(VALUE(D143),$J$18:$Q142,7,TRUE()))*$D$3)</f>
        <v>10</v>
      </c>
      <c r="F143" s="60" t="n">
        <f aca="false">MAX($D$4,(1+Q142-VLOOKUP(VALUE(D143),$M$18:$Q142,5,TRUE()))*$D$4)</f>
        <v>12</v>
      </c>
      <c r="G143" s="61" t="n">
        <v>0.5</v>
      </c>
      <c r="H143" s="59" t="n">
        <f aca="true">IF((B143=1),(IF((F143&lt;E143),1,(IF((F143=E143),(IF(RAND()&lt;G143,1,0)),0)))),(IF((RAND()&lt;G143),1,0)))</f>
        <v>0</v>
      </c>
      <c r="I143" s="59" t="n">
        <f aca="true">IF((H143=1),0,$D$3+$D$5*(RAND()-0.5))</f>
        <v>1.91869190343822</v>
      </c>
      <c r="J143" s="59" t="n">
        <f aca="false">I143+MAX(D143,J142)</f>
        <v>132.508013488385</v>
      </c>
      <c r="K143" s="59" t="n">
        <f aca="false">IF((H143=0),J143-D143,0)</f>
        <v>9.37633629293531</v>
      </c>
      <c r="L143" s="59" t="n">
        <f aca="true">IF(($H143=0),0,$D$4+$D$5*(RAND()-0.5))</f>
        <v>0</v>
      </c>
      <c r="M143" s="59" t="n">
        <f aca="false">L143+MAX(D143,M142)</f>
        <v>131.582876318442</v>
      </c>
      <c r="N143" s="59" t="n">
        <f aca="false">IF((H143=1),M143-D143,0)</f>
        <v>0</v>
      </c>
      <c r="O143" s="5" t="n">
        <v>126</v>
      </c>
      <c r="P143" s="62" t="n">
        <f aca="false">IF((Arterial=0),P142+1,P142)</f>
        <v>63</v>
      </c>
      <c r="Q143" s="62" t="n">
        <f aca="false">IF((Arterial=1),Q142+1,Q142)</f>
        <v>63</v>
      </c>
      <c r="R143" s="63" t="e">
        <f aca="false">IF((RESET=1),0,R143+K143)</f>
        <v>#N/A</v>
      </c>
      <c r="S143" s="10" t="n">
        <f aca="false">IF(RESET=1,0,S143+N143)</f>
        <v>434.343190649803</v>
      </c>
      <c r="T143" s="0" t="e">
        <f aca="false">IF(RESET=1,0,T143+IF(H143=0,1,0))</f>
        <v>#N/A</v>
      </c>
      <c r="U143" s="0" t="n">
        <f aca="false">IF(RESET=1,0,U143+H143)</f>
        <v>31</v>
      </c>
      <c r="V143" s="10" t="e">
        <f aca="false">R143/(T143+0.00001)</f>
        <v>#N/A</v>
      </c>
      <c r="W143" s="10" t="n">
        <f aca="false">S143/(U143+0.0001)</f>
        <v>14.0110254692663</v>
      </c>
      <c r="X143" s="60" t="n">
        <f aca="false">IF(Informed=1,K143,0)</f>
        <v>9.37633629293531</v>
      </c>
      <c r="Y143" s="60" t="n">
        <f aca="false">IF(Informed=0,K143,0)</f>
        <v>0</v>
      </c>
      <c r="Z143" s="60" t="n">
        <f aca="false">IF(Informed=1,N143,0)</f>
        <v>0</v>
      </c>
      <c r="AA143" s="60" t="n">
        <f aca="false">IF(Informed=0,N143,0)</f>
        <v>0</v>
      </c>
      <c r="AB143" s="64" t="n">
        <f aca="false">IF(Arterial=0,IF(Informed=1,1,0),0)</f>
        <v>1</v>
      </c>
      <c r="AC143" s="64" t="n">
        <f aca="false">IF(Arterial=0,IF(Informed=0,1,0),0)</f>
        <v>0</v>
      </c>
      <c r="AD143" s="64" t="n">
        <f aca="false">IF(Arterial=1,IF(Informed=1,1,0),0)</f>
        <v>0</v>
      </c>
      <c r="AE143" s="64" t="n">
        <f aca="false">IF(Arterial=1,IF(Informed=0,1,0),0)</f>
        <v>0</v>
      </c>
      <c r="AF143" s="57" t="n">
        <f aca="false">IF(AB143=1,(X143-G$1030)^2,0)</f>
        <v>87.9156822782158</v>
      </c>
      <c r="AG143" s="57" t="n">
        <f aca="false">IF(AC143=1,(Y143-H$1030)^2,0)</f>
        <v>0</v>
      </c>
      <c r="AH143" s="57" t="n">
        <f aca="false">IF(AD143=1,(Z143-I$1030)^2,0)</f>
        <v>0</v>
      </c>
      <c r="AI143" s="57" t="n">
        <f aca="false">IF(AE143=1,(AA143-J$1030)^2,0)</f>
        <v>0</v>
      </c>
    </row>
    <row r="144" customFormat="false" ht="12" hidden="false" customHeight="false" outlineLevel="0" collapsed="false">
      <c r="A144" s="5" t="n">
        <v>127</v>
      </c>
      <c r="B144" s="58" t="n">
        <f aca="true">IF(RAND()&lt;$D$8,1,0)</f>
        <v>1</v>
      </c>
      <c r="C144" s="47" t="n">
        <f aca="true">-LN(RAND())/$D$2</f>
        <v>0.614390144305896</v>
      </c>
      <c r="D144" s="59" t="n">
        <f aca="false">D143+C144</f>
        <v>123.746067339755</v>
      </c>
      <c r="E144" s="60" t="n">
        <f aca="false">MAX($D$3,(1+P143-VLOOKUP(VALUE(D144),$J$18:$Q143,7,TRUE()))*$D$3)</f>
        <v>12</v>
      </c>
      <c r="F144" s="60" t="n">
        <f aca="false">MAX($D$4,(1+Q143-VLOOKUP(VALUE(D144),$M$18:$Q143,5,TRUE()))*$D$4)</f>
        <v>12</v>
      </c>
      <c r="G144" s="61" t="n">
        <v>0.5</v>
      </c>
      <c r="H144" s="59" t="n">
        <f aca="true">IF((B144=1),(IF((F144&lt;E144),1,(IF((F144=E144),(IF(RAND()&lt;G144,1,0)),0)))),(IF((RAND()&lt;G144),1,0)))</f>
        <v>0</v>
      </c>
      <c r="I144" s="59" t="n">
        <f aca="true">IF((H144=1),0,$D$3+$D$5*(RAND()-0.5))</f>
        <v>1.75020555973708</v>
      </c>
      <c r="J144" s="59" t="n">
        <f aca="false">I144+MAX(D144,J143)</f>
        <v>134.258219048122</v>
      </c>
      <c r="K144" s="59" t="n">
        <f aca="false">IF((H144=0),J144-D144,0)</f>
        <v>10.5121517083665</v>
      </c>
      <c r="L144" s="59" t="n">
        <f aca="true">IF(($H144=0),0,$D$4+$D$5*(RAND()-0.5))</f>
        <v>0</v>
      </c>
      <c r="M144" s="59" t="n">
        <f aca="false">L144+MAX(D144,M143)</f>
        <v>131.582876318442</v>
      </c>
      <c r="N144" s="59" t="n">
        <f aca="false">IF((H144=1),M144-D144,0)</f>
        <v>0</v>
      </c>
      <c r="O144" s="5" t="n">
        <v>127</v>
      </c>
      <c r="P144" s="62" t="n">
        <f aca="false">IF((Arterial=0),P143+1,P143)</f>
        <v>64</v>
      </c>
      <c r="Q144" s="62" t="n">
        <f aca="false">IF((Arterial=1),Q143+1,Q143)</f>
        <v>63</v>
      </c>
      <c r="R144" s="63" t="e">
        <f aca="false">IF((RESET=1),0,R144+K144)</f>
        <v>#N/A</v>
      </c>
      <c r="S144" s="10" t="n">
        <f aca="false">IF(RESET=1,0,S144+N144)</f>
        <v>374.458956611696</v>
      </c>
      <c r="T144" s="0" t="e">
        <f aca="false">IF(RESET=1,0,T144+IF(H144=0,1,0))</f>
        <v>#N/A</v>
      </c>
      <c r="U144" s="0" t="n">
        <f aca="false">IF(RESET=1,0,U144+H144)</f>
        <v>30</v>
      </c>
      <c r="V144" s="10" t="e">
        <f aca="false">R144/(T144+0.00001)</f>
        <v>#N/A</v>
      </c>
      <c r="W144" s="10" t="n">
        <f aca="false">S144/(U144+0.0001)</f>
        <v>12.4819236139778</v>
      </c>
      <c r="X144" s="60" t="n">
        <f aca="false">IF(Informed=1,K144,0)</f>
        <v>10.5121517083665</v>
      </c>
      <c r="Y144" s="60" t="n">
        <f aca="false">IF(Informed=0,K144,0)</f>
        <v>0</v>
      </c>
      <c r="Z144" s="60" t="n">
        <f aca="false">IF(Informed=1,N144,0)</f>
        <v>0</v>
      </c>
      <c r="AA144" s="60" t="n">
        <f aca="false">IF(Informed=0,N144,0)</f>
        <v>0</v>
      </c>
      <c r="AB144" s="64" t="n">
        <f aca="false">IF(Arterial=0,IF(Informed=1,1,0),0)</f>
        <v>1</v>
      </c>
      <c r="AC144" s="64" t="n">
        <f aca="false">IF(Arterial=0,IF(Informed=0,1,0),0)</f>
        <v>0</v>
      </c>
      <c r="AD144" s="64" t="n">
        <f aca="false">IF(Arterial=1,IF(Informed=1,1,0),0)</f>
        <v>0</v>
      </c>
      <c r="AE144" s="64" t="n">
        <f aca="false">IF(Arterial=1,IF(Informed=0,1,0),0)</f>
        <v>0</v>
      </c>
      <c r="AF144" s="57" t="n">
        <f aca="false">IF(AB144=1,(X144-G$1030)^2,0)</f>
        <v>110.505333539712</v>
      </c>
      <c r="AG144" s="57" t="n">
        <f aca="false">IF(AC144=1,(Y144-H$1030)^2,0)</f>
        <v>0</v>
      </c>
      <c r="AH144" s="57" t="n">
        <f aca="false">IF(AD144=1,(Z144-I$1030)^2,0)</f>
        <v>0</v>
      </c>
      <c r="AI144" s="57" t="n">
        <f aca="false">IF(AE144=1,(AA144-J$1030)^2,0)</f>
        <v>0</v>
      </c>
    </row>
    <row r="145" customFormat="false" ht="12" hidden="false" customHeight="false" outlineLevel="0" collapsed="false">
      <c r="A145" s="5" t="n">
        <v>128</v>
      </c>
      <c r="B145" s="58" t="n">
        <f aca="true">IF(RAND()&lt;$D$8,1,0)</f>
        <v>0</v>
      </c>
      <c r="C145" s="47" t="n">
        <f aca="true">-LN(RAND())/$D$2</f>
        <v>1.20634087979863</v>
      </c>
      <c r="D145" s="59" t="n">
        <f aca="false">D144+C145</f>
        <v>124.952408219554</v>
      </c>
      <c r="E145" s="60" t="n">
        <f aca="false">MAX($D$3,(1+P144-VLOOKUP(VALUE(D145),$J$18:$Q144,7,TRUE()))*$D$3)</f>
        <v>12</v>
      </c>
      <c r="F145" s="60" t="n">
        <f aca="false">MAX($D$4,(1+Q144-VLOOKUP(VALUE(D145),$M$18:$Q144,5,TRUE()))*$D$4)</f>
        <v>10</v>
      </c>
      <c r="G145" s="61" t="n">
        <v>0.5</v>
      </c>
      <c r="H145" s="59" t="n">
        <f aca="true">IF((B145=1),(IF((F145&lt;E145),1,(IF((F145=E145),(IF(RAND()&lt;G145,1,0)),0)))),(IF((RAND()&lt;G145),1,0)))</f>
        <v>1</v>
      </c>
      <c r="I145" s="59" t="n">
        <f aca="true">IF((H145=1),0,$D$3+$D$5*(RAND()-0.5))</f>
        <v>0</v>
      </c>
      <c r="J145" s="59" t="n">
        <f aca="false">I145+MAX(D145,J144)</f>
        <v>134.258219048122</v>
      </c>
      <c r="K145" s="59" t="n">
        <f aca="false">IF((H145=0),J145-D145,0)</f>
        <v>0</v>
      </c>
      <c r="L145" s="59" t="n">
        <f aca="true">IF(($H145=0),0,$D$4+$D$5*(RAND()-0.5))</f>
        <v>1.99072788982689</v>
      </c>
      <c r="M145" s="59" t="n">
        <f aca="false">L145+MAX(D145,M144)</f>
        <v>133.573604208269</v>
      </c>
      <c r="N145" s="59" t="n">
        <f aca="false">IF((H145=1),M145-D145,0)</f>
        <v>8.6211959887152</v>
      </c>
      <c r="O145" s="5" t="n">
        <v>128</v>
      </c>
      <c r="P145" s="62" t="n">
        <f aca="false">IF((Arterial=0),P144+1,P144)</f>
        <v>64</v>
      </c>
      <c r="Q145" s="62" t="n">
        <f aca="false">IF((Arterial=1),Q144+1,Q144)</f>
        <v>64</v>
      </c>
      <c r="R145" s="63" t="n">
        <f aca="false">IF((RESET=1),0,R145+K145)</f>
        <v>332.54552543602</v>
      </c>
      <c r="S145" s="10" t="e">
        <f aca="false">IF(RESET=1,0,S145+N145)</f>
        <v>#N/A</v>
      </c>
      <c r="T145" s="0" t="n">
        <f aca="false">IF(RESET=1,0,T145+IF(H145=0,1,0))</f>
        <v>23</v>
      </c>
      <c r="U145" s="0" t="e">
        <f aca="false">IF(RESET=1,0,U145+H145)</f>
        <v>#N/A</v>
      </c>
      <c r="V145" s="10" t="n">
        <f aca="false">R145/(T145+0.00001)</f>
        <v>14.4584948196118</v>
      </c>
      <c r="W145" s="10" t="e">
        <f aca="false">S145/(U145+0.0001)</f>
        <v>#N/A</v>
      </c>
      <c r="X145" s="60" t="n">
        <f aca="false">IF(Informed=1,K145,0)</f>
        <v>0</v>
      </c>
      <c r="Y145" s="60" t="n">
        <f aca="false">IF(Informed=0,K145,0)</f>
        <v>0</v>
      </c>
      <c r="Z145" s="60" t="n">
        <f aca="false">IF(Informed=1,N145,0)</f>
        <v>0</v>
      </c>
      <c r="AA145" s="60" t="n">
        <f aca="false">IF(Informed=0,N145,0)</f>
        <v>8.6211959887152</v>
      </c>
      <c r="AB145" s="64" t="n">
        <f aca="false">IF(Arterial=0,IF(Informed=1,1,0),0)</f>
        <v>0</v>
      </c>
      <c r="AC145" s="64" t="n">
        <f aca="false">IF(Arterial=0,IF(Informed=0,1,0),0)</f>
        <v>0</v>
      </c>
      <c r="AD145" s="64" t="n">
        <f aca="false">IF(Arterial=1,IF(Informed=1,1,0),0)</f>
        <v>0</v>
      </c>
      <c r="AE145" s="64" t="n">
        <f aca="false">IF(Arterial=1,IF(Informed=0,1,0),0)</f>
        <v>1</v>
      </c>
      <c r="AF145" s="57" t="n">
        <f aca="false">IF(AB145=1,(X145-G$1030)^2,0)</f>
        <v>0</v>
      </c>
      <c r="AG145" s="57" t="n">
        <f aca="false">IF(AC145=1,(Y145-H$1030)^2,0)</f>
        <v>0</v>
      </c>
      <c r="AH145" s="57" t="n">
        <f aca="false">IF(AD145=1,(Z145-I$1030)^2,0)</f>
        <v>0</v>
      </c>
      <c r="AI145" s="57" t="n">
        <f aca="false">IF(AE145=1,(AA145-J$1030)^2,0)</f>
        <v>74.3250202758391</v>
      </c>
    </row>
    <row r="146" customFormat="false" ht="12" hidden="false" customHeight="false" outlineLevel="0" collapsed="false">
      <c r="A146" s="5" t="n">
        <v>129</v>
      </c>
      <c r="B146" s="58" t="n">
        <f aca="true">IF(RAND()&lt;$D$8,1,0)</f>
        <v>0</v>
      </c>
      <c r="C146" s="47" t="n">
        <f aca="true">-LN(RAND())/$D$2</f>
        <v>2.74895748772668</v>
      </c>
      <c r="D146" s="59" t="n">
        <f aca="false">D145+C146</f>
        <v>127.701365707281</v>
      </c>
      <c r="E146" s="60" t="n">
        <f aca="false">MAX($D$3,(1+P145-VLOOKUP(VALUE(D146),$J$18:$Q145,7,TRUE()))*$D$3)</f>
        <v>10</v>
      </c>
      <c r="F146" s="60" t="n">
        <f aca="false">MAX($D$4,(1+Q145-VLOOKUP(VALUE(D146),$M$18:$Q145,5,TRUE()))*$D$4)</f>
        <v>8</v>
      </c>
      <c r="G146" s="61" t="n">
        <v>0.5</v>
      </c>
      <c r="H146" s="59" t="n">
        <f aca="true">IF((B146=1),(IF((F146&lt;E146),1,(IF((F146=E146),(IF(RAND()&lt;G146,1,0)),0)))),(IF((RAND()&lt;G146),1,0)))</f>
        <v>1</v>
      </c>
      <c r="I146" s="59" t="n">
        <f aca="true">IF((H146=1),0,$D$3+$D$5*(RAND()-0.5))</f>
        <v>0</v>
      </c>
      <c r="J146" s="59" t="n">
        <f aca="false">I146+MAX(D146,J145)</f>
        <v>134.258219048122</v>
      </c>
      <c r="K146" s="59" t="n">
        <f aca="false">IF((H146=0),J146-D146,0)</f>
        <v>0</v>
      </c>
      <c r="L146" s="59" t="n">
        <f aca="true">IF(($H146=0),0,$D$4+$D$5*(RAND()-0.5))</f>
        <v>1.80985873865665</v>
      </c>
      <c r="M146" s="59" t="n">
        <f aca="false">L146+MAX(D146,M145)</f>
        <v>135.383462946926</v>
      </c>
      <c r="N146" s="59" t="n">
        <f aca="false">IF((H146=1),M146-D146,0)</f>
        <v>7.68209723964517</v>
      </c>
      <c r="O146" s="5" t="n">
        <v>129</v>
      </c>
      <c r="P146" s="62" t="n">
        <f aca="false">IF((Arterial=0),P145+1,P145)</f>
        <v>64</v>
      </c>
      <c r="Q146" s="62" t="n">
        <f aca="false">IF((Arterial=1),Q145+1,Q145)</f>
        <v>65</v>
      </c>
      <c r="R146" s="63" t="n">
        <f aca="false">IF((RESET=1),0,R146+K146)</f>
        <v>363.247722972038</v>
      </c>
      <c r="S146" s="10" t="e">
        <f aca="false">IF(RESET=1,0,S146+N146)</f>
        <v>#N/A</v>
      </c>
      <c r="T146" s="0" t="n">
        <f aca="false">IF(RESET=1,0,T146+IF(H146=0,1,0))</f>
        <v>29</v>
      </c>
      <c r="U146" s="0" t="e">
        <f aca="false">IF(RESET=1,0,U146+H146)</f>
        <v>#N/A</v>
      </c>
      <c r="V146" s="10" t="n">
        <f aca="false">R146/(T146+0.00001)</f>
        <v>12.5257792315257</v>
      </c>
      <c r="W146" s="10" t="e">
        <f aca="false">S146/(U146+0.0001)</f>
        <v>#N/A</v>
      </c>
      <c r="X146" s="60" t="n">
        <f aca="false">IF(Informed=1,K146,0)</f>
        <v>0</v>
      </c>
      <c r="Y146" s="60" t="n">
        <f aca="false">IF(Informed=0,K146,0)</f>
        <v>0</v>
      </c>
      <c r="Z146" s="60" t="n">
        <f aca="false">IF(Informed=1,N146,0)</f>
        <v>0</v>
      </c>
      <c r="AA146" s="60" t="n">
        <f aca="false">IF(Informed=0,N146,0)</f>
        <v>7.68209723964517</v>
      </c>
      <c r="AB146" s="64" t="n">
        <f aca="false">IF(Arterial=0,IF(Informed=1,1,0),0)</f>
        <v>0</v>
      </c>
      <c r="AC146" s="64" t="n">
        <f aca="false">IF(Arterial=0,IF(Informed=0,1,0),0)</f>
        <v>0</v>
      </c>
      <c r="AD146" s="64" t="n">
        <f aca="false">IF(Arterial=1,IF(Informed=1,1,0),0)</f>
        <v>0</v>
      </c>
      <c r="AE146" s="64" t="n">
        <f aca="false">IF(Arterial=1,IF(Informed=0,1,0),0)</f>
        <v>1</v>
      </c>
      <c r="AF146" s="57" t="n">
        <f aca="false">IF(AB146=1,(X146-G$1030)^2,0)</f>
        <v>0</v>
      </c>
      <c r="AG146" s="57" t="n">
        <f aca="false">IF(AC146=1,(Y146-H$1030)^2,0)</f>
        <v>0</v>
      </c>
      <c r="AH146" s="57" t="n">
        <f aca="false">IF(AD146=1,(Z146-I$1030)^2,0)</f>
        <v>0</v>
      </c>
      <c r="AI146" s="57" t="n">
        <f aca="false">IF(AE146=1,(AA146-J$1030)^2,0)</f>
        <v>59.014617999364</v>
      </c>
    </row>
    <row r="147" customFormat="false" ht="12" hidden="false" customHeight="false" outlineLevel="0" collapsed="false">
      <c r="A147" s="5" t="n">
        <v>130</v>
      </c>
      <c r="B147" s="58" t="n">
        <f aca="true">IF(RAND()&lt;$D$8,1,0)</f>
        <v>0</v>
      </c>
      <c r="C147" s="47" t="n">
        <f aca="true">-LN(RAND())/$D$2</f>
        <v>0.892095488180887</v>
      </c>
      <c r="D147" s="59" t="n">
        <f aca="false">D146+C147</f>
        <v>128.593461195461</v>
      </c>
      <c r="E147" s="60" t="n">
        <f aca="false">MAX($D$3,(1+P146-VLOOKUP(VALUE(D147),$J$18:$Q146,7,TRUE()))*$D$3)</f>
        <v>10</v>
      </c>
      <c r="F147" s="60" t="n">
        <f aca="false">MAX($D$4,(1+Q146-VLOOKUP(VALUE(D147),$M$18:$Q146,5,TRUE()))*$D$4)</f>
        <v>10</v>
      </c>
      <c r="G147" s="61" t="n">
        <v>0.5</v>
      </c>
      <c r="H147" s="59" t="n">
        <f aca="true">IF((B147=1),(IF((F147&lt;E147),1,(IF((F147=E147),(IF(RAND()&lt;G147,1,0)),0)))),(IF((RAND()&lt;G147),1,0)))</f>
        <v>0</v>
      </c>
      <c r="I147" s="59" t="n">
        <f aca="true">IF((H147=1),0,$D$3+$D$5*(RAND()-0.5))</f>
        <v>1.77826903099662</v>
      </c>
      <c r="J147" s="59" t="n">
        <f aca="false">I147+MAX(D147,J146)</f>
        <v>136.036488079118</v>
      </c>
      <c r="K147" s="59" t="n">
        <f aca="false">IF((H147=0),J147-D147,0)</f>
        <v>7.4430268836569</v>
      </c>
      <c r="L147" s="59" t="n">
        <f aca="true">IF(($H147=0),0,$D$4+$D$5*(RAND()-0.5))</f>
        <v>0</v>
      </c>
      <c r="M147" s="59" t="n">
        <f aca="false">L147+MAX(D147,M146)</f>
        <v>135.383462946926</v>
      </c>
      <c r="N147" s="59" t="n">
        <f aca="false">IF((H147=1),M147-D147,0)</f>
        <v>0</v>
      </c>
      <c r="O147" s="5" t="n">
        <v>130</v>
      </c>
      <c r="P147" s="62" t="n">
        <f aca="false">IF((Arterial=0),P146+1,P146)</f>
        <v>65</v>
      </c>
      <c r="Q147" s="62" t="n">
        <f aca="false">IF((Arterial=1),Q146+1,Q146)</f>
        <v>65</v>
      </c>
      <c r="R147" s="63" t="e">
        <f aca="false">IF((RESET=1),0,R147+K147)</f>
        <v>#N/A</v>
      </c>
      <c r="S147" s="10" t="n">
        <f aca="false">IF(RESET=1,0,S147+N147)</f>
        <v>335.655777197309</v>
      </c>
      <c r="T147" s="0" t="e">
        <f aca="false">IF(RESET=1,0,T147+IF(H147=0,1,0))</f>
        <v>#N/A</v>
      </c>
      <c r="U147" s="0" t="n">
        <f aca="false">IF(RESET=1,0,U147+H147)</f>
        <v>24</v>
      </c>
      <c r="V147" s="10" t="e">
        <f aca="false">R147/(T147+0.00001)</f>
        <v>#N/A</v>
      </c>
      <c r="W147" s="10" t="n">
        <f aca="false">S147/(U147+0.0001)</f>
        <v>13.9855991098916</v>
      </c>
      <c r="X147" s="60" t="n">
        <f aca="false">IF(Informed=1,K147,0)</f>
        <v>0</v>
      </c>
      <c r="Y147" s="60" t="n">
        <f aca="false">IF(Informed=0,K147,0)</f>
        <v>7.4430268836569</v>
      </c>
      <c r="Z147" s="60" t="n">
        <f aca="false">IF(Informed=1,N147,0)</f>
        <v>0</v>
      </c>
      <c r="AA147" s="60" t="n">
        <f aca="false">IF(Informed=0,N147,0)</f>
        <v>0</v>
      </c>
      <c r="AB147" s="64" t="n">
        <f aca="false">IF(Arterial=0,IF(Informed=1,1,0),0)</f>
        <v>0</v>
      </c>
      <c r="AC147" s="64" t="n">
        <f aca="false">IF(Arterial=0,IF(Informed=0,1,0),0)</f>
        <v>1</v>
      </c>
      <c r="AD147" s="64" t="n">
        <f aca="false">IF(Arterial=1,IF(Informed=1,1,0),0)</f>
        <v>0</v>
      </c>
      <c r="AE147" s="64" t="n">
        <f aca="false">IF(Arterial=1,IF(Informed=0,1,0),0)</f>
        <v>0</v>
      </c>
      <c r="AF147" s="57" t="n">
        <f aca="false">IF(AB147=1,(X147-G$1030)^2,0)</f>
        <v>0</v>
      </c>
      <c r="AG147" s="57" t="n">
        <f aca="false">IF(AC147=1,(Y147-H$1030)^2,0)</f>
        <v>55.3986491908393</v>
      </c>
      <c r="AH147" s="57" t="n">
        <f aca="false">IF(AD147=1,(Z147-I$1030)^2,0)</f>
        <v>0</v>
      </c>
      <c r="AI147" s="57" t="n">
        <f aca="false">IF(AE147=1,(AA147-J$1030)^2,0)</f>
        <v>0</v>
      </c>
    </row>
    <row r="148" customFormat="false" ht="12" hidden="false" customHeight="false" outlineLevel="0" collapsed="false">
      <c r="A148" s="5" t="n">
        <v>131</v>
      </c>
      <c r="B148" s="58" t="n">
        <f aca="true">IF(RAND()&lt;$D$8,1,0)</f>
        <v>0</v>
      </c>
      <c r="C148" s="47" t="n">
        <f aca="true">-LN(RAND())/$D$2</f>
        <v>0.907709110615998</v>
      </c>
      <c r="D148" s="59" t="n">
        <f aca="false">D147+C148</f>
        <v>129.501170306077</v>
      </c>
      <c r="E148" s="60" t="n">
        <f aca="false">MAX($D$3,(1+P147-VLOOKUP(VALUE(D148),$J$18:$Q147,7,TRUE()))*$D$3)</f>
        <v>10</v>
      </c>
      <c r="F148" s="60" t="n">
        <f aca="false">MAX($D$4,(1+Q147-VLOOKUP(VALUE(D148),$M$18:$Q147,5,TRUE()))*$D$4)</f>
        <v>10</v>
      </c>
      <c r="G148" s="61" t="n">
        <v>0.5</v>
      </c>
      <c r="H148" s="59" t="n">
        <f aca="true">IF((B148=1),(IF((F148&lt;E148),1,(IF((F148=E148),(IF(RAND()&lt;G148,1,0)),0)))),(IF((RAND()&lt;G148),1,0)))</f>
        <v>1</v>
      </c>
      <c r="I148" s="59" t="n">
        <f aca="true">IF((H148=1),0,$D$3+$D$5*(RAND()-0.5))</f>
        <v>0</v>
      </c>
      <c r="J148" s="59" t="n">
        <f aca="false">I148+MAX(D148,J147)</f>
        <v>136.036488079118</v>
      </c>
      <c r="K148" s="59" t="n">
        <f aca="false">IF((H148=0),J148-D148,0)</f>
        <v>0</v>
      </c>
      <c r="L148" s="59" t="n">
        <f aca="true">IF(($H148=0),0,$D$4+$D$5*(RAND()-0.5))</f>
        <v>2.06062926236649</v>
      </c>
      <c r="M148" s="59" t="n">
        <f aca="false">L148+MAX(D148,M147)</f>
        <v>137.444092209292</v>
      </c>
      <c r="N148" s="59" t="n">
        <f aca="false">IF((H148=1),M148-D148,0)</f>
        <v>7.94292190321477</v>
      </c>
      <c r="O148" s="5" t="n">
        <v>131</v>
      </c>
      <c r="P148" s="62" t="n">
        <f aca="false">IF((Arterial=0),P147+1,P147)</f>
        <v>65</v>
      </c>
      <c r="Q148" s="62" t="n">
        <f aca="false">IF((Arterial=1),Q147+1,Q147)</f>
        <v>66</v>
      </c>
      <c r="R148" s="63" t="n">
        <f aca="false">IF((RESET=1),0,R148+K148)</f>
        <v>313.82556612211</v>
      </c>
      <c r="S148" s="10" t="e">
        <f aca="false">IF(RESET=1,0,S148+N148)</f>
        <v>#N/A</v>
      </c>
      <c r="T148" s="0" t="n">
        <f aca="false">IF(RESET=1,0,T148+IF(H148=0,1,0))</f>
        <v>26</v>
      </c>
      <c r="U148" s="0" t="e">
        <f aca="false">IF(RESET=1,0,U148+H148)</f>
        <v>#N/A</v>
      </c>
      <c r="V148" s="10" t="n">
        <f aca="false">R148/(T148+0.00001)</f>
        <v>12.0702094392314</v>
      </c>
      <c r="W148" s="10" t="e">
        <f aca="false">S148/(U148+0.0001)</f>
        <v>#N/A</v>
      </c>
      <c r="X148" s="60" t="n">
        <f aca="false">IF(Informed=1,K148,0)</f>
        <v>0</v>
      </c>
      <c r="Y148" s="60" t="n">
        <f aca="false">IF(Informed=0,K148,0)</f>
        <v>0</v>
      </c>
      <c r="Z148" s="60" t="n">
        <f aca="false">IF(Informed=1,N148,0)</f>
        <v>0</v>
      </c>
      <c r="AA148" s="60" t="n">
        <f aca="false">IF(Informed=0,N148,0)</f>
        <v>7.94292190321477</v>
      </c>
      <c r="AB148" s="64" t="n">
        <f aca="false">IF(Arterial=0,IF(Informed=1,1,0),0)</f>
        <v>0</v>
      </c>
      <c r="AC148" s="64" t="n">
        <f aca="false">IF(Arterial=0,IF(Informed=0,1,0),0)</f>
        <v>0</v>
      </c>
      <c r="AD148" s="64" t="n">
        <f aca="false">IF(Arterial=1,IF(Informed=1,1,0),0)</f>
        <v>0</v>
      </c>
      <c r="AE148" s="64" t="n">
        <f aca="false">IF(Arterial=1,IF(Informed=0,1,0),0)</f>
        <v>1</v>
      </c>
      <c r="AF148" s="57" t="n">
        <f aca="false">IF(AB148=1,(X148-G$1030)^2,0)</f>
        <v>0</v>
      </c>
      <c r="AG148" s="57" t="n">
        <f aca="false">IF(AC148=1,(Y148-H$1030)^2,0)</f>
        <v>0</v>
      </c>
      <c r="AH148" s="57" t="n">
        <f aca="false">IF(AD148=1,(Z148-I$1030)^2,0)</f>
        <v>0</v>
      </c>
      <c r="AI148" s="57" t="n">
        <f aca="false">IF(AE148=1,(AA148-J$1030)^2,0)</f>
        <v>63.0900083605689</v>
      </c>
    </row>
    <row r="149" customFormat="false" ht="12" hidden="false" customHeight="false" outlineLevel="0" collapsed="false">
      <c r="A149" s="5" t="n">
        <v>132</v>
      </c>
      <c r="B149" s="58" t="n">
        <f aca="true">IF(RAND()&lt;$D$8,1,0)</f>
        <v>0</v>
      </c>
      <c r="C149" s="47" t="n">
        <f aca="true">-LN(RAND())/$D$2</f>
        <v>0.794317535426244</v>
      </c>
      <c r="D149" s="59" t="n">
        <f aca="false">D148+C149</f>
        <v>130.295487841504</v>
      </c>
      <c r="E149" s="60" t="n">
        <f aca="false">MAX($D$3,(1+P148-VLOOKUP(VALUE(D149),$J$18:$Q148,7,TRUE()))*$D$3)</f>
        <v>10</v>
      </c>
      <c r="F149" s="60" t="n">
        <f aca="false">MAX($D$4,(1+Q148-VLOOKUP(VALUE(D149),$M$18:$Q148,5,TRUE()))*$D$4)</f>
        <v>10</v>
      </c>
      <c r="G149" s="61" t="n">
        <v>0.5</v>
      </c>
      <c r="H149" s="59" t="n">
        <f aca="true">IF((B149=1),(IF((F149&lt;E149),1,(IF((F149=E149),(IF(RAND()&lt;G149,1,0)),0)))),(IF((RAND()&lt;G149),1,0)))</f>
        <v>0</v>
      </c>
      <c r="I149" s="59" t="n">
        <f aca="true">IF((H149=1),0,$D$3+$D$5*(RAND()-0.5))</f>
        <v>2.22939393119781</v>
      </c>
      <c r="J149" s="59" t="n">
        <f aca="false">I149+MAX(D149,J148)</f>
        <v>138.265882010316</v>
      </c>
      <c r="K149" s="59" t="n">
        <f aca="false">IF((H149=0),J149-D149,0)</f>
        <v>7.97039416881248</v>
      </c>
      <c r="L149" s="59" t="n">
        <f aca="true">IF(($H149=0),0,$D$4+$D$5*(RAND()-0.5))</f>
        <v>0</v>
      </c>
      <c r="M149" s="59" t="n">
        <f aca="false">L149+MAX(D149,M148)</f>
        <v>137.444092209292</v>
      </c>
      <c r="N149" s="59" t="n">
        <f aca="false">IF((H149=1),M149-D149,0)</f>
        <v>0</v>
      </c>
      <c r="O149" s="5" t="n">
        <v>132</v>
      </c>
      <c r="P149" s="62" t="n">
        <f aca="false">IF((Arterial=0),P148+1,P148)</f>
        <v>66</v>
      </c>
      <c r="Q149" s="62" t="n">
        <f aca="false">IF((Arterial=1),Q148+1,Q148)</f>
        <v>66</v>
      </c>
      <c r="R149" s="63" t="e">
        <f aca="false">IF((RESET=1),0,R149+K149)</f>
        <v>#N/A</v>
      </c>
      <c r="S149" s="10" t="n">
        <f aca="false">IF(RESET=1,0,S149+N149)</f>
        <v>351.43888155464</v>
      </c>
      <c r="T149" s="0" t="e">
        <f aca="false">IF(RESET=1,0,T149+IF(H149=0,1,0))</f>
        <v>#N/A</v>
      </c>
      <c r="U149" s="0" t="n">
        <f aca="false">IF(RESET=1,0,U149+H149)</f>
        <v>29</v>
      </c>
      <c r="V149" s="10" t="e">
        <f aca="false">R149/(T149+0.00001)</f>
        <v>#N/A</v>
      </c>
      <c r="W149" s="10" t="n">
        <f aca="false">S149/(U149+0.0001)</f>
        <v>12.1185403345037</v>
      </c>
      <c r="X149" s="60" t="n">
        <f aca="false">IF(Informed=1,K149,0)</f>
        <v>0</v>
      </c>
      <c r="Y149" s="60" t="n">
        <f aca="false">IF(Informed=0,K149,0)</f>
        <v>7.97039416881248</v>
      </c>
      <c r="Z149" s="60" t="n">
        <f aca="false">IF(Informed=1,N149,0)</f>
        <v>0</v>
      </c>
      <c r="AA149" s="60" t="n">
        <f aca="false">IF(Informed=0,N149,0)</f>
        <v>0</v>
      </c>
      <c r="AB149" s="64" t="n">
        <f aca="false">IF(Arterial=0,IF(Informed=1,1,0),0)</f>
        <v>0</v>
      </c>
      <c r="AC149" s="64" t="n">
        <f aca="false">IF(Arterial=0,IF(Informed=0,1,0),0)</f>
        <v>1</v>
      </c>
      <c r="AD149" s="64" t="n">
        <f aca="false">IF(Arterial=1,IF(Informed=1,1,0),0)</f>
        <v>0</v>
      </c>
      <c r="AE149" s="64" t="n">
        <f aca="false">IF(Arterial=1,IF(Informed=0,1,0),0)</f>
        <v>0</v>
      </c>
      <c r="AF149" s="57" t="n">
        <f aca="false">IF(AB149=1,(X149-G$1030)^2,0)</f>
        <v>0</v>
      </c>
      <c r="AG149" s="57" t="n">
        <f aca="false">IF(AC149=1,(Y149-H$1030)^2,0)</f>
        <v>63.5271832062399</v>
      </c>
      <c r="AH149" s="57" t="n">
        <f aca="false">IF(AD149=1,(Z149-I$1030)^2,0)</f>
        <v>0</v>
      </c>
      <c r="AI149" s="57" t="n">
        <f aca="false">IF(AE149=1,(AA149-J$1030)^2,0)</f>
        <v>0</v>
      </c>
    </row>
    <row r="150" customFormat="false" ht="12" hidden="false" customHeight="false" outlineLevel="0" collapsed="false">
      <c r="A150" s="5" t="n">
        <v>133</v>
      </c>
      <c r="B150" s="58" t="n">
        <f aca="true">IF(RAND()&lt;$D$8,1,0)</f>
        <v>0</v>
      </c>
      <c r="C150" s="47" t="n">
        <f aca="true">-LN(RAND())/$D$2</f>
        <v>0.227208100131192</v>
      </c>
      <c r="D150" s="59" t="n">
        <f aca="false">D149+C150</f>
        <v>130.522695941635</v>
      </c>
      <c r="E150" s="60" t="n">
        <f aca="false">MAX($D$3,(1+P149-VLOOKUP(VALUE(D150),$J$18:$Q149,7,TRUE()))*$D$3)</f>
        <v>12</v>
      </c>
      <c r="F150" s="60" t="n">
        <f aca="false">MAX($D$4,(1+Q149-VLOOKUP(VALUE(D150),$M$18:$Q149,5,TRUE()))*$D$4)</f>
        <v>10</v>
      </c>
      <c r="G150" s="61" t="n">
        <v>0.5</v>
      </c>
      <c r="H150" s="59" t="n">
        <f aca="true">IF((B150=1),(IF((F150&lt;E150),1,(IF((F150=E150),(IF(RAND()&lt;G150,1,0)),0)))),(IF((RAND()&lt;G150),1,0)))</f>
        <v>1</v>
      </c>
      <c r="I150" s="59" t="n">
        <f aca="true">IF((H150=1),0,$D$3+$D$5*(RAND()-0.5))</f>
        <v>0</v>
      </c>
      <c r="J150" s="59" t="n">
        <f aca="false">I150+MAX(D150,J149)</f>
        <v>138.265882010316</v>
      </c>
      <c r="K150" s="59" t="n">
        <f aca="false">IF((H150=0),J150-D150,0)</f>
        <v>0</v>
      </c>
      <c r="L150" s="59" t="n">
        <f aca="true">IF(($H150=0),0,$D$4+$D$5*(RAND()-0.5))</f>
        <v>2.04655685419021</v>
      </c>
      <c r="M150" s="59" t="n">
        <f aca="false">L150+MAX(D150,M149)</f>
        <v>139.490649063482</v>
      </c>
      <c r="N150" s="59" t="n">
        <f aca="false">IF((H150=1),M150-D150,0)</f>
        <v>8.96795312184756</v>
      </c>
      <c r="O150" s="5" t="n">
        <v>133</v>
      </c>
      <c r="P150" s="62" t="n">
        <f aca="false">IF((Arterial=0),P149+1,P149)</f>
        <v>66</v>
      </c>
      <c r="Q150" s="62" t="n">
        <f aca="false">IF((Arterial=1),Q149+1,Q149)</f>
        <v>67</v>
      </c>
      <c r="R150" s="63" t="n">
        <f aca="false">IF((RESET=1),0,R150+K150)</f>
        <v>369.322376740932</v>
      </c>
      <c r="S150" s="10" t="e">
        <f aca="false">IF(RESET=1,0,S150+N150)</f>
        <v>#N/A</v>
      </c>
      <c r="T150" s="0" t="n">
        <f aca="false">IF(RESET=1,0,T150+IF(H150=0,1,0))</f>
        <v>27</v>
      </c>
      <c r="U150" s="0" t="e">
        <f aca="false">IF(RESET=1,0,U150+H150)</f>
        <v>#N/A</v>
      </c>
      <c r="V150" s="10" t="n">
        <f aca="false">R150/(T150+0.00001)</f>
        <v>13.6786014798118</v>
      </c>
      <c r="W150" s="10" t="e">
        <f aca="false">S150/(U150+0.0001)</f>
        <v>#N/A</v>
      </c>
      <c r="X150" s="60" t="n">
        <f aca="false">IF(Informed=1,K150,0)</f>
        <v>0</v>
      </c>
      <c r="Y150" s="60" t="n">
        <f aca="false">IF(Informed=0,K150,0)</f>
        <v>0</v>
      </c>
      <c r="Z150" s="60" t="n">
        <f aca="false">IF(Informed=1,N150,0)</f>
        <v>0</v>
      </c>
      <c r="AA150" s="60" t="n">
        <f aca="false">IF(Informed=0,N150,0)</f>
        <v>8.96795312184756</v>
      </c>
      <c r="AB150" s="64" t="n">
        <f aca="false">IF(Arterial=0,IF(Informed=1,1,0),0)</f>
        <v>0</v>
      </c>
      <c r="AC150" s="64" t="n">
        <f aca="false">IF(Arterial=0,IF(Informed=0,1,0),0)</f>
        <v>0</v>
      </c>
      <c r="AD150" s="64" t="n">
        <f aca="false">IF(Arterial=1,IF(Informed=1,1,0),0)</f>
        <v>0</v>
      </c>
      <c r="AE150" s="64" t="n">
        <f aca="false">IF(Arterial=1,IF(Informed=0,1,0),0)</f>
        <v>1</v>
      </c>
      <c r="AF150" s="57" t="n">
        <f aca="false">IF(AB150=1,(X150-G$1030)^2,0)</f>
        <v>0</v>
      </c>
      <c r="AG150" s="57" t="n">
        <f aca="false">IF(AC150=1,(Y150-H$1030)^2,0)</f>
        <v>0</v>
      </c>
      <c r="AH150" s="57" t="n">
        <f aca="false">IF(AD150=1,(Z150-I$1030)^2,0)</f>
        <v>0</v>
      </c>
      <c r="AI150" s="57" t="n">
        <f aca="false">IF(AE150=1,(AA150-J$1030)^2,0)</f>
        <v>80.4241831956554</v>
      </c>
    </row>
    <row r="151" customFormat="false" ht="12" hidden="false" customHeight="false" outlineLevel="0" collapsed="false">
      <c r="A151" s="5" t="n">
        <v>134</v>
      </c>
      <c r="B151" s="58" t="n">
        <f aca="true">IF(RAND()&lt;$D$8,1,0)</f>
        <v>0</v>
      </c>
      <c r="C151" s="47" t="n">
        <f aca="true">-LN(RAND())/$D$2</f>
        <v>0.555082067241007</v>
      </c>
      <c r="D151" s="59" t="n">
        <f aca="false">D150+C151</f>
        <v>131.077778008876</v>
      </c>
      <c r="E151" s="60" t="n">
        <f aca="false">MAX($D$3,(1+P150-VLOOKUP(VALUE(D151),$J$18:$Q150,7,TRUE()))*$D$3)</f>
        <v>10</v>
      </c>
      <c r="F151" s="60" t="n">
        <f aca="false">MAX($D$4,(1+Q150-VLOOKUP(VALUE(D151),$M$18:$Q150,5,TRUE()))*$D$4)</f>
        <v>12</v>
      </c>
      <c r="G151" s="61" t="n">
        <v>0.5</v>
      </c>
      <c r="H151" s="59" t="n">
        <f aca="true">IF((B151=1),(IF((F151&lt;E151),1,(IF((F151=E151),(IF(RAND()&lt;G151,1,0)),0)))),(IF((RAND()&lt;G151),1,0)))</f>
        <v>1</v>
      </c>
      <c r="I151" s="59" t="n">
        <f aca="true">IF((H151=1),0,$D$3+$D$5*(RAND()-0.5))</f>
        <v>0</v>
      </c>
      <c r="J151" s="59" t="n">
        <f aca="false">I151+MAX(D151,J150)</f>
        <v>138.265882010316</v>
      </c>
      <c r="K151" s="59" t="n">
        <f aca="false">IF((H151=0),J151-D151,0)</f>
        <v>0</v>
      </c>
      <c r="L151" s="59" t="n">
        <f aca="true">IF(($H151=0),0,$D$4+$D$5*(RAND()-0.5))</f>
        <v>2.18405177630294</v>
      </c>
      <c r="M151" s="59" t="n">
        <f aca="false">L151+MAX(D151,M150)</f>
        <v>141.674700839785</v>
      </c>
      <c r="N151" s="59" t="n">
        <f aca="false">IF((H151=1),M151-D151,0)</f>
        <v>10.5969228309095</v>
      </c>
      <c r="O151" s="5" t="n">
        <v>134</v>
      </c>
      <c r="P151" s="62" t="n">
        <f aca="false">IF((Arterial=0),P150+1,P150)</f>
        <v>66</v>
      </c>
      <c r="Q151" s="62" t="n">
        <f aca="false">IF((Arterial=1),Q150+1,Q150)</f>
        <v>68</v>
      </c>
      <c r="R151" s="63" t="n">
        <f aca="false">IF((RESET=1),0,R151+K151)</f>
        <v>477.233295612152</v>
      </c>
      <c r="S151" s="10" t="e">
        <f aca="false">IF(RESET=1,0,S151+N151)</f>
        <v>#N/A</v>
      </c>
      <c r="T151" s="0" t="n">
        <f aca="false">IF(RESET=1,0,T151+IF(H151=0,1,0))</f>
        <v>38</v>
      </c>
      <c r="U151" s="0" t="e">
        <f aca="false">IF(RESET=1,0,U151+H151)</f>
        <v>#N/A</v>
      </c>
      <c r="V151" s="10" t="n">
        <f aca="false">R151/(T151+0.00001)</f>
        <v>12.558767632223</v>
      </c>
      <c r="W151" s="10" t="e">
        <f aca="false">S151/(U151+0.0001)</f>
        <v>#N/A</v>
      </c>
      <c r="X151" s="60" t="n">
        <f aca="false">IF(Informed=1,K151,0)</f>
        <v>0</v>
      </c>
      <c r="Y151" s="60" t="n">
        <f aca="false">IF(Informed=0,K151,0)</f>
        <v>0</v>
      </c>
      <c r="Z151" s="60" t="n">
        <f aca="false">IF(Informed=1,N151,0)</f>
        <v>0</v>
      </c>
      <c r="AA151" s="60" t="n">
        <f aca="false">IF(Informed=0,N151,0)</f>
        <v>10.5969228309095</v>
      </c>
      <c r="AB151" s="64" t="n">
        <f aca="false">IF(Arterial=0,IF(Informed=1,1,0),0)</f>
        <v>0</v>
      </c>
      <c r="AC151" s="64" t="n">
        <f aca="false">IF(Arterial=0,IF(Informed=0,1,0),0)</f>
        <v>0</v>
      </c>
      <c r="AD151" s="64" t="n">
        <f aca="false">IF(Arterial=1,IF(Informed=1,1,0),0)</f>
        <v>0</v>
      </c>
      <c r="AE151" s="64" t="n">
        <f aca="false">IF(Arterial=1,IF(Informed=0,1,0),0)</f>
        <v>1</v>
      </c>
      <c r="AF151" s="57" t="n">
        <f aca="false">IF(AB151=1,(X151-G$1030)^2,0)</f>
        <v>0</v>
      </c>
      <c r="AG151" s="57" t="n">
        <f aca="false">IF(AC151=1,(Y151-H$1030)^2,0)</f>
        <v>0</v>
      </c>
      <c r="AH151" s="57" t="n">
        <f aca="false">IF(AD151=1,(Z151-I$1030)^2,0)</f>
        <v>0</v>
      </c>
      <c r="AI151" s="57" t="n">
        <f aca="false">IF(AE151=1,(AA151-J$1030)^2,0)</f>
        <v>112.294773484251</v>
      </c>
    </row>
    <row r="152" customFormat="false" ht="12" hidden="false" customHeight="false" outlineLevel="0" collapsed="false">
      <c r="A152" s="5" t="n">
        <v>135</v>
      </c>
      <c r="B152" s="58" t="n">
        <f aca="true">IF(RAND()&lt;$D$8,1,0)</f>
        <v>0</v>
      </c>
      <c r="C152" s="47" t="n">
        <f aca="true">-LN(RAND())/$D$2</f>
        <v>3.13763017303756</v>
      </c>
      <c r="D152" s="59" t="n">
        <f aca="false">D151+C152</f>
        <v>134.215408181913</v>
      </c>
      <c r="E152" s="60" t="n">
        <f aca="false">MAX($D$3,(1+P151-VLOOKUP(VALUE(D152),$J$18:$Q151,7,TRUE()))*$D$3)</f>
        <v>8</v>
      </c>
      <c r="F152" s="60" t="n">
        <f aca="false">MAX($D$4,(1+Q151-VLOOKUP(VALUE(D152),$M$18:$Q151,5,TRUE()))*$D$4)</f>
        <v>10</v>
      </c>
      <c r="G152" s="61" t="n">
        <v>0.5</v>
      </c>
      <c r="H152" s="59" t="n">
        <f aca="true">IF((B152=1),(IF((F152&lt;E152),1,(IF((F152=E152),(IF(RAND()&lt;G152,1,0)),0)))),(IF((RAND()&lt;G152),1,0)))</f>
        <v>0</v>
      </c>
      <c r="I152" s="59" t="n">
        <f aca="true">IF((H152=1),0,$D$3+$D$5*(RAND()-0.5))</f>
        <v>1.89723608927811</v>
      </c>
      <c r="J152" s="59" t="n">
        <f aca="false">I152+MAX(D152,J151)</f>
        <v>140.163118099594</v>
      </c>
      <c r="K152" s="59" t="n">
        <f aca="false">IF((H152=0),J152-D152,0)</f>
        <v>5.94770991768084</v>
      </c>
      <c r="L152" s="59" t="n">
        <f aca="true">IF(($H152=0),0,$D$4+$D$5*(RAND()-0.5))</f>
        <v>0</v>
      </c>
      <c r="M152" s="59" t="n">
        <f aca="false">L152+MAX(D152,M151)</f>
        <v>141.674700839785</v>
      </c>
      <c r="N152" s="59" t="n">
        <f aca="false">IF((H152=1),M152-D152,0)</f>
        <v>0</v>
      </c>
      <c r="O152" s="5" t="n">
        <v>135</v>
      </c>
      <c r="P152" s="62" t="n">
        <f aca="false">IF((Arterial=0),P151+1,P151)</f>
        <v>67</v>
      </c>
      <c r="Q152" s="62" t="n">
        <f aca="false">IF((Arterial=1),Q151+1,Q151)</f>
        <v>68</v>
      </c>
      <c r="R152" s="63" t="e">
        <f aca="false">IF((RESET=1),0,R152+K152)</f>
        <v>#N/A</v>
      </c>
      <c r="S152" s="10" t="n">
        <f aca="false">IF(RESET=1,0,S152+N152)</f>
        <v>417.861330395137</v>
      </c>
      <c r="T152" s="0" t="e">
        <f aca="false">IF(RESET=1,0,T152+IF(H152=0,1,0))</f>
        <v>#N/A</v>
      </c>
      <c r="U152" s="0" t="n">
        <f aca="false">IF(RESET=1,0,U152+H152)</f>
        <v>32</v>
      </c>
      <c r="V152" s="10" t="e">
        <f aca="false">R152/(T152+0.00001)</f>
        <v>#N/A</v>
      </c>
      <c r="W152" s="10" t="n">
        <f aca="false">S152/(U152+0.0001)</f>
        <v>13.058125768205</v>
      </c>
      <c r="X152" s="60" t="n">
        <f aca="false">IF(Informed=1,K152,0)</f>
        <v>0</v>
      </c>
      <c r="Y152" s="60" t="n">
        <f aca="false">IF(Informed=0,K152,0)</f>
        <v>5.94770991768084</v>
      </c>
      <c r="Z152" s="60" t="n">
        <f aca="false">IF(Informed=1,N152,0)</f>
        <v>0</v>
      </c>
      <c r="AA152" s="60" t="n">
        <f aca="false">IF(Informed=0,N152,0)</f>
        <v>0</v>
      </c>
      <c r="AB152" s="64" t="n">
        <f aca="false">IF(Arterial=0,IF(Informed=1,1,0),0)</f>
        <v>0</v>
      </c>
      <c r="AC152" s="64" t="n">
        <f aca="false">IF(Arterial=0,IF(Informed=0,1,0),0)</f>
        <v>1</v>
      </c>
      <c r="AD152" s="64" t="n">
        <f aca="false">IF(Arterial=1,IF(Informed=1,1,0),0)</f>
        <v>0</v>
      </c>
      <c r="AE152" s="64" t="n">
        <f aca="false">IF(Arterial=1,IF(Informed=0,1,0),0)</f>
        <v>0</v>
      </c>
      <c r="AF152" s="57" t="n">
        <f aca="false">IF(AB152=1,(X152-G$1030)^2,0)</f>
        <v>0</v>
      </c>
      <c r="AG152" s="57" t="n">
        <f aca="false">IF(AC152=1,(Y152-H$1030)^2,0)</f>
        <v>35.375253264879</v>
      </c>
      <c r="AH152" s="57" t="n">
        <f aca="false">IF(AD152=1,(Z152-I$1030)^2,0)</f>
        <v>0</v>
      </c>
      <c r="AI152" s="57" t="n">
        <f aca="false">IF(AE152=1,(AA152-J$1030)^2,0)</f>
        <v>0</v>
      </c>
    </row>
    <row r="153" customFormat="false" ht="12" hidden="false" customHeight="false" outlineLevel="0" collapsed="false">
      <c r="A153" s="5" t="n">
        <v>136</v>
      </c>
      <c r="B153" s="58" t="n">
        <f aca="true">IF(RAND()&lt;$D$8,1,0)</f>
        <v>1</v>
      </c>
      <c r="C153" s="47" t="n">
        <f aca="true">-LN(RAND())/$D$2</f>
        <v>1.66748515347037</v>
      </c>
      <c r="D153" s="59" t="n">
        <f aca="false">D152+C153</f>
        <v>135.882893335384</v>
      </c>
      <c r="E153" s="60" t="n">
        <f aca="false">MAX($D$3,(1+P152-VLOOKUP(VALUE(D153),$J$18:$Q152,7,TRUE()))*$D$3)</f>
        <v>8</v>
      </c>
      <c r="F153" s="60" t="n">
        <f aca="false">MAX($D$4,(1+Q152-VLOOKUP(VALUE(D153),$M$18:$Q152,5,TRUE()))*$D$4)</f>
        <v>8</v>
      </c>
      <c r="G153" s="61" t="n">
        <v>0.5</v>
      </c>
      <c r="H153" s="59" t="n">
        <f aca="true">IF((B153=1),(IF((F153&lt;E153),1,(IF((F153=E153),(IF(RAND()&lt;G153,1,0)),0)))),(IF((RAND()&lt;G153),1,0)))</f>
        <v>0</v>
      </c>
      <c r="I153" s="59" t="n">
        <f aca="true">IF((H153=1),0,$D$3+$D$5*(RAND()-0.5))</f>
        <v>2.12384219337383</v>
      </c>
      <c r="J153" s="59" t="n">
        <f aca="false">I153+MAX(D153,J152)</f>
        <v>142.286960292968</v>
      </c>
      <c r="K153" s="59" t="n">
        <f aca="false">IF((H153=0),J153-D153,0)</f>
        <v>6.40406695758429</v>
      </c>
      <c r="L153" s="59" t="n">
        <f aca="true">IF(($H153=0),0,$D$4+$D$5*(RAND()-0.5))</f>
        <v>0</v>
      </c>
      <c r="M153" s="59" t="n">
        <f aca="false">L153+MAX(D153,M152)</f>
        <v>141.674700839785</v>
      </c>
      <c r="N153" s="59" t="n">
        <f aca="false">IF((H153=1),M153-D153,0)</f>
        <v>0</v>
      </c>
      <c r="O153" s="5" t="n">
        <v>136</v>
      </c>
      <c r="P153" s="62" t="n">
        <f aca="false">IF((Arterial=0),P152+1,P152)</f>
        <v>68</v>
      </c>
      <c r="Q153" s="62" t="n">
        <f aca="false">IF((Arterial=1),Q152+1,Q152)</f>
        <v>68</v>
      </c>
      <c r="R153" s="63" t="e">
        <f aca="false">IF((RESET=1),0,R153+K153)</f>
        <v>#N/A</v>
      </c>
      <c r="S153" s="10" t="n">
        <f aca="false">IF(RESET=1,0,S153+N153)</f>
        <v>326.44487968938</v>
      </c>
      <c r="T153" s="0" t="e">
        <f aca="false">IF(RESET=1,0,T153+IF(H153=0,1,0))</f>
        <v>#N/A</v>
      </c>
      <c r="U153" s="0" t="n">
        <f aca="false">IF(RESET=1,0,U153+H153)</f>
        <v>26</v>
      </c>
      <c r="V153" s="10" t="e">
        <f aca="false">R153/(T153+0.00001)</f>
        <v>#N/A</v>
      </c>
      <c r="W153" s="10" t="n">
        <f aca="false">S153/(U153+0.0001)</f>
        <v>12.5555240052684</v>
      </c>
      <c r="X153" s="60" t="n">
        <f aca="false">IF(Informed=1,K153,0)</f>
        <v>6.40406695758429</v>
      </c>
      <c r="Y153" s="60" t="n">
        <f aca="false">IF(Informed=0,K153,0)</f>
        <v>0</v>
      </c>
      <c r="Z153" s="60" t="n">
        <f aca="false">IF(Informed=1,N153,0)</f>
        <v>0</v>
      </c>
      <c r="AA153" s="60" t="n">
        <f aca="false">IF(Informed=0,N153,0)</f>
        <v>0</v>
      </c>
      <c r="AB153" s="64" t="n">
        <f aca="false">IF(Arterial=0,IF(Informed=1,1,0),0)</f>
        <v>1</v>
      </c>
      <c r="AC153" s="64" t="n">
        <f aca="false">IF(Arterial=0,IF(Informed=0,1,0),0)</f>
        <v>0</v>
      </c>
      <c r="AD153" s="64" t="n">
        <f aca="false">IF(Arterial=1,IF(Informed=1,1,0),0)</f>
        <v>0</v>
      </c>
      <c r="AE153" s="64" t="n">
        <f aca="false">IF(Arterial=1,IF(Informed=0,1,0),0)</f>
        <v>0</v>
      </c>
      <c r="AF153" s="57" t="n">
        <f aca="false">IF(AB153=1,(X153-G$1030)^2,0)</f>
        <v>41.0120735972229</v>
      </c>
      <c r="AG153" s="57" t="n">
        <f aca="false">IF(AC153=1,(Y153-H$1030)^2,0)</f>
        <v>0</v>
      </c>
      <c r="AH153" s="57" t="n">
        <f aca="false">IF(AD153=1,(Z153-I$1030)^2,0)</f>
        <v>0</v>
      </c>
      <c r="AI153" s="57" t="n">
        <f aca="false">IF(AE153=1,(AA153-J$1030)^2,0)</f>
        <v>0</v>
      </c>
    </row>
    <row r="154" customFormat="false" ht="12" hidden="false" customHeight="false" outlineLevel="0" collapsed="false">
      <c r="A154" s="5" t="n">
        <v>137</v>
      </c>
      <c r="B154" s="58" t="n">
        <f aca="true">IF(RAND()&lt;$D$8,1,0)</f>
        <v>0</v>
      </c>
      <c r="C154" s="47" t="n">
        <f aca="true">-LN(RAND())/$D$2</f>
        <v>1.16244669002277</v>
      </c>
      <c r="D154" s="59" t="n">
        <f aca="false">D153+C154</f>
        <v>137.045340025407</v>
      </c>
      <c r="E154" s="60" t="n">
        <f aca="false">MAX($D$3,(1+P153-VLOOKUP(VALUE(D154),$J$18:$Q153,7,TRUE()))*$D$3)</f>
        <v>8</v>
      </c>
      <c r="F154" s="60" t="n">
        <f aca="false">MAX($D$4,(1+Q153-VLOOKUP(VALUE(D154),$M$18:$Q153,5,TRUE()))*$D$4)</f>
        <v>8</v>
      </c>
      <c r="G154" s="61" t="n">
        <v>0.5</v>
      </c>
      <c r="H154" s="59" t="n">
        <f aca="true">IF((B154=1),(IF((F154&lt;E154),1,(IF((F154=E154),(IF(RAND()&lt;G154,1,0)),0)))),(IF((RAND()&lt;G154),1,0)))</f>
        <v>0</v>
      </c>
      <c r="I154" s="59" t="n">
        <f aca="true">IF((H154=1),0,$D$3+$D$5*(RAND()-0.5))</f>
        <v>1.98737008981272</v>
      </c>
      <c r="J154" s="59" t="n">
        <f aca="false">I154+MAX(D154,J153)</f>
        <v>144.274330382781</v>
      </c>
      <c r="K154" s="59" t="n">
        <f aca="false">IF((H154=0),J154-D154,0)</f>
        <v>7.22899035737424</v>
      </c>
      <c r="L154" s="59" t="n">
        <f aca="true">IF(($H154=0),0,$D$4+$D$5*(RAND()-0.5))</f>
        <v>0</v>
      </c>
      <c r="M154" s="59" t="n">
        <f aca="false">L154+MAX(D154,M153)</f>
        <v>141.674700839785</v>
      </c>
      <c r="N154" s="59" t="n">
        <f aca="false">IF((H154=1),M154-D154,0)</f>
        <v>0</v>
      </c>
      <c r="O154" s="5" t="n">
        <v>137</v>
      </c>
      <c r="P154" s="62" t="n">
        <f aca="false">IF((Arterial=0),P153+1,P153)</f>
        <v>69</v>
      </c>
      <c r="Q154" s="62" t="n">
        <f aca="false">IF((Arterial=1),Q153+1,Q153)</f>
        <v>68</v>
      </c>
      <c r="R154" s="63" t="e">
        <f aca="false">IF((RESET=1),0,R154+K154)</f>
        <v>#N/A</v>
      </c>
      <c r="S154" s="10" t="n">
        <f aca="false">IF(RESET=1,0,S154+N154)</f>
        <v>431.200107854097</v>
      </c>
      <c r="T154" s="0" t="e">
        <f aca="false">IF(RESET=1,0,T154+IF(H154=0,1,0))</f>
        <v>#N/A</v>
      </c>
      <c r="U154" s="0" t="n">
        <f aca="false">IF(RESET=1,0,U154+H154)</f>
        <v>37</v>
      </c>
      <c r="V154" s="10" t="e">
        <f aca="false">R154/(T154+0.00001)</f>
        <v>#N/A</v>
      </c>
      <c r="W154" s="10" t="n">
        <f aca="false">S154/(U154+0.0001)</f>
        <v>11.6540254716635</v>
      </c>
      <c r="X154" s="60" t="n">
        <f aca="false">IF(Informed=1,K154,0)</f>
        <v>0</v>
      </c>
      <c r="Y154" s="60" t="n">
        <f aca="false">IF(Informed=0,K154,0)</f>
        <v>7.22899035737424</v>
      </c>
      <c r="Z154" s="60" t="n">
        <f aca="false">IF(Informed=1,N154,0)</f>
        <v>0</v>
      </c>
      <c r="AA154" s="60" t="n">
        <f aca="false">IF(Informed=0,N154,0)</f>
        <v>0</v>
      </c>
      <c r="AB154" s="64" t="n">
        <f aca="false">IF(Arterial=0,IF(Informed=1,1,0),0)</f>
        <v>0</v>
      </c>
      <c r="AC154" s="64" t="n">
        <f aca="false">IF(Arterial=0,IF(Informed=0,1,0),0)</f>
        <v>1</v>
      </c>
      <c r="AD154" s="64" t="n">
        <f aca="false">IF(Arterial=1,IF(Informed=1,1,0),0)</f>
        <v>0</v>
      </c>
      <c r="AE154" s="64" t="n">
        <f aca="false">IF(Arterial=1,IF(Informed=0,1,0),0)</f>
        <v>0</v>
      </c>
      <c r="AF154" s="57" t="n">
        <f aca="false">IF(AB154=1,(X154-G$1030)^2,0)</f>
        <v>0</v>
      </c>
      <c r="AG154" s="57" t="n">
        <f aca="false">IF(AC154=1,(Y154-H$1030)^2,0)</f>
        <v>52.2583015870098</v>
      </c>
      <c r="AH154" s="57" t="n">
        <f aca="false">IF(AD154=1,(Z154-I$1030)^2,0)</f>
        <v>0</v>
      </c>
      <c r="AI154" s="57" t="n">
        <f aca="false">IF(AE154=1,(AA154-J$1030)^2,0)</f>
        <v>0</v>
      </c>
    </row>
    <row r="155" customFormat="false" ht="12" hidden="false" customHeight="false" outlineLevel="0" collapsed="false">
      <c r="A155" s="5" t="n">
        <v>138</v>
      </c>
      <c r="B155" s="58" t="n">
        <f aca="true">IF(RAND()&lt;$D$8,1,0)</f>
        <v>0</v>
      </c>
      <c r="C155" s="47" t="n">
        <f aca="true">-LN(RAND())/$D$2</f>
        <v>0.71975624686347</v>
      </c>
      <c r="D155" s="59" t="n">
        <f aca="false">D154+C155</f>
        <v>137.76509627227</v>
      </c>
      <c r="E155" s="60" t="n">
        <f aca="false">MAX($D$3,(1+P154-VLOOKUP(VALUE(D155),$J$18:$Q154,7,TRUE()))*$D$3)</f>
        <v>10</v>
      </c>
      <c r="F155" s="60" t="n">
        <f aca="false">MAX($D$4,(1+Q154-VLOOKUP(VALUE(D155),$M$18:$Q154,5,TRUE()))*$D$4)</f>
        <v>6</v>
      </c>
      <c r="G155" s="61" t="n">
        <v>0.5</v>
      </c>
      <c r="H155" s="59" t="n">
        <f aca="true">IF((B155=1),(IF((F155&lt;E155),1,(IF((F155=E155),(IF(RAND()&lt;G155,1,0)),0)))),(IF((RAND()&lt;G155),1,0)))</f>
        <v>0</v>
      </c>
      <c r="I155" s="59" t="n">
        <f aca="true">IF((H155=1),0,$D$3+$D$5*(RAND()-0.5))</f>
        <v>2.14557834825194</v>
      </c>
      <c r="J155" s="59" t="n">
        <f aca="false">I155+MAX(D155,J154)</f>
        <v>146.419908731033</v>
      </c>
      <c r="K155" s="59" t="n">
        <f aca="false">IF((H155=0),J155-D155,0)</f>
        <v>8.65481245876271</v>
      </c>
      <c r="L155" s="59" t="n">
        <f aca="true">IF(($H155=0),0,$D$4+$D$5*(RAND()-0.5))</f>
        <v>0</v>
      </c>
      <c r="M155" s="59" t="n">
        <f aca="false">L155+MAX(D155,M154)</f>
        <v>141.674700839785</v>
      </c>
      <c r="N155" s="59" t="n">
        <f aca="false">IF((H155=1),M155-D155,0)</f>
        <v>0</v>
      </c>
      <c r="O155" s="5" t="n">
        <v>138</v>
      </c>
      <c r="P155" s="62" t="n">
        <f aca="false">IF((Arterial=0),P154+1,P154)</f>
        <v>70</v>
      </c>
      <c r="Q155" s="62" t="n">
        <f aca="false">IF((Arterial=1),Q154+1,Q154)</f>
        <v>68</v>
      </c>
      <c r="R155" s="63" t="e">
        <f aca="false">IF((RESET=1),0,R155+K155)</f>
        <v>#N/A</v>
      </c>
      <c r="S155" s="10" t="n">
        <f aca="false">IF(RESET=1,0,S155+N155)</f>
        <v>251.731407303432</v>
      </c>
      <c r="T155" s="0" t="e">
        <f aca="false">IF(RESET=1,0,T155+IF(H155=0,1,0))</f>
        <v>#N/A</v>
      </c>
      <c r="U155" s="0" t="n">
        <f aca="false">IF(RESET=1,0,U155+H155)</f>
        <v>23</v>
      </c>
      <c r="V155" s="10" t="e">
        <f aca="false">R155/(T155+0.00001)</f>
        <v>#N/A</v>
      </c>
      <c r="W155" s="10" t="n">
        <f aca="false">S155/(U155+0.0001)</f>
        <v>10.9447962097309</v>
      </c>
      <c r="X155" s="60" t="n">
        <f aca="false">IF(Informed=1,K155,0)</f>
        <v>0</v>
      </c>
      <c r="Y155" s="60" t="n">
        <f aca="false">IF(Informed=0,K155,0)</f>
        <v>8.65481245876271</v>
      </c>
      <c r="Z155" s="60" t="n">
        <f aca="false">IF(Informed=1,N155,0)</f>
        <v>0</v>
      </c>
      <c r="AA155" s="60" t="n">
        <f aca="false">IF(Informed=0,N155,0)</f>
        <v>0</v>
      </c>
      <c r="AB155" s="64" t="n">
        <f aca="false">IF(Arterial=0,IF(Informed=1,1,0),0)</f>
        <v>0</v>
      </c>
      <c r="AC155" s="64" t="n">
        <f aca="false">IF(Arterial=0,IF(Informed=0,1,0),0)</f>
        <v>1</v>
      </c>
      <c r="AD155" s="64" t="n">
        <f aca="false">IF(Arterial=1,IF(Informed=1,1,0),0)</f>
        <v>0</v>
      </c>
      <c r="AE155" s="64" t="n">
        <f aca="false">IF(Arterial=1,IF(Informed=0,1,0),0)</f>
        <v>0</v>
      </c>
      <c r="AF155" s="57" t="n">
        <f aca="false">IF(AB155=1,(X155-G$1030)^2,0)</f>
        <v>0</v>
      </c>
      <c r="AG155" s="57" t="n">
        <f aca="false">IF(AC155=1,(Y155-H$1030)^2,0)</f>
        <v>74.9057786963542</v>
      </c>
      <c r="AH155" s="57" t="n">
        <f aca="false">IF(AD155=1,(Z155-I$1030)^2,0)</f>
        <v>0</v>
      </c>
      <c r="AI155" s="57" t="n">
        <f aca="false">IF(AE155=1,(AA155-J$1030)^2,0)</f>
        <v>0</v>
      </c>
    </row>
    <row r="156" customFormat="false" ht="12" hidden="false" customHeight="false" outlineLevel="0" collapsed="false">
      <c r="A156" s="5" t="n">
        <v>139</v>
      </c>
      <c r="B156" s="58" t="n">
        <f aca="true">IF(RAND()&lt;$D$8,1,0)</f>
        <v>1</v>
      </c>
      <c r="C156" s="47" t="n">
        <f aca="true">-LN(RAND())/$D$2</f>
        <v>0.569137596909445</v>
      </c>
      <c r="D156" s="59" t="n">
        <f aca="false">D155+C156</f>
        <v>138.334233869179</v>
      </c>
      <c r="E156" s="60" t="n">
        <f aca="false">MAX($D$3,(1+P155-VLOOKUP(VALUE(D156),$J$18:$Q155,7,TRUE()))*$D$3)</f>
        <v>10</v>
      </c>
      <c r="F156" s="60" t="n">
        <f aca="false">MAX($D$4,(1+Q155-VLOOKUP(VALUE(D156),$M$18:$Q155,5,TRUE()))*$D$4)</f>
        <v>6</v>
      </c>
      <c r="G156" s="61" t="n">
        <v>0.5</v>
      </c>
      <c r="H156" s="59" t="n">
        <f aca="true">IF((B156=1),(IF((F156&lt;E156),1,(IF((F156=E156),(IF(RAND()&lt;G156,1,0)),0)))),(IF((RAND()&lt;G156),1,0)))</f>
        <v>1</v>
      </c>
      <c r="I156" s="59" t="n">
        <f aca="true">IF((H156=1),0,$D$3+$D$5*(RAND()-0.5))</f>
        <v>0</v>
      </c>
      <c r="J156" s="59" t="n">
        <f aca="false">I156+MAX(D156,J155)</f>
        <v>146.419908731033</v>
      </c>
      <c r="K156" s="59" t="n">
        <f aca="false">IF((H156=0),J156-D156,0)</f>
        <v>0</v>
      </c>
      <c r="L156" s="59" t="n">
        <f aca="true">IF(($H156=0),0,$D$4+$D$5*(RAND()-0.5))</f>
        <v>2.24780770961673</v>
      </c>
      <c r="M156" s="59" t="n">
        <f aca="false">L156+MAX(D156,M155)</f>
        <v>143.922508549402</v>
      </c>
      <c r="N156" s="59" t="n">
        <f aca="false">IF((H156=1),M156-D156,0)</f>
        <v>5.58827468022255</v>
      </c>
      <c r="O156" s="5" t="n">
        <v>139</v>
      </c>
      <c r="P156" s="62" t="n">
        <f aca="false">IF((Arterial=0),P155+1,P155)</f>
        <v>70</v>
      </c>
      <c r="Q156" s="62" t="n">
        <f aca="false">IF((Arterial=1),Q155+1,Q155)</f>
        <v>69</v>
      </c>
      <c r="R156" s="63" t="n">
        <f aca="false">IF((RESET=1),0,R156+K156)</f>
        <v>367.271048463461</v>
      </c>
      <c r="S156" s="10" t="e">
        <f aca="false">IF(RESET=1,0,S156+N156)</f>
        <v>#N/A</v>
      </c>
      <c r="T156" s="0" t="n">
        <f aca="false">IF(RESET=1,0,T156+IF(H156=0,1,0))</f>
        <v>31</v>
      </c>
      <c r="U156" s="0" t="e">
        <f aca="false">IF(RESET=1,0,U156+H156)</f>
        <v>#N/A</v>
      </c>
      <c r="V156" s="10" t="n">
        <f aca="false">R156/(T156+0.00001)</f>
        <v>11.8474493544828</v>
      </c>
      <c r="W156" s="10" t="e">
        <f aca="false">S156/(U156+0.0001)</f>
        <v>#N/A</v>
      </c>
      <c r="X156" s="60" t="n">
        <f aca="false">IF(Informed=1,K156,0)</f>
        <v>0</v>
      </c>
      <c r="Y156" s="60" t="n">
        <f aca="false">IF(Informed=0,K156,0)</f>
        <v>0</v>
      </c>
      <c r="Z156" s="60" t="n">
        <f aca="false">IF(Informed=1,N156,0)</f>
        <v>5.58827468022255</v>
      </c>
      <c r="AA156" s="60" t="n">
        <f aca="false">IF(Informed=0,N156,0)</f>
        <v>0</v>
      </c>
      <c r="AB156" s="64" t="n">
        <f aca="false">IF(Arterial=0,IF(Informed=1,1,0),0)</f>
        <v>0</v>
      </c>
      <c r="AC156" s="64" t="n">
        <f aca="false">IF(Arterial=0,IF(Informed=0,1,0),0)</f>
        <v>0</v>
      </c>
      <c r="AD156" s="64" t="n">
        <f aca="false">IF(Arterial=1,IF(Informed=1,1,0),0)</f>
        <v>1</v>
      </c>
      <c r="AE156" s="64" t="n">
        <f aca="false">IF(Arterial=1,IF(Informed=0,1,0),0)</f>
        <v>0</v>
      </c>
      <c r="AF156" s="57" t="n">
        <f aca="false">IF(AB156=1,(X156-G$1030)^2,0)</f>
        <v>0</v>
      </c>
      <c r="AG156" s="57" t="n">
        <f aca="false">IF(AC156=1,(Y156-H$1030)^2,0)</f>
        <v>0</v>
      </c>
      <c r="AH156" s="57" t="n">
        <f aca="false">IF(AD156=1,(Z156-I$1030)^2,0)</f>
        <v>31.2288139016165</v>
      </c>
      <c r="AI156" s="57" t="n">
        <f aca="false">IF(AE156=1,(AA156-J$1030)^2,0)</f>
        <v>0</v>
      </c>
    </row>
    <row r="157" customFormat="false" ht="12" hidden="false" customHeight="false" outlineLevel="0" collapsed="false">
      <c r="A157" s="5" t="n">
        <v>140</v>
      </c>
      <c r="B157" s="58" t="n">
        <f aca="true">IF(RAND()&lt;$D$8,1,0)</f>
        <v>0</v>
      </c>
      <c r="C157" s="47" t="n">
        <f aca="true">-LN(RAND())/$D$2</f>
        <v>0.16675662201613</v>
      </c>
      <c r="D157" s="59" t="n">
        <f aca="false">D156+C157</f>
        <v>138.500990491196</v>
      </c>
      <c r="E157" s="60" t="n">
        <f aca="false">MAX($D$3,(1+P156-VLOOKUP(VALUE(D157),$J$18:$Q156,7,TRUE()))*$D$3)</f>
        <v>10</v>
      </c>
      <c r="F157" s="60" t="n">
        <f aca="false">MAX($D$4,(1+Q156-VLOOKUP(VALUE(D157),$M$18:$Q156,5,TRUE()))*$D$4)</f>
        <v>8</v>
      </c>
      <c r="G157" s="61" t="n">
        <v>0.5</v>
      </c>
      <c r="H157" s="59" t="n">
        <f aca="true">IF((B157=1),(IF((F157&lt;E157),1,(IF((F157=E157),(IF(RAND()&lt;G157,1,0)),0)))),(IF((RAND()&lt;G157),1,0)))</f>
        <v>1</v>
      </c>
      <c r="I157" s="59" t="n">
        <f aca="true">IF((H157=1),0,$D$3+$D$5*(RAND()-0.5))</f>
        <v>0</v>
      </c>
      <c r="J157" s="59" t="n">
        <f aca="false">I157+MAX(D157,J156)</f>
        <v>146.419908731033</v>
      </c>
      <c r="K157" s="59" t="n">
        <f aca="false">IF((H157=0),J157-D157,0)</f>
        <v>0</v>
      </c>
      <c r="L157" s="59" t="n">
        <f aca="true">IF(($H157=0),0,$D$4+$D$5*(RAND()-0.5))</f>
        <v>2.22431059148783</v>
      </c>
      <c r="M157" s="59" t="n">
        <f aca="false">L157+MAX(D157,M156)</f>
        <v>146.14681914089</v>
      </c>
      <c r="N157" s="59" t="n">
        <f aca="false">IF((H157=1),M157-D157,0)</f>
        <v>7.64582864969427</v>
      </c>
      <c r="O157" s="5" t="n">
        <v>140</v>
      </c>
      <c r="P157" s="62" t="n">
        <f aca="false">IF((Arterial=0),P156+1,P156)</f>
        <v>70</v>
      </c>
      <c r="Q157" s="62" t="n">
        <f aca="false">IF((Arterial=1),Q156+1,Q156)</f>
        <v>70</v>
      </c>
      <c r="R157" s="63" t="n">
        <f aca="false">IF((RESET=1),0,R157+K157)</f>
        <v>325.834744324824</v>
      </c>
      <c r="S157" s="10" t="e">
        <f aca="false">IF(RESET=1,0,S157+N157)</f>
        <v>#N/A</v>
      </c>
      <c r="T157" s="0" t="n">
        <f aca="false">IF(RESET=1,0,T157+IF(H157=0,1,0))</f>
        <v>25</v>
      </c>
      <c r="U157" s="0" t="e">
        <f aca="false">IF(RESET=1,0,U157+H157)</f>
        <v>#N/A</v>
      </c>
      <c r="V157" s="10" t="n">
        <f aca="false">R157/(T157+0.00001)</f>
        <v>13.0333845596391</v>
      </c>
      <c r="W157" s="10" t="e">
        <f aca="false">S157/(U157+0.0001)</f>
        <v>#N/A</v>
      </c>
      <c r="X157" s="60" t="n">
        <f aca="false">IF(Informed=1,K157,0)</f>
        <v>0</v>
      </c>
      <c r="Y157" s="60" t="n">
        <f aca="false">IF(Informed=0,K157,0)</f>
        <v>0</v>
      </c>
      <c r="Z157" s="60" t="n">
        <f aca="false">IF(Informed=1,N157,0)</f>
        <v>0</v>
      </c>
      <c r="AA157" s="60" t="n">
        <f aca="false">IF(Informed=0,N157,0)</f>
        <v>7.64582864969427</v>
      </c>
      <c r="AB157" s="64" t="n">
        <f aca="false">IF(Arterial=0,IF(Informed=1,1,0),0)</f>
        <v>0</v>
      </c>
      <c r="AC157" s="64" t="n">
        <f aca="false">IF(Arterial=0,IF(Informed=0,1,0),0)</f>
        <v>0</v>
      </c>
      <c r="AD157" s="64" t="n">
        <f aca="false">IF(Arterial=1,IF(Informed=1,1,0),0)</f>
        <v>0</v>
      </c>
      <c r="AE157" s="64" t="n">
        <f aca="false">IF(Arterial=1,IF(Informed=0,1,0),0)</f>
        <v>1</v>
      </c>
      <c r="AF157" s="57" t="n">
        <f aca="false">IF(AB157=1,(X157-G$1030)^2,0)</f>
        <v>0</v>
      </c>
      <c r="AG157" s="57" t="n">
        <f aca="false">IF(AC157=1,(Y157-H$1030)^2,0)</f>
        <v>0</v>
      </c>
      <c r="AH157" s="57" t="n">
        <f aca="false">IF(AD157=1,(Z157-I$1030)^2,0)</f>
        <v>0</v>
      </c>
      <c r="AI157" s="57" t="n">
        <f aca="false">IF(AE157=1,(AA157-J$1030)^2,0)</f>
        <v>58.4586957404856</v>
      </c>
    </row>
    <row r="158" customFormat="false" ht="12" hidden="false" customHeight="false" outlineLevel="0" collapsed="false">
      <c r="A158" s="5" t="n">
        <v>141</v>
      </c>
      <c r="B158" s="58" t="n">
        <f aca="true">IF(RAND()&lt;$D$8,1,0)</f>
        <v>1</v>
      </c>
      <c r="C158" s="47" t="n">
        <f aca="true">-LN(RAND())/$D$2</f>
        <v>1.23809104726824</v>
      </c>
      <c r="D158" s="59" t="n">
        <f aca="false">D157+C158</f>
        <v>139.739081538464</v>
      </c>
      <c r="E158" s="60" t="n">
        <f aca="false">MAX($D$3,(1+P157-VLOOKUP(VALUE(D158),$J$18:$Q157,7,TRUE()))*$D$3)</f>
        <v>10</v>
      </c>
      <c r="F158" s="60" t="n">
        <f aca="false">MAX($D$4,(1+Q157-VLOOKUP(VALUE(D158),$M$18:$Q157,5,TRUE()))*$D$4)</f>
        <v>8</v>
      </c>
      <c r="G158" s="61" t="n">
        <v>0.5</v>
      </c>
      <c r="H158" s="59" t="n">
        <f aca="true">IF((B158=1),(IF((F158&lt;E158),1,(IF((F158=E158),(IF(RAND()&lt;G158,1,0)),0)))),(IF((RAND()&lt;G158),1,0)))</f>
        <v>1</v>
      </c>
      <c r="I158" s="59" t="n">
        <f aca="true">IF((H158=1),0,$D$3+$D$5*(RAND()-0.5))</f>
        <v>0</v>
      </c>
      <c r="J158" s="59" t="n">
        <f aca="false">I158+MAX(D158,J157)</f>
        <v>146.419908731033</v>
      </c>
      <c r="K158" s="59" t="n">
        <f aca="false">IF((H158=0),J158-D158,0)</f>
        <v>0</v>
      </c>
      <c r="L158" s="59" t="n">
        <f aca="true">IF(($H158=0),0,$D$4+$D$5*(RAND()-0.5))</f>
        <v>1.78869533800349</v>
      </c>
      <c r="M158" s="59" t="n">
        <f aca="false">L158+MAX(D158,M157)</f>
        <v>147.935514478893</v>
      </c>
      <c r="N158" s="59" t="n">
        <f aca="false">IF((H158=1),M158-D158,0)</f>
        <v>8.19643294042953</v>
      </c>
      <c r="O158" s="5" t="n">
        <v>141</v>
      </c>
      <c r="P158" s="62" t="n">
        <f aca="false">IF((Arterial=0),P157+1,P157)</f>
        <v>70</v>
      </c>
      <c r="Q158" s="62" t="n">
        <f aca="false">IF((Arterial=1),Q157+1,Q157)</f>
        <v>71</v>
      </c>
      <c r="R158" s="63" t="n">
        <f aca="false">IF((RESET=1),0,R158+K158)</f>
        <v>297.276005109851</v>
      </c>
      <c r="S158" s="10" t="e">
        <f aca="false">IF(RESET=1,0,S158+N158)</f>
        <v>#N/A</v>
      </c>
      <c r="T158" s="0" t="n">
        <f aca="false">IF(RESET=1,0,T158+IF(H158=0,1,0))</f>
        <v>24</v>
      </c>
      <c r="U158" s="0" t="e">
        <f aca="false">IF(RESET=1,0,U158+H158)</f>
        <v>#N/A</v>
      </c>
      <c r="V158" s="10" t="n">
        <f aca="false">R158/(T158+0.00001)</f>
        <v>12.3864950518708</v>
      </c>
      <c r="W158" s="10" t="e">
        <f aca="false">S158/(U158+0.0001)</f>
        <v>#N/A</v>
      </c>
      <c r="X158" s="60" t="n">
        <f aca="false">IF(Informed=1,K158,0)</f>
        <v>0</v>
      </c>
      <c r="Y158" s="60" t="n">
        <f aca="false">IF(Informed=0,K158,0)</f>
        <v>0</v>
      </c>
      <c r="Z158" s="60" t="n">
        <f aca="false">IF(Informed=1,N158,0)</f>
        <v>8.19643294042953</v>
      </c>
      <c r="AA158" s="60" t="n">
        <f aca="false">IF(Informed=0,N158,0)</f>
        <v>0</v>
      </c>
      <c r="AB158" s="64" t="n">
        <f aca="false">IF(Arterial=0,IF(Informed=1,1,0),0)</f>
        <v>0</v>
      </c>
      <c r="AC158" s="64" t="n">
        <f aca="false">IF(Arterial=0,IF(Informed=0,1,0),0)</f>
        <v>0</v>
      </c>
      <c r="AD158" s="64" t="n">
        <f aca="false">IF(Arterial=1,IF(Informed=1,1,0),0)</f>
        <v>1</v>
      </c>
      <c r="AE158" s="64" t="n">
        <f aca="false">IF(Arterial=1,IF(Informed=0,1,0),0)</f>
        <v>0</v>
      </c>
      <c r="AF158" s="57" t="n">
        <f aca="false">IF(AB158=1,(X158-G$1030)^2,0)</f>
        <v>0</v>
      </c>
      <c r="AG158" s="57" t="n">
        <f aca="false">IF(AC158=1,(Y158-H$1030)^2,0)</f>
        <v>0</v>
      </c>
      <c r="AH158" s="57" t="n">
        <f aca="false">IF(AD158=1,(Z158-I$1030)^2,0)</f>
        <v>67.1815129469583</v>
      </c>
      <c r="AI158" s="57" t="n">
        <f aca="false">IF(AE158=1,(AA158-J$1030)^2,0)</f>
        <v>0</v>
      </c>
    </row>
    <row r="159" customFormat="false" ht="12" hidden="false" customHeight="false" outlineLevel="0" collapsed="false">
      <c r="A159" s="5" t="n">
        <v>142</v>
      </c>
      <c r="B159" s="58" t="n">
        <f aca="true">IF(RAND()&lt;$D$8,1,0)</f>
        <v>1</v>
      </c>
      <c r="C159" s="47" t="n">
        <f aca="true">-LN(RAND())/$D$2</f>
        <v>0.620665276353397</v>
      </c>
      <c r="D159" s="59" t="n">
        <f aca="false">D158+C159</f>
        <v>140.359746814817</v>
      </c>
      <c r="E159" s="60" t="n">
        <f aca="false">MAX($D$3,(1+P158-VLOOKUP(VALUE(D159),$J$18:$Q158,7,TRUE()))*$D$3)</f>
        <v>8</v>
      </c>
      <c r="F159" s="60" t="n">
        <f aca="false">MAX($D$4,(1+Q158-VLOOKUP(VALUE(D159),$M$18:$Q158,5,TRUE()))*$D$4)</f>
        <v>10</v>
      </c>
      <c r="G159" s="61" t="n">
        <v>0.5</v>
      </c>
      <c r="H159" s="59" t="n">
        <f aca="true">IF((B159=1),(IF((F159&lt;E159),1,(IF((F159=E159),(IF(RAND()&lt;G159,1,0)),0)))),(IF((RAND()&lt;G159),1,0)))</f>
        <v>0</v>
      </c>
      <c r="I159" s="59" t="n">
        <f aca="true">IF((H159=1),0,$D$3+$D$5*(RAND()-0.5))</f>
        <v>1.96667818285827</v>
      </c>
      <c r="J159" s="59" t="n">
        <f aca="false">I159+MAX(D159,J158)</f>
        <v>148.386586913891</v>
      </c>
      <c r="K159" s="59" t="n">
        <f aca="false">IF((H159=0),J159-D159,0)</f>
        <v>8.02684009907378</v>
      </c>
      <c r="L159" s="59" t="n">
        <f aca="true">IF(($H159=0),0,$D$4+$D$5*(RAND()-0.5))</f>
        <v>0</v>
      </c>
      <c r="M159" s="59" t="n">
        <f aca="false">L159+MAX(D159,M158)</f>
        <v>147.935514478893</v>
      </c>
      <c r="N159" s="59" t="n">
        <f aca="false">IF((H159=1),M159-D159,0)</f>
        <v>0</v>
      </c>
      <c r="O159" s="5" t="n">
        <v>142</v>
      </c>
      <c r="P159" s="62" t="n">
        <f aca="false">IF((Arterial=0),P158+1,P158)</f>
        <v>71</v>
      </c>
      <c r="Q159" s="62" t="n">
        <f aca="false">IF((Arterial=1),Q158+1,Q158)</f>
        <v>71</v>
      </c>
      <c r="R159" s="63" t="e">
        <f aca="false">IF((RESET=1),0,R159+K159)</f>
        <v>#N/A</v>
      </c>
      <c r="S159" s="10" t="n">
        <f aca="false">IF(RESET=1,0,S159+N159)</f>
        <v>357.933996735073</v>
      </c>
      <c r="T159" s="0" t="e">
        <f aca="false">IF(RESET=1,0,T159+IF(H159=0,1,0))</f>
        <v>#N/A</v>
      </c>
      <c r="U159" s="0" t="n">
        <f aca="false">IF(RESET=1,0,U159+H159)</f>
        <v>26</v>
      </c>
      <c r="V159" s="10" t="e">
        <f aca="false">R159/(T159+0.00001)</f>
        <v>#N/A</v>
      </c>
      <c r="W159" s="10" t="n">
        <f aca="false">S159/(U159+0.0001)</f>
        <v>13.7666392335057</v>
      </c>
      <c r="X159" s="60" t="n">
        <f aca="false">IF(Informed=1,K159,0)</f>
        <v>8.02684009907378</v>
      </c>
      <c r="Y159" s="60" t="n">
        <f aca="false">IF(Informed=0,K159,0)</f>
        <v>0</v>
      </c>
      <c r="Z159" s="60" t="n">
        <f aca="false">IF(Informed=1,N159,0)</f>
        <v>0</v>
      </c>
      <c r="AA159" s="60" t="n">
        <f aca="false">IF(Informed=0,N159,0)</f>
        <v>0</v>
      </c>
      <c r="AB159" s="64" t="n">
        <f aca="false">IF(Arterial=0,IF(Informed=1,1,0),0)</f>
        <v>1</v>
      </c>
      <c r="AC159" s="64" t="n">
        <f aca="false">IF(Arterial=0,IF(Informed=0,1,0),0)</f>
        <v>0</v>
      </c>
      <c r="AD159" s="64" t="n">
        <f aca="false">IF(Arterial=1,IF(Informed=1,1,0),0)</f>
        <v>0</v>
      </c>
      <c r="AE159" s="64" t="n">
        <f aca="false">IF(Arterial=1,IF(Informed=0,1,0),0)</f>
        <v>0</v>
      </c>
      <c r="AF159" s="57" t="n">
        <f aca="false">IF(AB159=1,(X159-G$1030)^2,0)</f>
        <v>64.4301619760988</v>
      </c>
      <c r="AG159" s="57" t="n">
        <f aca="false">IF(AC159=1,(Y159-H$1030)^2,0)</f>
        <v>0</v>
      </c>
      <c r="AH159" s="57" t="n">
        <f aca="false">IF(AD159=1,(Z159-I$1030)^2,0)</f>
        <v>0</v>
      </c>
      <c r="AI159" s="57" t="n">
        <f aca="false">IF(AE159=1,(AA159-J$1030)^2,0)</f>
        <v>0</v>
      </c>
    </row>
    <row r="160" customFormat="false" ht="12" hidden="false" customHeight="false" outlineLevel="0" collapsed="false">
      <c r="A160" s="5" t="n">
        <v>143</v>
      </c>
      <c r="B160" s="58" t="n">
        <f aca="true">IF(RAND()&lt;$D$8,1,0)</f>
        <v>1</v>
      </c>
      <c r="C160" s="47" t="n">
        <f aca="true">-LN(RAND())/$D$2</f>
        <v>0.308936776186689</v>
      </c>
      <c r="D160" s="59" t="n">
        <f aca="false">D159+C160</f>
        <v>140.668683591004</v>
      </c>
      <c r="E160" s="60" t="n">
        <f aca="false">MAX($D$3,(1+P159-VLOOKUP(VALUE(D160),$J$18:$Q159,7,TRUE()))*$D$3)</f>
        <v>10</v>
      </c>
      <c r="F160" s="60" t="n">
        <f aca="false">MAX($D$4,(1+Q159-VLOOKUP(VALUE(D160),$M$18:$Q159,5,TRUE()))*$D$4)</f>
        <v>10</v>
      </c>
      <c r="G160" s="61" t="n">
        <v>0.5</v>
      </c>
      <c r="H160" s="59" t="n">
        <f aca="true">IF((B160=1),(IF((F160&lt;E160),1,(IF((F160=E160),(IF(RAND()&lt;G160,1,0)),0)))),(IF((RAND()&lt;G160),1,0)))</f>
        <v>1</v>
      </c>
      <c r="I160" s="59" t="n">
        <f aca="true">IF((H160=1),0,$D$3+$D$5*(RAND()-0.5))</f>
        <v>0</v>
      </c>
      <c r="J160" s="59" t="n">
        <f aca="false">I160+MAX(D160,J159)</f>
        <v>148.386586913891</v>
      </c>
      <c r="K160" s="59" t="n">
        <f aca="false">IF((H160=0),J160-D160,0)</f>
        <v>0</v>
      </c>
      <c r="L160" s="59" t="n">
        <f aca="true">IF(($H160=0),0,$D$4+$D$5*(RAND()-0.5))</f>
        <v>1.99764729583815</v>
      </c>
      <c r="M160" s="59" t="n">
        <f aca="false">L160+MAX(D160,M159)</f>
        <v>149.933161774732</v>
      </c>
      <c r="N160" s="59" t="n">
        <f aca="false">IF((H160=1),M160-D160,0)</f>
        <v>9.26447818372756</v>
      </c>
      <c r="O160" s="5" t="n">
        <v>143</v>
      </c>
      <c r="P160" s="62" t="n">
        <f aca="false">IF((Arterial=0),P159+1,P159)</f>
        <v>71</v>
      </c>
      <c r="Q160" s="62" t="n">
        <f aca="false">IF((Arterial=1),Q159+1,Q159)</f>
        <v>72</v>
      </c>
      <c r="R160" s="63" t="n">
        <f aca="false">IF((RESET=1),0,R160+K160)</f>
        <v>329.570317672166</v>
      </c>
      <c r="S160" s="10" t="e">
        <f aca="false">IF(RESET=1,0,S160+N160)</f>
        <v>#N/A</v>
      </c>
      <c r="T160" s="0" t="n">
        <f aca="false">IF(RESET=1,0,T160+IF(H160=0,1,0))</f>
        <v>27</v>
      </c>
      <c r="U160" s="0" t="e">
        <f aca="false">IF(RESET=1,0,U160+H160)</f>
        <v>#N/A</v>
      </c>
      <c r="V160" s="10" t="n">
        <f aca="false">R160/(T160+0.00001)</f>
        <v>12.2063035410789</v>
      </c>
      <c r="W160" s="10" t="e">
        <f aca="false">S160/(U160+0.0001)</f>
        <v>#N/A</v>
      </c>
      <c r="X160" s="60" t="n">
        <f aca="false">IF(Informed=1,K160,0)</f>
        <v>0</v>
      </c>
      <c r="Y160" s="60" t="n">
        <f aca="false">IF(Informed=0,K160,0)</f>
        <v>0</v>
      </c>
      <c r="Z160" s="60" t="n">
        <f aca="false">IF(Informed=1,N160,0)</f>
        <v>9.26447818372756</v>
      </c>
      <c r="AA160" s="60" t="n">
        <f aca="false">IF(Informed=0,N160,0)</f>
        <v>0</v>
      </c>
      <c r="AB160" s="64" t="n">
        <f aca="false">IF(Arterial=0,IF(Informed=1,1,0),0)</f>
        <v>0</v>
      </c>
      <c r="AC160" s="64" t="n">
        <f aca="false">IF(Arterial=0,IF(Informed=0,1,0),0)</f>
        <v>0</v>
      </c>
      <c r="AD160" s="64" t="n">
        <f aca="false">IF(Arterial=1,IF(Informed=1,1,0),0)</f>
        <v>1</v>
      </c>
      <c r="AE160" s="64" t="n">
        <f aca="false">IF(Arterial=1,IF(Informed=0,1,0),0)</f>
        <v>0</v>
      </c>
      <c r="AF160" s="57" t="n">
        <f aca="false">IF(AB160=1,(X160-G$1030)^2,0)</f>
        <v>0</v>
      </c>
      <c r="AG160" s="57" t="n">
        <f aca="false">IF(AC160=1,(Y160-H$1030)^2,0)</f>
        <v>0</v>
      </c>
      <c r="AH160" s="57" t="n">
        <f aca="false">IF(AD160=1,(Z160-I$1030)^2,0)</f>
        <v>85.8305560167639</v>
      </c>
      <c r="AI160" s="57" t="n">
        <f aca="false">IF(AE160=1,(AA160-J$1030)^2,0)</f>
        <v>0</v>
      </c>
    </row>
    <row r="161" customFormat="false" ht="12" hidden="false" customHeight="false" outlineLevel="0" collapsed="false">
      <c r="A161" s="5" t="n">
        <v>144</v>
      </c>
      <c r="B161" s="58" t="n">
        <f aca="true">IF(RAND()&lt;$D$8,1,0)</f>
        <v>1</v>
      </c>
      <c r="C161" s="47" t="n">
        <f aca="true">-LN(RAND())/$D$2</f>
        <v>0.107447625561062</v>
      </c>
      <c r="D161" s="59" t="n">
        <f aca="false">D160+C161</f>
        <v>140.776131216565</v>
      </c>
      <c r="E161" s="60" t="n">
        <f aca="false">MAX($D$3,(1+P160-VLOOKUP(VALUE(D161),$J$18:$Q160,7,TRUE()))*$D$3)</f>
        <v>10</v>
      </c>
      <c r="F161" s="60" t="n">
        <f aca="false">MAX($D$4,(1+Q160-VLOOKUP(VALUE(D161),$M$18:$Q160,5,TRUE()))*$D$4)</f>
        <v>12</v>
      </c>
      <c r="G161" s="61" t="n">
        <v>0.5</v>
      </c>
      <c r="H161" s="59" t="n">
        <f aca="true">IF((B161=1),(IF((F161&lt;E161),1,(IF((F161=E161),(IF(RAND()&lt;G161,1,0)),0)))),(IF((RAND()&lt;G161),1,0)))</f>
        <v>0</v>
      </c>
      <c r="I161" s="59" t="n">
        <f aca="true">IF((H161=1),0,$D$3+$D$5*(RAND()-0.5))</f>
        <v>2.24310623443134</v>
      </c>
      <c r="J161" s="59" t="n">
        <f aca="false">I161+MAX(D161,J160)</f>
        <v>150.629693148322</v>
      </c>
      <c r="K161" s="59" t="n">
        <f aca="false">IF((H161=0),J161-D161,0)</f>
        <v>9.85356193175736</v>
      </c>
      <c r="L161" s="59" t="n">
        <f aca="true">IF(($H161=0),0,$D$4+$D$5*(RAND()-0.5))</f>
        <v>0</v>
      </c>
      <c r="M161" s="59" t="n">
        <f aca="false">L161+MAX(D161,M160)</f>
        <v>149.933161774732</v>
      </c>
      <c r="N161" s="59" t="n">
        <f aca="false">IF((H161=1),M161-D161,0)</f>
        <v>0</v>
      </c>
      <c r="O161" s="5" t="n">
        <v>144</v>
      </c>
      <c r="P161" s="62" t="n">
        <f aca="false">IF((Arterial=0),P160+1,P160)</f>
        <v>72</v>
      </c>
      <c r="Q161" s="62" t="n">
        <f aca="false">IF((Arterial=1),Q160+1,Q160)</f>
        <v>72</v>
      </c>
      <c r="R161" s="63" t="e">
        <f aca="false">IF((RESET=1),0,R161+K161)</f>
        <v>#N/A</v>
      </c>
      <c r="S161" s="10" t="n">
        <f aca="false">IF(RESET=1,0,S161+N161)</f>
        <v>326.055638220353</v>
      </c>
      <c r="T161" s="0" t="e">
        <f aca="false">IF(RESET=1,0,T161+IF(H161=0,1,0))</f>
        <v>#N/A</v>
      </c>
      <c r="U161" s="0" t="n">
        <f aca="false">IF(RESET=1,0,U161+H161)</f>
        <v>25</v>
      </c>
      <c r="V161" s="10" t="e">
        <f aca="false">R161/(T161+0.00001)</f>
        <v>#N/A</v>
      </c>
      <c r="W161" s="10" t="n">
        <f aca="false">S161/(U161+0.0001)</f>
        <v>13.0421733601207</v>
      </c>
      <c r="X161" s="60" t="n">
        <f aca="false">IF(Informed=1,K161,0)</f>
        <v>9.85356193175736</v>
      </c>
      <c r="Y161" s="60" t="n">
        <f aca="false">IF(Informed=0,K161,0)</f>
        <v>0</v>
      </c>
      <c r="Z161" s="60" t="n">
        <f aca="false">IF(Informed=1,N161,0)</f>
        <v>0</v>
      </c>
      <c r="AA161" s="60" t="n">
        <f aca="false">IF(Informed=0,N161,0)</f>
        <v>0</v>
      </c>
      <c r="AB161" s="64" t="n">
        <f aca="false">IF(Arterial=0,IF(Informed=1,1,0),0)</f>
        <v>1</v>
      </c>
      <c r="AC161" s="64" t="n">
        <f aca="false">IF(Arterial=0,IF(Informed=0,1,0),0)</f>
        <v>0</v>
      </c>
      <c r="AD161" s="64" t="n">
        <f aca="false">IF(Arterial=1,IF(Informed=1,1,0),0)</f>
        <v>0</v>
      </c>
      <c r="AE161" s="64" t="n">
        <f aca="false">IF(Arterial=1,IF(Informed=0,1,0),0)</f>
        <v>0</v>
      </c>
      <c r="AF161" s="57" t="n">
        <f aca="false">IF(AB161=1,(X161-G$1030)^2,0)</f>
        <v>97.0926827429777</v>
      </c>
      <c r="AG161" s="57" t="n">
        <f aca="false">IF(AC161=1,(Y161-H$1030)^2,0)</f>
        <v>0</v>
      </c>
      <c r="AH161" s="57" t="n">
        <f aca="false">IF(AD161=1,(Z161-I$1030)^2,0)</f>
        <v>0</v>
      </c>
      <c r="AI161" s="57" t="n">
        <f aca="false">IF(AE161=1,(AA161-J$1030)^2,0)</f>
        <v>0</v>
      </c>
    </row>
    <row r="162" customFormat="false" ht="12" hidden="false" customHeight="false" outlineLevel="0" collapsed="false">
      <c r="A162" s="5" t="n">
        <v>145</v>
      </c>
      <c r="B162" s="58" t="n">
        <f aca="true">IF(RAND()&lt;$D$8,1,0)</f>
        <v>0</v>
      </c>
      <c r="C162" s="47" t="n">
        <f aca="true">-LN(RAND())/$D$2</f>
        <v>0.539220212658944</v>
      </c>
      <c r="D162" s="59" t="n">
        <f aca="false">D161+C162</f>
        <v>141.315351429224</v>
      </c>
      <c r="E162" s="60" t="n">
        <f aca="false">MAX($D$3,(1+P161-VLOOKUP(VALUE(D162),$J$18:$Q161,7,TRUE()))*$D$3)</f>
        <v>12</v>
      </c>
      <c r="F162" s="60" t="n">
        <f aca="false">MAX($D$4,(1+Q161-VLOOKUP(VALUE(D162),$M$18:$Q161,5,TRUE()))*$D$4)</f>
        <v>12</v>
      </c>
      <c r="G162" s="61" t="n">
        <v>0.5</v>
      </c>
      <c r="H162" s="59" t="n">
        <f aca="true">IF((B162=1),(IF((F162&lt;E162),1,(IF((F162=E162),(IF(RAND()&lt;G162,1,0)),0)))),(IF((RAND()&lt;G162),1,0)))</f>
        <v>1</v>
      </c>
      <c r="I162" s="59" t="n">
        <f aca="true">IF((H162=1),0,$D$3+$D$5*(RAND()-0.5))</f>
        <v>0</v>
      </c>
      <c r="J162" s="59" t="n">
        <f aca="false">I162+MAX(D162,J161)</f>
        <v>150.629693148322</v>
      </c>
      <c r="K162" s="59" t="n">
        <f aca="false">IF((H162=0),J162-D162,0)</f>
        <v>0</v>
      </c>
      <c r="L162" s="59" t="n">
        <f aca="true">IF(($H162=0),0,$D$4+$D$5*(RAND()-0.5))</f>
        <v>1.98733005503131</v>
      </c>
      <c r="M162" s="59" t="n">
        <f aca="false">L162+MAX(D162,M161)</f>
        <v>151.920491829763</v>
      </c>
      <c r="N162" s="59" t="n">
        <f aca="false">IF((H162=1),M162-D162,0)</f>
        <v>10.6051404005389</v>
      </c>
      <c r="O162" s="5" t="n">
        <v>145</v>
      </c>
      <c r="P162" s="62" t="n">
        <f aca="false">IF((Arterial=0),P161+1,P161)</f>
        <v>72</v>
      </c>
      <c r="Q162" s="62" t="n">
        <f aca="false">IF((Arterial=1),Q161+1,Q161)</f>
        <v>73</v>
      </c>
      <c r="R162" s="63" t="n">
        <f aca="false">IF((RESET=1),0,R162+K162)</f>
        <v>397.773139120779</v>
      </c>
      <c r="S162" s="10" t="e">
        <f aca="false">IF(RESET=1,0,S162+N162)</f>
        <v>#N/A</v>
      </c>
      <c r="T162" s="0" t="n">
        <f aca="false">IF(RESET=1,0,T162+IF(H162=0,1,0))</f>
        <v>27</v>
      </c>
      <c r="U162" s="0" t="e">
        <f aca="false">IF(RESET=1,0,U162+H162)</f>
        <v>#N/A</v>
      </c>
      <c r="V162" s="10" t="n">
        <f aca="false">R162/(T162+0.00001)</f>
        <v>14.7323330295351</v>
      </c>
      <c r="W162" s="10" t="e">
        <f aca="false">S162/(U162+0.0001)</f>
        <v>#N/A</v>
      </c>
      <c r="X162" s="60" t="n">
        <f aca="false">IF(Informed=1,K162,0)</f>
        <v>0</v>
      </c>
      <c r="Y162" s="60" t="n">
        <f aca="false">IF(Informed=0,K162,0)</f>
        <v>0</v>
      </c>
      <c r="Z162" s="60" t="n">
        <f aca="false">IF(Informed=1,N162,0)</f>
        <v>0</v>
      </c>
      <c r="AA162" s="60" t="n">
        <f aca="false">IF(Informed=0,N162,0)</f>
        <v>10.6051404005389</v>
      </c>
      <c r="AB162" s="64" t="n">
        <f aca="false">IF(Arterial=0,IF(Informed=1,1,0),0)</f>
        <v>0</v>
      </c>
      <c r="AC162" s="64" t="n">
        <f aca="false">IF(Arterial=0,IF(Informed=0,1,0),0)</f>
        <v>0</v>
      </c>
      <c r="AD162" s="64" t="n">
        <f aca="false">IF(Arterial=1,IF(Informed=1,1,0),0)</f>
        <v>0</v>
      </c>
      <c r="AE162" s="64" t="n">
        <f aca="false">IF(Arterial=1,IF(Informed=0,1,0),0)</f>
        <v>1</v>
      </c>
      <c r="AF162" s="57" t="n">
        <f aca="false">IF(AB162=1,(X162-G$1030)^2,0)</f>
        <v>0</v>
      </c>
      <c r="AG162" s="57" t="n">
        <f aca="false">IF(AC162=1,(Y162-H$1030)^2,0)</f>
        <v>0</v>
      </c>
      <c r="AH162" s="57" t="n">
        <f aca="false">IF(AD162=1,(Z162-I$1030)^2,0)</f>
        <v>0</v>
      </c>
      <c r="AI162" s="57" t="n">
        <f aca="false">IF(AE162=1,(AA162-J$1030)^2,0)</f>
        <v>112.469002915141</v>
      </c>
    </row>
    <row r="163" customFormat="false" ht="12" hidden="false" customHeight="false" outlineLevel="0" collapsed="false">
      <c r="A163" s="5" t="n">
        <v>146</v>
      </c>
      <c r="B163" s="58" t="n">
        <f aca="true">IF(RAND()&lt;$D$8,1,0)</f>
        <v>1</v>
      </c>
      <c r="C163" s="47" t="n">
        <f aca="true">-LN(RAND())/$D$2</f>
        <v>0.111471044760289</v>
      </c>
      <c r="D163" s="59" t="n">
        <f aca="false">D162+C163</f>
        <v>141.426822473984</v>
      </c>
      <c r="E163" s="60" t="n">
        <f aca="false">MAX($D$3,(1+P162-VLOOKUP(VALUE(D163),$J$18:$Q162,7,TRUE()))*$D$3)</f>
        <v>12</v>
      </c>
      <c r="F163" s="60" t="n">
        <f aca="false">MAX($D$4,(1+Q162-VLOOKUP(VALUE(D163),$M$18:$Q162,5,TRUE()))*$D$4)</f>
        <v>14</v>
      </c>
      <c r="G163" s="61" t="n">
        <v>0.5</v>
      </c>
      <c r="H163" s="59" t="n">
        <f aca="true">IF((B163=1),(IF((F163&lt;E163),1,(IF((F163=E163),(IF(RAND()&lt;G163,1,0)),0)))),(IF((RAND()&lt;G163),1,0)))</f>
        <v>0</v>
      </c>
      <c r="I163" s="59" t="n">
        <f aca="true">IF((H163=1),0,$D$3+$D$5*(RAND()-0.5))</f>
        <v>2.19858440653341</v>
      </c>
      <c r="J163" s="59" t="n">
        <f aca="false">I163+MAX(D163,J162)</f>
        <v>152.828277554856</v>
      </c>
      <c r="K163" s="59" t="n">
        <f aca="false">IF((H163=0),J163-D163,0)</f>
        <v>11.4014550808715</v>
      </c>
      <c r="L163" s="59" t="n">
        <f aca="true">IF(($H163=0),0,$D$4+$D$5*(RAND()-0.5))</f>
        <v>0</v>
      </c>
      <c r="M163" s="59" t="n">
        <f aca="false">L163+MAX(D163,M162)</f>
        <v>151.920491829763</v>
      </c>
      <c r="N163" s="59" t="n">
        <f aca="false">IF((H163=1),M163-D163,0)</f>
        <v>0</v>
      </c>
      <c r="O163" s="5" t="n">
        <v>146</v>
      </c>
      <c r="P163" s="62" t="n">
        <f aca="false">IF((Arterial=0),P162+1,P162)</f>
        <v>73</v>
      </c>
      <c r="Q163" s="62" t="n">
        <f aca="false">IF((Arterial=1),Q162+1,Q162)</f>
        <v>73</v>
      </c>
      <c r="R163" s="63" t="e">
        <f aca="false">IF((RESET=1),0,R163+K163)</f>
        <v>#N/A</v>
      </c>
      <c r="S163" s="10" t="n">
        <f aca="false">IF(RESET=1,0,S163+N163)</f>
        <v>322.667724229859</v>
      </c>
      <c r="T163" s="0" t="e">
        <f aca="false">IF(RESET=1,0,T163+IF(H163=0,1,0))</f>
        <v>#N/A</v>
      </c>
      <c r="U163" s="0" t="n">
        <f aca="false">IF(RESET=1,0,U163+H163)</f>
        <v>27</v>
      </c>
      <c r="V163" s="10" t="e">
        <f aca="false">R163/(T163+0.00001)</f>
        <v>#N/A</v>
      </c>
      <c r="W163" s="10" t="n">
        <f aca="false">S163/(U163+0.0001)</f>
        <v>11.9506121914311</v>
      </c>
      <c r="X163" s="60" t="n">
        <f aca="false">IF(Informed=1,K163,0)</f>
        <v>11.4014550808715</v>
      </c>
      <c r="Y163" s="60" t="n">
        <f aca="false">IF(Informed=0,K163,0)</f>
        <v>0</v>
      </c>
      <c r="Z163" s="60" t="n">
        <f aca="false">IF(Informed=1,N163,0)</f>
        <v>0</v>
      </c>
      <c r="AA163" s="60" t="n">
        <f aca="false">IF(Informed=0,N163,0)</f>
        <v>0</v>
      </c>
      <c r="AB163" s="64" t="n">
        <f aca="false">IF(Arterial=0,IF(Informed=1,1,0),0)</f>
        <v>1</v>
      </c>
      <c r="AC163" s="64" t="n">
        <f aca="false">IF(Arterial=0,IF(Informed=0,1,0),0)</f>
        <v>0</v>
      </c>
      <c r="AD163" s="64" t="n">
        <f aca="false">IF(Arterial=1,IF(Informed=1,1,0),0)</f>
        <v>0</v>
      </c>
      <c r="AE163" s="64" t="n">
        <f aca="false">IF(Arterial=1,IF(Informed=0,1,0),0)</f>
        <v>0</v>
      </c>
      <c r="AF163" s="57" t="n">
        <f aca="false">IF(AB163=1,(X163-G$1030)^2,0)</f>
        <v>129.993177961131</v>
      </c>
      <c r="AG163" s="57" t="n">
        <f aca="false">IF(AC163=1,(Y163-H$1030)^2,0)</f>
        <v>0</v>
      </c>
      <c r="AH163" s="57" t="n">
        <f aca="false">IF(AD163=1,(Z163-I$1030)^2,0)</f>
        <v>0</v>
      </c>
      <c r="AI163" s="57" t="n">
        <f aca="false">IF(AE163=1,(AA163-J$1030)^2,0)</f>
        <v>0</v>
      </c>
    </row>
    <row r="164" customFormat="false" ht="12" hidden="false" customHeight="false" outlineLevel="0" collapsed="false">
      <c r="A164" s="5" t="n">
        <v>147</v>
      </c>
      <c r="B164" s="58" t="n">
        <f aca="true">IF(RAND()&lt;$D$8,1,0)</f>
        <v>1</v>
      </c>
      <c r="C164" s="47" t="n">
        <f aca="true">-LN(RAND())/$D$2</f>
        <v>2.04431076583369</v>
      </c>
      <c r="D164" s="59" t="n">
        <f aca="false">D163+C164</f>
        <v>143.471133239818</v>
      </c>
      <c r="E164" s="60" t="n">
        <f aca="false">MAX($D$3,(1+P163-VLOOKUP(VALUE(D164),$J$18:$Q163,7,TRUE()))*$D$3)</f>
        <v>12</v>
      </c>
      <c r="F164" s="60" t="n">
        <f aca="false">MAX($D$4,(1+Q163-VLOOKUP(VALUE(D164),$M$18:$Q163,5,TRUE()))*$D$4)</f>
        <v>12</v>
      </c>
      <c r="G164" s="61" t="n">
        <v>0.5</v>
      </c>
      <c r="H164" s="59" t="n">
        <f aca="true">IF((B164=1),(IF((F164&lt;E164),1,(IF((F164=E164),(IF(RAND()&lt;G164,1,0)),0)))),(IF((RAND()&lt;G164),1,0)))</f>
        <v>1</v>
      </c>
      <c r="I164" s="59" t="n">
        <f aca="true">IF((H164=1),0,$D$3+$D$5*(RAND()-0.5))</f>
        <v>0</v>
      </c>
      <c r="J164" s="59" t="n">
        <f aca="false">I164+MAX(D164,J163)</f>
        <v>152.828277554856</v>
      </c>
      <c r="K164" s="59" t="n">
        <f aca="false">IF((H164=0),J164-D164,0)</f>
        <v>0</v>
      </c>
      <c r="L164" s="59" t="n">
        <f aca="true">IF(($H164=0),0,$D$4+$D$5*(RAND()-0.5))</f>
        <v>2.01089307381309</v>
      </c>
      <c r="M164" s="59" t="n">
        <f aca="false">L164+MAX(D164,M163)</f>
        <v>153.931384903576</v>
      </c>
      <c r="N164" s="59" t="n">
        <f aca="false">IF((H164=1),M164-D164,0)</f>
        <v>10.460251663758</v>
      </c>
      <c r="O164" s="5" t="n">
        <v>147</v>
      </c>
      <c r="P164" s="62" t="n">
        <f aca="false">IF((Arterial=0),P163+1,P163)</f>
        <v>73</v>
      </c>
      <c r="Q164" s="62" t="n">
        <f aca="false">IF((Arterial=1),Q163+1,Q163)</f>
        <v>74</v>
      </c>
      <c r="R164" s="63" t="n">
        <f aca="false">IF((RESET=1),0,R164+K164)</f>
        <v>303.078192912814</v>
      </c>
      <c r="S164" s="10" t="e">
        <f aca="false">IF(RESET=1,0,S164+N164)</f>
        <v>#N/A</v>
      </c>
      <c r="T164" s="0" t="n">
        <f aca="false">IF(RESET=1,0,T164+IF(H164=0,1,0))</f>
        <v>24</v>
      </c>
      <c r="U164" s="0" t="e">
        <f aca="false">IF(RESET=1,0,U164+H164)</f>
        <v>#N/A</v>
      </c>
      <c r="V164" s="10" t="n">
        <f aca="false">R164/(T164+0.00001)</f>
        <v>12.6282527762619</v>
      </c>
      <c r="W164" s="10" t="e">
        <f aca="false">S164/(U164+0.0001)</f>
        <v>#N/A</v>
      </c>
      <c r="X164" s="60" t="n">
        <f aca="false">IF(Informed=1,K164,0)</f>
        <v>0</v>
      </c>
      <c r="Y164" s="60" t="n">
        <f aca="false">IF(Informed=0,K164,0)</f>
        <v>0</v>
      </c>
      <c r="Z164" s="60" t="n">
        <f aca="false">IF(Informed=1,N164,0)</f>
        <v>10.460251663758</v>
      </c>
      <c r="AA164" s="60" t="n">
        <f aca="false">IF(Informed=0,N164,0)</f>
        <v>0</v>
      </c>
      <c r="AB164" s="64" t="n">
        <f aca="false">IF(Arterial=0,IF(Informed=1,1,0),0)</f>
        <v>0</v>
      </c>
      <c r="AC164" s="64" t="n">
        <f aca="false">IF(Arterial=0,IF(Informed=0,1,0),0)</f>
        <v>0</v>
      </c>
      <c r="AD164" s="64" t="n">
        <f aca="false">IF(Arterial=1,IF(Informed=1,1,0),0)</f>
        <v>1</v>
      </c>
      <c r="AE164" s="64" t="n">
        <f aca="false">IF(Arterial=1,IF(Informed=0,1,0),0)</f>
        <v>0</v>
      </c>
      <c r="AF164" s="57" t="n">
        <f aca="false">IF(AB164=1,(X164-G$1030)^2,0)</f>
        <v>0</v>
      </c>
      <c r="AG164" s="57" t="n">
        <f aca="false">IF(AC164=1,(Y164-H$1030)^2,0)</f>
        <v>0</v>
      </c>
      <c r="AH164" s="57" t="n">
        <f aca="false">IF(AD164=1,(Z164-I$1030)^2,0)</f>
        <v>109.416864869151</v>
      </c>
      <c r="AI164" s="57" t="n">
        <f aca="false">IF(AE164=1,(AA164-J$1030)^2,0)</f>
        <v>0</v>
      </c>
    </row>
    <row r="165" customFormat="false" ht="12" hidden="false" customHeight="false" outlineLevel="0" collapsed="false">
      <c r="A165" s="5" t="n">
        <v>148</v>
      </c>
      <c r="B165" s="58" t="n">
        <f aca="true">IF(RAND()&lt;$D$8,1,0)</f>
        <v>0</v>
      </c>
      <c r="C165" s="47" t="n">
        <f aca="true">-LN(RAND())/$D$2</f>
        <v>0.312374544777347</v>
      </c>
      <c r="D165" s="59" t="n">
        <f aca="false">D164+C165</f>
        <v>143.783507784595</v>
      </c>
      <c r="E165" s="60" t="n">
        <f aca="false">MAX($D$3,(1+P164-VLOOKUP(VALUE(D165),$J$18:$Q164,7,TRUE()))*$D$3)</f>
        <v>12</v>
      </c>
      <c r="F165" s="60" t="n">
        <f aca="false">MAX($D$4,(1+Q164-VLOOKUP(VALUE(D165),$M$18:$Q164,5,TRUE()))*$D$4)</f>
        <v>14</v>
      </c>
      <c r="G165" s="61" t="n">
        <v>0.5</v>
      </c>
      <c r="H165" s="59" t="n">
        <f aca="true">IF((B165=1),(IF((F165&lt;E165),1,(IF((F165=E165),(IF(RAND()&lt;G165,1,0)),0)))),(IF((RAND()&lt;G165),1,0)))</f>
        <v>0</v>
      </c>
      <c r="I165" s="59" t="n">
        <f aca="true">IF((H165=1),0,$D$3+$D$5*(RAND()-0.5))</f>
        <v>2.08434783269225</v>
      </c>
      <c r="J165" s="59" t="n">
        <f aca="false">I165+MAX(D165,J164)</f>
        <v>154.912625387548</v>
      </c>
      <c r="K165" s="59" t="n">
        <f aca="false">IF((H165=0),J165-D165,0)</f>
        <v>11.1291176029527</v>
      </c>
      <c r="L165" s="59" t="n">
        <f aca="true">IF(($H165=0),0,$D$4+$D$5*(RAND()-0.5))</f>
        <v>0</v>
      </c>
      <c r="M165" s="59" t="n">
        <f aca="false">L165+MAX(D165,M164)</f>
        <v>153.931384903576</v>
      </c>
      <c r="N165" s="59" t="n">
        <f aca="false">IF((H165=1),M165-D165,0)</f>
        <v>0</v>
      </c>
      <c r="O165" s="5" t="n">
        <v>148</v>
      </c>
      <c r="P165" s="62" t="n">
        <f aca="false">IF((Arterial=0),P164+1,P164)</f>
        <v>74</v>
      </c>
      <c r="Q165" s="62" t="n">
        <f aca="false">IF((Arterial=1),Q164+1,Q164)</f>
        <v>74</v>
      </c>
      <c r="R165" s="63" t="e">
        <f aca="false">IF((RESET=1),0,R165+K165)</f>
        <v>#N/A</v>
      </c>
      <c r="S165" s="10" t="n">
        <f aca="false">IF(RESET=1,0,S165+N165)</f>
        <v>323.107033646269</v>
      </c>
      <c r="T165" s="0" t="e">
        <f aca="false">IF(RESET=1,0,T165+IF(H165=0,1,0))</f>
        <v>#N/A</v>
      </c>
      <c r="U165" s="0" t="n">
        <f aca="false">IF(RESET=1,0,U165+H165)</f>
        <v>26</v>
      </c>
      <c r="V165" s="10" t="e">
        <f aca="false">R165/(T165+0.00001)</f>
        <v>#N/A</v>
      </c>
      <c r="W165" s="10" t="n">
        <f aca="false">S165/(U165+0.0001)</f>
        <v>12.4271458050649</v>
      </c>
      <c r="X165" s="60" t="n">
        <f aca="false">IF(Informed=1,K165,0)</f>
        <v>0</v>
      </c>
      <c r="Y165" s="60" t="n">
        <f aca="false">IF(Informed=0,K165,0)</f>
        <v>11.1291176029527</v>
      </c>
      <c r="Z165" s="60" t="n">
        <f aca="false">IF(Informed=1,N165,0)</f>
        <v>0</v>
      </c>
      <c r="AA165" s="60" t="n">
        <f aca="false">IF(Informed=0,N165,0)</f>
        <v>0</v>
      </c>
      <c r="AB165" s="64" t="n">
        <f aca="false">IF(Arterial=0,IF(Informed=1,1,0),0)</f>
        <v>0</v>
      </c>
      <c r="AC165" s="64" t="n">
        <f aca="false">IF(Arterial=0,IF(Informed=0,1,0),0)</f>
        <v>1</v>
      </c>
      <c r="AD165" s="64" t="n">
        <f aca="false">IF(Arterial=1,IF(Informed=1,1,0),0)</f>
        <v>0</v>
      </c>
      <c r="AE165" s="64" t="n">
        <f aca="false">IF(Arterial=1,IF(Informed=0,1,0),0)</f>
        <v>0</v>
      </c>
      <c r="AF165" s="57" t="n">
        <f aca="false">IF(AB165=1,(X165-G$1030)^2,0)</f>
        <v>0</v>
      </c>
      <c r="AG165" s="57" t="n">
        <f aca="false">IF(AC165=1,(Y165-H$1030)^2,0)</f>
        <v>123.857258620352</v>
      </c>
      <c r="AH165" s="57" t="n">
        <f aca="false">IF(AD165=1,(Z165-I$1030)^2,0)</f>
        <v>0</v>
      </c>
      <c r="AI165" s="57" t="n">
        <f aca="false">IF(AE165=1,(AA165-J$1030)^2,0)</f>
        <v>0</v>
      </c>
    </row>
    <row r="166" customFormat="false" ht="12" hidden="false" customHeight="false" outlineLevel="0" collapsed="false">
      <c r="A166" s="5" t="n">
        <v>149</v>
      </c>
      <c r="B166" s="58" t="n">
        <f aca="true">IF(RAND()&lt;$D$8,1,0)</f>
        <v>1</v>
      </c>
      <c r="C166" s="47" t="n">
        <f aca="true">-LN(RAND())/$D$2</f>
        <v>0.339973744025916</v>
      </c>
      <c r="D166" s="59" t="n">
        <f aca="false">D165+C166</f>
        <v>144.123481528621</v>
      </c>
      <c r="E166" s="60" t="n">
        <f aca="false">MAX($D$3,(1+P165-VLOOKUP(VALUE(D166),$J$18:$Q165,7,TRUE()))*$D$3)</f>
        <v>14</v>
      </c>
      <c r="F166" s="60" t="n">
        <f aca="false">MAX($D$4,(1+Q165-VLOOKUP(VALUE(D166),$M$18:$Q165,5,TRUE()))*$D$4)</f>
        <v>12</v>
      </c>
      <c r="G166" s="61" t="n">
        <v>0.5</v>
      </c>
      <c r="H166" s="59" t="n">
        <f aca="true">IF((B166=1),(IF((F166&lt;E166),1,(IF((F166=E166),(IF(RAND()&lt;G166,1,0)),0)))),(IF((RAND()&lt;G166),1,0)))</f>
        <v>1</v>
      </c>
      <c r="I166" s="59" t="n">
        <f aca="true">IF((H166=1),0,$D$3+$D$5*(RAND()-0.5))</f>
        <v>0</v>
      </c>
      <c r="J166" s="59" t="n">
        <f aca="false">I166+MAX(D166,J165)</f>
        <v>154.912625387548</v>
      </c>
      <c r="K166" s="59" t="n">
        <f aca="false">IF((H166=0),J166-D166,0)</f>
        <v>0</v>
      </c>
      <c r="L166" s="59" t="n">
        <f aca="true">IF(($H166=0),0,$D$4+$D$5*(RAND()-0.5))</f>
        <v>1.95332785471954</v>
      </c>
      <c r="M166" s="59" t="n">
        <f aca="false">L166+MAX(D166,M165)</f>
        <v>155.884712758295</v>
      </c>
      <c r="N166" s="59" t="n">
        <f aca="false">IF((H166=1),M166-D166,0)</f>
        <v>11.7612312296742</v>
      </c>
      <c r="O166" s="5" t="n">
        <v>149</v>
      </c>
      <c r="P166" s="62" t="n">
        <f aca="false">IF((Arterial=0),P165+1,P165)</f>
        <v>74</v>
      </c>
      <c r="Q166" s="62" t="n">
        <f aca="false">IF((Arterial=1),Q165+1,Q165)</f>
        <v>75</v>
      </c>
      <c r="R166" s="63" t="n">
        <f aca="false">IF((RESET=1),0,R166+K166)</f>
        <v>343.086816662791</v>
      </c>
      <c r="S166" s="10" t="e">
        <f aca="false">IF(RESET=1,0,S166+N166)</f>
        <v>#N/A</v>
      </c>
      <c r="T166" s="0" t="n">
        <f aca="false">IF(RESET=1,0,T166+IF(H166=0,1,0))</f>
        <v>28</v>
      </c>
      <c r="U166" s="0" t="e">
        <f aca="false">IF(RESET=1,0,U166+H166)</f>
        <v>#N/A</v>
      </c>
      <c r="V166" s="10" t="n">
        <f aca="false">R166/(T166+0.00001)</f>
        <v>12.2530962189939</v>
      </c>
      <c r="W166" s="10" t="e">
        <f aca="false">S166/(U166+0.0001)</f>
        <v>#N/A</v>
      </c>
      <c r="X166" s="60" t="n">
        <f aca="false">IF(Informed=1,K166,0)</f>
        <v>0</v>
      </c>
      <c r="Y166" s="60" t="n">
        <f aca="false">IF(Informed=0,K166,0)</f>
        <v>0</v>
      </c>
      <c r="Z166" s="60" t="n">
        <f aca="false">IF(Informed=1,N166,0)</f>
        <v>11.7612312296742</v>
      </c>
      <c r="AA166" s="60" t="n">
        <f aca="false">IF(Informed=0,N166,0)</f>
        <v>0</v>
      </c>
      <c r="AB166" s="64" t="n">
        <f aca="false">IF(Arterial=0,IF(Informed=1,1,0),0)</f>
        <v>0</v>
      </c>
      <c r="AC166" s="64" t="n">
        <f aca="false">IF(Arterial=0,IF(Informed=0,1,0),0)</f>
        <v>0</v>
      </c>
      <c r="AD166" s="64" t="n">
        <f aca="false">IF(Arterial=1,IF(Informed=1,1,0),0)</f>
        <v>1</v>
      </c>
      <c r="AE166" s="64" t="n">
        <f aca="false">IF(Arterial=1,IF(Informed=0,1,0),0)</f>
        <v>0</v>
      </c>
      <c r="AF166" s="57" t="n">
        <f aca="false">IF(AB166=1,(X166-G$1030)^2,0)</f>
        <v>0</v>
      </c>
      <c r="AG166" s="57" t="n">
        <f aca="false">IF(AC166=1,(Y166-H$1030)^2,0)</f>
        <v>0</v>
      </c>
      <c r="AH166" s="57" t="n">
        <f aca="false">IF(AD166=1,(Z166-I$1030)^2,0)</f>
        <v>138.326560037864</v>
      </c>
      <c r="AI166" s="57" t="n">
        <f aca="false">IF(AE166=1,(AA166-J$1030)^2,0)</f>
        <v>0</v>
      </c>
    </row>
    <row r="167" customFormat="false" ht="12" hidden="false" customHeight="false" outlineLevel="0" collapsed="false">
      <c r="A167" s="5" t="n">
        <v>150</v>
      </c>
      <c r="B167" s="58" t="n">
        <f aca="true">IF(RAND()&lt;$D$8,1,0)</f>
        <v>1</v>
      </c>
      <c r="C167" s="47" t="n">
        <f aca="true">-LN(RAND())/$D$2</f>
        <v>0.874620211082295</v>
      </c>
      <c r="D167" s="59" t="n">
        <f aca="false">D166+C167</f>
        <v>144.998101739704</v>
      </c>
      <c r="E167" s="60" t="n">
        <f aca="false">MAX($D$3,(1+P166-VLOOKUP(VALUE(D167),$J$18:$Q166,7,TRUE()))*$D$3)</f>
        <v>12</v>
      </c>
      <c r="F167" s="60" t="n">
        <f aca="false">MAX($D$4,(1+Q166-VLOOKUP(VALUE(D167),$M$18:$Q166,5,TRUE()))*$D$4)</f>
        <v>14</v>
      </c>
      <c r="G167" s="61" t="n">
        <v>0.5</v>
      </c>
      <c r="H167" s="59" t="n">
        <f aca="true">IF((B167=1),(IF((F167&lt;E167),1,(IF((F167=E167),(IF(RAND()&lt;G167,1,0)),0)))),(IF((RAND()&lt;G167),1,0)))</f>
        <v>0</v>
      </c>
      <c r="I167" s="59" t="n">
        <f aca="true">IF((H167=1),0,$D$3+$D$5*(RAND()-0.5))</f>
        <v>1.78899994581133</v>
      </c>
      <c r="J167" s="59" t="n">
        <f aca="false">I167+MAX(D167,J166)</f>
        <v>156.701625333359</v>
      </c>
      <c r="K167" s="59" t="n">
        <f aca="false">IF((H167=0),J167-D167,0)</f>
        <v>11.7035235936559</v>
      </c>
      <c r="L167" s="59" t="n">
        <f aca="true">IF(($H167=0),0,$D$4+$D$5*(RAND()-0.5))</f>
        <v>0</v>
      </c>
      <c r="M167" s="59" t="n">
        <f aca="false">L167+MAX(D167,M166)</f>
        <v>155.884712758295</v>
      </c>
      <c r="N167" s="59" t="n">
        <f aca="false">IF((H167=1),M167-D167,0)</f>
        <v>0</v>
      </c>
      <c r="O167" s="5" t="n">
        <v>150</v>
      </c>
      <c r="P167" s="62" t="n">
        <f aca="false">IF((Arterial=0),P166+1,P166)</f>
        <v>75</v>
      </c>
      <c r="Q167" s="62" t="n">
        <f aca="false">IF((Arterial=1),Q166+1,Q166)</f>
        <v>75</v>
      </c>
      <c r="R167" s="63" t="e">
        <f aca="false">IF((RESET=1),0,R167+K167)</f>
        <v>#N/A</v>
      </c>
      <c r="S167" s="10" t="n">
        <f aca="false">IF(RESET=1,0,S167+N167)</f>
        <v>381.297876261153</v>
      </c>
      <c r="T167" s="0" t="e">
        <f aca="false">IF(RESET=1,0,T167+IF(H167=0,1,0))</f>
        <v>#N/A</v>
      </c>
      <c r="U167" s="0" t="n">
        <f aca="false">IF(RESET=1,0,U167+H167)</f>
        <v>29</v>
      </c>
      <c r="V167" s="10" t="e">
        <f aca="false">R167/(T167+0.00001)</f>
        <v>#N/A</v>
      </c>
      <c r="W167" s="10" t="n">
        <f aca="false">S167/(U167+0.0001)</f>
        <v>13.1481572912215</v>
      </c>
      <c r="X167" s="60" t="n">
        <f aca="false">IF(Informed=1,K167,0)</f>
        <v>11.7035235936559</v>
      </c>
      <c r="Y167" s="60" t="n">
        <f aca="false">IF(Informed=0,K167,0)</f>
        <v>0</v>
      </c>
      <c r="Z167" s="60" t="n">
        <f aca="false">IF(Informed=1,N167,0)</f>
        <v>0</v>
      </c>
      <c r="AA167" s="60" t="n">
        <f aca="false">IF(Informed=0,N167,0)</f>
        <v>0</v>
      </c>
      <c r="AB167" s="64" t="n">
        <f aca="false">IF(Arterial=0,IF(Informed=1,1,0),0)</f>
        <v>1</v>
      </c>
      <c r="AC167" s="64" t="n">
        <f aca="false">IF(Arterial=0,IF(Informed=0,1,0),0)</f>
        <v>0</v>
      </c>
      <c r="AD167" s="64" t="n">
        <f aca="false">IF(Arterial=1,IF(Informed=1,1,0),0)</f>
        <v>0</v>
      </c>
      <c r="AE167" s="64" t="n">
        <f aca="false">IF(Arterial=1,IF(Informed=0,1,0),0)</f>
        <v>0</v>
      </c>
      <c r="AF167" s="57" t="n">
        <f aca="false">IF(AB167=1,(X167-G$1030)^2,0)</f>
        <v>136.972464507259</v>
      </c>
      <c r="AG167" s="57" t="n">
        <f aca="false">IF(AC167=1,(Y167-H$1030)^2,0)</f>
        <v>0</v>
      </c>
      <c r="AH167" s="57" t="n">
        <f aca="false">IF(AD167=1,(Z167-I$1030)^2,0)</f>
        <v>0</v>
      </c>
      <c r="AI167" s="57" t="n">
        <f aca="false">IF(AE167=1,(AA167-J$1030)^2,0)</f>
        <v>0</v>
      </c>
    </row>
    <row r="168" customFormat="false" ht="12" hidden="false" customHeight="false" outlineLevel="0" collapsed="false">
      <c r="A168" s="5" t="n">
        <v>151</v>
      </c>
      <c r="B168" s="58" t="n">
        <f aca="true">IF(RAND()&lt;$D$8,1,0)</f>
        <v>1</v>
      </c>
      <c r="C168" s="47" t="n">
        <f aca="true">-LN(RAND())/$D$2</f>
        <v>1.38232458715275</v>
      </c>
      <c r="D168" s="59" t="n">
        <f aca="false">D167+C168</f>
        <v>146.380426326856</v>
      </c>
      <c r="E168" s="60" t="n">
        <f aca="false">MAX($D$3,(1+P167-VLOOKUP(VALUE(D168),$J$18:$Q167,7,TRUE()))*$D$3)</f>
        <v>14</v>
      </c>
      <c r="F168" s="60" t="n">
        <f aca="false">MAX($D$4,(1+Q167-VLOOKUP(VALUE(D168),$M$18:$Q167,5,TRUE()))*$D$4)</f>
        <v>12</v>
      </c>
      <c r="G168" s="61" t="n">
        <v>0.5</v>
      </c>
      <c r="H168" s="59" t="n">
        <f aca="true">IF((B168=1),(IF((F168&lt;E168),1,(IF((F168=E168),(IF(RAND()&lt;G168,1,0)),0)))),(IF((RAND()&lt;G168),1,0)))</f>
        <v>1</v>
      </c>
      <c r="I168" s="59" t="n">
        <f aca="true">IF((H168=1),0,$D$3+$D$5*(RAND()-0.5))</f>
        <v>0</v>
      </c>
      <c r="J168" s="59" t="n">
        <f aca="false">I168+MAX(D168,J167)</f>
        <v>156.701625333359</v>
      </c>
      <c r="K168" s="59" t="n">
        <f aca="false">IF((H168=0),J168-D168,0)</f>
        <v>0</v>
      </c>
      <c r="L168" s="59" t="n">
        <f aca="true">IF(($H168=0),0,$D$4+$D$5*(RAND()-0.5))</f>
        <v>1.83025832473305</v>
      </c>
      <c r="M168" s="59" t="n">
        <f aca="false">L168+MAX(D168,M167)</f>
        <v>157.714971083028</v>
      </c>
      <c r="N168" s="59" t="n">
        <f aca="false">IF((H168=1),M168-D168,0)</f>
        <v>11.3345447561723</v>
      </c>
      <c r="O168" s="5" t="n">
        <v>151</v>
      </c>
      <c r="P168" s="62" t="n">
        <f aca="false">IF((Arterial=0),P167+1,P167)</f>
        <v>75</v>
      </c>
      <c r="Q168" s="62" t="n">
        <f aca="false">IF((Arterial=1),Q167+1,Q167)</f>
        <v>76</v>
      </c>
      <c r="R168" s="63" t="n">
        <f aca="false">IF((RESET=1),0,R168+K168)</f>
        <v>391.184756144391</v>
      </c>
      <c r="S168" s="10" t="e">
        <f aca="false">IF(RESET=1,0,S168+N168)</f>
        <v>#N/A</v>
      </c>
      <c r="T168" s="0" t="n">
        <f aca="false">IF(RESET=1,0,T168+IF(H168=0,1,0))</f>
        <v>30</v>
      </c>
      <c r="U168" s="0" t="e">
        <f aca="false">IF(RESET=1,0,U168+H168)</f>
        <v>#N/A</v>
      </c>
      <c r="V168" s="10" t="n">
        <f aca="false">R168/(T168+0.00001)</f>
        <v>13.0394875249839</v>
      </c>
      <c r="W168" s="10" t="e">
        <f aca="false">S168/(U168+0.0001)</f>
        <v>#N/A</v>
      </c>
      <c r="X168" s="60" t="n">
        <f aca="false">IF(Informed=1,K168,0)</f>
        <v>0</v>
      </c>
      <c r="Y168" s="60" t="n">
        <f aca="false">IF(Informed=0,K168,0)</f>
        <v>0</v>
      </c>
      <c r="Z168" s="60" t="n">
        <f aca="false">IF(Informed=1,N168,0)</f>
        <v>11.3345447561723</v>
      </c>
      <c r="AA168" s="60" t="n">
        <f aca="false">IF(Informed=0,N168,0)</f>
        <v>0</v>
      </c>
      <c r="AB168" s="64" t="n">
        <f aca="false">IF(Arterial=0,IF(Informed=1,1,0),0)</f>
        <v>0</v>
      </c>
      <c r="AC168" s="64" t="n">
        <f aca="false">IF(Arterial=0,IF(Informed=0,1,0),0)</f>
        <v>0</v>
      </c>
      <c r="AD168" s="64" t="n">
        <f aca="false">IF(Arterial=1,IF(Informed=1,1,0),0)</f>
        <v>1</v>
      </c>
      <c r="AE168" s="64" t="n">
        <f aca="false">IF(Arterial=1,IF(Informed=0,1,0),0)</f>
        <v>0</v>
      </c>
      <c r="AF168" s="57" t="n">
        <f aca="false">IF(AB168=1,(X168-G$1030)^2,0)</f>
        <v>0</v>
      </c>
      <c r="AG168" s="57" t="n">
        <f aca="false">IF(AC168=1,(Y168-H$1030)^2,0)</f>
        <v>0</v>
      </c>
      <c r="AH168" s="57" t="n">
        <f aca="false">IF(AD168=1,(Z168-I$1030)^2,0)</f>
        <v>128.471904829672</v>
      </c>
      <c r="AI168" s="57" t="n">
        <f aca="false">IF(AE168=1,(AA168-J$1030)^2,0)</f>
        <v>0</v>
      </c>
    </row>
    <row r="169" customFormat="false" ht="12" hidden="false" customHeight="false" outlineLevel="0" collapsed="false">
      <c r="A169" s="5" t="n">
        <v>152</v>
      </c>
      <c r="B169" s="58" t="n">
        <f aca="true">IF(RAND()&lt;$D$8,1,0)</f>
        <v>0</v>
      </c>
      <c r="C169" s="47" t="n">
        <f aca="true">-LN(RAND())/$D$2</f>
        <v>0.15458356608922</v>
      </c>
      <c r="D169" s="59" t="n">
        <f aca="false">D168+C169</f>
        <v>146.535009892945</v>
      </c>
      <c r="E169" s="60" t="n">
        <f aca="false">MAX($D$3,(1+P168-VLOOKUP(VALUE(D169),$J$18:$Q168,7,TRUE()))*$D$3)</f>
        <v>12</v>
      </c>
      <c r="F169" s="60" t="n">
        <f aca="false">MAX($D$4,(1+Q168-VLOOKUP(VALUE(D169),$M$18:$Q168,5,TRUE()))*$D$4)</f>
        <v>14</v>
      </c>
      <c r="G169" s="61" t="n">
        <v>0.5</v>
      </c>
      <c r="H169" s="59" t="n">
        <f aca="true">IF((B169=1),(IF((F169&lt;E169),1,(IF((F169=E169),(IF(RAND()&lt;G169,1,0)),0)))),(IF((RAND()&lt;G169),1,0)))</f>
        <v>1</v>
      </c>
      <c r="I169" s="59" t="n">
        <f aca="true">IF((H169=1),0,$D$3+$D$5*(RAND()-0.5))</f>
        <v>0</v>
      </c>
      <c r="J169" s="59" t="n">
        <f aca="false">I169+MAX(D169,J168)</f>
        <v>156.701625333359</v>
      </c>
      <c r="K169" s="59" t="n">
        <f aca="false">IF((H169=0),J169-D169,0)</f>
        <v>0</v>
      </c>
      <c r="L169" s="59" t="n">
        <f aca="true">IF(($H169=0),0,$D$4+$D$5*(RAND()-0.5))</f>
        <v>2.04741020954845</v>
      </c>
      <c r="M169" s="59" t="n">
        <f aca="false">L169+MAX(D169,M168)</f>
        <v>159.762381292577</v>
      </c>
      <c r="N169" s="59" t="n">
        <f aca="false">IF((H169=1),M169-D169,0)</f>
        <v>13.2273713996315</v>
      </c>
      <c r="O169" s="5" t="n">
        <v>152</v>
      </c>
      <c r="P169" s="62" t="n">
        <f aca="false">IF((Arterial=0),P168+1,P168)</f>
        <v>75</v>
      </c>
      <c r="Q169" s="62" t="n">
        <f aca="false">IF((Arterial=1),Q168+1,Q168)</f>
        <v>77</v>
      </c>
      <c r="R169" s="63" t="n">
        <f aca="false">IF((RESET=1),0,R169+K169)</f>
        <v>264.527865737051</v>
      </c>
      <c r="S169" s="10" t="e">
        <f aca="false">IF(RESET=1,0,S169+N169)</f>
        <v>#N/A</v>
      </c>
      <c r="T169" s="0" t="n">
        <f aca="false">IF(RESET=1,0,T169+IF(H169=0,1,0))</f>
        <v>26</v>
      </c>
      <c r="U169" s="0" t="e">
        <f aca="false">IF(RESET=1,0,U169+H169)</f>
        <v>#N/A</v>
      </c>
      <c r="V169" s="10" t="n">
        <f aca="false">R169/(T169+0.00001)</f>
        <v>10.1741447690617</v>
      </c>
      <c r="W169" s="10" t="e">
        <f aca="false">S169/(U169+0.0001)</f>
        <v>#N/A</v>
      </c>
      <c r="X169" s="60" t="n">
        <f aca="false">IF(Informed=1,K169,0)</f>
        <v>0</v>
      </c>
      <c r="Y169" s="60" t="n">
        <f aca="false">IF(Informed=0,K169,0)</f>
        <v>0</v>
      </c>
      <c r="Z169" s="60" t="n">
        <f aca="false">IF(Informed=1,N169,0)</f>
        <v>0</v>
      </c>
      <c r="AA169" s="60" t="n">
        <f aca="false">IF(Informed=0,N169,0)</f>
        <v>13.2273713996315</v>
      </c>
      <c r="AB169" s="64" t="n">
        <f aca="false">IF(Arterial=0,IF(Informed=1,1,0),0)</f>
        <v>0</v>
      </c>
      <c r="AC169" s="64" t="n">
        <f aca="false">IF(Arterial=0,IF(Informed=0,1,0),0)</f>
        <v>0</v>
      </c>
      <c r="AD169" s="64" t="n">
        <f aca="false">IF(Arterial=1,IF(Informed=1,1,0),0)</f>
        <v>0</v>
      </c>
      <c r="AE169" s="64" t="n">
        <f aca="false">IF(Arterial=1,IF(Informed=0,1,0),0)</f>
        <v>1</v>
      </c>
      <c r="AF169" s="57" t="n">
        <f aca="false">IF(AB169=1,(X169-G$1030)^2,0)</f>
        <v>0</v>
      </c>
      <c r="AG169" s="57" t="n">
        <f aca="false">IF(AC169=1,(Y169-H$1030)^2,0)</f>
        <v>0</v>
      </c>
      <c r="AH169" s="57" t="n">
        <f aca="false">IF(AD169=1,(Z169-I$1030)^2,0)</f>
        <v>0</v>
      </c>
      <c r="AI169" s="57" t="n">
        <f aca="false">IF(AE169=1,(AA169-J$1030)^2,0)</f>
        <v>174.963354143788</v>
      </c>
    </row>
    <row r="170" customFormat="false" ht="12" hidden="false" customHeight="false" outlineLevel="0" collapsed="false">
      <c r="A170" s="5" t="n">
        <v>153</v>
      </c>
      <c r="B170" s="58" t="n">
        <f aca="true">IF(RAND()&lt;$D$8,1,0)</f>
        <v>1</v>
      </c>
      <c r="C170" s="47" t="n">
        <f aca="true">-LN(RAND())/$D$2</f>
        <v>1.2386929365517</v>
      </c>
      <c r="D170" s="59" t="n">
        <f aca="false">D169+C170</f>
        <v>147.773702829497</v>
      </c>
      <c r="E170" s="60" t="n">
        <f aca="false">MAX($D$3,(1+P169-VLOOKUP(VALUE(D170),$J$18:$Q169,7,TRUE()))*$D$3)</f>
        <v>12</v>
      </c>
      <c r="F170" s="60" t="n">
        <f aca="false">MAX($D$4,(1+Q169-VLOOKUP(VALUE(D170),$M$18:$Q169,5,TRUE()))*$D$4)</f>
        <v>16</v>
      </c>
      <c r="G170" s="61" t="n">
        <v>0.5</v>
      </c>
      <c r="H170" s="59" t="n">
        <f aca="true">IF((B170=1),(IF((F170&lt;E170),1,(IF((F170=E170),(IF(RAND()&lt;G170,1,0)),0)))),(IF((RAND()&lt;G170),1,0)))</f>
        <v>0</v>
      </c>
      <c r="I170" s="59" t="n">
        <f aca="true">IF((H170=1),0,$D$3+$D$5*(RAND()-0.5))</f>
        <v>2.13600404444892</v>
      </c>
      <c r="J170" s="59" t="n">
        <f aca="false">I170+MAX(D170,J169)</f>
        <v>158.837629377808</v>
      </c>
      <c r="K170" s="59" t="n">
        <f aca="false">IF((H170=0),J170-D170,0)</f>
        <v>11.0639265483111</v>
      </c>
      <c r="L170" s="59" t="n">
        <f aca="true">IF(($H170=0),0,$D$4+$D$5*(RAND()-0.5))</f>
        <v>0</v>
      </c>
      <c r="M170" s="59" t="n">
        <f aca="false">L170+MAX(D170,M169)</f>
        <v>159.762381292577</v>
      </c>
      <c r="N170" s="59" t="n">
        <f aca="false">IF((H170=1),M170-D170,0)</f>
        <v>0</v>
      </c>
      <c r="O170" s="5" t="n">
        <v>153</v>
      </c>
      <c r="P170" s="62" t="n">
        <f aca="false">IF((Arterial=0),P169+1,P169)</f>
        <v>76</v>
      </c>
      <c r="Q170" s="62" t="n">
        <f aca="false">IF((Arterial=1),Q169+1,Q169)</f>
        <v>77</v>
      </c>
      <c r="R170" s="63" t="e">
        <f aca="false">IF((RESET=1),0,R170+K170)</f>
        <v>#N/A</v>
      </c>
      <c r="S170" s="10" t="n">
        <f aca="false">IF(RESET=1,0,S170+N170)</f>
        <v>294.174338817602</v>
      </c>
      <c r="T170" s="0" t="e">
        <f aca="false">IF(RESET=1,0,T170+IF(H170=0,1,0))</f>
        <v>#N/A</v>
      </c>
      <c r="U170" s="0" t="n">
        <f aca="false">IF(RESET=1,0,U170+H170)</f>
        <v>26</v>
      </c>
      <c r="V170" s="10" t="e">
        <f aca="false">R170/(T170+0.00001)</f>
        <v>#N/A</v>
      </c>
      <c r="W170" s="10" t="n">
        <f aca="false">S170/(U170+0.0001)</f>
        <v>11.3143541300842</v>
      </c>
      <c r="X170" s="60" t="n">
        <f aca="false">IF(Informed=1,K170,0)</f>
        <v>11.0639265483111</v>
      </c>
      <c r="Y170" s="60" t="n">
        <f aca="false">IF(Informed=0,K170,0)</f>
        <v>0</v>
      </c>
      <c r="Z170" s="60" t="n">
        <f aca="false">IF(Informed=1,N170,0)</f>
        <v>0</v>
      </c>
      <c r="AA170" s="60" t="n">
        <f aca="false">IF(Informed=0,N170,0)</f>
        <v>0</v>
      </c>
      <c r="AB170" s="64" t="n">
        <f aca="false">IF(Arterial=0,IF(Informed=1,1,0),0)</f>
        <v>1</v>
      </c>
      <c r="AC170" s="64" t="n">
        <f aca="false">IF(Arterial=0,IF(Informed=0,1,0),0)</f>
        <v>0</v>
      </c>
      <c r="AD170" s="64" t="n">
        <f aca="false">IF(Arterial=1,IF(Informed=1,1,0),0)</f>
        <v>0</v>
      </c>
      <c r="AE170" s="64" t="n">
        <f aca="false">IF(Arterial=1,IF(Informed=0,1,0),0)</f>
        <v>0</v>
      </c>
      <c r="AF170" s="57" t="n">
        <f aca="false">IF(AB170=1,(X170-G$1030)^2,0)</f>
        <v>122.410470666424</v>
      </c>
      <c r="AG170" s="57" t="n">
        <f aca="false">IF(AC170=1,(Y170-H$1030)^2,0)</f>
        <v>0</v>
      </c>
      <c r="AH170" s="57" t="n">
        <f aca="false">IF(AD170=1,(Z170-I$1030)^2,0)</f>
        <v>0</v>
      </c>
      <c r="AI170" s="57" t="n">
        <f aca="false">IF(AE170=1,(AA170-J$1030)^2,0)</f>
        <v>0</v>
      </c>
    </row>
    <row r="171" customFormat="false" ht="12" hidden="false" customHeight="false" outlineLevel="0" collapsed="false">
      <c r="A171" s="5" t="n">
        <v>154</v>
      </c>
      <c r="B171" s="58" t="n">
        <f aca="true">IF(RAND()&lt;$D$8,1,0)</f>
        <v>1</v>
      </c>
      <c r="C171" s="47" t="n">
        <f aca="true">-LN(RAND())/$D$2</f>
        <v>1.59459704196296</v>
      </c>
      <c r="D171" s="59" t="n">
        <f aca="false">D170+C171</f>
        <v>149.36829987146</v>
      </c>
      <c r="E171" s="60" t="n">
        <f aca="false">MAX($D$3,(1+P170-VLOOKUP(VALUE(D171),$J$18:$Q170,7,TRUE()))*$D$3)</f>
        <v>12</v>
      </c>
      <c r="F171" s="60" t="n">
        <f aca="false">MAX($D$4,(1+Q170-VLOOKUP(VALUE(D171),$M$18:$Q170,5,TRUE()))*$D$4)</f>
        <v>14</v>
      </c>
      <c r="G171" s="61" t="n">
        <v>0.5</v>
      </c>
      <c r="H171" s="59" t="n">
        <f aca="true">IF((B171=1),(IF((F171&lt;E171),1,(IF((F171=E171),(IF(RAND()&lt;G171,1,0)),0)))),(IF((RAND()&lt;G171),1,0)))</f>
        <v>0</v>
      </c>
      <c r="I171" s="59" t="n">
        <f aca="true">IF((H171=1),0,$D$3+$D$5*(RAND()-0.5))</f>
        <v>2.18603954608059</v>
      </c>
      <c r="J171" s="59" t="n">
        <f aca="false">I171+MAX(D171,J170)</f>
        <v>161.023668923889</v>
      </c>
      <c r="K171" s="59" t="n">
        <f aca="false">IF((H171=0),J171-D171,0)</f>
        <v>11.6553690524287</v>
      </c>
      <c r="L171" s="59" t="n">
        <f aca="true">IF(($H171=0),0,$D$4+$D$5*(RAND()-0.5))</f>
        <v>0</v>
      </c>
      <c r="M171" s="59" t="n">
        <f aca="false">L171+MAX(D171,M170)</f>
        <v>159.762381292577</v>
      </c>
      <c r="N171" s="59" t="n">
        <f aca="false">IF((H171=1),M171-D171,0)</f>
        <v>0</v>
      </c>
      <c r="O171" s="5" t="n">
        <v>154</v>
      </c>
      <c r="P171" s="62" t="n">
        <f aca="false">IF((Arterial=0),P170+1,P170)</f>
        <v>77</v>
      </c>
      <c r="Q171" s="62" t="n">
        <f aca="false">IF((Arterial=1),Q170+1,Q170)</f>
        <v>77</v>
      </c>
      <c r="R171" s="63" t="e">
        <f aca="false">IF((RESET=1),0,R171+K171)</f>
        <v>#N/A</v>
      </c>
      <c r="S171" s="10" t="n">
        <f aca="false">IF(RESET=1,0,S171+N171)</f>
        <v>335.854712250867</v>
      </c>
      <c r="T171" s="0" t="e">
        <f aca="false">IF(RESET=1,0,T171+IF(H171=0,1,0))</f>
        <v>#N/A</v>
      </c>
      <c r="U171" s="0" t="n">
        <f aca="false">IF(RESET=1,0,U171+H171)</f>
        <v>27</v>
      </c>
      <c r="V171" s="10" t="e">
        <f aca="false">R171/(T171+0.00001)</f>
        <v>#N/A</v>
      </c>
      <c r="W171" s="10" t="n">
        <f aca="false">S171/(U171+0.0001)</f>
        <v>12.4390173462641</v>
      </c>
      <c r="X171" s="60" t="n">
        <f aca="false">IF(Informed=1,K171,0)</f>
        <v>11.6553690524287</v>
      </c>
      <c r="Y171" s="60" t="n">
        <f aca="false">IF(Informed=0,K171,0)</f>
        <v>0</v>
      </c>
      <c r="Z171" s="60" t="n">
        <f aca="false">IF(Informed=1,N171,0)</f>
        <v>0</v>
      </c>
      <c r="AA171" s="60" t="n">
        <f aca="false">IF(Informed=0,N171,0)</f>
        <v>0</v>
      </c>
      <c r="AB171" s="64" t="n">
        <f aca="false">IF(Arterial=0,IF(Informed=1,1,0),0)</f>
        <v>1</v>
      </c>
      <c r="AC171" s="64" t="n">
        <f aca="false">IF(Arterial=0,IF(Informed=0,1,0),0)</f>
        <v>0</v>
      </c>
      <c r="AD171" s="64" t="n">
        <f aca="false">IF(Arterial=1,IF(Informed=1,1,0),0)</f>
        <v>0</v>
      </c>
      <c r="AE171" s="64" t="n">
        <f aca="false">IF(Arterial=1,IF(Informed=0,1,0),0)</f>
        <v>0</v>
      </c>
      <c r="AF171" s="57" t="n">
        <f aca="false">IF(AB171=1,(X171-G$1030)^2,0)</f>
        <v>135.847627748314</v>
      </c>
      <c r="AG171" s="57" t="n">
        <f aca="false">IF(AC171=1,(Y171-H$1030)^2,0)</f>
        <v>0</v>
      </c>
      <c r="AH171" s="57" t="n">
        <f aca="false">IF(AD171=1,(Z171-I$1030)^2,0)</f>
        <v>0</v>
      </c>
      <c r="AI171" s="57" t="n">
        <f aca="false">IF(AE171=1,(AA171-J$1030)^2,0)</f>
        <v>0</v>
      </c>
    </row>
    <row r="172" customFormat="false" ht="12" hidden="false" customHeight="false" outlineLevel="0" collapsed="false">
      <c r="A172" s="5" t="n">
        <v>155</v>
      </c>
      <c r="B172" s="58" t="n">
        <f aca="true">IF(RAND()&lt;$D$8,1,0)</f>
        <v>0</v>
      </c>
      <c r="C172" s="47" t="n">
        <f aca="true">-LN(RAND())/$D$2</f>
        <v>1.02550848044885</v>
      </c>
      <c r="D172" s="59" t="n">
        <f aca="false">D171+C172</f>
        <v>150.393808351909</v>
      </c>
      <c r="E172" s="60" t="n">
        <f aca="false">MAX($D$3,(1+P171-VLOOKUP(VALUE(D172),$J$18:$Q171,7,TRUE()))*$D$3)</f>
        <v>14</v>
      </c>
      <c r="F172" s="60" t="n">
        <f aca="false">MAX($D$4,(1+Q171-VLOOKUP(VALUE(D172),$M$18:$Q171,5,TRUE()))*$D$4)</f>
        <v>12</v>
      </c>
      <c r="G172" s="61" t="n">
        <v>0.5</v>
      </c>
      <c r="H172" s="59" t="n">
        <f aca="true">IF((B172=1),(IF((F172&lt;E172),1,(IF((F172=E172),(IF(RAND()&lt;G172,1,0)),0)))),(IF((RAND()&lt;G172),1,0)))</f>
        <v>1</v>
      </c>
      <c r="I172" s="59" t="n">
        <f aca="true">IF((H172=1),0,$D$3+$D$5*(RAND()-0.5))</f>
        <v>0</v>
      </c>
      <c r="J172" s="59" t="n">
        <f aca="false">I172+MAX(D172,J171)</f>
        <v>161.023668923889</v>
      </c>
      <c r="K172" s="59" t="n">
        <f aca="false">IF((H172=0),J172-D172,0)</f>
        <v>0</v>
      </c>
      <c r="L172" s="59" t="n">
        <f aca="true">IF(($H172=0),0,$D$4+$D$5*(RAND()-0.5))</f>
        <v>1.7753361803416</v>
      </c>
      <c r="M172" s="59" t="n">
        <f aca="false">L172+MAX(D172,M171)</f>
        <v>161.537717472919</v>
      </c>
      <c r="N172" s="59" t="n">
        <f aca="false">IF((H172=1),M172-D172,0)</f>
        <v>11.1439091210096</v>
      </c>
      <c r="O172" s="5" t="n">
        <v>155</v>
      </c>
      <c r="P172" s="62" t="n">
        <f aca="false">IF((Arterial=0),P171+1,P171)</f>
        <v>77</v>
      </c>
      <c r="Q172" s="62" t="n">
        <f aca="false">IF((Arterial=1),Q171+1,Q171)</f>
        <v>78</v>
      </c>
      <c r="R172" s="63" t="n">
        <f aca="false">IF((RESET=1),0,R172+K172)</f>
        <v>239.656759369906</v>
      </c>
      <c r="S172" s="10" t="e">
        <f aca="false">IF(RESET=1,0,S172+N172)</f>
        <v>#N/A</v>
      </c>
      <c r="T172" s="0" t="n">
        <f aca="false">IF(RESET=1,0,T172+IF(H172=0,1,0))</f>
        <v>20</v>
      </c>
      <c r="U172" s="0" t="e">
        <f aca="false">IF(RESET=1,0,U172+H172)</f>
        <v>#N/A</v>
      </c>
      <c r="V172" s="10" t="n">
        <f aca="false">R172/(T172+0.00001)</f>
        <v>11.9828319770793</v>
      </c>
      <c r="W172" s="10" t="e">
        <f aca="false">S172/(U172+0.0001)</f>
        <v>#N/A</v>
      </c>
      <c r="X172" s="60" t="n">
        <f aca="false">IF(Informed=1,K172,0)</f>
        <v>0</v>
      </c>
      <c r="Y172" s="60" t="n">
        <f aca="false">IF(Informed=0,K172,0)</f>
        <v>0</v>
      </c>
      <c r="Z172" s="60" t="n">
        <f aca="false">IF(Informed=1,N172,0)</f>
        <v>0</v>
      </c>
      <c r="AA172" s="60" t="n">
        <f aca="false">IF(Informed=0,N172,0)</f>
        <v>11.1439091210096</v>
      </c>
      <c r="AB172" s="64" t="n">
        <f aca="false">IF(Arterial=0,IF(Informed=1,1,0),0)</f>
        <v>0</v>
      </c>
      <c r="AC172" s="64" t="n">
        <f aca="false">IF(Arterial=0,IF(Informed=0,1,0),0)</f>
        <v>0</v>
      </c>
      <c r="AD172" s="64" t="n">
        <f aca="false">IF(Arterial=1,IF(Informed=1,1,0),0)</f>
        <v>0</v>
      </c>
      <c r="AE172" s="64" t="n">
        <f aca="false">IF(Arterial=1,IF(Informed=0,1,0),0)</f>
        <v>1</v>
      </c>
      <c r="AF172" s="57" t="n">
        <f aca="false">IF(AB172=1,(X172-G$1030)^2,0)</f>
        <v>0</v>
      </c>
      <c r="AG172" s="57" t="n">
        <f aca="false">IF(AC172=1,(Y172-H$1030)^2,0)</f>
        <v>0</v>
      </c>
      <c r="AH172" s="57" t="n">
        <f aca="false">IF(AD172=1,(Z172-I$1030)^2,0)</f>
        <v>0</v>
      </c>
      <c r="AI172" s="57" t="n">
        <f aca="false">IF(AE172=1,(AA172-J$1030)^2,0)</f>
        <v>124.18671049732</v>
      </c>
    </row>
    <row r="173" customFormat="false" ht="12" hidden="false" customHeight="false" outlineLevel="0" collapsed="false">
      <c r="A173" s="5" t="n">
        <v>156</v>
      </c>
      <c r="B173" s="58" t="n">
        <f aca="true">IF(RAND()&lt;$D$8,1,0)</f>
        <v>1</v>
      </c>
      <c r="C173" s="47" t="n">
        <f aca="true">-LN(RAND())/$D$2</f>
        <v>1.99642219332076</v>
      </c>
      <c r="D173" s="59" t="n">
        <f aca="false">D172+C173</f>
        <v>152.39023054523</v>
      </c>
      <c r="E173" s="60" t="n">
        <f aca="false">MAX($D$3,(1+P172-VLOOKUP(VALUE(D173),$J$18:$Q172,7,TRUE()))*$D$3)</f>
        <v>12</v>
      </c>
      <c r="F173" s="60" t="n">
        <f aca="false">MAX($D$4,(1+Q172-VLOOKUP(VALUE(D173),$M$18:$Q172,5,TRUE()))*$D$4)</f>
        <v>12</v>
      </c>
      <c r="G173" s="61" t="n">
        <v>0.5</v>
      </c>
      <c r="H173" s="59" t="n">
        <f aca="true">IF((B173=1),(IF((F173&lt;E173),1,(IF((F173=E173),(IF(RAND()&lt;G173,1,0)),0)))),(IF((RAND()&lt;G173),1,0)))</f>
        <v>0</v>
      </c>
      <c r="I173" s="59" t="n">
        <f aca="true">IF((H173=1),0,$D$3+$D$5*(RAND()-0.5))</f>
        <v>2.20357850485399</v>
      </c>
      <c r="J173" s="59" t="n">
        <f aca="false">I173+MAX(D173,J172)</f>
        <v>163.227247428743</v>
      </c>
      <c r="K173" s="59" t="n">
        <f aca="false">IF((H173=0),J173-D173,0)</f>
        <v>10.8370168835131</v>
      </c>
      <c r="L173" s="59" t="n">
        <f aca="true">IF(($H173=0),0,$D$4+$D$5*(RAND()-0.5))</f>
        <v>0</v>
      </c>
      <c r="M173" s="59" t="n">
        <f aca="false">L173+MAX(D173,M172)</f>
        <v>161.537717472919</v>
      </c>
      <c r="N173" s="59" t="n">
        <f aca="false">IF((H173=1),M173-D173,0)</f>
        <v>0</v>
      </c>
      <c r="O173" s="5" t="n">
        <v>156</v>
      </c>
      <c r="P173" s="62" t="n">
        <f aca="false">IF((Arterial=0),P172+1,P172)</f>
        <v>78</v>
      </c>
      <c r="Q173" s="62" t="n">
        <f aca="false">IF((Arterial=1),Q172+1,Q172)</f>
        <v>78</v>
      </c>
      <c r="R173" s="63" t="e">
        <f aca="false">IF((RESET=1),0,R173+K173)</f>
        <v>#N/A</v>
      </c>
      <c r="S173" s="10" t="n">
        <f aca="false">IF(RESET=1,0,S173+N173)</f>
        <v>282.113657013384</v>
      </c>
      <c r="T173" s="0" t="e">
        <f aca="false">IF(RESET=1,0,T173+IF(H173=0,1,0))</f>
        <v>#N/A</v>
      </c>
      <c r="U173" s="0" t="n">
        <f aca="false">IF(RESET=1,0,U173+H173)</f>
        <v>24</v>
      </c>
      <c r="V173" s="10" t="e">
        <f aca="false">R173/(T173+0.00001)</f>
        <v>#N/A</v>
      </c>
      <c r="W173" s="10" t="n">
        <f aca="false">S173/(U173+0.0001)</f>
        <v>11.7546867310296</v>
      </c>
      <c r="X173" s="60" t="n">
        <f aca="false">IF(Informed=1,K173,0)</f>
        <v>10.8370168835131</v>
      </c>
      <c r="Y173" s="60" t="n">
        <f aca="false">IF(Informed=0,K173,0)</f>
        <v>0</v>
      </c>
      <c r="Z173" s="60" t="n">
        <f aca="false">IF(Informed=1,N173,0)</f>
        <v>0</v>
      </c>
      <c r="AA173" s="60" t="n">
        <f aca="false">IF(Informed=0,N173,0)</f>
        <v>0</v>
      </c>
      <c r="AB173" s="64" t="n">
        <f aca="false">IF(Arterial=0,IF(Informed=1,1,0),0)</f>
        <v>1</v>
      </c>
      <c r="AC173" s="64" t="n">
        <f aca="false">IF(Arterial=0,IF(Informed=0,1,0),0)</f>
        <v>0</v>
      </c>
      <c r="AD173" s="64" t="n">
        <f aca="false">IF(Arterial=1,IF(Informed=1,1,0),0)</f>
        <v>0</v>
      </c>
      <c r="AE173" s="64" t="n">
        <f aca="false">IF(Arterial=1,IF(Informed=0,1,0),0)</f>
        <v>0</v>
      </c>
      <c r="AF173" s="57" t="n">
        <f aca="false">IF(AB173=1,(X173-G$1030)^2,0)</f>
        <v>117.440934933548</v>
      </c>
      <c r="AG173" s="57" t="n">
        <f aca="false">IF(AC173=1,(Y173-H$1030)^2,0)</f>
        <v>0</v>
      </c>
      <c r="AH173" s="57" t="n">
        <f aca="false">IF(AD173=1,(Z173-I$1030)^2,0)</f>
        <v>0</v>
      </c>
      <c r="AI173" s="57" t="n">
        <f aca="false">IF(AE173=1,(AA173-J$1030)^2,0)</f>
        <v>0</v>
      </c>
    </row>
    <row r="174" customFormat="false" ht="12" hidden="false" customHeight="false" outlineLevel="0" collapsed="false">
      <c r="A174" s="5" t="n">
        <v>157</v>
      </c>
      <c r="B174" s="58" t="n">
        <f aca="true">IF(RAND()&lt;$D$8,1,0)</f>
        <v>1</v>
      </c>
      <c r="C174" s="47" t="n">
        <f aca="true">-LN(RAND())/$D$2</f>
        <v>0.356009093898884</v>
      </c>
      <c r="D174" s="59" t="n">
        <f aca="false">D173+C174</f>
        <v>152.746239639129</v>
      </c>
      <c r="E174" s="60" t="n">
        <f aca="false">MAX($D$3,(1+P173-VLOOKUP(VALUE(D174),$J$18:$Q173,7,TRUE()))*$D$3)</f>
        <v>14</v>
      </c>
      <c r="F174" s="60" t="n">
        <f aca="false">MAX($D$4,(1+Q173-VLOOKUP(VALUE(D174),$M$18:$Q173,5,TRUE()))*$D$4)</f>
        <v>12</v>
      </c>
      <c r="G174" s="61" t="n">
        <v>0.5</v>
      </c>
      <c r="H174" s="59" t="n">
        <f aca="true">IF((B174=1),(IF((F174&lt;E174),1,(IF((F174=E174),(IF(RAND()&lt;G174,1,0)),0)))),(IF((RAND()&lt;G174),1,0)))</f>
        <v>1</v>
      </c>
      <c r="I174" s="59" t="n">
        <f aca="true">IF((H174=1),0,$D$3+$D$5*(RAND()-0.5))</f>
        <v>0</v>
      </c>
      <c r="J174" s="59" t="n">
        <f aca="false">I174+MAX(D174,J173)</f>
        <v>163.227247428743</v>
      </c>
      <c r="K174" s="59" t="n">
        <f aca="false">IF((H174=0),J174-D174,0)</f>
        <v>0</v>
      </c>
      <c r="L174" s="59" t="n">
        <f aca="true">IF(($H174=0),0,$D$4+$D$5*(RAND()-0.5))</f>
        <v>2.05594535277957</v>
      </c>
      <c r="M174" s="59" t="n">
        <f aca="false">L174+MAX(D174,M173)</f>
        <v>163.593662825698</v>
      </c>
      <c r="N174" s="59" t="n">
        <f aca="false">IF((H174=1),M174-D174,0)</f>
        <v>10.8474231865695</v>
      </c>
      <c r="O174" s="5" t="n">
        <v>157</v>
      </c>
      <c r="P174" s="62" t="n">
        <f aca="false">IF((Arterial=0),P173+1,P173)</f>
        <v>78</v>
      </c>
      <c r="Q174" s="62" t="n">
        <f aca="false">IF((Arterial=1),Q173+1,Q173)</f>
        <v>79</v>
      </c>
      <c r="R174" s="63" t="n">
        <f aca="false">IF((RESET=1),0,R174+K174)</f>
        <v>361.636609688839</v>
      </c>
      <c r="S174" s="10" t="e">
        <f aca="false">IF(RESET=1,0,S174+N174)</f>
        <v>#N/A</v>
      </c>
      <c r="T174" s="0" t="n">
        <f aca="false">IF(RESET=1,0,T174+IF(H174=0,1,0))</f>
        <v>29</v>
      </c>
      <c r="U174" s="0" t="e">
        <f aca="false">IF(RESET=1,0,U174+H174)</f>
        <v>#N/A</v>
      </c>
      <c r="V174" s="10" t="n">
        <f aca="false">R174/(T174+0.00001)</f>
        <v>12.4702236202277</v>
      </c>
      <c r="W174" s="10" t="e">
        <f aca="false">S174/(U174+0.0001)</f>
        <v>#N/A</v>
      </c>
      <c r="X174" s="60" t="n">
        <f aca="false">IF(Informed=1,K174,0)</f>
        <v>0</v>
      </c>
      <c r="Y174" s="60" t="n">
        <f aca="false">IF(Informed=0,K174,0)</f>
        <v>0</v>
      </c>
      <c r="Z174" s="60" t="n">
        <f aca="false">IF(Informed=1,N174,0)</f>
        <v>10.8474231865695</v>
      </c>
      <c r="AA174" s="60" t="n">
        <f aca="false">IF(Informed=0,N174,0)</f>
        <v>0</v>
      </c>
      <c r="AB174" s="64" t="n">
        <f aca="false">IF(Arterial=0,IF(Informed=1,1,0),0)</f>
        <v>0</v>
      </c>
      <c r="AC174" s="64" t="n">
        <f aca="false">IF(Arterial=0,IF(Informed=0,1,0),0)</f>
        <v>0</v>
      </c>
      <c r="AD174" s="64" t="n">
        <f aca="false">IF(Arterial=1,IF(Informed=1,1,0),0)</f>
        <v>1</v>
      </c>
      <c r="AE174" s="64" t="n">
        <f aca="false">IF(Arterial=1,IF(Informed=0,1,0),0)</f>
        <v>0</v>
      </c>
      <c r="AF174" s="57" t="n">
        <f aca="false">IF(AB174=1,(X174-G$1030)^2,0)</f>
        <v>0</v>
      </c>
      <c r="AG174" s="57" t="n">
        <f aca="false">IF(AC174=1,(Y174-H$1030)^2,0)</f>
        <v>0</v>
      </c>
      <c r="AH174" s="57" t="n">
        <f aca="false">IF(AD174=1,(Z174-I$1030)^2,0)</f>
        <v>117.666589788525</v>
      </c>
      <c r="AI174" s="57" t="n">
        <f aca="false">IF(AE174=1,(AA174-J$1030)^2,0)</f>
        <v>0</v>
      </c>
    </row>
    <row r="175" customFormat="false" ht="12" hidden="false" customHeight="false" outlineLevel="0" collapsed="false">
      <c r="A175" s="5" t="n">
        <v>158</v>
      </c>
      <c r="B175" s="58" t="n">
        <f aca="true">IF(RAND()&lt;$D$8,1,0)</f>
        <v>1</v>
      </c>
      <c r="C175" s="47" t="n">
        <f aca="true">-LN(RAND())/$D$2</f>
        <v>0.1443050581758</v>
      </c>
      <c r="D175" s="59" t="n">
        <f aca="false">D174+C175</f>
        <v>152.890544697304</v>
      </c>
      <c r="E175" s="60" t="n">
        <f aca="false">MAX($D$3,(1+P174-VLOOKUP(VALUE(D175),$J$18:$Q174,7,TRUE()))*$D$3)</f>
        <v>12</v>
      </c>
      <c r="F175" s="60" t="n">
        <f aca="false">MAX($D$4,(1+Q174-VLOOKUP(VALUE(D175),$M$18:$Q174,5,TRUE()))*$D$4)</f>
        <v>14</v>
      </c>
      <c r="G175" s="61" t="n">
        <v>0.5</v>
      </c>
      <c r="H175" s="59" t="n">
        <f aca="true">IF((B175=1),(IF((F175&lt;E175),1,(IF((F175=E175),(IF(RAND()&lt;G175,1,0)),0)))),(IF((RAND()&lt;G175),1,0)))</f>
        <v>0</v>
      </c>
      <c r="I175" s="59" t="n">
        <f aca="true">IF((H175=1),0,$D$3+$D$5*(RAND()-0.5))</f>
        <v>2.12519575768871</v>
      </c>
      <c r="J175" s="59" t="n">
        <f aca="false">I175+MAX(D175,J174)</f>
        <v>165.352443186432</v>
      </c>
      <c r="K175" s="59" t="n">
        <f aca="false">IF((H175=0),J175-D175,0)</f>
        <v>12.4618984891272</v>
      </c>
      <c r="L175" s="59" t="n">
        <f aca="true">IF(($H175=0),0,$D$4+$D$5*(RAND()-0.5))</f>
        <v>0</v>
      </c>
      <c r="M175" s="59" t="n">
        <f aca="false">L175+MAX(D175,M174)</f>
        <v>163.593662825698</v>
      </c>
      <c r="N175" s="59" t="n">
        <f aca="false">IF((H175=1),M175-D175,0)</f>
        <v>0</v>
      </c>
      <c r="O175" s="5" t="n">
        <v>158</v>
      </c>
      <c r="P175" s="62" t="n">
        <f aca="false">IF((Arterial=0),P174+1,P174)</f>
        <v>79</v>
      </c>
      <c r="Q175" s="62" t="n">
        <f aca="false">IF((Arterial=1),Q174+1,Q174)</f>
        <v>79</v>
      </c>
      <c r="R175" s="63" t="e">
        <f aca="false">IF((RESET=1),0,R175+K175)</f>
        <v>#N/A</v>
      </c>
      <c r="S175" s="10" t="n">
        <f aca="false">IF(RESET=1,0,S175+N175)</f>
        <v>346.593593868536</v>
      </c>
      <c r="T175" s="0" t="e">
        <f aca="false">IF(RESET=1,0,T175+IF(H175=0,1,0))</f>
        <v>#N/A</v>
      </c>
      <c r="U175" s="0" t="n">
        <f aca="false">IF(RESET=1,0,U175+H175)</f>
        <v>30</v>
      </c>
      <c r="V175" s="10" t="e">
        <f aca="false">R175/(T175+0.00001)</f>
        <v>#N/A</v>
      </c>
      <c r="W175" s="10" t="n">
        <f aca="false">S175/(U175+0.0001)</f>
        <v>11.5530812853469</v>
      </c>
      <c r="X175" s="60" t="n">
        <f aca="false">IF(Informed=1,K175,0)</f>
        <v>12.4618984891272</v>
      </c>
      <c r="Y175" s="60" t="n">
        <f aca="false">IF(Informed=0,K175,0)</f>
        <v>0</v>
      </c>
      <c r="Z175" s="60" t="n">
        <f aca="false">IF(Informed=1,N175,0)</f>
        <v>0</v>
      </c>
      <c r="AA175" s="60" t="n">
        <f aca="false">IF(Informed=0,N175,0)</f>
        <v>0</v>
      </c>
      <c r="AB175" s="64" t="n">
        <f aca="false">IF(Arterial=0,IF(Informed=1,1,0),0)</f>
        <v>1</v>
      </c>
      <c r="AC175" s="64" t="n">
        <f aca="false">IF(Arterial=0,IF(Informed=0,1,0),0)</f>
        <v>0</v>
      </c>
      <c r="AD175" s="64" t="n">
        <f aca="false">IF(Arterial=1,IF(Informed=1,1,0),0)</f>
        <v>0</v>
      </c>
      <c r="AE175" s="64" t="n">
        <f aca="false">IF(Arterial=1,IF(Informed=0,1,0),0)</f>
        <v>0</v>
      </c>
      <c r="AF175" s="57" t="n">
        <f aca="false">IF(AB175=1,(X175-G$1030)^2,0)</f>
        <v>155.29891395331</v>
      </c>
      <c r="AG175" s="57" t="n">
        <f aca="false">IF(AC175=1,(Y175-H$1030)^2,0)</f>
        <v>0</v>
      </c>
      <c r="AH175" s="57" t="n">
        <f aca="false">IF(AD175=1,(Z175-I$1030)^2,0)</f>
        <v>0</v>
      </c>
      <c r="AI175" s="57" t="n">
        <f aca="false">IF(AE175=1,(AA175-J$1030)^2,0)</f>
        <v>0</v>
      </c>
    </row>
    <row r="176" customFormat="false" ht="12" hidden="false" customHeight="false" outlineLevel="0" collapsed="false">
      <c r="A176" s="5" t="n">
        <v>159</v>
      </c>
      <c r="B176" s="58" t="n">
        <f aca="true">IF(RAND()&lt;$D$8,1,0)</f>
        <v>1</v>
      </c>
      <c r="C176" s="47" t="n">
        <f aca="true">-LN(RAND())/$D$2</f>
        <v>1.17184429458015</v>
      </c>
      <c r="D176" s="59" t="n">
        <f aca="false">D175+C176</f>
        <v>154.062388991885</v>
      </c>
      <c r="E176" s="60" t="n">
        <f aca="false">MAX($D$3,(1+P175-VLOOKUP(VALUE(D176),$J$18:$Q175,7,TRUE()))*$D$3)</f>
        <v>14</v>
      </c>
      <c r="F176" s="60" t="n">
        <f aca="false">MAX($D$4,(1+Q175-VLOOKUP(VALUE(D176),$M$18:$Q175,5,TRUE()))*$D$4)</f>
        <v>12</v>
      </c>
      <c r="G176" s="61" t="n">
        <v>0.5</v>
      </c>
      <c r="H176" s="59" t="n">
        <f aca="true">IF((B176=1),(IF((F176&lt;E176),1,(IF((F176=E176),(IF(RAND()&lt;G176,1,0)),0)))),(IF((RAND()&lt;G176),1,0)))</f>
        <v>1</v>
      </c>
      <c r="I176" s="59" t="n">
        <f aca="true">IF((H176=1),0,$D$3+$D$5*(RAND()-0.5))</f>
        <v>0</v>
      </c>
      <c r="J176" s="59" t="n">
        <f aca="false">I176+MAX(D176,J175)</f>
        <v>165.352443186432</v>
      </c>
      <c r="K176" s="59" t="n">
        <f aca="false">IF((H176=0),J176-D176,0)</f>
        <v>0</v>
      </c>
      <c r="L176" s="59" t="n">
        <f aca="true">IF(($H176=0),0,$D$4+$D$5*(RAND()-0.5))</f>
        <v>1.75528241318717</v>
      </c>
      <c r="M176" s="59" t="n">
        <f aca="false">L176+MAX(D176,M175)</f>
        <v>165.348945238885</v>
      </c>
      <c r="N176" s="59" t="n">
        <f aca="false">IF((H176=1),M176-D176,0)</f>
        <v>11.2865562470007</v>
      </c>
      <c r="O176" s="5" t="n">
        <v>159</v>
      </c>
      <c r="P176" s="62" t="n">
        <f aca="false">IF((Arterial=0),P175+1,P175)</f>
        <v>79</v>
      </c>
      <c r="Q176" s="62" t="n">
        <f aca="false">IF((Arterial=1),Q175+1,Q175)</f>
        <v>80</v>
      </c>
      <c r="R176" s="63" t="n">
        <f aca="false">IF((RESET=1),0,R176+K176)</f>
        <v>304.140958866335</v>
      </c>
      <c r="S176" s="10" t="e">
        <f aca="false">IF(RESET=1,0,S176+N176)</f>
        <v>#N/A</v>
      </c>
      <c r="T176" s="0" t="n">
        <f aca="false">IF(RESET=1,0,T176+IF(H176=0,1,0))</f>
        <v>24</v>
      </c>
      <c r="U176" s="0" t="e">
        <f aca="false">IF(RESET=1,0,U176+H176)</f>
        <v>#N/A</v>
      </c>
      <c r="V176" s="10" t="n">
        <f aca="false">R176/(T176+0.00001)</f>
        <v>12.6725346725412</v>
      </c>
      <c r="W176" s="10" t="e">
        <f aca="false">S176/(U176+0.0001)</f>
        <v>#N/A</v>
      </c>
      <c r="X176" s="60" t="n">
        <f aca="false">IF(Informed=1,K176,0)</f>
        <v>0</v>
      </c>
      <c r="Y176" s="60" t="n">
        <f aca="false">IF(Informed=0,K176,0)</f>
        <v>0</v>
      </c>
      <c r="Z176" s="60" t="n">
        <f aca="false">IF(Informed=1,N176,0)</f>
        <v>11.2865562470007</v>
      </c>
      <c r="AA176" s="60" t="n">
        <f aca="false">IF(Informed=0,N176,0)</f>
        <v>0</v>
      </c>
      <c r="AB176" s="64" t="n">
        <f aca="false">IF(Arterial=0,IF(Informed=1,1,0),0)</f>
        <v>0</v>
      </c>
      <c r="AC176" s="64" t="n">
        <f aca="false">IF(Arterial=0,IF(Informed=0,1,0),0)</f>
        <v>0</v>
      </c>
      <c r="AD176" s="64" t="n">
        <f aca="false">IF(Arterial=1,IF(Informed=1,1,0),0)</f>
        <v>1</v>
      </c>
      <c r="AE176" s="64" t="n">
        <f aca="false">IF(Arterial=1,IF(Informed=0,1,0),0)</f>
        <v>0</v>
      </c>
      <c r="AF176" s="57" t="n">
        <f aca="false">IF(AB176=1,(X176-G$1030)^2,0)</f>
        <v>0</v>
      </c>
      <c r="AG176" s="57" t="n">
        <f aca="false">IF(AC176=1,(Y176-H$1030)^2,0)</f>
        <v>0</v>
      </c>
      <c r="AH176" s="57" t="n">
        <f aca="false">IF(AD176=1,(Z176-I$1030)^2,0)</f>
        <v>127.38635191671</v>
      </c>
      <c r="AI176" s="57" t="n">
        <f aca="false">IF(AE176=1,(AA176-J$1030)^2,0)</f>
        <v>0</v>
      </c>
    </row>
    <row r="177" customFormat="false" ht="12" hidden="false" customHeight="false" outlineLevel="0" collapsed="false">
      <c r="A177" s="5" t="n">
        <v>160</v>
      </c>
      <c r="B177" s="58" t="n">
        <f aca="true">IF(RAND()&lt;$D$8,1,0)</f>
        <v>0</v>
      </c>
      <c r="C177" s="47" t="n">
        <f aca="true">-LN(RAND())/$D$2</f>
        <v>3.27849074789992</v>
      </c>
      <c r="D177" s="59" t="n">
        <f aca="false">D176+C177</f>
        <v>157.340879739785</v>
      </c>
      <c r="E177" s="60" t="n">
        <f aca="false">MAX($D$3,(1+P176-VLOOKUP(VALUE(D177),$J$18:$Q176,7,TRUE()))*$D$3)</f>
        <v>10</v>
      </c>
      <c r="F177" s="60" t="n">
        <f aca="false">MAX($D$4,(1+Q176-VLOOKUP(VALUE(D177),$M$18:$Q176,5,TRUE()))*$D$4)</f>
        <v>12</v>
      </c>
      <c r="G177" s="61" t="n">
        <v>0.5</v>
      </c>
      <c r="H177" s="59" t="n">
        <f aca="true">IF((B177=1),(IF((F177&lt;E177),1,(IF((F177=E177),(IF(RAND()&lt;G177,1,0)),0)))),(IF((RAND()&lt;G177),1,0)))</f>
        <v>1</v>
      </c>
      <c r="I177" s="59" t="n">
        <f aca="true">IF((H177=1),0,$D$3+$D$5*(RAND()-0.5))</f>
        <v>0</v>
      </c>
      <c r="J177" s="59" t="n">
        <f aca="false">I177+MAX(D177,J176)</f>
        <v>165.352443186432</v>
      </c>
      <c r="K177" s="59" t="n">
        <f aca="false">IF((H177=0),J177-D177,0)</f>
        <v>0</v>
      </c>
      <c r="L177" s="59" t="n">
        <f aca="true">IF(($H177=0),0,$D$4+$D$5*(RAND()-0.5))</f>
        <v>1.99821028600324</v>
      </c>
      <c r="M177" s="59" t="n">
        <f aca="false">L177+MAX(D177,M176)</f>
        <v>167.347155524888</v>
      </c>
      <c r="N177" s="59" t="n">
        <f aca="false">IF((H177=1),M177-D177,0)</f>
        <v>10.006275785104</v>
      </c>
      <c r="O177" s="5" t="n">
        <v>160</v>
      </c>
      <c r="P177" s="62" t="n">
        <f aca="false">IF((Arterial=0),P176+1,P176)</f>
        <v>79</v>
      </c>
      <c r="Q177" s="62" t="n">
        <f aca="false">IF((Arterial=1),Q176+1,Q176)</f>
        <v>81</v>
      </c>
      <c r="R177" s="63" t="n">
        <f aca="false">IF((RESET=1),0,R177+K177)</f>
        <v>458.538015236822</v>
      </c>
      <c r="S177" s="10" t="e">
        <f aca="false">IF(RESET=1,0,S177+N177)</f>
        <v>#N/A</v>
      </c>
      <c r="T177" s="0" t="n">
        <f aca="false">IF(RESET=1,0,T177+IF(H177=0,1,0))</f>
        <v>35</v>
      </c>
      <c r="U177" s="0" t="e">
        <f aca="false">IF(RESET=1,0,U177+H177)</f>
        <v>#N/A</v>
      </c>
      <c r="V177" s="10" t="n">
        <f aca="false">R177/(T177+0.00001)</f>
        <v>13.1010824064571</v>
      </c>
      <c r="W177" s="10" t="e">
        <f aca="false">S177/(U177+0.0001)</f>
        <v>#N/A</v>
      </c>
      <c r="X177" s="60" t="n">
        <f aca="false">IF(Informed=1,K177,0)</f>
        <v>0</v>
      </c>
      <c r="Y177" s="60" t="n">
        <f aca="false">IF(Informed=0,K177,0)</f>
        <v>0</v>
      </c>
      <c r="Z177" s="60" t="n">
        <f aca="false">IF(Informed=1,N177,0)</f>
        <v>0</v>
      </c>
      <c r="AA177" s="60" t="n">
        <f aca="false">IF(Informed=0,N177,0)</f>
        <v>10.006275785104</v>
      </c>
      <c r="AB177" s="64" t="n">
        <f aca="false">IF(Arterial=0,IF(Informed=1,1,0),0)</f>
        <v>0</v>
      </c>
      <c r="AC177" s="64" t="n">
        <f aca="false">IF(Arterial=0,IF(Informed=0,1,0),0)</f>
        <v>0</v>
      </c>
      <c r="AD177" s="64" t="n">
        <f aca="false">IF(Arterial=1,IF(Informed=1,1,0),0)</f>
        <v>0</v>
      </c>
      <c r="AE177" s="64" t="n">
        <f aca="false">IF(Arterial=1,IF(Informed=0,1,0),0)</f>
        <v>1</v>
      </c>
      <c r="AF177" s="57" t="n">
        <f aca="false">IF(AB177=1,(X177-G$1030)^2,0)</f>
        <v>0</v>
      </c>
      <c r="AG177" s="57" t="n">
        <f aca="false">IF(AC177=1,(Y177-H$1030)^2,0)</f>
        <v>0</v>
      </c>
      <c r="AH177" s="57" t="n">
        <f aca="false">IF(AD177=1,(Z177-I$1030)^2,0)</f>
        <v>0</v>
      </c>
      <c r="AI177" s="57" t="n">
        <f aca="false">IF(AE177=1,(AA177-J$1030)^2,0)</f>
        <v>100.125555087558</v>
      </c>
    </row>
    <row r="178" customFormat="false" ht="12" hidden="false" customHeight="false" outlineLevel="0" collapsed="false">
      <c r="A178" s="5" t="n">
        <v>161</v>
      </c>
      <c r="B178" s="58" t="n">
        <f aca="true">IF(RAND()&lt;$D$8,1,0)</f>
        <v>1</v>
      </c>
      <c r="C178" s="47" t="n">
        <f aca="true">-LN(RAND())/$D$2</f>
        <v>1.96475533718891</v>
      </c>
      <c r="D178" s="59" t="n">
        <f aca="false">D177+C178</f>
        <v>159.305635076973</v>
      </c>
      <c r="E178" s="60" t="n">
        <f aca="false">MAX($D$3,(1+P177-VLOOKUP(VALUE(D178),$J$18:$Q177,7,TRUE()))*$D$3)</f>
        <v>8</v>
      </c>
      <c r="F178" s="60" t="n">
        <f aca="false">MAX($D$4,(1+Q177-VLOOKUP(VALUE(D178),$M$18:$Q177,5,TRUE()))*$D$4)</f>
        <v>12</v>
      </c>
      <c r="G178" s="61" t="n">
        <v>0.5</v>
      </c>
      <c r="H178" s="59" t="n">
        <f aca="true">IF((B178=1),(IF((F178&lt;E178),1,(IF((F178=E178),(IF(RAND()&lt;G178,1,0)),0)))),(IF((RAND()&lt;G178),1,0)))</f>
        <v>0</v>
      </c>
      <c r="I178" s="59" t="n">
        <f aca="true">IF((H178=1),0,$D$3+$D$5*(RAND()-0.5))</f>
        <v>2.10706844175249</v>
      </c>
      <c r="J178" s="59" t="n">
        <f aca="false">I178+MAX(D178,J177)</f>
        <v>167.459511628184</v>
      </c>
      <c r="K178" s="59" t="n">
        <f aca="false">IF((H178=0),J178-D178,0)</f>
        <v>8.15387655121066</v>
      </c>
      <c r="L178" s="59" t="n">
        <f aca="true">IF(($H178=0),0,$D$4+$D$5*(RAND()-0.5))</f>
        <v>0</v>
      </c>
      <c r="M178" s="59" t="n">
        <f aca="false">L178+MAX(D178,M177)</f>
        <v>167.347155524888</v>
      </c>
      <c r="N178" s="59" t="n">
        <f aca="false">IF((H178=1),M178-D178,0)</f>
        <v>0</v>
      </c>
      <c r="O178" s="5" t="n">
        <v>161</v>
      </c>
      <c r="P178" s="62" t="n">
        <f aca="false">IF((Arterial=0),P177+1,P177)</f>
        <v>80</v>
      </c>
      <c r="Q178" s="62" t="n">
        <f aca="false">IF((Arterial=1),Q177+1,Q177)</f>
        <v>81</v>
      </c>
      <c r="R178" s="63" t="e">
        <f aca="false">IF((RESET=1),0,R178+K178)</f>
        <v>#N/A</v>
      </c>
      <c r="S178" s="10" t="n">
        <f aca="false">IF(RESET=1,0,S178+N178)</f>
        <v>431.024618003854</v>
      </c>
      <c r="T178" s="0" t="e">
        <f aca="false">IF(RESET=1,0,T178+IF(H178=0,1,0))</f>
        <v>#N/A</v>
      </c>
      <c r="U178" s="0" t="n">
        <f aca="false">IF(RESET=1,0,U178+H178)</f>
        <v>28</v>
      </c>
      <c r="V178" s="10" t="e">
        <f aca="false">R178/(T178+0.00001)</f>
        <v>#N/A</v>
      </c>
      <c r="W178" s="10" t="n">
        <f aca="false">S178/(U178+0.0001)</f>
        <v>15.393681379847</v>
      </c>
      <c r="X178" s="60" t="n">
        <f aca="false">IF(Informed=1,K178,0)</f>
        <v>8.15387655121066</v>
      </c>
      <c r="Y178" s="60" t="n">
        <f aca="false">IF(Informed=0,K178,0)</f>
        <v>0</v>
      </c>
      <c r="Z178" s="60" t="n">
        <f aca="false">IF(Informed=1,N178,0)</f>
        <v>0</v>
      </c>
      <c r="AA178" s="60" t="n">
        <f aca="false">IF(Informed=0,N178,0)</f>
        <v>0</v>
      </c>
      <c r="AB178" s="64" t="n">
        <f aca="false">IF(Arterial=0,IF(Informed=1,1,0),0)</f>
        <v>1</v>
      </c>
      <c r="AC178" s="64" t="n">
        <f aca="false">IF(Arterial=0,IF(Informed=0,1,0),0)</f>
        <v>0</v>
      </c>
      <c r="AD178" s="64" t="n">
        <f aca="false">IF(Arterial=1,IF(Informed=1,1,0),0)</f>
        <v>0</v>
      </c>
      <c r="AE178" s="64" t="n">
        <f aca="false">IF(Arterial=1,IF(Informed=0,1,0),0)</f>
        <v>0</v>
      </c>
      <c r="AF178" s="57" t="n">
        <f aca="false">IF(AB178=1,(X178-G$1030)^2,0)</f>
        <v>66.485702812383</v>
      </c>
      <c r="AG178" s="57" t="n">
        <f aca="false">IF(AC178=1,(Y178-H$1030)^2,0)</f>
        <v>0</v>
      </c>
      <c r="AH178" s="57" t="n">
        <f aca="false">IF(AD178=1,(Z178-I$1030)^2,0)</f>
        <v>0</v>
      </c>
      <c r="AI178" s="57" t="n">
        <f aca="false">IF(AE178=1,(AA178-J$1030)^2,0)</f>
        <v>0</v>
      </c>
    </row>
    <row r="179" customFormat="false" ht="12" hidden="false" customHeight="false" outlineLevel="0" collapsed="false">
      <c r="A179" s="5" t="n">
        <v>162</v>
      </c>
      <c r="B179" s="58" t="n">
        <f aca="true">IF(RAND()&lt;$D$8,1,0)</f>
        <v>0</v>
      </c>
      <c r="C179" s="47" t="n">
        <f aca="true">-LN(RAND())/$D$2</f>
        <v>0.415073408911737</v>
      </c>
      <c r="D179" s="59" t="n">
        <f aca="false">D178+C179</f>
        <v>159.720708485885</v>
      </c>
      <c r="E179" s="60" t="n">
        <f aca="false">MAX($D$3,(1+P178-VLOOKUP(VALUE(D179),$J$18:$Q178,7,TRUE()))*$D$3)</f>
        <v>10</v>
      </c>
      <c r="F179" s="60" t="n">
        <f aca="false">MAX($D$4,(1+Q178-VLOOKUP(VALUE(D179),$M$18:$Q178,5,TRUE()))*$D$4)</f>
        <v>12</v>
      </c>
      <c r="G179" s="61" t="n">
        <v>0.5</v>
      </c>
      <c r="H179" s="59" t="n">
        <f aca="true">IF((B179=1),(IF((F179&lt;E179),1,(IF((F179=E179),(IF(RAND()&lt;G179,1,0)),0)))),(IF((RAND()&lt;G179),1,0)))</f>
        <v>1</v>
      </c>
      <c r="I179" s="59" t="n">
        <f aca="true">IF((H179=1),0,$D$3+$D$5*(RAND()-0.5))</f>
        <v>0</v>
      </c>
      <c r="J179" s="59" t="n">
        <f aca="false">I179+MAX(D179,J178)</f>
        <v>167.459511628184</v>
      </c>
      <c r="K179" s="59" t="n">
        <f aca="false">IF((H179=0),J179-D179,0)</f>
        <v>0</v>
      </c>
      <c r="L179" s="59" t="n">
        <f aca="true">IF(($H179=0),0,$D$4+$D$5*(RAND()-0.5))</f>
        <v>1.86440636925707</v>
      </c>
      <c r="M179" s="59" t="n">
        <f aca="false">L179+MAX(D179,M178)</f>
        <v>169.211561894146</v>
      </c>
      <c r="N179" s="59" t="n">
        <f aca="false">IF((H179=1),M179-D179,0)</f>
        <v>9.49085340826042</v>
      </c>
      <c r="O179" s="5" t="n">
        <v>162</v>
      </c>
      <c r="P179" s="62" t="n">
        <f aca="false">IF((Arterial=0),P178+1,P178)</f>
        <v>80</v>
      </c>
      <c r="Q179" s="62" t="n">
        <f aca="false">IF((Arterial=1),Q178+1,Q178)</f>
        <v>82</v>
      </c>
      <c r="R179" s="63" t="n">
        <f aca="false">IF((RESET=1),0,R179+K179)</f>
        <v>401.364040895851</v>
      </c>
      <c r="S179" s="10" t="e">
        <f aca="false">IF(RESET=1,0,S179+N179)</f>
        <v>#N/A</v>
      </c>
      <c r="T179" s="0" t="n">
        <f aca="false">IF(RESET=1,0,T179+IF(H179=0,1,0))</f>
        <v>27</v>
      </c>
      <c r="U179" s="0" t="e">
        <f aca="false">IF(RESET=1,0,U179+H179)</f>
        <v>#N/A</v>
      </c>
      <c r="V179" s="10" t="n">
        <f aca="false">R179/(T179+0.00001)</f>
        <v>14.8653293423169</v>
      </c>
      <c r="W179" s="10" t="e">
        <f aca="false">S179/(U179+0.0001)</f>
        <v>#N/A</v>
      </c>
      <c r="X179" s="60" t="n">
        <f aca="false">IF(Informed=1,K179,0)</f>
        <v>0</v>
      </c>
      <c r="Y179" s="60" t="n">
        <f aca="false">IF(Informed=0,K179,0)</f>
        <v>0</v>
      </c>
      <c r="Z179" s="60" t="n">
        <f aca="false">IF(Informed=1,N179,0)</f>
        <v>0</v>
      </c>
      <c r="AA179" s="60" t="n">
        <f aca="false">IF(Informed=0,N179,0)</f>
        <v>9.49085340826042</v>
      </c>
      <c r="AB179" s="64" t="n">
        <f aca="false">IF(Arterial=0,IF(Informed=1,1,0),0)</f>
        <v>0</v>
      </c>
      <c r="AC179" s="64" t="n">
        <f aca="false">IF(Arterial=0,IF(Informed=0,1,0),0)</f>
        <v>0</v>
      </c>
      <c r="AD179" s="64" t="n">
        <f aca="false">IF(Arterial=1,IF(Informed=1,1,0),0)</f>
        <v>0</v>
      </c>
      <c r="AE179" s="64" t="n">
        <f aca="false">IF(Arterial=1,IF(Informed=0,1,0),0)</f>
        <v>1</v>
      </c>
      <c r="AF179" s="57" t="n">
        <f aca="false">IF(AB179=1,(X179-G$1030)^2,0)</f>
        <v>0</v>
      </c>
      <c r="AG179" s="57" t="n">
        <f aca="false">IF(AC179=1,(Y179-H$1030)^2,0)</f>
        <v>0</v>
      </c>
      <c r="AH179" s="57" t="n">
        <f aca="false">IF(AD179=1,(Z179-I$1030)^2,0)</f>
        <v>0</v>
      </c>
      <c r="AI179" s="57" t="n">
        <f aca="false">IF(AE179=1,(AA179-J$1030)^2,0)</f>
        <v>90.0762984170884</v>
      </c>
    </row>
    <row r="180" customFormat="false" ht="12" hidden="false" customHeight="false" outlineLevel="0" collapsed="false">
      <c r="A180" s="5" t="n">
        <v>163</v>
      </c>
      <c r="B180" s="58" t="n">
        <f aca="true">IF(RAND()&lt;$D$8,1,0)</f>
        <v>1</v>
      </c>
      <c r="C180" s="47" t="n">
        <f aca="true">-LN(RAND())/$D$2</f>
        <v>0.47095382364844</v>
      </c>
      <c r="D180" s="59" t="n">
        <f aca="false">D179+C180</f>
        <v>160.191662309534</v>
      </c>
      <c r="E180" s="60" t="n">
        <f aca="false">MAX($D$3,(1+P179-VLOOKUP(VALUE(D180),$J$18:$Q179,7,TRUE()))*$D$3)</f>
        <v>10</v>
      </c>
      <c r="F180" s="60" t="n">
        <f aca="false">MAX($D$4,(1+Q179-VLOOKUP(VALUE(D180),$M$18:$Q179,5,TRUE()))*$D$4)</f>
        <v>12</v>
      </c>
      <c r="G180" s="61" t="n">
        <v>0.5</v>
      </c>
      <c r="H180" s="59" t="n">
        <f aca="true">IF((B180=1),(IF((F180&lt;E180),1,(IF((F180=E180),(IF(RAND()&lt;G180,1,0)),0)))),(IF((RAND()&lt;G180),1,0)))</f>
        <v>0</v>
      </c>
      <c r="I180" s="59" t="n">
        <f aca="true">IF((H180=1),0,$D$3+$D$5*(RAND()-0.5))</f>
        <v>1.99135075048169</v>
      </c>
      <c r="J180" s="59" t="n">
        <f aca="false">I180+MAX(D180,J179)</f>
        <v>169.450862378666</v>
      </c>
      <c r="K180" s="59" t="n">
        <f aca="false">IF((H180=0),J180-D180,0)</f>
        <v>9.25920006913219</v>
      </c>
      <c r="L180" s="59" t="n">
        <f aca="true">IF(($H180=0),0,$D$4+$D$5*(RAND()-0.5))</f>
        <v>0</v>
      </c>
      <c r="M180" s="59" t="n">
        <f aca="false">L180+MAX(D180,M179)</f>
        <v>169.211561894146</v>
      </c>
      <c r="N180" s="59" t="n">
        <f aca="false">IF((H180=1),M180-D180,0)</f>
        <v>0</v>
      </c>
      <c r="O180" s="5" t="n">
        <v>163</v>
      </c>
      <c r="P180" s="62" t="n">
        <f aca="false">IF((Arterial=0),P179+1,P179)</f>
        <v>81</v>
      </c>
      <c r="Q180" s="62" t="n">
        <f aca="false">IF((Arterial=1),Q179+1,Q179)</f>
        <v>82</v>
      </c>
      <c r="R180" s="63" t="e">
        <f aca="false">IF((RESET=1),0,R180+K180)</f>
        <v>#N/A</v>
      </c>
      <c r="S180" s="10" t="n">
        <f aca="false">IF(RESET=1,0,S180+N180)</f>
        <v>412.719016508863</v>
      </c>
      <c r="T180" s="0" t="e">
        <f aca="false">IF(RESET=1,0,T180+IF(H180=0,1,0))</f>
        <v>#N/A</v>
      </c>
      <c r="U180" s="0" t="n">
        <f aca="false">IF(RESET=1,0,U180+H180)</f>
        <v>28</v>
      </c>
      <c r="V180" s="10" t="e">
        <f aca="false">R180/(T180+0.00001)</f>
        <v>#N/A</v>
      </c>
      <c r="W180" s="10" t="n">
        <f aca="false">S180/(U180+0.0001)</f>
        <v>14.7399122327728</v>
      </c>
      <c r="X180" s="60" t="n">
        <f aca="false">IF(Informed=1,K180,0)</f>
        <v>9.25920006913219</v>
      </c>
      <c r="Y180" s="60" t="n">
        <f aca="false">IF(Informed=0,K180,0)</f>
        <v>0</v>
      </c>
      <c r="Z180" s="60" t="n">
        <f aca="false">IF(Informed=1,N180,0)</f>
        <v>0</v>
      </c>
      <c r="AA180" s="60" t="n">
        <f aca="false">IF(Informed=0,N180,0)</f>
        <v>0</v>
      </c>
      <c r="AB180" s="64" t="n">
        <f aca="false">IF(Arterial=0,IF(Informed=1,1,0),0)</f>
        <v>1</v>
      </c>
      <c r="AC180" s="64" t="n">
        <f aca="false">IF(Arterial=0,IF(Informed=0,1,0),0)</f>
        <v>0</v>
      </c>
      <c r="AD180" s="64" t="n">
        <f aca="false">IF(Arterial=1,IF(Informed=1,1,0),0)</f>
        <v>0</v>
      </c>
      <c r="AE180" s="64" t="n">
        <f aca="false">IF(Arterial=1,IF(Informed=0,1,0),0)</f>
        <v>0</v>
      </c>
      <c r="AF180" s="57" t="n">
        <f aca="false">IF(AB180=1,(X180-G$1030)^2,0)</f>
        <v>85.7327859202176</v>
      </c>
      <c r="AG180" s="57" t="n">
        <f aca="false">IF(AC180=1,(Y180-H$1030)^2,0)</f>
        <v>0</v>
      </c>
      <c r="AH180" s="57" t="n">
        <f aca="false">IF(AD180=1,(Z180-I$1030)^2,0)</f>
        <v>0</v>
      </c>
      <c r="AI180" s="57" t="n">
        <f aca="false">IF(AE180=1,(AA180-J$1030)^2,0)</f>
        <v>0</v>
      </c>
    </row>
    <row r="181" customFormat="false" ht="12" hidden="false" customHeight="false" outlineLevel="0" collapsed="false">
      <c r="A181" s="5" t="n">
        <v>164</v>
      </c>
      <c r="B181" s="58" t="n">
        <f aca="true">IF(RAND()&lt;$D$8,1,0)</f>
        <v>1</v>
      </c>
      <c r="C181" s="47" t="n">
        <f aca="true">-LN(RAND())/$D$2</f>
        <v>0.452808695510082</v>
      </c>
      <c r="D181" s="59" t="n">
        <f aca="false">D180+C181</f>
        <v>160.644471005044</v>
      </c>
      <c r="E181" s="60" t="n">
        <f aca="false">MAX($D$3,(1+P180-VLOOKUP(VALUE(D181),$J$18:$Q180,7,TRUE()))*$D$3)</f>
        <v>12</v>
      </c>
      <c r="F181" s="60" t="n">
        <f aca="false">MAX($D$4,(1+Q180-VLOOKUP(VALUE(D181),$M$18:$Q180,5,TRUE()))*$D$4)</f>
        <v>12</v>
      </c>
      <c r="G181" s="61" t="n">
        <v>0.5</v>
      </c>
      <c r="H181" s="59" t="n">
        <f aca="true">IF((B181=1),(IF((F181&lt;E181),1,(IF((F181=E181),(IF(RAND()&lt;G181,1,0)),0)))),(IF((RAND()&lt;G181),1,0)))</f>
        <v>1</v>
      </c>
      <c r="I181" s="59" t="n">
        <f aca="true">IF((H181=1),0,$D$3+$D$5*(RAND()-0.5))</f>
        <v>0</v>
      </c>
      <c r="J181" s="59" t="n">
        <f aca="false">I181+MAX(D181,J180)</f>
        <v>169.450862378666</v>
      </c>
      <c r="K181" s="59" t="n">
        <f aca="false">IF((H181=0),J181-D181,0)</f>
        <v>0</v>
      </c>
      <c r="L181" s="59" t="n">
        <f aca="true">IF(($H181=0),0,$D$4+$D$5*(RAND()-0.5))</f>
        <v>2.2319519096114</v>
      </c>
      <c r="M181" s="59" t="n">
        <f aca="false">L181+MAX(D181,M180)</f>
        <v>171.443513803757</v>
      </c>
      <c r="N181" s="59" t="n">
        <f aca="false">IF((H181=1),M181-D181,0)</f>
        <v>10.7990427987133</v>
      </c>
      <c r="O181" s="5" t="n">
        <v>164</v>
      </c>
      <c r="P181" s="62" t="n">
        <f aca="false">IF((Arterial=0),P180+1,P180)</f>
        <v>81</v>
      </c>
      <c r="Q181" s="62" t="n">
        <f aca="false">IF((Arterial=1),Q180+1,Q180)</f>
        <v>83</v>
      </c>
      <c r="R181" s="63" t="n">
        <f aca="false">IF((RESET=1),0,R181+K181)</f>
        <v>349.357333460886</v>
      </c>
      <c r="S181" s="10" t="e">
        <f aca="false">IF(RESET=1,0,S181+N181)</f>
        <v>#N/A</v>
      </c>
      <c r="T181" s="0" t="n">
        <f aca="false">IF(RESET=1,0,T181+IF(H181=0,1,0))</f>
        <v>27</v>
      </c>
      <c r="U181" s="0" t="e">
        <f aca="false">IF(RESET=1,0,U181+H181)</f>
        <v>#N/A</v>
      </c>
      <c r="V181" s="10" t="n">
        <f aca="false">R181/(T181+0.00001)</f>
        <v>12.9391557062714</v>
      </c>
      <c r="W181" s="10" t="e">
        <f aca="false">S181/(U181+0.0001)</f>
        <v>#N/A</v>
      </c>
      <c r="X181" s="60" t="n">
        <f aca="false">IF(Informed=1,K181,0)</f>
        <v>0</v>
      </c>
      <c r="Y181" s="60" t="n">
        <f aca="false">IF(Informed=0,K181,0)</f>
        <v>0</v>
      </c>
      <c r="Z181" s="60" t="n">
        <f aca="false">IF(Informed=1,N181,0)</f>
        <v>10.7990427987133</v>
      </c>
      <c r="AA181" s="60" t="n">
        <f aca="false">IF(Informed=0,N181,0)</f>
        <v>0</v>
      </c>
      <c r="AB181" s="64" t="n">
        <f aca="false">IF(Arterial=0,IF(Informed=1,1,0),0)</f>
        <v>0</v>
      </c>
      <c r="AC181" s="64" t="n">
        <f aca="false">IF(Arterial=0,IF(Informed=0,1,0),0)</f>
        <v>0</v>
      </c>
      <c r="AD181" s="64" t="n">
        <f aca="false">IF(Arterial=1,IF(Informed=1,1,0),0)</f>
        <v>1</v>
      </c>
      <c r="AE181" s="64" t="n">
        <f aca="false">IF(Arterial=1,IF(Informed=0,1,0),0)</f>
        <v>0</v>
      </c>
      <c r="AF181" s="57" t="n">
        <f aca="false">IF(AB181=1,(X181-G$1030)^2,0)</f>
        <v>0</v>
      </c>
      <c r="AG181" s="57" t="n">
        <f aca="false">IF(AC181=1,(Y181-H$1030)^2,0)</f>
        <v>0</v>
      </c>
      <c r="AH181" s="57" t="n">
        <f aca="false">IF(AD181=1,(Z181-I$1030)^2,0)</f>
        <v>116.619325368442</v>
      </c>
      <c r="AI181" s="57" t="n">
        <f aca="false">IF(AE181=1,(AA181-J$1030)^2,0)</f>
        <v>0</v>
      </c>
    </row>
    <row r="182" customFormat="false" ht="12" hidden="false" customHeight="false" outlineLevel="0" collapsed="false">
      <c r="A182" s="5" t="n">
        <v>165</v>
      </c>
      <c r="B182" s="58" t="n">
        <f aca="true">IF(RAND()&lt;$D$8,1,0)</f>
        <v>0</v>
      </c>
      <c r="C182" s="47" t="n">
        <f aca="true">-LN(RAND())/$D$2</f>
        <v>1.31813921718414</v>
      </c>
      <c r="D182" s="59" t="n">
        <f aca="false">D181+C182</f>
        <v>161.962610222228</v>
      </c>
      <c r="E182" s="60" t="n">
        <f aca="false">MAX($D$3,(1+P181-VLOOKUP(VALUE(D182),$J$18:$Q181,7,TRUE()))*$D$3)</f>
        <v>10</v>
      </c>
      <c r="F182" s="60" t="n">
        <f aca="false">MAX($D$4,(1+Q181-VLOOKUP(VALUE(D182),$M$18:$Q181,5,TRUE()))*$D$4)</f>
        <v>12</v>
      </c>
      <c r="G182" s="61" t="n">
        <v>0.5</v>
      </c>
      <c r="H182" s="59" t="n">
        <f aca="true">IF((B182=1),(IF((F182&lt;E182),1,(IF((F182=E182),(IF(RAND()&lt;G182,1,0)),0)))),(IF((RAND()&lt;G182),1,0)))</f>
        <v>0</v>
      </c>
      <c r="I182" s="59" t="n">
        <f aca="true">IF((H182=1),0,$D$3+$D$5*(RAND()-0.5))</f>
        <v>2.02691186217087</v>
      </c>
      <c r="J182" s="59" t="n">
        <f aca="false">I182+MAX(D182,J181)</f>
        <v>171.477774240837</v>
      </c>
      <c r="K182" s="59" t="n">
        <f aca="false">IF((H182=0),J182-D182,0)</f>
        <v>9.51516401860886</v>
      </c>
      <c r="L182" s="59" t="n">
        <f aca="true">IF(($H182=0),0,$D$4+$D$5*(RAND()-0.5))</f>
        <v>0</v>
      </c>
      <c r="M182" s="59" t="n">
        <f aca="false">L182+MAX(D182,M181)</f>
        <v>171.443513803757</v>
      </c>
      <c r="N182" s="59" t="n">
        <f aca="false">IF((H182=1),M182-D182,0)</f>
        <v>0</v>
      </c>
      <c r="O182" s="5" t="n">
        <v>165</v>
      </c>
      <c r="P182" s="62" t="n">
        <f aca="false">IF((Arterial=0),P181+1,P181)</f>
        <v>82</v>
      </c>
      <c r="Q182" s="62" t="n">
        <f aca="false">IF((Arterial=1),Q181+1,Q181)</f>
        <v>83</v>
      </c>
      <c r="R182" s="63" t="e">
        <f aca="false">IF((RESET=1),0,R182+K182)</f>
        <v>#N/A</v>
      </c>
      <c r="S182" s="10" t="n">
        <f aca="false">IF(RESET=1,0,S182+N182)</f>
        <v>273.263911911086</v>
      </c>
      <c r="T182" s="0" t="e">
        <f aca="false">IF(RESET=1,0,T182+IF(H182=0,1,0))</f>
        <v>#N/A</v>
      </c>
      <c r="U182" s="0" t="n">
        <f aca="false">IF(RESET=1,0,U182+H182)</f>
        <v>26</v>
      </c>
      <c r="V182" s="10" t="e">
        <f aca="false">R182/(T182+0.00001)</f>
        <v>#N/A</v>
      </c>
      <c r="W182" s="10" t="n">
        <f aca="false">S182/(U182+0.0001)</f>
        <v>10.5101100346185</v>
      </c>
      <c r="X182" s="60" t="n">
        <f aca="false">IF(Informed=1,K182,0)</f>
        <v>0</v>
      </c>
      <c r="Y182" s="60" t="n">
        <f aca="false">IF(Informed=0,K182,0)</f>
        <v>9.51516401860886</v>
      </c>
      <c r="Z182" s="60" t="n">
        <f aca="false">IF(Informed=1,N182,0)</f>
        <v>0</v>
      </c>
      <c r="AA182" s="60" t="n">
        <f aca="false">IF(Informed=0,N182,0)</f>
        <v>0</v>
      </c>
      <c r="AB182" s="64" t="n">
        <f aca="false">IF(Arterial=0,IF(Informed=1,1,0),0)</f>
        <v>0</v>
      </c>
      <c r="AC182" s="64" t="n">
        <f aca="false">IF(Arterial=0,IF(Informed=0,1,0),0)</f>
        <v>1</v>
      </c>
      <c r="AD182" s="64" t="n">
        <f aca="false">IF(Arterial=1,IF(Informed=1,1,0),0)</f>
        <v>0</v>
      </c>
      <c r="AE182" s="64" t="n">
        <f aca="false">IF(Arterial=1,IF(Informed=0,1,0),0)</f>
        <v>0</v>
      </c>
      <c r="AF182" s="57" t="n">
        <f aca="false">IF(AB182=1,(X182-G$1030)^2,0)</f>
        <v>0</v>
      </c>
      <c r="AG182" s="57" t="n">
        <f aca="false">IF(AC182=1,(Y182-H$1030)^2,0)</f>
        <v>90.5383463010287</v>
      </c>
      <c r="AH182" s="57" t="n">
        <f aca="false">IF(AD182=1,(Z182-I$1030)^2,0)</f>
        <v>0</v>
      </c>
      <c r="AI182" s="57" t="n">
        <f aca="false">IF(AE182=1,(AA182-J$1030)^2,0)</f>
        <v>0</v>
      </c>
    </row>
    <row r="183" customFormat="false" ht="12" hidden="false" customHeight="false" outlineLevel="0" collapsed="false">
      <c r="A183" s="5" t="n">
        <v>166</v>
      </c>
      <c r="B183" s="58" t="n">
        <f aca="true">IF(RAND()&lt;$D$8,1,0)</f>
        <v>1</v>
      </c>
      <c r="C183" s="47" t="n">
        <f aca="true">-LN(RAND())/$D$2</f>
        <v>0.443315172808288</v>
      </c>
      <c r="D183" s="59" t="n">
        <f aca="false">D182+C183</f>
        <v>162.405925395036</v>
      </c>
      <c r="E183" s="60" t="n">
        <f aca="false">MAX($D$3,(1+P182-VLOOKUP(VALUE(D183),$J$18:$Q182,7,TRUE()))*$D$3)</f>
        <v>12</v>
      </c>
      <c r="F183" s="60" t="n">
        <f aca="false">MAX($D$4,(1+Q182-VLOOKUP(VALUE(D183),$M$18:$Q182,5,TRUE()))*$D$4)</f>
        <v>12</v>
      </c>
      <c r="G183" s="61" t="n">
        <v>0.5</v>
      </c>
      <c r="H183" s="59" t="n">
        <f aca="true">IF((B183=1),(IF((F183&lt;E183),1,(IF((F183=E183),(IF(RAND()&lt;G183,1,0)),0)))),(IF((RAND()&lt;G183),1,0)))</f>
        <v>0</v>
      </c>
      <c r="I183" s="59" t="n">
        <f aca="true">IF((H183=1),0,$D$3+$D$5*(RAND()-0.5))</f>
        <v>1.94891388902689</v>
      </c>
      <c r="J183" s="59" t="n">
        <f aca="false">I183+MAX(D183,J182)</f>
        <v>173.426688129864</v>
      </c>
      <c r="K183" s="59" t="n">
        <f aca="false">IF((H183=0),J183-D183,0)</f>
        <v>11.0207627348275</v>
      </c>
      <c r="L183" s="59" t="n">
        <f aca="true">IF(($H183=0),0,$D$4+$D$5*(RAND()-0.5))</f>
        <v>0</v>
      </c>
      <c r="M183" s="59" t="n">
        <f aca="false">L183+MAX(D183,M182)</f>
        <v>171.443513803757</v>
      </c>
      <c r="N183" s="59" t="n">
        <f aca="false">IF((H183=1),M183-D183,0)</f>
        <v>0</v>
      </c>
      <c r="O183" s="5" t="n">
        <v>166</v>
      </c>
      <c r="P183" s="62" t="n">
        <f aca="false">IF((Arterial=0),P182+1,P182)</f>
        <v>83</v>
      </c>
      <c r="Q183" s="62" t="n">
        <f aca="false">IF((Arterial=1),Q182+1,Q182)</f>
        <v>83</v>
      </c>
      <c r="R183" s="63" t="e">
        <f aca="false">IF((RESET=1),0,R183+K183)</f>
        <v>#N/A</v>
      </c>
      <c r="S183" s="10" t="n">
        <f aca="false">IF(RESET=1,0,S183+N183)</f>
        <v>375.405065365279</v>
      </c>
      <c r="T183" s="0" t="e">
        <f aca="false">IF(RESET=1,0,T183+IF(H183=0,1,0))</f>
        <v>#N/A</v>
      </c>
      <c r="U183" s="0" t="n">
        <f aca="false">IF(RESET=1,0,U183+H183)</f>
        <v>32</v>
      </c>
      <c r="V183" s="10" t="e">
        <f aca="false">R183/(T183+0.00001)</f>
        <v>#N/A</v>
      </c>
      <c r="W183" s="10" t="n">
        <f aca="false">S183/(U183+0.0001)</f>
        <v>11.7313716321286</v>
      </c>
      <c r="X183" s="60" t="n">
        <f aca="false">IF(Informed=1,K183,0)</f>
        <v>11.0207627348275</v>
      </c>
      <c r="Y183" s="60" t="n">
        <f aca="false">IF(Informed=0,K183,0)</f>
        <v>0</v>
      </c>
      <c r="Z183" s="60" t="n">
        <f aca="false">IF(Informed=1,N183,0)</f>
        <v>0</v>
      </c>
      <c r="AA183" s="60" t="n">
        <f aca="false">IF(Informed=0,N183,0)</f>
        <v>0</v>
      </c>
      <c r="AB183" s="64" t="n">
        <f aca="false">IF(Arterial=0,IF(Informed=1,1,0),0)</f>
        <v>1</v>
      </c>
      <c r="AC183" s="64" t="n">
        <f aca="false">IF(Arterial=0,IF(Informed=0,1,0),0)</f>
        <v>0</v>
      </c>
      <c r="AD183" s="64" t="n">
        <f aca="false">IF(Arterial=1,IF(Informed=1,1,0),0)</f>
        <v>0</v>
      </c>
      <c r="AE183" s="64" t="n">
        <f aca="false">IF(Arterial=1,IF(Informed=0,1,0),0)</f>
        <v>0</v>
      </c>
      <c r="AF183" s="57" t="n">
        <f aca="false">IF(AB183=1,(X183-G$1030)^2,0)</f>
        <v>121.457211257362</v>
      </c>
      <c r="AG183" s="57" t="n">
        <f aca="false">IF(AC183=1,(Y183-H$1030)^2,0)</f>
        <v>0</v>
      </c>
      <c r="AH183" s="57" t="n">
        <f aca="false">IF(AD183=1,(Z183-I$1030)^2,0)</f>
        <v>0</v>
      </c>
      <c r="AI183" s="57" t="n">
        <f aca="false">IF(AE183=1,(AA183-J$1030)^2,0)</f>
        <v>0</v>
      </c>
    </row>
    <row r="184" customFormat="false" ht="12" hidden="false" customHeight="false" outlineLevel="0" collapsed="false">
      <c r="A184" s="5" t="n">
        <v>167</v>
      </c>
      <c r="B184" s="58" t="n">
        <f aca="true">IF(RAND()&lt;$D$8,1,0)</f>
        <v>0</v>
      </c>
      <c r="C184" s="47" t="n">
        <f aca="true">-LN(RAND())/$D$2</f>
        <v>0.00340674687420639</v>
      </c>
      <c r="D184" s="59" t="n">
        <f aca="false">D183+C184</f>
        <v>162.40933214191</v>
      </c>
      <c r="E184" s="60" t="n">
        <f aca="false">MAX($D$3,(1+P183-VLOOKUP(VALUE(D184),$J$18:$Q183,7,TRUE()))*$D$3)</f>
        <v>14</v>
      </c>
      <c r="F184" s="60" t="n">
        <f aca="false">MAX($D$4,(1+Q183-VLOOKUP(VALUE(D184),$M$18:$Q183,5,TRUE()))*$D$4)</f>
        <v>12</v>
      </c>
      <c r="G184" s="61" t="n">
        <v>0.5</v>
      </c>
      <c r="H184" s="59" t="n">
        <f aca="true">IF((B184=1),(IF((F184&lt;E184),1,(IF((F184=E184),(IF(RAND()&lt;G184,1,0)),0)))),(IF((RAND()&lt;G184),1,0)))</f>
        <v>0</v>
      </c>
      <c r="I184" s="59" t="n">
        <f aca="true">IF((H184=1),0,$D$3+$D$5*(RAND()-0.5))</f>
        <v>2.06619834351936</v>
      </c>
      <c r="J184" s="59" t="n">
        <f aca="false">I184+MAX(D184,J183)</f>
        <v>175.492886473383</v>
      </c>
      <c r="K184" s="59" t="n">
        <f aca="false">IF((H184=0),J184-D184,0)</f>
        <v>13.0835543314726</v>
      </c>
      <c r="L184" s="59" t="n">
        <f aca="true">IF(($H184=0),0,$D$4+$D$5*(RAND()-0.5))</f>
        <v>0</v>
      </c>
      <c r="M184" s="59" t="n">
        <f aca="false">L184+MAX(D184,M183)</f>
        <v>171.443513803757</v>
      </c>
      <c r="N184" s="59" t="n">
        <f aca="false">IF((H184=1),M184-D184,0)</f>
        <v>0</v>
      </c>
      <c r="O184" s="5" t="n">
        <v>167</v>
      </c>
      <c r="P184" s="62" t="n">
        <f aca="false">IF((Arterial=0),P183+1,P183)</f>
        <v>84</v>
      </c>
      <c r="Q184" s="62" t="n">
        <f aca="false">IF((Arterial=1),Q183+1,Q183)</f>
        <v>83</v>
      </c>
      <c r="R184" s="63" t="e">
        <f aca="false">IF((RESET=1),0,R184+K184)</f>
        <v>#N/A</v>
      </c>
      <c r="S184" s="10" t="n">
        <f aca="false">IF(RESET=1,0,S184+N184)</f>
        <v>385.302609219851</v>
      </c>
      <c r="T184" s="0" t="e">
        <f aca="false">IF(RESET=1,0,T184+IF(H184=0,1,0))</f>
        <v>#N/A</v>
      </c>
      <c r="U184" s="0" t="n">
        <f aca="false">IF(RESET=1,0,U184+H184)</f>
        <v>29</v>
      </c>
      <c r="V184" s="10" t="e">
        <f aca="false">R184/(T184+0.00001)</f>
        <v>#N/A</v>
      </c>
      <c r="W184" s="10" t="n">
        <f aca="false">S184/(U184+0.0001)</f>
        <v>13.2862510549912</v>
      </c>
      <c r="X184" s="60" t="n">
        <f aca="false">IF(Informed=1,K184,0)</f>
        <v>0</v>
      </c>
      <c r="Y184" s="60" t="n">
        <f aca="false">IF(Informed=0,K184,0)</f>
        <v>13.0835543314726</v>
      </c>
      <c r="Z184" s="60" t="n">
        <f aca="false">IF(Informed=1,N184,0)</f>
        <v>0</v>
      </c>
      <c r="AA184" s="60" t="n">
        <f aca="false">IF(Informed=0,N184,0)</f>
        <v>0</v>
      </c>
      <c r="AB184" s="64" t="n">
        <f aca="false">IF(Arterial=0,IF(Informed=1,1,0),0)</f>
        <v>0</v>
      </c>
      <c r="AC184" s="64" t="n">
        <f aca="false">IF(Arterial=0,IF(Informed=0,1,0),0)</f>
        <v>1</v>
      </c>
      <c r="AD184" s="64" t="n">
        <f aca="false">IF(Arterial=1,IF(Informed=1,1,0),0)</f>
        <v>0</v>
      </c>
      <c r="AE184" s="64" t="n">
        <f aca="false">IF(Arterial=1,IF(Informed=0,1,0),0)</f>
        <v>0</v>
      </c>
      <c r="AF184" s="57" t="n">
        <f aca="false">IF(AB184=1,(X184-G$1030)^2,0)</f>
        <v>0</v>
      </c>
      <c r="AG184" s="57" t="n">
        <f aca="false">IF(AC184=1,(Y184-H$1030)^2,0)</f>
        <v>171.179393944595</v>
      </c>
      <c r="AH184" s="57" t="n">
        <f aca="false">IF(AD184=1,(Z184-I$1030)^2,0)</f>
        <v>0</v>
      </c>
      <c r="AI184" s="57" t="n">
        <f aca="false">IF(AE184=1,(AA184-J$1030)^2,0)</f>
        <v>0</v>
      </c>
    </row>
    <row r="185" customFormat="false" ht="12" hidden="false" customHeight="false" outlineLevel="0" collapsed="false">
      <c r="A185" s="5" t="n">
        <v>168</v>
      </c>
      <c r="B185" s="58" t="n">
        <f aca="true">IF(RAND()&lt;$D$8,1,0)</f>
        <v>0</v>
      </c>
      <c r="C185" s="47" t="n">
        <f aca="true">-LN(RAND())/$D$2</f>
        <v>6.34920130032043</v>
      </c>
      <c r="D185" s="59" t="n">
        <f aca="false">D184+C185</f>
        <v>168.758533442231</v>
      </c>
      <c r="E185" s="60" t="n">
        <f aca="false">MAX($D$3,(1+P184-VLOOKUP(VALUE(D185),$J$18:$Q184,7,TRUE()))*$D$3)</f>
        <v>10</v>
      </c>
      <c r="F185" s="60" t="n">
        <f aca="false">MAX($D$4,(1+Q184-VLOOKUP(VALUE(D185),$M$18:$Q184,5,TRUE()))*$D$4)</f>
        <v>6</v>
      </c>
      <c r="G185" s="61" t="n">
        <v>0.5</v>
      </c>
      <c r="H185" s="59" t="n">
        <f aca="true">IF((B185=1),(IF((F185&lt;E185),1,(IF((F185=E185),(IF(RAND()&lt;G185,1,0)),0)))),(IF((RAND()&lt;G185),1,0)))</f>
        <v>0</v>
      </c>
      <c r="I185" s="59" t="n">
        <f aca="true">IF((H185=1),0,$D$3+$D$5*(RAND()-0.5))</f>
        <v>1.86933299746735</v>
      </c>
      <c r="J185" s="59" t="n">
        <f aca="false">I185+MAX(D185,J184)</f>
        <v>177.36221947085</v>
      </c>
      <c r="K185" s="59" t="n">
        <f aca="false">IF((H185=0),J185-D185,0)</f>
        <v>8.60368602861951</v>
      </c>
      <c r="L185" s="59" t="n">
        <f aca="true">IF(($H185=0),0,$D$4+$D$5*(RAND()-0.5))</f>
        <v>0</v>
      </c>
      <c r="M185" s="59" t="n">
        <f aca="false">L185+MAX(D185,M184)</f>
        <v>171.443513803757</v>
      </c>
      <c r="N185" s="59" t="n">
        <f aca="false">IF((H185=1),M185-D185,0)</f>
        <v>0</v>
      </c>
      <c r="O185" s="5" t="n">
        <v>168</v>
      </c>
      <c r="P185" s="62" t="n">
        <f aca="false">IF((Arterial=0),P184+1,P184)</f>
        <v>85</v>
      </c>
      <c r="Q185" s="62" t="n">
        <f aca="false">IF((Arterial=1),Q184+1,Q184)</f>
        <v>83</v>
      </c>
      <c r="R185" s="63" t="e">
        <f aca="false">IF((RESET=1),0,R185+K185)</f>
        <v>#N/A</v>
      </c>
      <c r="S185" s="10" t="n">
        <f aca="false">IF(RESET=1,0,S185+N185)</f>
        <v>388.881988120337</v>
      </c>
      <c r="T185" s="0" t="e">
        <f aca="false">IF(RESET=1,0,T185+IF(H185=0,1,0))</f>
        <v>#N/A</v>
      </c>
      <c r="U185" s="0" t="n">
        <f aca="false">IF(RESET=1,0,U185+H185)</f>
        <v>29</v>
      </c>
      <c r="V185" s="10" t="e">
        <f aca="false">R185/(T185+0.00001)</f>
        <v>#N/A</v>
      </c>
      <c r="W185" s="10" t="n">
        <f aca="false">S185/(U185+0.0001)</f>
        <v>13.4096774880203</v>
      </c>
      <c r="X185" s="60" t="n">
        <f aca="false">IF(Informed=1,K185,0)</f>
        <v>0</v>
      </c>
      <c r="Y185" s="60" t="n">
        <f aca="false">IF(Informed=0,K185,0)</f>
        <v>8.60368602861951</v>
      </c>
      <c r="Z185" s="60" t="n">
        <f aca="false">IF(Informed=1,N185,0)</f>
        <v>0</v>
      </c>
      <c r="AA185" s="60" t="n">
        <f aca="false">IF(Informed=0,N185,0)</f>
        <v>0</v>
      </c>
      <c r="AB185" s="64" t="n">
        <f aca="false">IF(Arterial=0,IF(Informed=1,1,0),0)</f>
        <v>0</v>
      </c>
      <c r="AC185" s="64" t="n">
        <f aca="false">IF(Arterial=0,IF(Informed=0,1,0),0)</f>
        <v>1</v>
      </c>
      <c r="AD185" s="64" t="n">
        <f aca="false">IF(Arterial=1,IF(Informed=1,1,0),0)</f>
        <v>0</v>
      </c>
      <c r="AE185" s="64" t="n">
        <f aca="false">IF(Arterial=1,IF(Informed=0,1,0),0)</f>
        <v>0</v>
      </c>
      <c r="AF185" s="57" t="n">
        <f aca="false">IF(AB185=1,(X185-G$1030)^2,0)</f>
        <v>0</v>
      </c>
      <c r="AG185" s="57" t="n">
        <f aca="false">IF(AC185=1,(Y185-H$1030)^2,0)</f>
        <v>74.0234132790625</v>
      </c>
      <c r="AH185" s="57" t="n">
        <f aca="false">IF(AD185=1,(Z185-I$1030)^2,0)</f>
        <v>0</v>
      </c>
      <c r="AI185" s="57" t="n">
        <f aca="false">IF(AE185=1,(AA185-J$1030)^2,0)</f>
        <v>0</v>
      </c>
    </row>
    <row r="186" customFormat="false" ht="12" hidden="false" customHeight="false" outlineLevel="0" collapsed="false">
      <c r="A186" s="5" t="n">
        <v>169</v>
      </c>
      <c r="B186" s="58" t="n">
        <f aca="true">IF(RAND()&lt;$D$8,1,0)</f>
        <v>1</v>
      </c>
      <c r="C186" s="47" t="n">
        <f aca="true">-LN(RAND())/$D$2</f>
        <v>0.0600955446316422</v>
      </c>
      <c r="D186" s="59" t="n">
        <f aca="false">D185+C186</f>
        <v>168.818628986862</v>
      </c>
      <c r="E186" s="60" t="n">
        <f aca="false">MAX($D$3,(1+P185-VLOOKUP(VALUE(D186),$J$18:$Q185,7,TRUE()))*$D$3)</f>
        <v>12</v>
      </c>
      <c r="F186" s="60" t="n">
        <f aca="false">MAX($D$4,(1+Q185-VLOOKUP(VALUE(D186),$M$18:$Q185,5,TRUE()))*$D$4)</f>
        <v>6</v>
      </c>
      <c r="G186" s="61" t="n">
        <v>0.5</v>
      </c>
      <c r="H186" s="59" t="n">
        <f aca="true">IF((B186=1),(IF((F186&lt;E186),1,(IF((F186=E186),(IF(RAND()&lt;G186,1,0)),0)))),(IF((RAND()&lt;G186),1,0)))</f>
        <v>1</v>
      </c>
      <c r="I186" s="59" t="n">
        <f aca="true">IF((H186=1),0,$D$3+$D$5*(RAND()-0.5))</f>
        <v>0</v>
      </c>
      <c r="J186" s="59" t="n">
        <f aca="false">I186+MAX(D186,J185)</f>
        <v>177.36221947085</v>
      </c>
      <c r="K186" s="59" t="n">
        <f aca="false">IF((H186=0),J186-D186,0)</f>
        <v>0</v>
      </c>
      <c r="L186" s="59" t="n">
        <f aca="true">IF(($H186=0),0,$D$4+$D$5*(RAND()-0.5))</f>
        <v>1.91520493412458</v>
      </c>
      <c r="M186" s="59" t="n">
        <f aca="false">L186+MAX(D186,M185)</f>
        <v>173.358718737882</v>
      </c>
      <c r="N186" s="59" t="n">
        <f aca="false">IF((H186=1),M186-D186,0)</f>
        <v>4.54008975101917</v>
      </c>
      <c r="O186" s="5" t="n">
        <v>169</v>
      </c>
      <c r="P186" s="62" t="n">
        <f aca="false">IF((Arterial=0),P185+1,P185)</f>
        <v>85</v>
      </c>
      <c r="Q186" s="62" t="n">
        <f aca="false">IF((Arterial=1),Q185+1,Q185)</f>
        <v>84</v>
      </c>
      <c r="R186" s="63" t="n">
        <f aca="false">IF((RESET=1),0,R186+K186)</f>
        <v>334.006839420919</v>
      </c>
      <c r="S186" s="10" t="e">
        <f aca="false">IF(RESET=1,0,S186+N186)</f>
        <v>#N/A</v>
      </c>
      <c r="T186" s="0" t="n">
        <f aca="false">IF(RESET=1,0,T186+IF(H186=0,1,0))</f>
        <v>29</v>
      </c>
      <c r="U186" s="0" t="e">
        <f aca="false">IF(RESET=1,0,U186+H186)</f>
        <v>#N/A</v>
      </c>
      <c r="V186" s="10" t="n">
        <f aca="false">R186/(T186+0.00001)</f>
        <v>11.5174732498685</v>
      </c>
      <c r="W186" s="10" t="e">
        <f aca="false">S186/(U186+0.0001)</f>
        <v>#N/A</v>
      </c>
      <c r="X186" s="60" t="n">
        <f aca="false">IF(Informed=1,K186,0)</f>
        <v>0</v>
      </c>
      <c r="Y186" s="60" t="n">
        <f aca="false">IF(Informed=0,K186,0)</f>
        <v>0</v>
      </c>
      <c r="Z186" s="60" t="n">
        <f aca="false">IF(Informed=1,N186,0)</f>
        <v>4.54008975101917</v>
      </c>
      <c r="AA186" s="60" t="n">
        <f aca="false">IF(Informed=0,N186,0)</f>
        <v>0</v>
      </c>
      <c r="AB186" s="64" t="n">
        <f aca="false">IF(Arterial=0,IF(Informed=1,1,0),0)</f>
        <v>0</v>
      </c>
      <c r="AC186" s="64" t="n">
        <f aca="false">IF(Arterial=0,IF(Informed=0,1,0),0)</f>
        <v>0</v>
      </c>
      <c r="AD186" s="64" t="n">
        <f aca="false">IF(Arterial=1,IF(Informed=1,1,0),0)</f>
        <v>1</v>
      </c>
      <c r="AE186" s="64" t="n">
        <f aca="false">IF(Arterial=1,IF(Informed=0,1,0),0)</f>
        <v>0</v>
      </c>
      <c r="AF186" s="57" t="n">
        <f aca="false">IF(AB186=1,(X186-G$1030)^2,0)</f>
        <v>0</v>
      </c>
      <c r="AG186" s="57" t="n">
        <f aca="false">IF(AC186=1,(Y186-H$1030)^2,0)</f>
        <v>0</v>
      </c>
      <c r="AH186" s="57" t="n">
        <f aca="false">IF(AD186=1,(Z186-I$1030)^2,0)</f>
        <v>20.6124149473093</v>
      </c>
      <c r="AI186" s="57" t="n">
        <f aca="false">IF(AE186=1,(AA186-J$1030)^2,0)</f>
        <v>0</v>
      </c>
    </row>
    <row r="187" customFormat="false" ht="12" hidden="false" customHeight="false" outlineLevel="0" collapsed="false">
      <c r="A187" s="5" t="n">
        <v>170</v>
      </c>
      <c r="B187" s="58" t="n">
        <f aca="true">IF(RAND()&lt;$D$8,1,0)</f>
        <v>0</v>
      </c>
      <c r="C187" s="47" t="n">
        <f aca="true">-LN(RAND())/$D$2</f>
        <v>0.310347921792381</v>
      </c>
      <c r="D187" s="59" t="n">
        <f aca="false">D186+C187</f>
        <v>169.128976908655</v>
      </c>
      <c r="E187" s="60" t="n">
        <f aca="false">MAX($D$3,(1+P186-VLOOKUP(VALUE(D187),$J$18:$Q186,7,TRUE()))*$D$3)</f>
        <v>12</v>
      </c>
      <c r="F187" s="60" t="n">
        <f aca="false">MAX($D$4,(1+Q186-VLOOKUP(VALUE(D187),$M$18:$Q186,5,TRUE()))*$D$4)</f>
        <v>8</v>
      </c>
      <c r="G187" s="61" t="n">
        <v>0.5</v>
      </c>
      <c r="H187" s="59" t="n">
        <f aca="true">IF((B187=1),(IF((F187&lt;E187),1,(IF((F187=E187),(IF(RAND()&lt;G187,1,0)),0)))),(IF((RAND()&lt;G187),1,0)))</f>
        <v>0</v>
      </c>
      <c r="I187" s="59" t="n">
        <f aca="true">IF((H187=1),0,$D$3+$D$5*(RAND()-0.5))</f>
        <v>2.24746730319068</v>
      </c>
      <c r="J187" s="59" t="n">
        <f aca="false">I187+MAX(D187,J186)</f>
        <v>179.609686774041</v>
      </c>
      <c r="K187" s="59" t="n">
        <f aca="false">IF((H187=0),J187-D187,0)</f>
        <v>10.4807098653862</v>
      </c>
      <c r="L187" s="59" t="n">
        <f aca="true">IF(($H187=0),0,$D$4+$D$5*(RAND()-0.5))</f>
        <v>0</v>
      </c>
      <c r="M187" s="59" t="n">
        <f aca="false">L187+MAX(D187,M186)</f>
        <v>173.358718737882</v>
      </c>
      <c r="N187" s="59" t="n">
        <f aca="false">IF((H187=1),M187-D187,0)</f>
        <v>0</v>
      </c>
      <c r="O187" s="5" t="n">
        <v>170</v>
      </c>
      <c r="P187" s="62" t="n">
        <f aca="false">IF((Arterial=0),P186+1,P186)</f>
        <v>86</v>
      </c>
      <c r="Q187" s="62" t="n">
        <f aca="false">IF((Arterial=1),Q186+1,Q186)</f>
        <v>84</v>
      </c>
      <c r="R187" s="63" t="e">
        <f aca="false">IF((RESET=1),0,R187+K187)</f>
        <v>#N/A</v>
      </c>
      <c r="S187" s="10" t="n">
        <f aca="false">IF(RESET=1,0,S187+N187)</f>
        <v>329.871445916359</v>
      </c>
      <c r="T187" s="0" t="e">
        <f aca="false">IF(RESET=1,0,T187+IF(H187=0,1,0))</f>
        <v>#N/A</v>
      </c>
      <c r="U187" s="0" t="n">
        <f aca="false">IF(RESET=1,0,U187+H187)</f>
        <v>24</v>
      </c>
      <c r="V187" s="10" t="e">
        <f aca="false">R187/(T187+0.00001)</f>
        <v>#N/A</v>
      </c>
      <c r="W187" s="10" t="n">
        <f aca="false">S187/(U187+0.0001)</f>
        <v>13.7445863107387</v>
      </c>
      <c r="X187" s="60" t="n">
        <f aca="false">IF(Informed=1,K187,0)</f>
        <v>0</v>
      </c>
      <c r="Y187" s="60" t="n">
        <f aca="false">IF(Informed=0,K187,0)</f>
        <v>10.4807098653862</v>
      </c>
      <c r="Z187" s="60" t="n">
        <f aca="false">IF(Informed=1,N187,0)</f>
        <v>0</v>
      </c>
      <c r="AA187" s="60" t="n">
        <f aca="false">IF(Informed=0,N187,0)</f>
        <v>0</v>
      </c>
      <c r="AB187" s="64" t="n">
        <f aca="false">IF(Arterial=0,IF(Informed=1,1,0),0)</f>
        <v>0</v>
      </c>
      <c r="AC187" s="64" t="n">
        <f aca="false">IF(Arterial=0,IF(Informed=0,1,0),0)</f>
        <v>1</v>
      </c>
      <c r="AD187" s="64" t="n">
        <f aca="false">IF(Arterial=1,IF(Informed=1,1,0),0)</f>
        <v>0</v>
      </c>
      <c r="AE187" s="64" t="n">
        <f aca="false">IF(Arterial=1,IF(Informed=0,1,0),0)</f>
        <v>0</v>
      </c>
      <c r="AF187" s="57" t="n">
        <f aca="false">IF(AB187=1,(X187-G$1030)^2,0)</f>
        <v>0</v>
      </c>
      <c r="AG187" s="57" t="n">
        <f aca="false">IF(AC187=1,(Y187-H$1030)^2,0)</f>
        <v>109.845279282403</v>
      </c>
      <c r="AH187" s="57" t="n">
        <f aca="false">IF(AD187=1,(Z187-I$1030)^2,0)</f>
        <v>0</v>
      </c>
      <c r="AI187" s="57" t="n">
        <f aca="false">IF(AE187=1,(AA187-J$1030)^2,0)</f>
        <v>0</v>
      </c>
    </row>
    <row r="188" customFormat="false" ht="12" hidden="false" customHeight="false" outlineLevel="0" collapsed="false">
      <c r="A188" s="5" t="n">
        <v>171</v>
      </c>
      <c r="B188" s="58" t="n">
        <f aca="true">IF(RAND()&lt;$D$8,1,0)</f>
        <v>0</v>
      </c>
      <c r="C188" s="47" t="n">
        <f aca="true">-LN(RAND())/$D$2</f>
        <v>0.60438129295848</v>
      </c>
      <c r="D188" s="59" t="n">
        <f aca="false">D187+C188</f>
        <v>169.733358201613</v>
      </c>
      <c r="E188" s="60" t="n">
        <f aca="false">MAX($D$3,(1+P187-VLOOKUP(VALUE(D188),$J$18:$Q187,7,TRUE()))*$D$3)</f>
        <v>12</v>
      </c>
      <c r="F188" s="60" t="n">
        <f aca="false">MAX($D$4,(1+Q187-VLOOKUP(VALUE(D188),$M$18:$Q187,5,TRUE()))*$D$4)</f>
        <v>6</v>
      </c>
      <c r="G188" s="61" t="n">
        <v>0.5</v>
      </c>
      <c r="H188" s="59" t="n">
        <f aca="true">IF((B188=1),(IF((F188&lt;E188),1,(IF((F188=E188),(IF(RAND()&lt;G188,1,0)),0)))),(IF((RAND()&lt;G188),1,0)))</f>
        <v>1</v>
      </c>
      <c r="I188" s="59" t="n">
        <f aca="true">IF((H188=1),0,$D$3+$D$5*(RAND()-0.5))</f>
        <v>0</v>
      </c>
      <c r="J188" s="59" t="n">
        <f aca="false">I188+MAX(D188,J187)</f>
        <v>179.609686774041</v>
      </c>
      <c r="K188" s="59" t="n">
        <f aca="false">IF((H188=0),J188-D188,0)</f>
        <v>0</v>
      </c>
      <c r="L188" s="59" t="n">
        <f aca="true">IF(($H188=0),0,$D$4+$D$5*(RAND()-0.5))</f>
        <v>2.17872670915304</v>
      </c>
      <c r="M188" s="59" t="n">
        <f aca="false">L188+MAX(D188,M187)</f>
        <v>175.537445447035</v>
      </c>
      <c r="N188" s="59" t="n">
        <f aca="false">IF((H188=1),M188-D188,0)</f>
        <v>5.80408724542133</v>
      </c>
      <c r="O188" s="5" t="n">
        <v>171</v>
      </c>
      <c r="P188" s="62" t="n">
        <f aca="false">IF((Arterial=0),P187+1,P187)</f>
        <v>86</v>
      </c>
      <c r="Q188" s="62" t="n">
        <f aca="false">IF((Arterial=1),Q187+1,Q187)</f>
        <v>85</v>
      </c>
      <c r="R188" s="63" t="n">
        <f aca="false">IF((RESET=1),0,R188+K188)</f>
        <v>320.243027336129</v>
      </c>
      <c r="S188" s="10" t="e">
        <f aca="false">IF(RESET=1,0,S188+N188)</f>
        <v>#N/A</v>
      </c>
      <c r="T188" s="0" t="n">
        <f aca="false">IF(RESET=1,0,T188+IF(H188=0,1,0))</f>
        <v>26</v>
      </c>
      <c r="U188" s="0" t="e">
        <f aca="false">IF(RESET=1,0,U188+H188)</f>
        <v>#N/A</v>
      </c>
      <c r="V188" s="10" t="n">
        <f aca="false">R188/(T188+0.00001)</f>
        <v>12.317034775607</v>
      </c>
      <c r="W188" s="10" t="e">
        <f aca="false">S188/(U188+0.0001)</f>
        <v>#N/A</v>
      </c>
      <c r="X188" s="60" t="n">
        <f aca="false">IF(Informed=1,K188,0)</f>
        <v>0</v>
      </c>
      <c r="Y188" s="60" t="n">
        <f aca="false">IF(Informed=0,K188,0)</f>
        <v>0</v>
      </c>
      <c r="Z188" s="60" t="n">
        <f aca="false">IF(Informed=1,N188,0)</f>
        <v>0</v>
      </c>
      <c r="AA188" s="60" t="n">
        <f aca="false">IF(Informed=0,N188,0)</f>
        <v>5.80408724542133</v>
      </c>
      <c r="AB188" s="64" t="n">
        <f aca="false">IF(Arterial=0,IF(Informed=1,1,0),0)</f>
        <v>0</v>
      </c>
      <c r="AC188" s="64" t="n">
        <f aca="false">IF(Arterial=0,IF(Informed=0,1,0),0)</f>
        <v>0</v>
      </c>
      <c r="AD188" s="64" t="n">
        <f aca="false">IF(Arterial=1,IF(Informed=1,1,0),0)</f>
        <v>0</v>
      </c>
      <c r="AE188" s="64" t="n">
        <f aca="false">IF(Arterial=1,IF(Informed=0,1,0),0)</f>
        <v>1</v>
      </c>
      <c r="AF188" s="57" t="n">
        <f aca="false">IF(AB188=1,(X188-G$1030)^2,0)</f>
        <v>0</v>
      </c>
      <c r="AG188" s="57" t="n">
        <f aca="false">IF(AC188=1,(Y188-H$1030)^2,0)</f>
        <v>0</v>
      </c>
      <c r="AH188" s="57" t="n">
        <f aca="false">IF(AD188=1,(Z188-I$1030)^2,0)</f>
        <v>0</v>
      </c>
      <c r="AI188" s="57" t="n">
        <f aca="false">IF(AE188=1,(AA188-J$1030)^2,0)</f>
        <v>33.6874287524625</v>
      </c>
    </row>
    <row r="189" customFormat="false" ht="12" hidden="false" customHeight="false" outlineLevel="0" collapsed="false">
      <c r="A189" s="5" t="n">
        <v>172</v>
      </c>
      <c r="B189" s="58" t="n">
        <f aca="true">IF(RAND()&lt;$D$8,1,0)</f>
        <v>1</v>
      </c>
      <c r="C189" s="47" t="n">
        <f aca="true">-LN(RAND())/$D$2</f>
        <v>0.110377039121538</v>
      </c>
      <c r="D189" s="59" t="n">
        <f aca="false">D188+C189</f>
        <v>169.843735240735</v>
      </c>
      <c r="E189" s="60" t="n">
        <f aca="false">MAX($D$3,(1+P188-VLOOKUP(VALUE(D189),$J$18:$Q188,7,TRUE()))*$D$3)</f>
        <v>12</v>
      </c>
      <c r="F189" s="60" t="n">
        <f aca="false">MAX($D$4,(1+Q188-VLOOKUP(VALUE(D189),$M$18:$Q188,5,TRUE()))*$D$4)</f>
        <v>8</v>
      </c>
      <c r="G189" s="61" t="n">
        <v>0.5</v>
      </c>
      <c r="H189" s="59" t="n">
        <f aca="true">IF((B189=1),(IF((F189&lt;E189),1,(IF((F189=E189),(IF(RAND()&lt;G189,1,0)),0)))),(IF((RAND()&lt;G189),1,0)))</f>
        <v>1</v>
      </c>
      <c r="I189" s="59" t="n">
        <f aca="true">IF((H189=1),0,$D$3+$D$5*(RAND()-0.5))</f>
        <v>0</v>
      </c>
      <c r="J189" s="59" t="n">
        <f aca="false">I189+MAX(D189,J188)</f>
        <v>179.609686774041</v>
      </c>
      <c r="K189" s="59" t="n">
        <f aca="false">IF((H189=0),J189-D189,0)</f>
        <v>0</v>
      </c>
      <c r="L189" s="59" t="n">
        <f aca="true">IF(($H189=0),0,$D$4+$D$5*(RAND()-0.5))</f>
        <v>2.07458906633068</v>
      </c>
      <c r="M189" s="59" t="n">
        <f aca="false">L189+MAX(D189,M188)</f>
        <v>177.612034513365</v>
      </c>
      <c r="N189" s="59" t="n">
        <f aca="false">IF((H189=1),M189-D189,0)</f>
        <v>7.76829927263046</v>
      </c>
      <c r="O189" s="5" t="n">
        <v>172</v>
      </c>
      <c r="P189" s="62" t="n">
        <f aca="false">IF((Arterial=0),P188+1,P188)</f>
        <v>86</v>
      </c>
      <c r="Q189" s="62" t="n">
        <f aca="false">IF((Arterial=1),Q188+1,Q188)</f>
        <v>86</v>
      </c>
      <c r="R189" s="63" t="n">
        <f aca="false">IF((RESET=1),0,R189+K189)</f>
        <v>351.501419338478</v>
      </c>
      <c r="S189" s="10" t="e">
        <f aca="false">IF(RESET=1,0,S189+N189)</f>
        <v>#N/A</v>
      </c>
      <c r="T189" s="0" t="n">
        <f aca="false">IF(RESET=1,0,T189+IF(H189=0,1,0))</f>
        <v>28</v>
      </c>
      <c r="U189" s="0" t="e">
        <f aca="false">IF(RESET=1,0,U189+H189)</f>
        <v>#N/A</v>
      </c>
      <c r="V189" s="10" t="n">
        <f aca="false">R189/(T189+0.00001)</f>
        <v>12.5536176357965</v>
      </c>
      <c r="W189" s="10" t="e">
        <f aca="false">S189/(U189+0.0001)</f>
        <v>#N/A</v>
      </c>
      <c r="X189" s="60" t="n">
        <f aca="false">IF(Informed=1,K189,0)</f>
        <v>0</v>
      </c>
      <c r="Y189" s="60" t="n">
        <f aca="false">IF(Informed=0,K189,0)</f>
        <v>0</v>
      </c>
      <c r="Z189" s="60" t="n">
        <f aca="false">IF(Informed=1,N189,0)</f>
        <v>7.76829927263046</v>
      </c>
      <c r="AA189" s="60" t="n">
        <f aca="false">IF(Informed=0,N189,0)</f>
        <v>0</v>
      </c>
      <c r="AB189" s="64" t="n">
        <f aca="false">IF(Arterial=0,IF(Informed=1,1,0),0)</f>
        <v>0</v>
      </c>
      <c r="AC189" s="64" t="n">
        <f aca="false">IF(Arterial=0,IF(Informed=0,1,0),0)</f>
        <v>0</v>
      </c>
      <c r="AD189" s="64" t="n">
        <f aca="false">IF(Arterial=1,IF(Informed=1,1,0),0)</f>
        <v>1</v>
      </c>
      <c r="AE189" s="64" t="n">
        <f aca="false">IF(Arterial=1,IF(Informed=0,1,0),0)</f>
        <v>0</v>
      </c>
      <c r="AF189" s="57" t="n">
        <f aca="false">IF(AB189=1,(X189-G$1030)^2,0)</f>
        <v>0</v>
      </c>
      <c r="AG189" s="57" t="n">
        <f aca="false">IF(AC189=1,(Y189-H$1030)^2,0)</f>
        <v>0</v>
      </c>
      <c r="AH189" s="57" t="n">
        <f aca="false">IF(AD189=1,(Z189-I$1030)^2,0)</f>
        <v>60.3464735891509</v>
      </c>
      <c r="AI189" s="57" t="n">
        <f aca="false">IF(AE189=1,(AA189-J$1030)^2,0)</f>
        <v>0</v>
      </c>
    </row>
    <row r="190" customFormat="false" ht="12" hidden="false" customHeight="false" outlineLevel="0" collapsed="false">
      <c r="A190" s="5" t="n">
        <v>173</v>
      </c>
      <c r="B190" s="58" t="n">
        <f aca="true">IF(RAND()&lt;$D$8,1,0)</f>
        <v>1</v>
      </c>
      <c r="C190" s="47" t="n">
        <f aca="true">-LN(RAND())/$D$2</f>
        <v>1.08457147811487</v>
      </c>
      <c r="D190" s="59" t="n">
        <f aca="false">D189+C190</f>
        <v>170.92830671885</v>
      </c>
      <c r="E190" s="60" t="n">
        <f aca="false">MAX($D$3,(1+P189-VLOOKUP(VALUE(D190),$J$18:$Q189,7,TRUE()))*$D$3)</f>
        <v>12</v>
      </c>
      <c r="F190" s="60" t="n">
        <f aca="false">MAX($D$4,(1+Q189-VLOOKUP(VALUE(D190),$M$18:$Q189,5,TRUE()))*$D$4)</f>
        <v>10</v>
      </c>
      <c r="G190" s="61" t="n">
        <v>0.5</v>
      </c>
      <c r="H190" s="59" t="n">
        <f aca="true">IF((B190=1),(IF((F190&lt;E190),1,(IF((F190=E190),(IF(RAND()&lt;G190,1,0)),0)))),(IF((RAND()&lt;G190),1,0)))</f>
        <v>1</v>
      </c>
      <c r="I190" s="59" t="n">
        <f aca="true">IF((H190=1),0,$D$3+$D$5*(RAND()-0.5))</f>
        <v>0</v>
      </c>
      <c r="J190" s="59" t="n">
        <f aca="false">I190+MAX(D190,J189)</f>
        <v>179.609686774041</v>
      </c>
      <c r="K190" s="59" t="n">
        <f aca="false">IF((H190=0),J190-D190,0)</f>
        <v>0</v>
      </c>
      <c r="L190" s="59" t="n">
        <f aca="true">IF(($H190=0),0,$D$4+$D$5*(RAND()-0.5))</f>
        <v>2.15001907212757</v>
      </c>
      <c r="M190" s="59" t="n">
        <f aca="false">L190+MAX(D190,M189)</f>
        <v>179.762053585493</v>
      </c>
      <c r="N190" s="59" t="n">
        <f aca="false">IF((H190=1),M190-D190,0)</f>
        <v>8.83374686664317</v>
      </c>
      <c r="O190" s="5" t="n">
        <v>173</v>
      </c>
      <c r="P190" s="62" t="n">
        <f aca="false">IF((Arterial=0),P189+1,P189)</f>
        <v>86</v>
      </c>
      <c r="Q190" s="62" t="n">
        <f aca="false">IF((Arterial=1),Q189+1,Q189)</f>
        <v>87</v>
      </c>
      <c r="R190" s="63" t="n">
        <f aca="false">IF((RESET=1),0,R190+K190)</f>
        <v>390.979135941925</v>
      </c>
      <c r="S190" s="10" t="e">
        <f aca="false">IF(RESET=1,0,S190+N190)</f>
        <v>#N/A</v>
      </c>
      <c r="T190" s="0" t="n">
        <f aca="false">IF(RESET=1,0,T190+IF(H190=0,1,0))</f>
        <v>32</v>
      </c>
      <c r="U190" s="0" t="e">
        <f aca="false">IF(RESET=1,0,U190+H190)</f>
        <v>#N/A</v>
      </c>
      <c r="V190" s="10" t="n">
        <f aca="false">R190/(T190+0.00001)</f>
        <v>12.2180941800307</v>
      </c>
      <c r="W190" s="10" t="e">
        <f aca="false">S190/(U190+0.0001)</f>
        <v>#N/A</v>
      </c>
      <c r="X190" s="60" t="n">
        <f aca="false">IF(Informed=1,K190,0)</f>
        <v>0</v>
      </c>
      <c r="Y190" s="60" t="n">
        <f aca="false">IF(Informed=0,K190,0)</f>
        <v>0</v>
      </c>
      <c r="Z190" s="60" t="n">
        <f aca="false">IF(Informed=1,N190,0)</f>
        <v>8.83374686664317</v>
      </c>
      <c r="AA190" s="60" t="n">
        <f aca="false">IF(Informed=0,N190,0)</f>
        <v>0</v>
      </c>
      <c r="AB190" s="64" t="n">
        <f aca="false">IF(Arterial=0,IF(Informed=1,1,0),0)</f>
        <v>0</v>
      </c>
      <c r="AC190" s="64" t="n">
        <f aca="false">IF(Arterial=0,IF(Informed=0,1,0),0)</f>
        <v>0</v>
      </c>
      <c r="AD190" s="64" t="n">
        <f aca="false">IF(Arterial=1,IF(Informed=1,1,0),0)</f>
        <v>1</v>
      </c>
      <c r="AE190" s="64" t="n">
        <f aca="false">IF(Arterial=1,IF(Informed=0,1,0),0)</f>
        <v>0</v>
      </c>
      <c r="AF190" s="57" t="n">
        <f aca="false">IF(AB190=1,(X190-G$1030)^2,0)</f>
        <v>0</v>
      </c>
      <c r="AG190" s="57" t="n">
        <f aca="false">IF(AC190=1,(Y190-H$1030)^2,0)</f>
        <v>0</v>
      </c>
      <c r="AH190" s="57" t="n">
        <f aca="false">IF(AD190=1,(Z190-I$1030)^2,0)</f>
        <v>78.035083703928</v>
      </c>
      <c r="AI190" s="57" t="n">
        <f aca="false">IF(AE190=1,(AA190-J$1030)^2,0)</f>
        <v>0</v>
      </c>
    </row>
    <row r="191" customFormat="false" ht="12" hidden="false" customHeight="false" outlineLevel="0" collapsed="false">
      <c r="A191" s="5" t="n">
        <v>174</v>
      </c>
      <c r="B191" s="58" t="n">
        <f aca="true">IF(RAND()&lt;$D$8,1,0)</f>
        <v>0</v>
      </c>
      <c r="C191" s="47" t="n">
        <f aca="true">-LN(RAND())/$D$2</f>
        <v>0.405317347102483</v>
      </c>
      <c r="D191" s="59" t="n">
        <f aca="false">D190+C191</f>
        <v>171.333624065952</v>
      </c>
      <c r="E191" s="60" t="n">
        <f aca="false">MAX($D$3,(1+P190-VLOOKUP(VALUE(D191),$J$18:$Q190,7,TRUE()))*$D$3)</f>
        <v>12</v>
      </c>
      <c r="F191" s="60" t="n">
        <f aca="false">MAX($D$4,(1+Q190-VLOOKUP(VALUE(D191),$M$18:$Q190,5,TRUE()))*$D$4)</f>
        <v>12</v>
      </c>
      <c r="G191" s="61" t="n">
        <v>0.5</v>
      </c>
      <c r="H191" s="59" t="n">
        <f aca="true">IF((B191=1),(IF((F191&lt;E191),1,(IF((F191=E191),(IF(RAND()&lt;G191,1,0)),0)))),(IF((RAND()&lt;G191),1,0)))</f>
        <v>0</v>
      </c>
      <c r="I191" s="59" t="n">
        <f aca="true">IF((H191=1),0,$D$3+$D$5*(RAND()-0.5))</f>
        <v>2.12535052789645</v>
      </c>
      <c r="J191" s="59" t="n">
        <f aca="false">I191+MAX(D191,J190)</f>
        <v>181.735037301937</v>
      </c>
      <c r="K191" s="59" t="n">
        <f aca="false">IF((H191=0),J191-D191,0)</f>
        <v>10.4014132359852</v>
      </c>
      <c r="L191" s="59" t="n">
        <f aca="true">IF(($H191=0),0,$D$4+$D$5*(RAND()-0.5))</f>
        <v>0</v>
      </c>
      <c r="M191" s="59" t="n">
        <f aca="false">L191+MAX(D191,M190)</f>
        <v>179.762053585493</v>
      </c>
      <c r="N191" s="59" t="n">
        <f aca="false">IF((H191=1),M191-D191,0)</f>
        <v>0</v>
      </c>
      <c r="O191" s="5" t="n">
        <v>174</v>
      </c>
      <c r="P191" s="62" t="n">
        <f aca="false">IF((Arterial=0),P190+1,P190)</f>
        <v>87</v>
      </c>
      <c r="Q191" s="62" t="n">
        <f aca="false">IF((Arterial=1),Q190+1,Q190)</f>
        <v>87</v>
      </c>
      <c r="R191" s="63" t="e">
        <f aca="false">IF((RESET=1),0,R191+K191)</f>
        <v>#N/A</v>
      </c>
      <c r="S191" s="10" t="n">
        <f aca="false">IF(RESET=1,0,S191+N191)</f>
        <v>349.21999513221</v>
      </c>
      <c r="T191" s="0" t="e">
        <f aca="false">IF(RESET=1,0,T191+IF(H191=0,1,0))</f>
        <v>#N/A</v>
      </c>
      <c r="U191" s="0" t="n">
        <f aca="false">IF(RESET=1,0,U191+H191)</f>
        <v>28</v>
      </c>
      <c r="V191" s="10" t="e">
        <f aca="false">R191/(T191+0.00001)</f>
        <v>#N/A</v>
      </c>
      <c r="W191" s="10" t="n">
        <f aca="false">S191/(U191+0.0001)</f>
        <v>12.4720981400856</v>
      </c>
      <c r="X191" s="60" t="n">
        <f aca="false">IF(Informed=1,K191,0)</f>
        <v>0</v>
      </c>
      <c r="Y191" s="60" t="n">
        <f aca="false">IF(Informed=0,K191,0)</f>
        <v>10.4014132359852</v>
      </c>
      <c r="Z191" s="60" t="n">
        <f aca="false">IF(Informed=1,N191,0)</f>
        <v>0</v>
      </c>
      <c r="AA191" s="60" t="n">
        <f aca="false">IF(Informed=0,N191,0)</f>
        <v>0</v>
      </c>
      <c r="AB191" s="64" t="n">
        <f aca="false">IF(Arterial=0,IF(Informed=1,1,0),0)</f>
        <v>0</v>
      </c>
      <c r="AC191" s="64" t="n">
        <f aca="false">IF(Arterial=0,IF(Informed=0,1,0),0)</f>
        <v>1</v>
      </c>
      <c r="AD191" s="64" t="n">
        <f aca="false">IF(Arterial=1,IF(Informed=1,1,0),0)</f>
        <v>0</v>
      </c>
      <c r="AE191" s="64" t="n">
        <f aca="false">IF(Arterial=1,IF(Informed=0,1,0),0)</f>
        <v>0</v>
      </c>
      <c r="AF191" s="57" t="n">
        <f aca="false">IF(AB191=1,(X191-G$1030)^2,0)</f>
        <v>0</v>
      </c>
      <c r="AG191" s="57" t="n">
        <f aca="false">IF(AC191=1,(Y191-H$1030)^2,0)</f>
        <v>108.189397305728</v>
      </c>
      <c r="AH191" s="57" t="n">
        <f aca="false">IF(AD191=1,(Z191-I$1030)^2,0)</f>
        <v>0</v>
      </c>
      <c r="AI191" s="57" t="n">
        <f aca="false">IF(AE191=1,(AA191-J$1030)^2,0)</f>
        <v>0</v>
      </c>
    </row>
    <row r="192" customFormat="false" ht="12" hidden="false" customHeight="false" outlineLevel="0" collapsed="false">
      <c r="A192" s="5" t="n">
        <v>175</v>
      </c>
      <c r="B192" s="58" t="n">
        <f aca="true">IF(RAND()&lt;$D$8,1,0)</f>
        <v>0</v>
      </c>
      <c r="C192" s="47" t="n">
        <f aca="true">-LN(RAND())/$D$2</f>
        <v>1.70528702681576</v>
      </c>
      <c r="D192" s="59" t="n">
        <f aca="false">D191+C192</f>
        <v>173.038911092768</v>
      </c>
      <c r="E192" s="60" t="n">
        <f aca="false">MAX($D$3,(1+P191-VLOOKUP(VALUE(D192),$J$18:$Q191,7,TRUE()))*$D$3)</f>
        <v>12</v>
      </c>
      <c r="F192" s="60" t="n">
        <f aca="false">MAX($D$4,(1+Q191-VLOOKUP(VALUE(D192),$M$18:$Q191,5,TRUE()))*$D$4)</f>
        <v>10</v>
      </c>
      <c r="G192" s="61" t="n">
        <v>0.5</v>
      </c>
      <c r="H192" s="59" t="n">
        <f aca="true">IF((B192=1),(IF((F192&lt;E192),1,(IF((F192=E192),(IF(RAND()&lt;G192,1,0)),0)))),(IF((RAND()&lt;G192),1,0)))</f>
        <v>0</v>
      </c>
      <c r="I192" s="59" t="n">
        <f aca="true">IF((H192=1),0,$D$3+$D$5*(RAND()-0.5))</f>
        <v>2.03984504372457</v>
      </c>
      <c r="J192" s="59" t="n">
        <f aca="false">I192+MAX(D192,J191)</f>
        <v>183.774882345662</v>
      </c>
      <c r="K192" s="59" t="n">
        <f aca="false">IF((H192=0),J192-D192,0)</f>
        <v>10.735971252894</v>
      </c>
      <c r="L192" s="59" t="n">
        <f aca="true">IF(($H192=0),0,$D$4+$D$5*(RAND()-0.5))</f>
        <v>0</v>
      </c>
      <c r="M192" s="59" t="n">
        <f aca="false">L192+MAX(D192,M191)</f>
        <v>179.762053585493</v>
      </c>
      <c r="N192" s="59" t="n">
        <f aca="false">IF((H192=1),M192-D192,0)</f>
        <v>0</v>
      </c>
      <c r="O192" s="5" t="n">
        <v>175</v>
      </c>
      <c r="P192" s="62" t="n">
        <f aca="false">IF((Arterial=0),P191+1,P191)</f>
        <v>88</v>
      </c>
      <c r="Q192" s="62" t="n">
        <f aca="false">IF((Arterial=1),Q191+1,Q191)</f>
        <v>87</v>
      </c>
      <c r="R192" s="63" t="e">
        <f aca="false">IF((RESET=1),0,R192+K192)</f>
        <v>#N/A</v>
      </c>
      <c r="S192" s="10" t="n">
        <f aca="false">IF(RESET=1,0,S192+N192)</f>
        <v>327.344149624083</v>
      </c>
      <c r="T192" s="0" t="e">
        <f aca="false">IF(RESET=1,0,T192+IF(H192=0,1,0))</f>
        <v>#N/A</v>
      </c>
      <c r="U192" s="0" t="n">
        <f aca="false">IF(RESET=1,0,U192+H192)</f>
        <v>26</v>
      </c>
      <c r="V192" s="10" t="e">
        <f aca="false">R192/(T192+0.00001)</f>
        <v>#N/A</v>
      </c>
      <c r="W192" s="10" t="n">
        <f aca="false">S192/(U192+0.0001)</f>
        <v>12.5901111774218</v>
      </c>
      <c r="X192" s="60" t="n">
        <f aca="false">IF(Informed=1,K192,0)</f>
        <v>0</v>
      </c>
      <c r="Y192" s="60" t="n">
        <f aca="false">IF(Informed=0,K192,0)</f>
        <v>10.735971252894</v>
      </c>
      <c r="Z192" s="60" t="n">
        <f aca="false">IF(Informed=1,N192,0)</f>
        <v>0</v>
      </c>
      <c r="AA192" s="60" t="n">
        <f aca="false">IF(Informed=0,N192,0)</f>
        <v>0</v>
      </c>
      <c r="AB192" s="64" t="n">
        <f aca="false">IF(Arterial=0,IF(Informed=1,1,0),0)</f>
        <v>0</v>
      </c>
      <c r="AC192" s="64" t="n">
        <f aca="false">IF(Arterial=0,IF(Informed=0,1,0),0)</f>
        <v>1</v>
      </c>
      <c r="AD192" s="64" t="n">
        <f aca="false">IF(Arterial=1,IF(Informed=1,1,0),0)</f>
        <v>0</v>
      </c>
      <c r="AE192" s="64" t="n">
        <f aca="false">IF(Arterial=1,IF(Informed=0,1,0),0)</f>
        <v>0</v>
      </c>
      <c r="AF192" s="57" t="n">
        <f aca="false">IF(AB192=1,(X192-G$1030)^2,0)</f>
        <v>0</v>
      </c>
      <c r="AG192" s="57" t="n">
        <f aca="false">IF(AC192=1,(Y192-H$1030)^2,0)</f>
        <v>115.261078742967</v>
      </c>
      <c r="AH192" s="57" t="n">
        <f aca="false">IF(AD192=1,(Z192-I$1030)^2,0)</f>
        <v>0</v>
      </c>
      <c r="AI192" s="57" t="n">
        <f aca="false">IF(AE192=1,(AA192-J$1030)^2,0)</f>
        <v>0</v>
      </c>
    </row>
    <row r="193" customFormat="false" ht="12" hidden="false" customHeight="false" outlineLevel="0" collapsed="false">
      <c r="A193" s="5" t="n">
        <v>176</v>
      </c>
      <c r="B193" s="58" t="n">
        <f aca="true">IF(RAND()&lt;$D$8,1,0)</f>
        <v>0</v>
      </c>
      <c r="C193" s="47" t="n">
        <f aca="true">-LN(RAND())/$D$2</f>
        <v>2.88074231169558</v>
      </c>
      <c r="D193" s="59" t="n">
        <f aca="false">D192+C193</f>
        <v>175.919653404463</v>
      </c>
      <c r="E193" s="60" t="n">
        <f aca="false">MAX($D$3,(1+P192-VLOOKUP(VALUE(D193),$J$18:$Q192,7,TRUE()))*$D$3)</f>
        <v>10</v>
      </c>
      <c r="F193" s="60" t="n">
        <f aca="false">MAX($D$4,(1+Q192-VLOOKUP(VALUE(D193),$M$18:$Q192,5,TRUE()))*$D$4)</f>
        <v>6</v>
      </c>
      <c r="G193" s="61" t="n">
        <v>0.5</v>
      </c>
      <c r="H193" s="59" t="n">
        <f aca="true">IF((B193=1),(IF((F193&lt;E193),1,(IF((F193=E193),(IF(RAND()&lt;G193,1,0)),0)))),(IF((RAND()&lt;G193),1,0)))</f>
        <v>0</v>
      </c>
      <c r="I193" s="59" t="n">
        <f aca="true">IF((H193=1),0,$D$3+$D$5*(RAND()-0.5))</f>
        <v>1.81689261602534</v>
      </c>
      <c r="J193" s="59" t="n">
        <f aca="false">I193+MAX(D193,J192)</f>
        <v>185.591774961687</v>
      </c>
      <c r="K193" s="59" t="n">
        <f aca="false">IF((H193=0),J193-D193,0)</f>
        <v>9.67212155722379</v>
      </c>
      <c r="L193" s="59" t="n">
        <f aca="true">IF(($H193=0),0,$D$4+$D$5*(RAND()-0.5))</f>
        <v>0</v>
      </c>
      <c r="M193" s="59" t="n">
        <f aca="false">L193+MAX(D193,M192)</f>
        <v>179.762053585493</v>
      </c>
      <c r="N193" s="59" t="n">
        <f aca="false">IF((H193=1),M193-D193,0)</f>
        <v>0</v>
      </c>
      <c r="O193" s="5" t="n">
        <v>176</v>
      </c>
      <c r="P193" s="62" t="n">
        <f aca="false">IF((Arterial=0),P192+1,P192)</f>
        <v>89</v>
      </c>
      <c r="Q193" s="62" t="n">
        <f aca="false">IF((Arterial=1),Q192+1,Q192)</f>
        <v>87</v>
      </c>
      <c r="R193" s="63" t="e">
        <f aca="false">IF((RESET=1),0,R193+K193)</f>
        <v>#N/A</v>
      </c>
      <c r="S193" s="10" t="n">
        <f aca="false">IF(RESET=1,0,S193+N193)</f>
        <v>353.286899201054</v>
      </c>
      <c r="T193" s="0" t="e">
        <f aca="false">IF(RESET=1,0,T193+IF(H193=0,1,0))</f>
        <v>#N/A</v>
      </c>
      <c r="U193" s="0" t="n">
        <f aca="false">IF(RESET=1,0,U193+H193)</f>
        <v>30</v>
      </c>
      <c r="V193" s="10" t="e">
        <f aca="false">R193/(T193+0.00001)</f>
        <v>#N/A</v>
      </c>
      <c r="W193" s="10" t="n">
        <f aca="false">S193/(U193+0.0001)</f>
        <v>11.7761907193994</v>
      </c>
      <c r="X193" s="60" t="n">
        <f aca="false">IF(Informed=1,K193,0)</f>
        <v>0</v>
      </c>
      <c r="Y193" s="60" t="n">
        <f aca="false">IF(Informed=0,K193,0)</f>
        <v>9.67212155722379</v>
      </c>
      <c r="Z193" s="60" t="n">
        <f aca="false">IF(Informed=1,N193,0)</f>
        <v>0</v>
      </c>
      <c r="AA193" s="60" t="n">
        <f aca="false">IF(Informed=0,N193,0)</f>
        <v>0</v>
      </c>
      <c r="AB193" s="64" t="n">
        <f aca="false">IF(Arterial=0,IF(Informed=1,1,0),0)</f>
        <v>0</v>
      </c>
      <c r="AC193" s="64" t="n">
        <f aca="false">IF(Arterial=0,IF(Informed=0,1,0),0)</f>
        <v>1</v>
      </c>
      <c r="AD193" s="64" t="n">
        <f aca="false">IF(Arterial=1,IF(Informed=1,1,0),0)</f>
        <v>0</v>
      </c>
      <c r="AE193" s="64" t="n">
        <f aca="false">IF(Arterial=1,IF(Informed=0,1,0),0)</f>
        <v>0</v>
      </c>
      <c r="AF193" s="57" t="n">
        <f aca="false">IF(AB193=1,(X193-G$1030)^2,0)</f>
        <v>0</v>
      </c>
      <c r="AG193" s="57" t="n">
        <f aca="false">IF(AC193=1,(Y193-H$1030)^2,0)</f>
        <v>93.5499354177131</v>
      </c>
      <c r="AH193" s="57" t="n">
        <f aca="false">IF(AD193=1,(Z193-I$1030)^2,0)</f>
        <v>0</v>
      </c>
      <c r="AI193" s="57" t="n">
        <f aca="false">IF(AE193=1,(AA193-J$1030)^2,0)</f>
        <v>0</v>
      </c>
    </row>
    <row r="194" customFormat="false" ht="12" hidden="false" customHeight="false" outlineLevel="0" collapsed="false">
      <c r="A194" s="5" t="n">
        <v>177</v>
      </c>
      <c r="B194" s="58" t="n">
        <f aca="true">IF(RAND()&lt;$D$8,1,0)</f>
        <v>0</v>
      </c>
      <c r="C194" s="47" t="n">
        <f aca="true">-LN(RAND())/$D$2</f>
        <v>2.7023895885694</v>
      </c>
      <c r="D194" s="59" t="n">
        <f aca="false">D193+C194</f>
        <v>178.622042993033</v>
      </c>
      <c r="E194" s="60" t="n">
        <f aca="false">MAX($D$3,(1+P193-VLOOKUP(VALUE(D194),$J$18:$Q193,7,TRUE()))*$D$3)</f>
        <v>10</v>
      </c>
      <c r="F194" s="60" t="n">
        <f aca="false">MAX($D$4,(1+Q193-VLOOKUP(VALUE(D194),$M$18:$Q193,5,TRUE()))*$D$4)</f>
        <v>4</v>
      </c>
      <c r="G194" s="61" t="n">
        <v>0.5</v>
      </c>
      <c r="H194" s="59" t="n">
        <f aca="true">IF((B194=1),(IF((F194&lt;E194),1,(IF((F194=E194),(IF(RAND()&lt;G194,1,0)),0)))),(IF((RAND()&lt;G194),1,0)))</f>
        <v>1</v>
      </c>
      <c r="I194" s="59" t="n">
        <f aca="true">IF((H194=1),0,$D$3+$D$5*(RAND()-0.5))</f>
        <v>0</v>
      </c>
      <c r="J194" s="59" t="n">
        <f aca="false">I194+MAX(D194,J193)</f>
        <v>185.591774961687</v>
      </c>
      <c r="K194" s="59" t="n">
        <f aca="false">IF((H194=0),J194-D194,0)</f>
        <v>0</v>
      </c>
      <c r="L194" s="59" t="n">
        <f aca="true">IF(($H194=0),0,$D$4+$D$5*(RAND()-0.5))</f>
        <v>2.19193108789407</v>
      </c>
      <c r="M194" s="59" t="n">
        <f aca="false">L194+MAX(D194,M193)</f>
        <v>181.953984673387</v>
      </c>
      <c r="N194" s="59" t="n">
        <f aca="false">IF((H194=1),M194-D194,0)</f>
        <v>3.33194168035402</v>
      </c>
      <c r="O194" s="5" t="n">
        <v>177</v>
      </c>
      <c r="P194" s="62" t="n">
        <f aca="false">IF((Arterial=0),P193+1,P193)</f>
        <v>89</v>
      </c>
      <c r="Q194" s="62" t="n">
        <f aca="false">IF((Arterial=1),Q193+1,Q193)</f>
        <v>88</v>
      </c>
      <c r="R194" s="63" t="n">
        <f aca="false">IF((RESET=1),0,R194+K194)</f>
        <v>325.997576138253</v>
      </c>
      <c r="S194" s="10" t="e">
        <f aca="false">IF(RESET=1,0,S194+N194)</f>
        <v>#N/A</v>
      </c>
      <c r="T194" s="0" t="n">
        <f aca="false">IF(RESET=1,0,T194+IF(H194=0,1,0))</f>
        <v>27</v>
      </c>
      <c r="U194" s="0" t="e">
        <f aca="false">IF(RESET=1,0,U194+H194)</f>
        <v>#N/A</v>
      </c>
      <c r="V194" s="10" t="n">
        <f aca="false">R194/(T194+0.00001)</f>
        <v>12.0739798295724</v>
      </c>
      <c r="W194" s="10" t="e">
        <f aca="false">S194/(U194+0.0001)</f>
        <v>#N/A</v>
      </c>
      <c r="X194" s="60" t="n">
        <f aca="false">IF(Informed=1,K194,0)</f>
        <v>0</v>
      </c>
      <c r="Y194" s="60" t="n">
        <f aca="false">IF(Informed=0,K194,0)</f>
        <v>0</v>
      </c>
      <c r="Z194" s="60" t="n">
        <f aca="false">IF(Informed=1,N194,0)</f>
        <v>0</v>
      </c>
      <c r="AA194" s="60" t="n">
        <f aca="false">IF(Informed=0,N194,0)</f>
        <v>3.33194168035402</v>
      </c>
      <c r="AB194" s="64" t="n">
        <f aca="false">IF(Arterial=0,IF(Informed=1,1,0),0)</f>
        <v>0</v>
      </c>
      <c r="AC194" s="64" t="n">
        <f aca="false">IF(Arterial=0,IF(Informed=0,1,0),0)</f>
        <v>0</v>
      </c>
      <c r="AD194" s="64" t="n">
        <f aca="false">IF(Arterial=1,IF(Informed=1,1,0),0)</f>
        <v>0</v>
      </c>
      <c r="AE194" s="64" t="n">
        <f aca="false">IF(Arterial=1,IF(Informed=0,1,0),0)</f>
        <v>1</v>
      </c>
      <c r="AF194" s="57" t="n">
        <f aca="false">IF(AB194=1,(X194-G$1030)^2,0)</f>
        <v>0</v>
      </c>
      <c r="AG194" s="57" t="n">
        <f aca="false">IF(AC194=1,(Y194-H$1030)^2,0)</f>
        <v>0</v>
      </c>
      <c r="AH194" s="57" t="n">
        <f aca="false">IF(AD194=1,(Z194-I$1030)^2,0)</f>
        <v>0</v>
      </c>
      <c r="AI194" s="57" t="n">
        <f aca="false">IF(AE194=1,(AA194-J$1030)^2,0)</f>
        <v>11.1018353612804</v>
      </c>
    </row>
    <row r="195" customFormat="false" ht="12" hidden="false" customHeight="false" outlineLevel="0" collapsed="false">
      <c r="A195" s="5" t="n">
        <v>178</v>
      </c>
      <c r="B195" s="58" t="n">
        <f aca="true">IF(RAND()&lt;$D$8,1,0)</f>
        <v>1</v>
      </c>
      <c r="C195" s="47" t="n">
        <f aca="true">-LN(RAND())/$D$2</f>
        <v>0.806129338091555</v>
      </c>
      <c r="D195" s="59" t="n">
        <f aca="false">D194+C195</f>
        <v>179.428172331124</v>
      </c>
      <c r="E195" s="60" t="n">
        <f aca="false">MAX($D$3,(1+P194-VLOOKUP(VALUE(D195),$J$18:$Q194,7,TRUE()))*$D$3)</f>
        <v>10</v>
      </c>
      <c r="F195" s="60" t="n">
        <f aca="false">MAX($D$4,(1+Q194-VLOOKUP(VALUE(D195),$M$18:$Q194,5,TRUE()))*$D$4)</f>
        <v>6</v>
      </c>
      <c r="G195" s="61" t="n">
        <v>0.5</v>
      </c>
      <c r="H195" s="59" t="n">
        <f aca="true">IF((B195=1),(IF((F195&lt;E195),1,(IF((F195=E195),(IF(RAND()&lt;G195,1,0)),0)))),(IF((RAND()&lt;G195),1,0)))</f>
        <v>1</v>
      </c>
      <c r="I195" s="59" t="n">
        <f aca="true">IF((H195=1),0,$D$3+$D$5*(RAND()-0.5))</f>
        <v>0</v>
      </c>
      <c r="J195" s="59" t="n">
        <f aca="false">I195+MAX(D195,J194)</f>
        <v>185.591774961687</v>
      </c>
      <c r="K195" s="59" t="n">
        <f aca="false">IF((H195=0),J195-D195,0)</f>
        <v>0</v>
      </c>
      <c r="L195" s="59" t="n">
        <f aca="true">IF(($H195=0),0,$D$4+$D$5*(RAND()-0.5))</f>
        <v>1.86672791397487</v>
      </c>
      <c r="M195" s="59" t="n">
        <f aca="false">L195+MAX(D195,M194)</f>
        <v>183.820712587362</v>
      </c>
      <c r="N195" s="59" t="n">
        <f aca="false">IF((H195=1),M195-D195,0)</f>
        <v>4.39254025623734</v>
      </c>
      <c r="O195" s="5" t="n">
        <v>178</v>
      </c>
      <c r="P195" s="62" t="n">
        <f aca="false">IF((Arterial=0),P194+1,P194)</f>
        <v>89</v>
      </c>
      <c r="Q195" s="62" t="n">
        <f aca="false">IF((Arterial=1),Q194+1,Q194)</f>
        <v>89</v>
      </c>
      <c r="R195" s="63" t="n">
        <f aca="false">IF((RESET=1),0,R195+K195)</f>
        <v>319.906678671181</v>
      </c>
      <c r="S195" s="10" t="e">
        <f aca="false">IF(RESET=1,0,S195+N195)</f>
        <v>#N/A</v>
      </c>
      <c r="T195" s="0" t="n">
        <f aca="false">IF(RESET=1,0,T195+IF(H195=0,1,0))</f>
        <v>24</v>
      </c>
      <c r="U195" s="0" t="e">
        <f aca="false">IF(RESET=1,0,U195+H195)</f>
        <v>#N/A</v>
      </c>
      <c r="V195" s="10" t="n">
        <f aca="false">R195/(T195+0.00001)</f>
        <v>13.3294393906995</v>
      </c>
      <c r="W195" s="10" t="e">
        <f aca="false">S195/(U195+0.0001)</f>
        <v>#N/A</v>
      </c>
      <c r="X195" s="60" t="n">
        <f aca="false">IF(Informed=1,K195,0)</f>
        <v>0</v>
      </c>
      <c r="Y195" s="60" t="n">
        <f aca="false">IF(Informed=0,K195,0)</f>
        <v>0</v>
      </c>
      <c r="Z195" s="60" t="n">
        <f aca="false">IF(Informed=1,N195,0)</f>
        <v>4.39254025623734</v>
      </c>
      <c r="AA195" s="60" t="n">
        <f aca="false">IF(Informed=0,N195,0)</f>
        <v>0</v>
      </c>
      <c r="AB195" s="64" t="n">
        <f aca="false">IF(Arterial=0,IF(Informed=1,1,0),0)</f>
        <v>0</v>
      </c>
      <c r="AC195" s="64" t="n">
        <f aca="false">IF(Arterial=0,IF(Informed=0,1,0),0)</f>
        <v>0</v>
      </c>
      <c r="AD195" s="64" t="n">
        <f aca="false">IF(Arterial=1,IF(Informed=1,1,0),0)</f>
        <v>1</v>
      </c>
      <c r="AE195" s="64" t="n">
        <f aca="false">IF(Arterial=1,IF(Informed=0,1,0),0)</f>
        <v>0</v>
      </c>
      <c r="AF195" s="57" t="n">
        <f aca="false">IF(AB195=1,(X195-G$1030)^2,0)</f>
        <v>0</v>
      </c>
      <c r="AG195" s="57" t="n">
        <f aca="false">IF(AC195=1,(Y195-H$1030)^2,0)</f>
        <v>0</v>
      </c>
      <c r="AH195" s="57" t="n">
        <f aca="false">IF(AD195=1,(Z195-I$1030)^2,0)</f>
        <v>19.2944099026656</v>
      </c>
      <c r="AI195" s="57" t="n">
        <f aca="false">IF(AE195=1,(AA195-J$1030)^2,0)</f>
        <v>0</v>
      </c>
    </row>
    <row r="196" customFormat="false" ht="12" hidden="false" customHeight="false" outlineLevel="0" collapsed="false">
      <c r="A196" s="5" t="n">
        <v>179</v>
      </c>
      <c r="B196" s="58" t="n">
        <f aca="true">IF(RAND()&lt;$D$8,1,0)</f>
        <v>1</v>
      </c>
      <c r="C196" s="47" t="n">
        <f aca="true">-LN(RAND())/$D$2</f>
        <v>0.338193935526579</v>
      </c>
      <c r="D196" s="59" t="n">
        <f aca="false">D195+C196</f>
        <v>179.766366266651</v>
      </c>
      <c r="E196" s="60" t="n">
        <f aca="false">MAX($D$3,(1+P195-VLOOKUP(VALUE(D196),$J$18:$Q195,7,TRUE()))*$D$3)</f>
        <v>8</v>
      </c>
      <c r="F196" s="60" t="n">
        <f aca="false">MAX($D$4,(1+Q195-VLOOKUP(VALUE(D196),$M$18:$Q195,5,TRUE()))*$D$4)</f>
        <v>6</v>
      </c>
      <c r="G196" s="61" t="n">
        <v>0.5</v>
      </c>
      <c r="H196" s="59" t="n">
        <f aca="true">IF((B196=1),(IF((F196&lt;E196),1,(IF((F196=E196),(IF(RAND()&lt;G196,1,0)),0)))),(IF((RAND()&lt;G196),1,0)))</f>
        <v>1</v>
      </c>
      <c r="I196" s="59" t="n">
        <f aca="true">IF((H196=1),0,$D$3+$D$5*(RAND()-0.5))</f>
        <v>0</v>
      </c>
      <c r="J196" s="59" t="n">
        <f aca="false">I196+MAX(D196,J195)</f>
        <v>185.591774961687</v>
      </c>
      <c r="K196" s="59" t="n">
        <f aca="false">IF((H196=0),J196-D196,0)</f>
        <v>0</v>
      </c>
      <c r="L196" s="59" t="n">
        <f aca="true">IF(($H196=0),0,$D$4+$D$5*(RAND()-0.5))</f>
        <v>1.93693445018486</v>
      </c>
      <c r="M196" s="59" t="n">
        <f aca="false">L196+MAX(D196,M195)</f>
        <v>185.757647037547</v>
      </c>
      <c r="N196" s="59" t="n">
        <f aca="false">IF((H196=1),M196-D196,0)</f>
        <v>5.9912807708956</v>
      </c>
      <c r="O196" s="5" t="n">
        <v>179</v>
      </c>
      <c r="P196" s="62" t="n">
        <f aca="false">IF((Arterial=0),P195+1,P195)</f>
        <v>89</v>
      </c>
      <c r="Q196" s="62" t="n">
        <f aca="false">IF((Arterial=1),Q195+1,Q195)</f>
        <v>90</v>
      </c>
      <c r="R196" s="63" t="n">
        <f aca="false">IF((RESET=1),0,R196+K196)</f>
        <v>399.142160458568</v>
      </c>
      <c r="S196" s="10" t="e">
        <f aca="false">IF(RESET=1,0,S196+N196)</f>
        <v>#N/A</v>
      </c>
      <c r="T196" s="0" t="n">
        <f aca="false">IF(RESET=1,0,T196+IF(H196=0,1,0))</f>
        <v>30</v>
      </c>
      <c r="U196" s="0" t="e">
        <f aca="false">IF(RESET=1,0,U196+H196)</f>
        <v>#N/A</v>
      </c>
      <c r="V196" s="10" t="n">
        <f aca="false">R196/(T196+0.00001)</f>
        <v>13.3047342470409</v>
      </c>
      <c r="W196" s="10" t="e">
        <f aca="false">S196/(U196+0.0001)</f>
        <v>#N/A</v>
      </c>
      <c r="X196" s="60" t="n">
        <f aca="false">IF(Informed=1,K196,0)</f>
        <v>0</v>
      </c>
      <c r="Y196" s="60" t="n">
        <f aca="false">IF(Informed=0,K196,0)</f>
        <v>0</v>
      </c>
      <c r="Z196" s="60" t="n">
        <f aca="false">IF(Informed=1,N196,0)</f>
        <v>5.9912807708956</v>
      </c>
      <c r="AA196" s="60" t="n">
        <f aca="false">IF(Informed=0,N196,0)</f>
        <v>0</v>
      </c>
      <c r="AB196" s="64" t="n">
        <f aca="false">IF(Arterial=0,IF(Informed=1,1,0),0)</f>
        <v>0</v>
      </c>
      <c r="AC196" s="64" t="n">
        <f aca="false">IF(Arterial=0,IF(Informed=0,1,0),0)</f>
        <v>0</v>
      </c>
      <c r="AD196" s="64" t="n">
        <f aca="false">IF(Arterial=1,IF(Informed=1,1,0),0)</f>
        <v>1</v>
      </c>
      <c r="AE196" s="64" t="n">
        <f aca="false">IF(Arterial=1,IF(Informed=0,1,0),0)</f>
        <v>0</v>
      </c>
      <c r="AF196" s="57" t="n">
        <f aca="false">IF(AB196=1,(X196-G$1030)^2,0)</f>
        <v>0</v>
      </c>
      <c r="AG196" s="57" t="n">
        <f aca="false">IF(AC196=1,(Y196-H$1030)^2,0)</f>
        <v>0</v>
      </c>
      <c r="AH196" s="57" t="n">
        <f aca="false">IF(AD196=1,(Z196-I$1030)^2,0)</f>
        <v>35.8954452757034</v>
      </c>
      <c r="AI196" s="57" t="n">
        <f aca="false">IF(AE196=1,(AA196-J$1030)^2,0)</f>
        <v>0</v>
      </c>
    </row>
    <row r="197" customFormat="false" ht="12" hidden="false" customHeight="false" outlineLevel="0" collapsed="false">
      <c r="A197" s="5" t="n">
        <v>180</v>
      </c>
      <c r="B197" s="58" t="n">
        <f aca="true">IF(RAND()&lt;$D$8,1,0)</f>
        <v>0</v>
      </c>
      <c r="C197" s="47" t="n">
        <f aca="true">-LN(RAND())/$D$2</f>
        <v>2.77584949346221</v>
      </c>
      <c r="D197" s="59" t="n">
        <f aca="false">D196+C197</f>
        <v>182.542215760113</v>
      </c>
      <c r="E197" s="60" t="n">
        <f aca="false">MAX($D$3,(1+P196-VLOOKUP(VALUE(D197),$J$18:$Q196,7,TRUE()))*$D$3)</f>
        <v>6</v>
      </c>
      <c r="F197" s="60" t="n">
        <f aca="false">MAX($D$4,(1+Q196-VLOOKUP(VALUE(D197),$M$18:$Q196,5,TRUE()))*$D$4)</f>
        <v>6</v>
      </c>
      <c r="G197" s="61" t="n">
        <v>0.5</v>
      </c>
      <c r="H197" s="59" t="n">
        <f aca="true">IF((B197=1),(IF((F197&lt;E197),1,(IF((F197=E197),(IF(RAND()&lt;G197,1,0)),0)))),(IF((RAND()&lt;G197),1,0)))</f>
        <v>0</v>
      </c>
      <c r="I197" s="59" t="n">
        <f aca="true">IF((H197=1),0,$D$3+$D$5*(RAND()-0.5))</f>
        <v>1.91189880456694</v>
      </c>
      <c r="J197" s="59" t="n">
        <f aca="false">I197+MAX(D197,J196)</f>
        <v>187.503673766254</v>
      </c>
      <c r="K197" s="59" t="n">
        <f aca="false">IF((H197=0),J197-D197,0)</f>
        <v>4.96145800614099</v>
      </c>
      <c r="L197" s="59" t="n">
        <f aca="true">IF(($H197=0),0,$D$4+$D$5*(RAND()-0.5))</f>
        <v>0</v>
      </c>
      <c r="M197" s="59" t="n">
        <f aca="false">L197+MAX(D197,M196)</f>
        <v>185.757647037547</v>
      </c>
      <c r="N197" s="59" t="n">
        <f aca="false">IF((H197=1),M197-D197,0)</f>
        <v>0</v>
      </c>
      <c r="O197" s="5" t="n">
        <v>180</v>
      </c>
      <c r="P197" s="62" t="n">
        <f aca="false">IF((Arterial=0),P196+1,P196)</f>
        <v>90</v>
      </c>
      <c r="Q197" s="62" t="n">
        <f aca="false">IF((Arterial=1),Q196+1,Q196)</f>
        <v>90</v>
      </c>
      <c r="R197" s="63" t="e">
        <f aca="false">IF((RESET=1),0,R197+K197)</f>
        <v>#N/A</v>
      </c>
      <c r="S197" s="10" t="n">
        <f aca="false">IF(RESET=1,0,S197+N197)</f>
        <v>395.458824742374</v>
      </c>
      <c r="T197" s="0" t="e">
        <f aca="false">IF(RESET=1,0,T197+IF(H197=0,1,0))</f>
        <v>#N/A</v>
      </c>
      <c r="U197" s="0" t="n">
        <f aca="false">IF(RESET=1,0,U197+H197)</f>
        <v>25</v>
      </c>
      <c r="V197" s="10" t="e">
        <f aca="false">R197/(T197+0.00001)</f>
        <v>#N/A</v>
      </c>
      <c r="W197" s="10" t="n">
        <f aca="false">S197/(U197+0.0001)</f>
        <v>15.8182897165361</v>
      </c>
      <c r="X197" s="60" t="n">
        <f aca="false">IF(Informed=1,K197,0)</f>
        <v>0</v>
      </c>
      <c r="Y197" s="60" t="n">
        <f aca="false">IF(Informed=0,K197,0)</f>
        <v>4.96145800614099</v>
      </c>
      <c r="Z197" s="60" t="n">
        <f aca="false">IF(Informed=1,N197,0)</f>
        <v>0</v>
      </c>
      <c r="AA197" s="60" t="n">
        <f aca="false">IF(Informed=0,N197,0)</f>
        <v>0</v>
      </c>
      <c r="AB197" s="64" t="n">
        <f aca="false">IF(Arterial=0,IF(Informed=1,1,0),0)</f>
        <v>0</v>
      </c>
      <c r="AC197" s="64" t="n">
        <f aca="false">IF(Arterial=0,IF(Informed=0,1,0),0)</f>
        <v>1</v>
      </c>
      <c r="AD197" s="64" t="n">
        <f aca="false">IF(Arterial=1,IF(Informed=1,1,0),0)</f>
        <v>0</v>
      </c>
      <c r="AE197" s="64" t="n">
        <f aca="false">IF(Arterial=1,IF(Informed=0,1,0),0)</f>
        <v>0</v>
      </c>
      <c r="AF197" s="57" t="n">
        <f aca="false">IF(AB197=1,(X197-G$1030)^2,0)</f>
        <v>0</v>
      </c>
      <c r="AG197" s="57" t="n">
        <f aca="false">IF(AC197=1,(Y197-H$1030)^2,0)</f>
        <v>24.6160655467005</v>
      </c>
      <c r="AH197" s="57" t="n">
        <f aca="false">IF(AD197=1,(Z197-I$1030)^2,0)</f>
        <v>0</v>
      </c>
      <c r="AI197" s="57" t="n">
        <f aca="false">IF(AE197=1,(AA197-J$1030)^2,0)</f>
        <v>0</v>
      </c>
    </row>
    <row r="198" customFormat="false" ht="12" hidden="false" customHeight="false" outlineLevel="0" collapsed="false">
      <c r="A198" s="5" t="n">
        <v>181</v>
      </c>
      <c r="B198" s="58" t="n">
        <f aca="true">IF(RAND()&lt;$D$8,1,0)</f>
        <v>0</v>
      </c>
      <c r="C198" s="47" t="n">
        <f aca="true">-LN(RAND())/$D$2</f>
        <v>0.91025035405467</v>
      </c>
      <c r="D198" s="59" t="n">
        <f aca="false">D197+C198</f>
        <v>183.452466114168</v>
      </c>
      <c r="E198" s="60" t="n">
        <f aca="false">MAX($D$3,(1+P197-VLOOKUP(VALUE(D198),$J$18:$Q197,7,TRUE()))*$D$3)</f>
        <v>8</v>
      </c>
      <c r="F198" s="60" t="n">
        <f aca="false">MAX($D$4,(1+Q197-VLOOKUP(VALUE(D198),$M$18:$Q197,5,TRUE()))*$D$4)</f>
        <v>6</v>
      </c>
      <c r="G198" s="61" t="n">
        <v>0.5</v>
      </c>
      <c r="H198" s="59" t="n">
        <f aca="true">IF((B198=1),(IF((F198&lt;E198),1,(IF((F198=E198),(IF(RAND()&lt;G198,1,0)),0)))),(IF((RAND()&lt;G198),1,0)))</f>
        <v>1</v>
      </c>
      <c r="I198" s="59" t="n">
        <f aca="true">IF((H198=1),0,$D$3+$D$5*(RAND()-0.5))</f>
        <v>0</v>
      </c>
      <c r="J198" s="59" t="n">
        <f aca="false">I198+MAX(D198,J197)</f>
        <v>187.503673766254</v>
      </c>
      <c r="K198" s="59" t="n">
        <f aca="false">IF((H198=0),J198-D198,0)</f>
        <v>0</v>
      </c>
      <c r="L198" s="59" t="n">
        <f aca="true">IF(($H198=0),0,$D$4+$D$5*(RAND()-0.5))</f>
        <v>1.98246256810436</v>
      </c>
      <c r="M198" s="59" t="n">
        <f aca="false">L198+MAX(D198,M197)</f>
        <v>187.740109605651</v>
      </c>
      <c r="N198" s="59" t="n">
        <f aca="false">IF((H198=1),M198-D198,0)</f>
        <v>4.28764349148307</v>
      </c>
      <c r="O198" s="5" t="n">
        <v>181</v>
      </c>
      <c r="P198" s="62" t="n">
        <f aca="false">IF((Arterial=0),P197+1,P197)</f>
        <v>90</v>
      </c>
      <c r="Q198" s="62" t="n">
        <f aca="false">IF((Arterial=1),Q197+1,Q197)</f>
        <v>91</v>
      </c>
      <c r="R198" s="63" t="n">
        <f aca="false">IF((RESET=1),0,R198+K198)</f>
        <v>286.41629688567</v>
      </c>
      <c r="S198" s="10" t="e">
        <f aca="false">IF(RESET=1,0,S198+N198)</f>
        <v>#N/A</v>
      </c>
      <c r="T198" s="0" t="n">
        <f aca="false">IF(RESET=1,0,T198+IF(H198=0,1,0))</f>
        <v>20</v>
      </c>
      <c r="U198" s="0" t="e">
        <f aca="false">IF(RESET=1,0,U198+H198)</f>
        <v>#N/A</v>
      </c>
      <c r="V198" s="10" t="n">
        <f aca="false">R198/(T198+0.00001)</f>
        <v>14.3208076838797</v>
      </c>
      <c r="W198" s="10" t="e">
        <f aca="false">S198/(U198+0.0001)</f>
        <v>#N/A</v>
      </c>
      <c r="X198" s="60" t="n">
        <f aca="false">IF(Informed=1,K198,0)</f>
        <v>0</v>
      </c>
      <c r="Y198" s="60" t="n">
        <f aca="false">IF(Informed=0,K198,0)</f>
        <v>0</v>
      </c>
      <c r="Z198" s="60" t="n">
        <f aca="false">IF(Informed=1,N198,0)</f>
        <v>0</v>
      </c>
      <c r="AA198" s="60" t="n">
        <f aca="false">IF(Informed=0,N198,0)</f>
        <v>4.28764349148307</v>
      </c>
      <c r="AB198" s="64" t="n">
        <f aca="false">IF(Arterial=0,IF(Informed=1,1,0),0)</f>
        <v>0</v>
      </c>
      <c r="AC198" s="64" t="n">
        <f aca="false">IF(Arterial=0,IF(Informed=0,1,0),0)</f>
        <v>0</v>
      </c>
      <c r="AD198" s="64" t="n">
        <f aca="false">IF(Arterial=1,IF(Informed=1,1,0),0)</f>
        <v>0</v>
      </c>
      <c r="AE198" s="64" t="n">
        <f aca="false">IF(Arterial=1,IF(Informed=0,1,0),0)</f>
        <v>1</v>
      </c>
      <c r="AF198" s="57" t="n">
        <f aca="false">IF(AB198=1,(X198-G$1030)^2,0)</f>
        <v>0</v>
      </c>
      <c r="AG198" s="57" t="n">
        <f aca="false">IF(AC198=1,(Y198-H$1030)^2,0)</f>
        <v>0</v>
      </c>
      <c r="AH198" s="57" t="n">
        <f aca="false">IF(AD198=1,(Z198-I$1030)^2,0)</f>
        <v>0</v>
      </c>
      <c r="AI198" s="57" t="n">
        <f aca="false">IF(AE198=1,(AA198-J$1030)^2,0)</f>
        <v>18.3838867100571</v>
      </c>
    </row>
    <row r="199" customFormat="false" ht="12" hidden="false" customHeight="false" outlineLevel="0" collapsed="false">
      <c r="A199" s="5" t="n">
        <v>182</v>
      </c>
      <c r="B199" s="58" t="n">
        <f aca="true">IF(RAND()&lt;$D$8,1,0)</f>
        <v>0</v>
      </c>
      <c r="C199" s="47" t="n">
        <f aca="true">-LN(RAND())/$D$2</f>
        <v>1.10646553254601</v>
      </c>
      <c r="D199" s="59" t="n">
        <f aca="false">D198+C199</f>
        <v>184.558931646714</v>
      </c>
      <c r="E199" s="60" t="n">
        <f aca="false">MAX($D$3,(1+P198-VLOOKUP(VALUE(D199),$J$18:$Q198,7,TRUE()))*$D$3)</f>
        <v>6</v>
      </c>
      <c r="F199" s="60" t="n">
        <f aca="false">MAX($D$4,(1+Q198-VLOOKUP(VALUE(D199),$M$18:$Q198,5,TRUE()))*$D$4)</f>
        <v>6</v>
      </c>
      <c r="G199" s="61" t="n">
        <v>0.5</v>
      </c>
      <c r="H199" s="59" t="n">
        <f aca="true">IF((B199=1),(IF((F199&lt;E199),1,(IF((F199=E199),(IF(RAND()&lt;G199,1,0)),0)))),(IF((RAND()&lt;G199),1,0)))</f>
        <v>1</v>
      </c>
      <c r="I199" s="59" t="n">
        <f aca="true">IF((H199=1),0,$D$3+$D$5*(RAND()-0.5))</f>
        <v>0</v>
      </c>
      <c r="J199" s="59" t="n">
        <f aca="false">I199+MAX(D199,J198)</f>
        <v>187.503673766254</v>
      </c>
      <c r="K199" s="59" t="n">
        <f aca="false">IF((H199=0),J199-D199,0)</f>
        <v>0</v>
      </c>
      <c r="L199" s="59" t="n">
        <f aca="true">IF(($H199=0),0,$D$4+$D$5*(RAND()-0.5))</f>
        <v>2.12973565173729</v>
      </c>
      <c r="M199" s="59" t="n">
        <f aca="false">L199+MAX(D199,M198)</f>
        <v>189.869845257388</v>
      </c>
      <c r="N199" s="59" t="n">
        <f aca="false">IF((H199=1),M199-D199,0)</f>
        <v>5.31091361067436</v>
      </c>
      <c r="O199" s="5" t="n">
        <v>182</v>
      </c>
      <c r="P199" s="62" t="n">
        <f aca="false">IF((Arterial=0),P198+1,P198)</f>
        <v>90</v>
      </c>
      <c r="Q199" s="62" t="n">
        <f aca="false">IF((Arterial=1),Q198+1,Q198)</f>
        <v>92</v>
      </c>
      <c r="R199" s="63" t="n">
        <f aca="false">IF((RESET=1),0,R199+K199)</f>
        <v>343.33056684811</v>
      </c>
      <c r="S199" s="10" t="e">
        <f aca="false">IF(RESET=1,0,S199+N199)</f>
        <v>#N/A</v>
      </c>
      <c r="T199" s="0" t="n">
        <f aca="false">IF(RESET=1,0,T199+IF(H199=0,1,0))</f>
        <v>27</v>
      </c>
      <c r="U199" s="0" t="e">
        <f aca="false">IF(RESET=1,0,U199+H199)</f>
        <v>#N/A</v>
      </c>
      <c r="V199" s="10" t="n">
        <f aca="false">R199/(T199+0.00001)</f>
        <v>12.7159422106922</v>
      </c>
      <c r="W199" s="10" t="e">
        <f aca="false">S199/(U199+0.0001)</f>
        <v>#N/A</v>
      </c>
      <c r="X199" s="60" t="n">
        <f aca="false">IF(Informed=1,K199,0)</f>
        <v>0</v>
      </c>
      <c r="Y199" s="60" t="n">
        <f aca="false">IF(Informed=0,K199,0)</f>
        <v>0</v>
      </c>
      <c r="Z199" s="60" t="n">
        <f aca="false">IF(Informed=1,N199,0)</f>
        <v>0</v>
      </c>
      <c r="AA199" s="60" t="n">
        <f aca="false">IF(Informed=0,N199,0)</f>
        <v>5.31091361067436</v>
      </c>
      <c r="AB199" s="64" t="n">
        <f aca="false">IF(Arterial=0,IF(Informed=1,1,0),0)</f>
        <v>0</v>
      </c>
      <c r="AC199" s="64" t="n">
        <f aca="false">IF(Arterial=0,IF(Informed=0,1,0),0)</f>
        <v>0</v>
      </c>
      <c r="AD199" s="64" t="n">
        <f aca="false">IF(Arterial=1,IF(Informed=1,1,0),0)</f>
        <v>0</v>
      </c>
      <c r="AE199" s="64" t="n">
        <f aca="false">IF(Arterial=1,IF(Informed=0,1,0),0)</f>
        <v>1</v>
      </c>
      <c r="AF199" s="57" t="n">
        <f aca="false">IF(AB199=1,(X199-G$1030)^2,0)</f>
        <v>0</v>
      </c>
      <c r="AG199" s="57" t="n">
        <f aca="false">IF(AC199=1,(Y199-H$1030)^2,0)</f>
        <v>0</v>
      </c>
      <c r="AH199" s="57" t="n">
        <f aca="false">IF(AD199=1,(Z199-I$1030)^2,0)</f>
        <v>0</v>
      </c>
      <c r="AI199" s="57" t="n">
        <f aca="false">IF(AE199=1,(AA199-J$1030)^2,0)</f>
        <v>28.2058033800462</v>
      </c>
    </row>
    <row r="200" customFormat="false" ht="12" hidden="false" customHeight="false" outlineLevel="0" collapsed="false">
      <c r="A200" s="5" t="n">
        <v>183</v>
      </c>
      <c r="B200" s="58" t="n">
        <f aca="true">IF(RAND()&lt;$D$8,1,0)</f>
        <v>0</v>
      </c>
      <c r="C200" s="47" t="n">
        <f aca="true">-LN(RAND())/$D$2</f>
        <v>0.247701552517811</v>
      </c>
      <c r="D200" s="59" t="n">
        <f aca="false">D199+C200</f>
        <v>184.806633199232</v>
      </c>
      <c r="E200" s="60" t="n">
        <f aca="false">MAX($D$3,(1+P199-VLOOKUP(VALUE(D200),$J$18:$Q199,7,TRUE()))*$D$3)</f>
        <v>6</v>
      </c>
      <c r="F200" s="60" t="n">
        <f aca="false">MAX($D$4,(1+Q199-VLOOKUP(VALUE(D200),$M$18:$Q199,5,TRUE()))*$D$4)</f>
        <v>8</v>
      </c>
      <c r="G200" s="61" t="n">
        <v>0.5</v>
      </c>
      <c r="H200" s="59" t="n">
        <f aca="true">IF((B200=1),(IF((F200&lt;E200),1,(IF((F200=E200),(IF(RAND()&lt;G200,1,0)),0)))),(IF((RAND()&lt;G200),1,0)))</f>
        <v>1</v>
      </c>
      <c r="I200" s="59" t="n">
        <f aca="true">IF((H200=1),0,$D$3+$D$5*(RAND()-0.5))</f>
        <v>0</v>
      </c>
      <c r="J200" s="59" t="n">
        <f aca="false">I200+MAX(D200,J199)</f>
        <v>187.503673766254</v>
      </c>
      <c r="K200" s="59" t="n">
        <f aca="false">IF((H200=0),J200-D200,0)</f>
        <v>0</v>
      </c>
      <c r="L200" s="59" t="n">
        <f aca="true">IF(($H200=0),0,$D$4+$D$5*(RAND()-0.5))</f>
        <v>1.94110315539497</v>
      </c>
      <c r="M200" s="59" t="n">
        <f aca="false">L200+MAX(D200,M199)</f>
        <v>191.810948412783</v>
      </c>
      <c r="N200" s="59" t="n">
        <f aca="false">IF((H200=1),M200-D200,0)</f>
        <v>7.00431521355151</v>
      </c>
      <c r="O200" s="5" t="n">
        <v>183</v>
      </c>
      <c r="P200" s="62" t="n">
        <f aca="false">IF((Arterial=0),P199+1,P199)</f>
        <v>90</v>
      </c>
      <c r="Q200" s="62" t="n">
        <f aca="false">IF((Arterial=1),Q199+1,Q199)</f>
        <v>93</v>
      </c>
      <c r="R200" s="63" t="n">
        <f aca="false">IF((RESET=1),0,R200+K200)</f>
        <v>471.965709771613</v>
      </c>
      <c r="S200" s="10" t="e">
        <f aca="false">IF(RESET=1,0,S200+N200)</f>
        <v>#N/A</v>
      </c>
      <c r="T200" s="0" t="n">
        <f aca="false">IF(RESET=1,0,T200+IF(H200=0,1,0))</f>
        <v>31</v>
      </c>
      <c r="U200" s="0" t="e">
        <f aca="false">IF(RESET=1,0,U200+H200)</f>
        <v>#N/A</v>
      </c>
      <c r="V200" s="10" t="n">
        <f aca="false">R200/(T200+0.00001)</f>
        <v>15.2246954040213</v>
      </c>
      <c r="W200" s="10" t="e">
        <f aca="false">S200/(U200+0.0001)</f>
        <v>#N/A</v>
      </c>
      <c r="X200" s="60" t="n">
        <f aca="false">IF(Informed=1,K200,0)</f>
        <v>0</v>
      </c>
      <c r="Y200" s="60" t="n">
        <f aca="false">IF(Informed=0,K200,0)</f>
        <v>0</v>
      </c>
      <c r="Z200" s="60" t="n">
        <f aca="false">IF(Informed=1,N200,0)</f>
        <v>0</v>
      </c>
      <c r="AA200" s="60" t="n">
        <f aca="false">IF(Informed=0,N200,0)</f>
        <v>7.00431521355151</v>
      </c>
      <c r="AB200" s="64" t="n">
        <f aca="false">IF(Arterial=0,IF(Informed=1,1,0),0)</f>
        <v>0</v>
      </c>
      <c r="AC200" s="64" t="n">
        <f aca="false">IF(Arterial=0,IF(Informed=0,1,0),0)</f>
        <v>0</v>
      </c>
      <c r="AD200" s="64" t="n">
        <f aca="false">IF(Arterial=1,IF(Informed=1,1,0),0)</f>
        <v>0</v>
      </c>
      <c r="AE200" s="64" t="n">
        <f aca="false">IF(Arterial=1,IF(Informed=0,1,0),0)</f>
        <v>1</v>
      </c>
      <c r="AF200" s="57" t="n">
        <f aca="false">IF(AB200=1,(X200-G$1030)^2,0)</f>
        <v>0</v>
      </c>
      <c r="AG200" s="57" t="n">
        <f aca="false">IF(AC200=1,(Y200-H$1030)^2,0)</f>
        <v>0</v>
      </c>
      <c r="AH200" s="57" t="n">
        <f aca="false">IF(AD200=1,(Z200-I$1030)^2,0)</f>
        <v>0</v>
      </c>
      <c r="AI200" s="57" t="n">
        <f aca="false">IF(AE200=1,(AA200-J$1030)^2,0)</f>
        <v>49.0604316107891</v>
      </c>
    </row>
    <row r="201" customFormat="false" ht="12" hidden="false" customHeight="false" outlineLevel="0" collapsed="false">
      <c r="A201" s="5" t="n">
        <v>184</v>
      </c>
      <c r="B201" s="58" t="n">
        <f aca="true">IF(RAND()&lt;$D$8,1,0)</f>
        <v>0</v>
      </c>
      <c r="C201" s="47" t="n">
        <f aca="true">-LN(RAND())/$D$2</f>
        <v>0.354294724412285</v>
      </c>
      <c r="D201" s="59" t="n">
        <f aca="false">D200+C201</f>
        <v>185.160927923644</v>
      </c>
      <c r="E201" s="60" t="n">
        <f aca="false">MAX($D$3,(1+P200-VLOOKUP(VALUE(D201),$J$18:$Q200,7,TRUE()))*$D$3)</f>
        <v>6</v>
      </c>
      <c r="F201" s="60" t="n">
        <f aca="false">MAX($D$4,(1+Q200-VLOOKUP(VALUE(D201),$M$18:$Q200,5,TRUE()))*$D$4)</f>
        <v>10</v>
      </c>
      <c r="G201" s="61" t="n">
        <v>0.5</v>
      </c>
      <c r="H201" s="59" t="n">
        <f aca="true">IF((B201=1),(IF((F201&lt;E201),1,(IF((F201=E201),(IF(RAND()&lt;G201,1,0)),0)))),(IF((RAND()&lt;G201),1,0)))</f>
        <v>0</v>
      </c>
      <c r="I201" s="59" t="n">
        <f aca="true">IF((H201=1),0,$D$3+$D$5*(RAND()-0.5))</f>
        <v>2.0606853465695</v>
      </c>
      <c r="J201" s="59" t="n">
        <f aca="false">I201+MAX(D201,J200)</f>
        <v>189.564359112824</v>
      </c>
      <c r="K201" s="59" t="n">
        <f aca="false">IF((H201=0),J201-D201,0)</f>
        <v>4.40343118917971</v>
      </c>
      <c r="L201" s="59" t="n">
        <f aca="true">IF(($H201=0),0,$D$4+$D$5*(RAND()-0.5))</f>
        <v>0</v>
      </c>
      <c r="M201" s="59" t="n">
        <f aca="false">L201+MAX(D201,M200)</f>
        <v>191.810948412783</v>
      </c>
      <c r="N201" s="59" t="n">
        <f aca="false">IF((H201=1),M201-D201,0)</f>
        <v>0</v>
      </c>
      <c r="O201" s="5" t="n">
        <v>184</v>
      </c>
      <c r="P201" s="62" t="n">
        <f aca="false">IF((Arterial=0),P200+1,P200)</f>
        <v>91</v>
      </c>
      <c r="Q201" s="62" t="n">
        <f aca="false">IF((Arterial=1),Q200+1,Q200)</f>
        <v>93</v>
      </c>
      <c r="R201" s="63" t="e">
        <f aca="false">IF((RESET=1),0,R201+K201)</f>
        <v>#N/A</v>
      </c>
      <c r="S201" s="10" t="n">
        <f aca="false">IF(RESET=1,0,S201+N201)</f>
        <v>296.904097574335</v>
      </c>
      <c r="T201" s="0" t="e">
        <f aca="false">IF(RESET=1,0,T201+IF(H201=0,1,0))</f>
        <v>#N/A</v>
      </c>
      <c r="U201" s="0" t="n">
        <f aca="false">IF(RESET=1,0,U201+H201)</f>
        <v>25</v>
      </c>
      <c r="V201" s="10" t="e">
        <f aca="false">R201/(T201+0.00001)</f>
        <v>#N/A</v>
      </c>
      <c r="W201" s="10" t="n">
        <f aca="false">S201/(U201+0.0001)</f>
        <v>11.8761163985078</v>
      </c>
      <c r="X201" s="60" t="n">
        <f aca="false">IF(Informed=1,K201,0)</f>
        <v>0</v>
      </c>
      <c r="Y201" s="60" t="n">
        <f aca="false">IF(Informed=0,K201,0)</f>
        <v>4.40343118917971</v>
      </c>
      <c r="Z201" s="60" t="n">
        <f aca="false">IF(Informed=1,N201,0)</f>
        <v>0</v>
      </c>
      <c r="AA201" s="60" t="n">
        <f aca="false">IF(Informed=0,N201,0)</f>
        <v>0</v>
      </c>
      <c r="AB201" s="64" t="n">
        <f aca="false">IF(Arterial=0,IF(Informed=1,1,0),0)</f>
        <v>0</v>
      </c>
      <c r="AC201" s="64" t="n">
        <f aca="false">IF(Arterial=0,IF(Informed=0,1,0),0)</f>
        <v>1</v>
      </c>
      <c r="AD201" s="64" t="n">
        <f aca="false">IF(Arterial=1,IF(Informed=1,1,0),0)</f>
        <v>0</v>
      </c>
      <c r="AE201" s="64" t="n">
        <f aca="false">IF(Arterial=1,IF(Informed=0,1,0),0)</f>
        <v>0</v>
      </c>
      <c r="AF201" s="57" t="n">
        <f aca="false">IF(AB201=1,(X201-G$1030)^2,0)</f>
        <v>0</v>
      </c>
      <c r="AG201" s="57" t="n">
        <f aca="false">IF(AC201=1,(Y201-H$1030)^2,0)</f>
        <v>19.3902062378407</v>
      </c>
      <c r="AH201" s="57" t="n">
        <f aca="false">IF(AD201=1,(Z201-I$1030)^2,0)</f>
        <v>0</v>
      </c>
      <c r="AI201" s="57" t="n">
        <f aca="false">IF(AE201=1,(AA201-J$1030)^2,0)</f>
        <v>0</v>
      </c>
    </row>
    <row r="202" customFormat="false" ht="12" hidden="false" customHeight="false" outlineLevel="0" collapsed="false">
      <c r="A202" s="5" t="n">
        <v>185</v>
      </c>
      <c r="B202" s="58" t="n">
        <f aca="true">IF(RAND()&lt;$D$8,1,0)</f>
        <v>1</v>
      </c>
      <c r="C202" s="47" t="n">
        <f aca="true">-LN(RAND())/$D$2</f>
        <v>1.78702980070362</v>
      </c>
      <c r="D202" s="59" t="n">
        <f aca="false">D201+C202</f>
        <v>186.947957724348</v>
      </c>
      <c r="E202" s="60" t="n">
        <f aca="false">MAX($D$3,(1+P201-VLOOKUP(VALUE(D202),$J$18:$Q201,7,TRUE()))*$D$3)</f>
        <v>6</v>
      </c>
      <c r="F202" s="60" t="n">
        <f aca="false">MAX($D$4,(1+Q201-VLOOKUP(VALUE(D202),$M$18:$Q201,5,TRUE()))*$D$4)</f>
        <v>8</v>
      </c>
      <c r="G202" s="61" t="n">
        <v>0.5</v>
      </c>
      <c r="H202" s="59" t="n">
        <f aca="true">IF((B202=1),(IF((F202&lt;E202),1,(IF((F202=E202),(IF(RAND()&lt;G202,1,0)),0)))),(IF((RAND()&lt;G202),1,0)))</f>
        <v>0</v>
      </c>
      <c r="I202" s="59" t="n">
        <f aca="true">IF((H202=1),0,$D$3+$D$5*(RAND()-0.5))</f>
        <v>2.23828165270745</v>
      </c>
      <c r="J202" s="59" t="n">
        <f aca="false">I202+MAX(D202,J201)</f>
        <v>191.802640765531</v>
      </c>
      <c r="K202" s="59" t="n">
        <f aca="false">IF((H202=0),J202-D202,0)</f>
        <v>4.85468304118356</v>
      </c>
      <c r="L202" s="59" t="n">
        <f aca="true">IF(($H202=0),0,$D$4+$D$5*(RAND()-0.5))</f>
        <v>0</v>
      </c>
      <c r="M202" s="59" t="n">
        <f aca="false">L202+MAX(D202,M201)</f>
        <v>191.810948412783</v>
      </c>
      <c r="N202" s="59" t="n">
        <f aca="false">IF((H202=1),M202-D202,0)</f>
        <v>0</v>
      </c>
      <c r="O202" s="5" t="n">
        <v>185</v>
      </c>
      <c r="P202" s="62" t="n">
        <f aca="false">IF((Arterial=0),P201+1,P201)</f>
        <v>92</v>
      </c>
      <c r="Q202" s="62" t="n">
        <f aca="false">IF((Arterial=1),Q201+1,Q201)</f>
        <v>93</v>
      </c>
      <c r="R202" s="63" t="e">
        <f aca="false">IF((RESET=1),0,R202+K202)</f>
        <v>#N/A</v>
      </c>
      <c r="S202" s="10" t="n">
        <f aca="false">IF(RESET=1,0,S202+N202)</f>
        <v>404.054982230928</v>
      </c>
      <c r="T202" s="0" t="e">
        <f aca="false">IF(RESET=1,0,T202+IF(H202=0,1,0))</f>
        <v>#N/A</v>
      </c>
      <c r="U202" s="0" t="n">
        <f aca="false">IF(RESET=1,0,U202+H202)</f>
        <v>30</v>
      </c>
      <c r="V202" s="10" t="e">
        <f aca="false">R202/(T202+0.00001)</f>
        <v>#N/A</v>
      </c>
      <c r="W202" s="10" t="n">
        <f aca="false">S202/(U202+0.0001)</f>
        <v>13.4684545128492</v>
      </c>
      <c r="X202" s="60" t="n">
        <f aca="false">IF(Informed=1,K202,0)</f>
        <v>4.85468304118356</v>
      </c>
      <c r="Y202" s="60" t="n">
        <f aca="false">IF(Informed=0,K202,0)</f>
        <v>0</v>
      </c>
      <c r="Z202" s="60" t="n">
        <f aca="false">IF(Informed=1,N202,0)</f>
        <v>0</v>
      </c>
      <c r="AA202" s="60" t="n">
        <f aca="false">IF(Informed=0,N202,0)</f>
        <v>0</v>
      </c>
      <c r="AB202" s="64" t="n">
        <f aca="false">IF(Arterial=0,IF(Informed=1,1,0),0)</f>
        <v>1</v>
      </c>
      <c r="AC202" s="64" t="n">
        <f aca="false">IF(Arterial=0,IF(Informed=0,1,0),0)</f>
        <v>0</v>
      </c>
      <c r="AD202" s="64" t="n">
        <f aca="false">IF(Arterial=1,IF(Informed=1,1,0),0)</f>
        <v>0</v>
      </c>
      <c r="AE202" s="64" t="n">
        <f aca="false">IF(Arterial=1,IF(Informed=0,1,0),0)</f>
        <v>0</v>
      </c>
      <c r="AF202" s="57" t="n">
        <f aca="false">IF(AB202=1,(X202-G$1030)^2,0)</f>
        <v>23.5679474303553</v>
      </c>
      <c r="AG202" s="57" t="n">
        <f aca="false">IF(AC202=1,(Y202-H$1030)^2,0)</f>
        <v>0</v>
      </c>
      <c r="AH202" s="57" t="n">
        <f aca="false">IF(AD202=1,(Z202-I$1030)^2,0)</f>
        <v>0</v>
      </c>
      <c r="AI202" s="57" t="n">
        <f aca="false">IF(AE202=1,(AA202-J$1030)^2,0)</f>
        <v>0</v>
      </c>
    </row>
    <row r="203" customFormat="false" ht="12" hidden="false" customHeight="false" outlineLevel="0" collapsed="false">
      <c r="A203" s="5" t="n">
        <v>186</v>
      </c>
      <c r="B203" s="58" t="n">
        <f aca="true">IF(RAND()&lt;$D$8,1,0)</f>
        <v>0</v>
      </c>
      <c r="C203" s="47" t="n">
        <f aca="true">-LN(RAND())/$D$2</f>
        <v>0.127536877927979</v>
      </c>
      <c r="D203" s="59" t="n">
        <f aca="false">D202+C203</f>
        <v>187.075494602276</v>
      </c>
      <c r="E203" s="60" t="n">
        <f aca="false">MAX($D$3,(1+P202-VLOOKUP(VALUE(D203),$J$18:$Q202,7,TRUE()))*$D$3)</f>
        <v>8</v>
      </c>
      <c r="F203" s="60" t="n">
        <f aca="false">MAX($D$4,(1+Q202-VLOOKUP(VALUE(D203),$M$18:$Q202,5,TRUE()))*$D$4)</f>
        <v>8</v>
      </c>
      <c r="G203" s="61" t="n">
        <v>0.5</v>
      </c>
      <c r="H203" s="59" t="n">
        <f aca="true">IF((B203=1),(IF((F203&lt;E203),1,(IF((F203=E203),(IF(RAND()&lt;G203,1,0)),0)))),(IF((RAND()&lt;G203),1,0)))</f>
        <v>1</v>
      </c>
      <c r="I203" s="59" t="n">
        <f aca="true">IF((H203=1),0,$D$3+$D$5*(RAND()-0.5))</f>
        <v>0</v>
      </c>
      <c r="J203" s="59" t="n">
        <f aca="false">I203+MAX(D203,J202)</f>
        <v>191.802640765531</v>
      </c>
      <c r="K203" s="59" t="n">
        <f aca="false">IF((H203=0),J203-D203,0)</f>
        <v>0</v>
      </c>
      <c r="L203" s="59" t="n">
        <f aca="true">IF(($H203=0),0,$D$4+$D$5*(RAND()-0.5))</f>
        <v>2.17218435397456</v>
      </c>
      <c r="M203" s="59" t="n">
        <f aca="false">L203+MAX(D203,M202)</f>
        <v>193.983132766758</v>
      </c>
      <c r="N203" s="59" t="n">
        <f aca="false">IF((H203=1),M203-D203,0)</f>
        <v>6.90763816448219</v>
      </c>
      <c r="O203" s="5" t="n">
        <v>186</v>
      </c>
      <c r="P203" s="62" t="n">
        <f aca="false">IF((Arterial=0),P202+1,P202)</f>
        <v>92</v>
      </c>
      <c r="Q203" s="62" t="n">
        <f aca="false">IF((Arterial=1),Q202+1,Q202)</f>
        <v>94</v>
      </c>
      <c r="R203" s="63" t="n">
        <f aca="false">IF((RESET=1),0,R203+K203)</f>
        <v>318.411894780815</v>
      </c>
      <c r="S203" s="10" t="e">
        <f aca="false">IF(RESET=1,0,S203+N203)</f>
        <v>#N/A</v>
      </c>
      <c r="T203" s="0" t="n">
        <f aca="false">IF(RESET=1,0,T203+IF(H203=0,1,0))</f>
        <v>24</v>
      </c>
      <c r="U203" s="0" t="e">
        <f aca="false">IF(RESET=1,0,U203+H203)</f>
        <v>#N/A</v>
      </c>
      <c r="V203" s="10" t="n">
        <f aca="false">R203/(T203+0.00001)</f>
        <v>13.267156754552</v>
      </c>
      <c r="W203" s="10" t="e">
        <f aca="false">S203/(U203+0.0001)</f>
        <v>#N/A</v>
      </c>
      <c r="X203" s="60" t="n">
        <f aca="false">IF(Informed=1,K203,0)</f>
        <v>0</v>
      </c>
      <c r="Y203" s="60" t="n">
        <f aca="false">IF(Informed=0,K203,0)</f>
        <v>0</v>
      </c>
      <c r="Z203" s="60" t="n">
        <f aca="false">IF(Informed=1,N203,0)</f>
        <v>0</v>
      </c>
      <c r="AA203" s="60" t="n">
        <f aca="false">IF(Informed=0,N203,0)</f>
        <v>6.90763816448219</v>
      </c>
      <c r="AB203" s="64" t="n">
        <f aca="false">IF(Arterial=0,IF(Informed=1,1,0),0)</f>
        <v>0</v>
      </c>
      <c r="AC203" s="64" t="n">
        <f aca="false">IF(Arterial=0,IF(Informed=0,1,0),0)</f>
        <v>0</v>
      </c>
      <c r="AD203" s="64" t="n">
        <f aca="false">IF(Arterial=1,IF(Informed=1,1,0),0)</f>
        <v>0</v>
      </c>
      <c r="AE203" s="64" t="n">
        <f aca="false">IF(Arterial=1,IF(Informed=0,1,0),0)</f>
        <v>1</v>
      </c>
      <c r="AF203" s="57" t="n">
        <f aca="false">IF(AB203=1,(X203-G$1030)^2,0)</f>
        <v>0</v>
      </c>
      <c r="AG203" s="57" t="n">
        <f aca="false">IF(AC203=1,(Y203-H$1030)^2,0)</f>
        <v>0</v>
      </c>
      <c r="AH203" s="57" t="n">
        <f aca="false">IF(AD203=1,(Z203-I$1030)^2,0)</f>
        <v>0</v>
      </c>
      <c r="AI203" s="57" t="n">
        <f aca="false">IF(AE203=1,(AA203-J$1030)^2,0)</f>
        <v>47.7154650114109</v>
      </c>
    </row>
    <row r="204" customFormat="false" ht="12" hidden="false" customHeight="false" outlineLevel="0" collapsed="false">
      <c r="A204" s="5" t="n">
        <v>187</v>
      </c>
      <c r="B204" s="58" t="n">
        <f aca="true">IF(RAND()&lt;$D$8,1,0)</f>
        <v>1</v>
      </c>
      <c r="C204" s="47" t="n">
        <f aca="true">-LN(RAND())/$D$2</f>
        <v>0.0969707069218335</v>
      </c>
      <c r="D204" s="59" t="n">
        <f aca="false">D203+C204</f>
        <v>187.172465309197</v>
      </c>
      <c r="E204" s="60" t="n">
        <f aca="false">MAX($D$3,(1+P203-VLOOKUP(VALUE(D204),$J$18:$Q203,7,TRUE()))*$D$3)</f>
        <v>8</v>
      </c>
      <c r="F204" s="60" t="n">
        <f aca="false">MAX($D$4,(1+Q203-VLOOKUP(VALUE(D204),$M$18:$Q203,5,TRUE()))*$D$4)</f>
        <v>10</v>
      </c>
      <c r="G204" s="61" t="n">
        <v>0.5</v>
      </c>
      <c r="H204" s="59" t="n">
        <f aca="true">IF((B204=1),(IF((F204&lt;E204),1,(IF((F204=E204),(IF(RAND()&lt;G204,1,0)),0)))),(IF((RAND()&lt;G204),1,0)))</f>
        <v>0</v>
      </c>
      <c r="I204" s="59" t="n">
        <f aca="true">IF((H204=1),0,$D$3+$D$5*(RAND()-0.5))</f>
        <v>1.93055082306576</v>
      </c>
      <c r="J204" s="59" t="n">
        <f aca="false">I204+MAX(D204,J203)</f>
        <v>193.733191588597</v>
      </c>
      <c r="K204" s="59" t="n">
        <f aca="false">IF((H204=0),J204-D204,0)</f>
        <v>6.56072627939949</v>
      </c>
      <c r="L204" s="59" t="n">
        <f aca="true">IF(($H204=0),0,$D$4+$D$5*(RAND()-0.5))</f>
        <v>0</v>
      </c>
      <c r="M204" s="59" t="n">
        <f aca="false">L204+MAX(D204,M203)</f>
        <v>193.983132766758</v>
      </c>
      <c r="N204" s="59" t="n">
        <f aca="false">IF((H204=1),M204-D204,0)</f>
        <v>0</v>
      </c>
      <c r="O204" s="5" t="n">
        <v>187</v>
      </c>
      <c r="P204" s="62" t="n">
        <f aca="false">IF((Arterial=0),P203+1,P203)</f>
        <v>93</v>
      </c>
      <c r="Q204" s="62" t="n">
        <f aca="false">IF((Arterial=1),Q203+1,Q203)</f>
        <v>94</v>
      </c>
      <c r="R204" s="63" t="e">
        <f aca="false">IF((RESET=1),0,R204+K204)</f>
        <v>#N/A</v>
      </c>
      <c r="S204" s="10" t="n">
        <f aca="false">IF(RESET=1,0,S204+N204)</f>
        <v>332.031613002969</v>
      </c>
      <c r="T204" s="0" t="e">
        <f aca="false">IF(RESET=1,0,T204+IF(H204=0,1,0))</f>
        <v>#N/A</v>
      </c>
      <c r="U204" s="0" t="n">
        <f aca="false">IF(RESET=1,0,U204+H204)</f>
        <v>27</v>
      </c>
      <c r="V204" s="10" t="e">
        <f aca="false">R204/(T204+0.00001)</f>
        <v>#N/A</v>
      </c>
      <c r="W204" s="10" t="n">
        <f aca="false">S204/(U204+0.0001)</f>
        <v>12.2974216022522</v>
      </c>
      <c r="X204" s="60" t="n">
        <f aca="false">IF(Informed=1,K204,0)</f>
        <v>6.56072627939949</v>
      </c>
      <c r="Y204" s="60" t="n">
        <f aca="false">IF(Informed=0,K204,0)</f>
        <v>0</v>
      </c>
      <c r="Z204" s="60" t="n">
        <f aca="false">IF(Informed=1,N204,0)</f>
        <v>0</v>
      </c>
      <c r="AA204" s="60" t="n">
        <f aca="false">IF(Informed=0,N204,0)</f>
        <v>0</v>
      </c>
      <c r="AB204" s="64" t="n">
        <f aca="false">IF(Arterial=0,IF(Informed=1,1,0),0)</f>
        <v>1</v>
      </c>
      <c r="AC204" s="64" t="n">
        <f aca="false">IF(Arterial=0,IF(Informed=0,1,0),0)</f>
        <v>0</v>
      </c>
      <c r="AD204" s="64" t="n">
        <f aca="false">IF(Arterial=1,IF(Informed=1,1,0),0)</f>
        <v>0</v>
      </c>
      <c r="AE204" s="64" t="n">
        <f aca="false">IF(Arterial=1,IF(Informed=0,1,0),0)</f>
        <v>0</v>
      </c>
      <c r="AF204" s="57" t="n">
        <f aca="false">IF(AB204=1,(X204-G$1030)^2,0)</f>
        <v>43.0431293132031</v>
      </c>
      <c r="AG204" s="57" t="n">
        <f aca="false">IF(AC204=1,(Y204-H$1030)^2,0)</f>
        <v>0</v>
      </c>
      <c r="AH204" s="57" t="n">
        <f aca="false">IF(AD204=1,(Z204-I$1030)^2,0)</f>
        <v>0</v>
      </c>
      <c r="AI204" s="57" t="n">
        <f aca="false">IF(AE204=1,(AA204-J$1030)^2,0)</f>
        <v>0</v>
      </c>
    </row>
    <row r="205" customFormat="false" ht="12" hidden="false" customHeight="false" outlineLevel="0" collapsed="false">
      <c r="A205" s="5" t="n">
        <v>188</v>
      </c>
      <c r="B205" s="58" t="n">
        <f aca="true">IF(RAND()&lt;$D$8,1,0)</f>
        <v>1</v>
      </c>
      <c r="C205" s="47" t="n">
        <f aca="true">-LN(RAND())/$D$2</f>
        <v>0.557597555275136</v>
      </c>
      <c r="D205" s="59" t="n">
        <f aca="false">D204+C205</f>
        <v>187.730062864473</v>
      </c>
      <c r="E205" s="60" t="n">
        <f aca="false">MAX($D$3,(1+P204-VLOOKUP(VALUE(D205),$J$18:$Q204,7,TRUE()))*$D$3)</f>
        <v>8</v>
      </c>
      <c r="F205" s="60" t="n">
        <f aca="false">MAX($D$4,(1+Q204-VLOOKUP(VALUE(D205),$M$18:$Q204,5,TRUE()))*$D$4)</f>
        <v>10</v>
      </c>
      <c r="G205" s="61" t="n">
        <v>0.5</v>
      </c>
      <c r="H205" s="59" t="n">
        <f aca="true">IF((B205=1),(IF((F205&lt;E205),1,(IF((F205=E205),(IF(RAND()&lt;G205,1,0)),0)))),(IF((RAND()&lt;G205),1,0)))</f>
        <v>0</v>
      </c>
      <c r="I205" s="59" t="n">
        <f aca="true">IF((H205=1),0,$D$3+$D$5*(RAND()-0.5))</f>
        <v>1.8038736196938</v>
      </c>
      <c r="J205" s="59" t="n">
        <f aca="false">I205+MAX(D205,J204)</f>
        <v>195.537065208291</v>
      </c>
      <c r="K205" s="59" t="n">
        <f aca="false">IF((H205=0),J205-D205,0)</f>
        <v>7.80700234381817</v>
      </c>
      <c r="L205" s="59" t="n">
        <f aca="true">IF(($H205=0),0,$D$4+$D$5*(RAND()-0.5))</f>
        <v>0</v>
      </c>
      <c r="M205" s="59" t="n">
        <f aca="false">L205+MAX(D205,M204)</f>
        <v>193.983132766758</v>
      </c>
      <c r="N205" s="59" t="n">
        <f aca="false">IF((H205=1),M205-D205,0)</f>
        <v>0</v>
      </c>
      <c r="O205" s="5" t="n">
        <v>188</v>
      </c>
      <c r="P205" s="62" t="n">
        <f aca="false">IF((Arterial=0),P204+1,P204)</f>
        <v>94</v>
      </c>
      <c r="Q205" s="62" t="n">
        <f aca="false">IF((Arterial=1),Q204+1,Q204)</f>
        <v>94</v>
      </c>
      <c r="R205" s="63" t="e">
        <f aca="false">IF((RESET=1),0,R205+K205)</f>
        <v>#N/A</v>
      </c>
      <c r="S205" s="10" t="n">
        <f aca="false">IF(RESET=1,0,S205+N205)</f>
        <v>432.488877535384</v>
      </c>
      <c r="T205" s="0" t="e">
        <f aca="false">IF(RESET=1,0,T205+IF(H205=0,1,0))</f>
        <v>#N/A</v>
      </c>
      <c r="U205" s="0" t="n">
        <f aca="false">IF(RESET=1,0,U205+H205)</f>
        <v>32</v>
      </c>
      <c r="V205" s="10" t="e">
        <f aca="false">R205/(T205+0.00001)</f>
        <v>#N/A</v>
      </c>
      <c r="W205" s="10" t="n">
        <f aca="false">S205/(U205+0.0001)</f>
        <v>13.5152351878708</v>
      </c>
      <c r="X205" s="60" t="n">
        <f aca="false">IF(Informed=1,K205,0)</f>
        <v>7.80700234381817</v>
      </c>
      <c r="Y205" s="60" t="n">
        <f aca="false">IF(Informed=0,K205,0)</f>
        <v>0</v>
      </c>
      <c r="Z205" s="60" t="n">
        <f aca="false">IF(Informed=1,N205,0)</f>
        <v>0</v>
      </c>
      <c r="AA205" s="60" t="n">
        <f aca="false">IF(Informed=0,N205,0)</f>
        <v>0</v>
      </c>
      <c r="AB205" s="64" t="n">
        <f aca="false">IF(Arterial=0,IF(Informed=1,1,0),0)</f>
        <v>1</v>
      </c>
      <c r="AC205" s="64" t="n">
        <f aca="false">IF(Arterial=0,IF(Informed=0,1,0),0)</f>
        <v>0</v>
      </c>
      <c r="AD205" s="64" t="n">
        <f aca="false">IF(Arterial=1,IF(Informed=1,1,0),0)</f>
        <v>0</v>
      </c>
      <c r="AE205" s="64" t="n">
        <f aca="false">IF(Arterial=1,IF(Informed=0,1,0),0)</f>
        <v>0</v>
      </c>
      <c r="AF205" s="57" t="n">
        <f aca="false">IF(AB205=1,(X205-G$1030)^2,0)</f>
        <v>60.9492855963824</v>
      </c>
      <c r="AG205" s="57" t="n">
        <f aca="false">IF(AC205=1,(Y205-H$1030)^2,0)</f>
        <v>0</v>
      </c>
      <c r="AH205" s="57" t="n">
        <f aca="false">IF(AD205=1,(Z205-I$1030)^2,0)</f>
        <v>0</v>
      </c>
      <c r="AI205" s="57" t="n">
        <f aca="false">IF(AE205=1,(AA205-J$1030)^2,0)</f>
        <v>0</v>
      </c>
    </row>
    <row r="206" customFormat="false" ht="12" hidden="false" customHeight="false" outlineLevel="0" collapsed="false">
      <c r="A206" s="5" t="n">
        <v>189</v>
      </c>
      <c r="B206" s="58" t="n">
        <f aca="true">IF(RAND()&lt;$D$8,1,0)</f>
        <v>0</v>
      </c>
      <c r="C206" s="47" t="n">
        <f aca="true">-LN(RAND())/$D$2</f>
        <v>0.674285817127211</v>
      </c>
      <c r="D206" s="59" t="n">
        <f aca="false">D205+C206</f>
        <v>188.4043486816</v>
      </c>
      <c r="E206" s="60" t="n">
        <f aca="false">MAX($D$3,(1+P205-VLOOKUP(VALUE(D206),$J$18:$Q205,7,TRUE()))*$D$3)</f>
        <v>10</v>
      </c>
      <c r="F206" s="60" t="n">
        <f aca="false">MAX($D$4,(1+Q205-VLOOKUP(VALUE(D206),$M$18:$Q205,5,TRUE()))*$D$4)</f>
        <v>8</v>
      </c>
      <c r="G206" s="61" t="n">
        <v>0.5</v>
      </c>
      <c r="H206" s="59" t="n">
        <f aca="true">IF((B206=1),(IF((F206&lt;E206),1,(IF((F206=E206),(IF(RAND()&lt;G206,1,0)),0)))),(IF((RAND()&lt;G206),1,0)))</f>
        <v>0</v>
      </c>
      <c r="I206" s="59" t="n">
        <f aca="true">IF((H206=1),0,$D$3+$D$5*(RAND()-0.5))</f>
        <v>2.20723241027483</v>
      </c>
      <c r="J206" s="59" t="n">
        <f aca="false">I206+MAX(D206,J205)</f>
        <v>197.744297618566</v>
      </c>
      <c r="K206" s="59" t="n">
        <f aca="false">IF((H206=0),J206-D206,0)</f>
        <v>9.33994893696578</v>
      </c>
      <c r="L206" s="59" t="n">
        <f aca="true">IF(($H206=0),0,$D$4+$D$5*(RAND()-0.5))</f>
        <v>0</v>
      </c>
      <c r="M206" s="59" t="n">
        <f aca="false">L206+MAX(D206,M205)</f>
        <v>193.983132766758</v>
      </c>
      <c r="N206" s="59" t="n">
        <f aca="false">IF((H206=1),M206-D206,0)</f>
        <v>0</v>
      </c>
      <c r="O206" s="5" t="n">
        <v>189</v>
      </c>
      <c r="P206" s="62" t="n">
        <f aca="false">IF((Arterial=0),P205+1,P205)</f>
        <v>95</v>
      </c>
      <c r="Q206" s="62" t="n">
        <f aca="false">IF((Arterial=1),Q205+1,Q205)</f>
        <v>94</v>
      </c>
      <c r="R206" s="63" t="e">
        <f aca="false">IF((RESET=1),0,R206+K206)</f>
        <v>#N/A</v>
      </c>
      <c r="S206" s="10" t="n">
        <f aca="false">IF(RESET=1,0,S206+N206)</f>
        <v>290.523283810414</v>
      </c>
      <c r="T206" s="0" t="e">
        <f aca="false">IF(RESET=1,0,T206+IF(H206=0,1,0))</f>
        <v>#N/A</v>
      </c>
      <c r="U206" s="0" t="n">
        <f aca="false">IF(RESET=1,0,U206+H206)</f>
        <v>22</v>
      </c>
      <c r="V206" s="10" t="e">
        <f aca="false">R206/(T206+0.00001)</f>
        <v>#N/A</v>
      </c>
      <c r="W206" s="10" t="n">
        <f aca="false">S206/(U206+0.0001)</f>
        <v>13.2055437843652</v>
      </c>
      <c r="X206" s="60" t="n">
        <f aca="false">IF(Informed=1,K206,0)</f>
        <v>0</v>
      </c>
      <c r="Y206" s="60" t="n">
        <f aca="false">IF(Informed=0,K206,0)</f>
        <v>9.33994893696578</v>
      </c>
      <c r="Z206" s="60" t="n">
        <f aca="false">IF(Informed=1,N206,0)</f>
        <v>0</v>
      </c>
      <c r="AA206" s="60" t="n">
        <f aca="false">IF(Informed=0,N206,0)</f>
        <v>0</v>
      </c>
      <c r="AB206" s="64" t="n">
        <f aca="false">IF(Arterial=0,IF(Informed=1,1,0),0)</f>
        <v>0</v>
      </c>
      <c r="AC206" s="64" t="n">
        <f aca="false">IF(Arterial=0,IF(Informed=0,1,0),0)</f>
        <v>1</v>
      </c>
      <c r="AD206" s="64" t="n">
        <f aca="false">IF(Arterial=1,IF(Informed=1,1,0),0)</f>
        <v>0</v>
      </c>
      <c r="AE206" s="64" t="n">
        <f aca="false">IF(Arterial=1,IF(Informed=0,1,0),0)</f>
        <v>0</v>
      </c>
      <c r="AF206" s="57" t="n">
        <f aca="false">IF(AB206=1,(X206-G$1030)^2,0)</f>
        <v>0</v>
      </c>
      <c r="AG206" s="57" t="n">
        <f aca="false">IF(AC206=1,(Y206-H$1030)^2,0)</f>
        <v>87.2346461451283</v>
      </c>
      <c r="AH206" s="57" t="n">
        <f aca="false">IF(AD206=1,(Z206-I$1030)^2,0)</f>
        <v>0</v>
      </c>
      <c r="AI206" s="57" t="n">
        <f aca="false">IF(AE206=1,(AA206-J$1030)^2,0)</f>
        <v>0</v>
      </c>
    </row>
    <row r="207" customFormat="false" ht="12" hidden="false" customHeight="false" outlineLevel="0" collapsed="false">
      <c r="A207" s="5" t="n">
        <v>190</v>
      </c>
      <c r="B207" s="58" t="n">
        <f aca="true">IF(RAND()&lt;$D$8,1,0)</f>
        <v>1</v>
      </c>
      <c r="C207" s="47" t="n">
        <f aca="true">-LN(RAND())/$D$2</f>
        <v>0.859257007879006</v>
      </c>
      <c r="D207" s="59" t="n">
        <f aca="false">D206+C207</f>
        <v>189.263605689479</v>
      </c>
      <c r="E207" s="60" t="n">
        <f aca="false">MAX($D$3,(1+P206-VLOOKUP(VALUE(D207),$J$18:$Q206,7,TRUE()))*$D$3)</f>
        <v>12</v>
      </c>
      <c r="F207" s="60" t="n">
        <f aca="false">MAX($D$4,(1+Q206-VLOOKUP(VALUE(D207),$M$18:$Q206,5,TRUE()))*$D$4)</f>
        <v>8</v>
      </c>
      <c r="G207" s="61" t="n">
        <v>0.5</v>
      </c>
      <c r="H207" s="59" t="n">
        <f aca="true">IF((B207=1),(IF((F207&lt;E207),1,(IF((F207=E207),(IF(RAND()&lt;G207,1,0)),0)))),(IF((RAND()&lt;G207),1,0)))</f>
        <v>1</v>
      </c>
      <c r="I207" s="59" t="n">
        <f aca="true">IF((H207=1),0,$D$3+$D$5*(RAND()-0.5))</f>
        <v>0</v>
      </c>
      <c r="J207" s="59" t="n">
        <f aca="false">I207+MAX(D207,J206)</f>
        <v>197.744297618566</v>
      </c>
      <c r="K207" s="59" t="n">
        <f aca="false">IF((H207=0),J207-D207,0)</f>
        <v>0</v>
      </c>
      <c r="L207" s="59" t="n">
        <f aca="true">IF(($H207=0),0,$D$4+$D$5*(RAND()-0.5))</f>
        <v>1.86108670860031</v>
      </c>
      <c r="M207" s="59" t="n">
        <f aca="false">L207+MAX(D207,M206)</f>
        <v>195.844219475358</v>
      </c>
      <c r="N207" s="59" t="n">
        <f aca="false">IF((H207=1),M207-D207,0)</f>
        <v>6.58061378587934</v>
      </c>
      <c r="O207" s="5" t="n">
        <v>190</v>
      </c>
      <c r="P207" s="62" t="n">
        <f aca="false">IF((Arterial=0),P206+1,P206)</f>
        <v>95</v>
      </c>
      <c r="Q207" s="62" t="n">
        <f aca="false">IF((Arterial=1),Q206+1,Q206)</f>
        <v>95</v>
      </c>
      <c r="R207" s="63" t="n">
        <f aca="false">IF((RESET=1),0,R207+K207)</f>
        <v>390.190931432588</v>
      </c>
      <c r="S207" s="10" t="e">
        <f aca="false">IF(RESET=1,0,S207+N207)</f>
        <v>#N/A</v>
      </c>
      <c r="T207" s="0" t="n">
        <f aca="false">IF(RESET=1,0,T207+IF(H207=0,1,0))</f>
        <v>30</v>
      </c>
      <c r="U207" s="0" t="e">
        <f aca="false">IF(RESET=1,0,U207+H207)</f>
        <v>#N/A</v>
      </c>
      <c r="V207" s="10" t="n">
        <f aca="false">R207/(T207+0.00001)</f>
        <v>13.0063600456329</v>
      </c>
      <c r="W207" s="10" t="e">
        <f aca="false">S207/(U207+0.0001)</f>
        <v>#N/A</v>
      </c>
      <c r="X207" s="60" t="n">
        <f aca="false">IF(Informed=1,K207,0)</f>
        <v>0</v>
      </c>
      <c r="Y207" s="60" t="n">
        <f aca="false">IF(Informed=0,K207,0)</f>
        <v>0</v>
      </c>
      <c r="Z207" s="60" t="n">
        <f aca="false">IF(Informed=1,N207,0)</f>
        <v>6.58061378587934</v>
      </c>
      <c r="AA207" s="60" t="n">
        <f aca="false">IF(Informed=0,N207,0)</f>
        <v>0</v>
      </c>
      <c r="AB207" s="64" t="n">
        <f aca="false">IF(Arterial=0,IF(Informed=1,1,0),0)</f>
        <v>0</v>
      </c>
      <c r="AC207" s="64" t="n">
        <f aca="false">IF(Arterial=0,IF(Informed=0,1,0),0)</f>
        <v>0</v>
      </c>
      <c r="AD207" s="64" t="n">
        <f aca="false">IF(Arterial=1,IF(Informed=1,1,0),0)</f>
        <v>1</v>
      </c>
      <c r="AE207" s="64" t="n">
        <f aca="false">IF(Arterial=1,IF(Informed=0,1,0),0)</f>
        <v>0</v>
      </c>
      <c r="AF207" s="57" t="n">
        <f aca="false">IF(AB207=1,(X207-G$1030)^2,0)</f>
        <v>0</v>
      </c>
      <c r="AG207" s="57" t="n">
        <f aca="false">IF(AC207=1,(Y207-H$1030)^2,0)</f>
        <v>0</v>
      </c>
      <c r="AH207" s="57" t="n">
        <f aca="false">IF(AD207=1,(Z207-I$1030)^2,0)</f>
        <v>43.3044777989052</v>
      </c>
      <c r="AI207" s="57" t="n">
        <f aca="false">IF(AE207=1,(AA207-J$1030)^2,0)</f>
        <v>0</v>
      </c>
    </row>
    <row r="208" customFormat="false" ht="12" hidden="false" customHeight="false" outlineLevel="0" collapsed="false">
      <c r="A208" s="5" t="n">
        <v>191</v>
      </c>
      <c r="B208" s="58" t="n">
        <f aca="true">IF(RAND()&lt;$D$8,1,0)</f>
        <v>0</v>
      </c>
      <c r="C208" s="47" t="n">
        <f aca="true">-LN(RAND())/$D$2</f>
        <v>0.649560565191684</v>
      </c>
      <c r="D208" s="59" t="n">
        <f aca="false">D207+C208</f>
        <v>189.91316625467</v>
      </c>
      <c r="E208" s="60" t="n">
        <f aca="false">MAX($D$3,(1+P207-VLOOKUP(VALUE(D208),$J$18:$Q207,7,TRUE()))*$D$3)</f>
        <v>10</v>
      </c>
      <c r="F208" s="60" t="n">
        <f aca="false">MAX($D$4,(1+Q207-VLOOKUP(VALUE(D208),$M$18:$Q207,5,TRUE()))*$D$4)</f>
        <v>8</v>
      </c>
      <c r="G208" s="61" t="n">
        <v>0.5</v>
      </c>
      <c r="H208" s="59" t="n">
        <f aca="true">IF((B208=1),(IF((F208&lt;E208),1,(IF((F208=E208),(IF(RAND()&lt;G208,1,0)),0)))),(IF((RAND()&lt;G208),1,0)))</f>
        <v>0</v>
      </c>
      <c r="I208" s="59" t="n">
        <f aca="true">IF((H208=1),0,$D$3+$D$5*(RAND()-0.5))</f>
        <v>1.89344744328143</v>
      </c>
      <c r="J208" s="59" t="n">
        <f aca="false">I208+MAX(D208,J207)</f>
        <v>199.637745061847</v>
      </c>
      <c r="K208" s="59" t="n">
        <f aca="false">IF((H208=0),J208-D208,0)</f>
        <v>9.72457880717653</v>
      </c>
      <c r="L208" s="59" t="n">
        <f aca="true">IF(($H208=0),0,$D$4+$D$5*(RAND()-0.5))</f>
        <v>0</v>
      </c>
      <c r="M208" s="59" t="n">
        <f aca="false">L208+MAX(D208,M207)</f>
        <v>195.844219475358</v>
      </c>
      <c r="N208" s="59" t="n">
        <f aca="false">IF((H208=1),M208-D208,0)</f>
        <v>0</v>
      </c>
      <c r="O208" s="5" t="n">
        <v>191</v>
      </c>
      <c r="P208" s="62" t="n">
        <f aca="false">IF((Arterial=0),P207+1,P207)</f>
        <v>96</v>
      </c>
      <c r="Q208" s="62" t="n">
        <f aca="false">IF((Arterial=1),Q207+1,Q207)</f>
        <v>95</v>
      </c>
      <c r="R208" s="63" t="e">
        <f aca="false">IF((RESET=1),0,R208+K208)</f>
        <v>#N/A</v>
      </c>
      <c r="S208" s="10" t="n">
        <f aca="false">IF(RESET=1,0,S208+N208)</f>
        <v>369.697668868113</v>
      </c>
      <c r="T208" s="0" t="e">
        <f aca="false">IF(RESET=1,0,T208+IF(H208=0,1,0))</f>
        <v>#N/A</v>
      </c>
      <c r="U208" s="0" t="n">
        <f aca="false">IF(RESET=1,0,U208+H208)</f>
        <v>28</v>
      </c>
      <c r="V208" s="10" t="e">
        <f aca="false">R208/(T208+0.00001)</f>
        <v>#N/A</v>
      </c>
      <c r="W208" s="10" t="n">
        <f aca="false">S208/(U208+0.0001)</f>
        <v>13.2034410187147</v>
      </c>
      <c r="X208" s="60" t="n">
        <f aca="false">IF(Informed=1,K208,0)</f>
        <v>0</v>
      </c>
      <c r="Y208" s="60" t="n">
        <f aca="false">IF(Informed=0,K208,0)</f>
        <v>9.72457880717653</v>
      </c>
      <c r="Z208" s="60" t="n">
        <f aca="false">IF(Informed=1,N208,0)</f>
        <v>0</v>
      </c>
      <c r="AA208" s="60" t="n">
        <f aca="false">IF(Informed=0,N208,0)</f>
        <v>0</v>
      </c>
      <c r="AB208" s="64" t="n">
        <f aca="false">IF(Arterial=0,IF(Informed=1,1,0),0)</f>
        <v>0</v>
      </c>
      <c r="AC208" s="64" t="n">
        <f aca="false">IF(Arterial=0,IF(Informed=0,1,0),0)</f>
        <v>1</v>
      </c>
      <c r="AD208" s="64" t="n">
        <f aca="false">IF(Arterial=1,IF(Informed=1,1,0),0)</f>
        <v>0</v>
      </c>
      <c r="AE208" s="64" t="n">
        <f aca="false">IF(Arterial=1,IF(Informed=0,1,0),0)</f>
        <v>0</v>
      </c>
      <c r="AF208" s="57" t="n">
        <f aca="false">IF(AB208=1,(X208-G$1030)^2,0)</f>
        <v>0</v>
      </c>
      <c r="AG208" s="57" t="n">
        <f aca="false">IF(AC208=1,(Y208-H$1030)^2,0)</f>
        <v>94.5674329769869</v>
      </c>
      <c r="AH208" s="57" t="n">
        <f aca="false">IF(AD208=1,(Z208-I$1030)^2,0)</f>
        <v>0</v>
      </c>
      <c r="AI208" s="57" t="n">
        <f aca="false">IF(AE208=1,(AA208-J$1030)^2,0)</f>
        <v>0</v>
      </c>
    </row>
    <row r="209" customFormat="false" ht="12" hidden="false" customHeight="false" outlineLevel="0" collapsed="false">
      <c r="A209" s="5" t="n">
        <v>192</v>
      </c>
      <c r="B209" s="58" t="n">
        <f aca="true">IF(RAND()&lt;$D$8,1,0)</f>
        <v>0</v>
      </c>
      <c r="C209" s="47" t="n">
        <f aca="true">-LN(RAND())/$D$2</f>
        <v>1.15618701496768</v>
      </c>
      <c r="D209" s="59" t="n">
        <f aca="false">D208+C209</f>
        <v>191.069353269638</v>
      </c>
      <c r="E209" s="60" t="n">
        <f aca="false">MAX($D$3,(1+P208-VLOOKUP(VALUE(D209),$J$18:$Q208,7,TRUE()))*$D$3)</f>
        <v>12</v>
      </c>
      <c r="F209" s="60" t="n">
        <f aca="false">MAX($D$4,(1+Q208-VLOOKUP(VALUE(D209),$M$18:$Q208,5,TRUE()))*$D$4)</f>
        <v>8</v>
      </c>
      <c r="G209" s="61" t="n">
        <v>0.5</v>
      </c>
      <c r="H209" s="59" t="n">
        <f aca="true">IF((B209=1),(IF((F209&lt;E209),1,(IF((F209=E209),(IF(RAND()&lt;G209,1,0)),0)))),(IF((RAND()&lt;G209),1,0)))</f>
        <v>1</v>
      </c>
      <c r="I209" s="59" t="n">
        <f aca="true">IF((H209=1),0,$D$3+$D$5*(RAND()-0.5))</f>
        <v>0</v>
      </c>
      <c r="J209" s="59" t="n">
        <f aca="false">I209+MAX(D209,J208)</f>
        <v>199.637745061847</v>
      </c>
      <c r="K209" s="59" t="n">
        <f aca="false">IF((H209=0),J209-D209,0)</f>
        <v>0</v>
      </c>
      <c r="L209" s="59" t="n">
        <f aca="true">IF(($H209=0),0,$D$4+$D$5*(RAND()-0.5))</f>
        <v>1.90977918342702</v>
      </c>
      <c r="M209" s="59" t="n">
        <f aca="false">L209+MAX(D209,M208)</f>
        <v>197.753998658785</v>
      </c>
      <c r="N209" s="59" t="n">
        <f aca="false">IF((H209=1),M209-D209,0)</f>
        <v>6.68464538914699</v>
      </c>
      <c r="O209" s="5" t="n">
        <v>192</v>
      </c>
      <c r="P209" s="62" t="n">
        <f aca="false">IF((Arterial=0),P208+1,P208)</f>
        <v>96</v>
      </c>
      <c r="Q209" s="62" t="n">
        <f aca="false">IF((Arterial=1),Q208+1,Q208)</f>
        <v>96</v>
      </c>
      <c r="R209" s="63" t="n">
        <f aca="false">IF((RESET=1),0,R209+K209)</f>
        <v>360.363214427322</v>
      </c>
      <c r="S209" s="10" t="e">
        <f aca="false">IF(RESET=1,0,S209+N209)</f>
        <v>#N/A</v>
      </c>
      <c r="T209" s="0" t="n">
        <f aca="false">IF(RESET=1,0,T209+IF(H209=0,1,0))</f>
        <v>32</v>
      </c>
      <c r="U209" s="0" t="e">
        <f aca="false">IF(RESET=1,0,U209+H209)</f>
        <v>#N/A</v>
      </c>
      <c r="V209" s="10" t="n">
        <f aca="false">R209/(T209+0.00001)</f>
        <v>11.2613469316829</v>
      </c>
      <c r="W209" s="10" t="e">
        <f aca="false">S209/(U209+0.0001)</f>
        <v>#N/A</v>
      </c>
      <c r="X209" s="60" t="n">
        <f aca="false">IF(Informed=1,K209,0)</f>
        <v>0</v>
      </c>
      <c r="Y209" s="60" t="n">
        <f aca="false">IF(Informed=0,K209,0)</f>
        <v>0</v>
      </c>
      <c r="Z209" s="60" t="n">
        <f aca="false">IF(Informed=1,N209,0)</f>
        <v>0</v>
      </c>
      <c r="AA209" s="60" t="n">
        <f aca="false">IF(Informed=0,N209,0)</f>
        <v>6.68464538914699</v>
      </c>
      <c r="AB209" s="64" t="n">
        <f aca="false">IF(Arterial=0,IF(Informed=1,1,0),0)</f>
        <v>0</v>
      </c>
      <c r="AC209" s="64" t="n">
        <f aca="false">IF(Arterial=0,IF(Informed=0,1,0),0)</f>
        <v>0</v>
      </c>
      <c r="AD209" s="64" t="n">
        <f aca="false">IF(Arterial=1,IF(Informed=1,1,0),0)</f>
        <v>0</v>
      </c>
      <c r="AE209" s="64" t="n">
        <f aca="false">IF(Arterial=1,IF(Informed=0,1,0),0)</f>
        <v>1</v>
      </c>
      <c r="AF209" s="57" t="n">
        <f aca="false">IF(AB209=1,(X209-G$1030)^2,0)</f>
        <v>0</v>
      </c>
      <c r="AG209" s="57" t="n">
        <f aca="false">IF(AC209=1,(Y209-H$1030)^2,0)</f>
        <v>0</v>
      </c>
      <c r="AH209" s="57" t="n">
        <f aca="false">IF(AD209=1,(Z209-I$1030)^2,0)</f>
        <v>0</v>
      </c>
      <c r="AI209" s="57" t="n">
        <f aca="false">IF(AE209=1,(AA209-J$1030)^2,0)</f>
        <v>44.6844839786442</v>
      </c>
    </row>
    <row r="210" customFormat="false" ht="12" hidden="false" customHeight="false" outlineLevel="0" collapsed="false">
      <c r="A210" s="5" t="n">
        <v>193</v>
      </c>
      <c r="B210" s="58" t="n">
        <f aca="true">IF(RAND()&lt;$D$8,1,0)</f>
        <v>0</v>
      </c>
      <c r="C210" s="47" t="n">
        <f aca="true">-LN(RAND())/$D$2</f>
        <v>1.90453110069891</v>
      </c>
      <c r="D210" s="59" t="n">
        <f aca="false">D209+C210</f>
        <v>192.973884370337</v>
      </c>
      <c r="E210" s="60" t="n">
        <f aca="false">MAX($D$3,(1+P209-VLOOKUP(VALUE(D210),$J$18:$Q209,7,TRUE()))*$D$3)</f>
        <v>10</v>
      </c>
      <c r="F210" s="60" t="n">
        <f aca="false">MAX($D$4,(1+Q209-VLOOKUP(VALUE(D210),$M$18:$Q209,5,TRUE()))*$D$4)</f>
        <v>8</v>
      </c>
      <c r="G210" s="61" t="n">
        <v>0.5</v>
      </c>
      <c r="H210" s="59" t="n">
        <f aca="true">IF((B210=1),(IF((F210&lt;E210),1,(IF((F210=E210),(IF(RAND()&lt;G210,1,0)),0)))),(IF((RAND()&lt;G210),1,0)))</f>
        <v>0</v>
      </c>
      <c r="I210" s="59" t="n">
        <f aca="true">IF((H210=1),0,$D$3+$D$5*(RAND()-0.5))</f>
        <v>2.10861826217599</v>
      </c>
      <c r="J210" s="59" t="n">
        <f aca="false">I210+MAX(D210,J209)</f>
        <v>201.746363324023</v>
      </c>
      <c r="K210" s="59" t="n">
        <f aca="false">IF((H210=0),J210-D210,0)</f>
        <v>8.77247895368592</v>
      </c>
      <c r="L210" s="59" t="n">
        <f aca="true">IF(($H210=0),0,$D$4+$D$5*(RAND()-0.5))</f>
        <v>0</v>
      </c>
      <c r="M210" s="59" t="n">
        <f aca="false">L210+MAX(D210,M209)</f>
        <v>197.753998658785</v>
      </c>
      <c r="N210" s="59" t="n">
        <f aca="false">IF((H210=1),M210-D210,0)</f>
        <v>0</v>
      </c>
      <c r="O210" s="5" t="n">
        <v>193</v>
      </c>
      <c r="P210" s="62" t="n">
        <f aca="false">IF((Arterial=0),P209+1,P209)</f>
        <v>97</v>
      </c>
      <c r="Q210" s="62" t="n">
        <f aca="false">IF((Arterial=1),Q209+1,Q209)</f>
        <v>96</v>
      </c>
      <c r="R210" s="63" t="e">
        <f aca="false">IF((RESET=1),0,R210+K210)</f>
        <v>#N/A</v>
      </c>
      <c r="S210" s="10" t="n">
        <f aca="false">IF(RESET=1,0,S210+N210)</f>
        <v>299.424090029109</v>
      </c>
      <c r="T210" s="0" t="e">
        <f aca="false">IF(RESET=1,0,T210+IF(H210=0,1,0))</f>
        <v>#N/A</v>
      </c>
      <c r="U210" s="0" t="n">
        <f aca="false">IF(RESET=1,0,U210+H210)</f>
        <v>27</v>
      </c>
      <c r="V210" s="10" t="e">
        <f aca="false">R210/(T210+0.00001)</f>
        <v>#N/A</v>
      </c>
      <c r="W210" s="10" t="n">
        <f aca="false">S210/(U210+0.0001)</f>
        <v>11.089740039078</v>
      </c>
      <c r="X210" s="60" t="n">
        <f aca="false">IF(Informed=1,K210,0)</f>
        <v>0</v>
      </c>
      <c r="Y210" s="60" t="n">
        <f aca="false">IF(Informed=0,K210,0)</f>
        <v>8.77247895368592</v>
      </c>
      <c r="Z210" s="60" t="n">
        <f aca="false">IF(Informed=1,N210,0)</f>
        <v>0</v>
      </c>
      <c r="AA210" s="60" t="n">
        <f aca="false">IF(Informed=0,N210,0)</f>
        <v>0</v>
      </c>
      <c r="AB210" s="64" t="n">
        <f aca="false">IF(Arterial=0,IF(Informed=1,1,0),0)</f>
        <v>0</v>
      </c>
      <c r="AC210" s="64" t="n">
        <f aca="false">IF(Arterial=0,IF(Informed=0,1,0),0)</f>
        <v>1</v>
      </c>
      <c r="AD210" s="64" t="n">
        <f aca="false">IF(Arterial=1,IF(Informed=1,1,0),0)</f>
        <v>0</v>
      </c>
      <c r="AE210" s="64" t="n">
        <f aca="false">IF(Arterial=1,IF(Informed=0,1,0),0)</f>
        <v>0</v>
      </c>
      <c r="AF210" s="57" t="n">
        <f aca="false">IF(AB210=1,(X210-G$1030)^2,0)</f>
        <v>0</v>
      </c>
      <c r="AG210" s="57" t="n">
        <f aca="false">IF(AC210=1,(Y210-H$1030)^2,0)</f>
        <v>76.9563869928624</v>
      </c>
      <c r="AH210" s="57" t="n">
        <f aca="false">IF(AD210=1,(Z210-I$1030)^2,0)</f>
        <v>0</v>
      </c>
      <c r="AI210" s="57" t="n">
        <f aca="false">IF(AE210=1,(AA210-J$1030)^2,0)</f>
        <v>0</v>
      </c>
    </row>
    <row r="211" customFormat="false" ht="12" hidden="false" customHeight="false" outlineLevel="0" collapsed="false">
      <c r="A211" s="5" t="n">
        <v>194</v>
      </c>
      <c r="B211" s="58" t="n">
        <f aca="true">IF(RAND()&lt;$D$8,1,0)</f>
        <v>0</v>
      </c>
      <c r="C211" s="47" t="n">
        <f aca="true">-LN(RAND())/$D$2</f>
        <v>0.364047844955554</v>
      </c>
      <c r="D211" s="59" t="n">
        <f aca="false">D210+C211</f>
        <v>193.337932215293</v>
      </c>
      <c r="E211" s="60" t="n">
        <f aca="false">MAX($D$3,(1+P210-VLOOKUP(VALUE(D211),$J$18:$Q210,7,TRUE()))*$D$3)</f>
        <v>12</v>
      </c>
      <c r="F211" s="60" t="n">
        <f aca="false">MAX($D$4,(1+Q210-VLOOKUP(VALUE(D211),$M$18:$Q210,5,TRUE()))*$D$4)</f>
        <v>8</v>
      </c>
      <c r="G211" s="61" t="n">
        <v>0.5</v>
      </c>
      <c r="H211" s="59" t="n">
        <f aca="true">IF((B211=1),(IF((F211&lt;E211),1,(IF((F211=E211),(IF(RAND()&lt;G211,1,0)),0)))),(IF((RAND()&lt;G211),1,0)))</f>
        <v>1</v>
      </c>
      <c r="I211" s="59" t="n">
        <f aca="true">IF((H211=1),0,$D$3+$D$5*(RAND()-0.5))</f>
        <v>0</v>
      </c>
      <c r="J211" s="59" t="n">
        <f aca="false">I211+MAX(D211,J210)</f>
        <v>201.746363324023</v>
      </c>
      <c r="K211" s="59" t="n">
        <f aca="false">IF((H211=0),J211-D211,0)</f>
        <v>0</v>
      </c>
      <c r="L211" s="59" t="n">
        <f aca="true">IF(($H211=0),0,$D$4+$D$5*(RAND()-0.5))</f>
        <v>2.10485930381432</v>
      </c>
      <c r="M211" s="59" t="n">
        <f aca="false">L211+MAX(D211,M210)</f>
        <v>199.858857962599</v>
      </c>
      <c r="N211" s="59" t="n">
        <f aca="false">IF((H211=1),M211-D211,0)</f>
        <v>6.52092574730685</v>
      </c>
      <c r="O211" s="5" t="n">
        <v>194</v>
      </c>
      <c r="P211" s="62" t="n">
        <f aca="false">IF((Arterial=0),P210+1,P210)</f>
        <v>97</v>
      </c>
      <c r="Q211" s="62" t="n">
        <f aca="false">IF((Arterial=1),Q210+1,Q210)</f>
        <v>97</v>
      </c>
      <c r="R211" s="63" t="n">
        <f aca="false">IF((RESET=1),0,R211+K211)</f>
        <v>285.345416679847</v>
      </c>
      <c r="S211" s="10" t="e">
        <f aca="false">IF(RESET=1,0,S211+N211)</f>
        <v>#N/A</v>
      </c>
      <c r="T211" s="0" t="n">
        <f aca="false">IF(RESET=1,0,T211+IF(H211=0,1,0))</f>
        <v>25</v>
      </c>
      <c r="U211" s="0" t="e">
        <f aca="false">IF(RESET=1,0,U211+H211)</f>
        <v>#N/A</v>
      </c>
      <c r="V211" s="10" t="n">
        <f aca="false">R211/(T211+0.00001)</f>
        <v>11.413812101669</v>
      </c>
      <c r="W211" s="10" t="e">
        <f aca="false">S211/(U211+0.0001)</f>
        <v>#N/A</v>
      </c>
      <c r="X211" s="60" t="n">
        <f aca="false">IF(Informed=1,K211,0)</f>
        <v>0</v>
      </c>
      <c r="Y211" s="60" t="n">
        <f aca="false">IF(Informed=0,K211,0)</f>
        <v>0</v>
      </c>
      <c r="Z211" s="60" t="n">
        <f aca="false">IF(Informed=1,N211,0)</f>
        <v>0</v>
      </c>
      <c r="AA211" s="60" t="n">
        <f aca="false">IF(Informed=0,N211,0)</f>
        <v>6.52092574730685</v>
      </c>
      <c r="AB211" s="64" t="n">
        <f aca="false">IF(Arterial=0,IF(Informed=1,1,0),0)</f>
        <v>0</v>
      </c>
      <c r="AC211" s="64" t="n">
        <f aca="false">IF(Arterial=0,IF(Informed=0,1,0),0)</f>
        <v>0</v>
      </c>
      <c r="AD211" s="64" t="n">
        <f aca="false">IF(Arterial=1,IF(Informed=1,1,0),0)</f>
        <v>0</v>
      </c>
      <c r="AE211" s="64" t="n">
        <f aca="false">IF(Arterial=1,IF(Informed=0,1,0),0)</f>
        <v>1</v>
      </c>
      <c r="AF211" s="57" t="n">
        <f aca="false">IF(AB211=1,(X211-G$1030)^2,0)</f>
        <v>0</v>
      </c>
      <c r="AG211" s="57" t="n">
        <f aca="false">IF(AC211=1,(Y211-H$1030)^2,0)</f>
        <v>0</v>
      </c>
      <c r="AH211" s="57" t="n">
        <f aca="false">IF(AD211=1,(Z211-I$1030)^2,0)</f>
        <v>0</v>
      </c>
      <c r="AI211" s="57" t="n">
        <f aca="false">IF(AE211=1,(AA211-J$1030)^2,0)</f>
        <v>42.5224726018894</v>
      </c>
    </row>
    <row r="212" customFormat="false" ht="12" hidden="false" customHeight="false" outlineLevel="0" collapsed="false">
      <c r="A212" s="5" t="n">
        <v>195</v>
      </c>
      <c r="B212" s="58" t="n">
        <f aca="true">IF(RAND()&lt;$D$8,1,0)</f>
        <v>1</v>
      </c>
      <c r="C212" s="47" t="n">
        <f aca="true">-LN(RAND())/$D$2</f>
        <v>0.526364425721362</v>
      </c>
      <c r="D212" s="59" t="n">
        <f aca="false">D211+C212</f>
        <v>193.864296641014</v>
      </c>
      <c r="E212" s="60" t="n">
        <f aca="false">MAX($D$3,(1+P211-VLOOKUP(VALUE(D212),$J$18:$Q211,7,TRUE()))*$D$3)</f>
        <v>10</v>
      </c>
      <c r="F212" s="60" t="n">
        <f aca="false">MAX($D$4,(1+Q211-VLOOKUP(VALUE(D212),$M$18:$Q211,5,TRUE()))*$D$4)</f>
        <v>10</v>
      </c>
      <c r="G212" s="61" t="n">
        <v>0.5</v>
      </c>
      <c r="H212" s="59" t="n">
        <f aca="true">IF((B212=1),(IF((F212&lt;E212),1,(IF((F212=E212),(IF(RAND()&lt;G212,1,0)),0)))),(IF((RAND()&lt;G212),1,0)))</f>
        <v>0</v>
      </c>
      <c r="I212" s="59" t="n">
        <f aca="true">IF((H212=1),0,$D$3+$D$5*(RAND()-0.5))</f>
        <v>1.79013352645698</v>
      </c>
      <c r="J212" s="59" t="n">
        <f aca="false">I212+MAX(D212,J211)</f>
        <v>203.53649685048</v>
      </c>
      <c r="K212" s="59" t="n">
        <f aca="false">IF((H212=0),J212-D212,0)</f>
        <v>9.67220020946596</v>
      </c>
      <c r="L212" s="59" t="n">
        <f aca="true">IF(($H212=0),0,$D$4+$D$5*(RAND()-0.5))</f>
        <v>0</v>
      </c>
      <c r="M212" s="59" t="n">
        <f aca="false">L212+MAX(D212,M211)</f>
        <v>199.858857962599</v>
      </c>
      <c r="N212" s="59" t="n">
        <f aca="false">IF((H212=1),M212-D212,0)</f>
        <v>0</v>
      </c>
      <c r="O212" s="5" t="n">
        <v>195</v>
      </c>
      <c r="P212" s="62" t="n">
        <f aca="false">IF((Arterial=0),P211+1,P211)</f>
        <v>98</v>
      </c>
      <c r="Q212" s="62" t="n">
        <f aca="false">IF((Arterial=1),Q211+1,Q211)</f>
        <v>97</v>
      </c>
      <c r="R212" s="63" t="e">
        <f aca="false">IF((RESET=1),0,R212+K212)</f>
        <v>#N/A</v>
      </c>
      <c r="S212" s="10" t="n">
        <f aca="false">IF(RESET=1,0,S212+N212)</f>
        <v>391.293304359593</v>
      </c>
      <c r="T212" s="0" t="e">
        <f aca="false">IF(RESET=1,0,T212+IF(H212=0,1,0))</f>
        <v>#N/A</v>
      </c>
      <c r="U212" s="0" t="n">
        <f aca="false">IF(RESET=1,0,U212+H212)</f>
        <v>28</v>
      </c>
      <c r="V212" s="10" t="e">
        <f aca="false">R212/(T212+0.00001)</f>
        <v>#N/A</v>
      </c>
      <c r="W212" s="10" t="n">
        <f aca="false">S212/(U212+0.0001)</f>
        <v>13.9747109603035</v>
      </c>
      <c r="X212" s="60" t="n">
        <f aca="false">IF(Informed=1,K212,0)</f>
        <v>9.67220020946596</v>
      </c>
      <c r="Y212" s="60" t="n">
        <f aca="false">IF(Informed=0,K212,0)</f>
        <v>0</v>
      </c>
      <c r="Z212" s="60" t="n">
        <f aca="false">IF(Informed=1,N212,0)</f>
        <v>0</v>
      </c>
      <c r="AA212" s="60" t="n">
        <f aca="false">IF(Informed=0,N212,0)</f>
        <v>0</v>
      </c>
      <c r="AB212" s="64" t="n">
        <f aca="false">IF(Arterial=0,IF(Informed=1,1,0),0)</f>
        <v>1</v>
      </c>
      <c r="AC212" s="64" t="n">
        <f aca="false">IF(Arterial=0,IF(Informed=0,1,0),0)</f>
        <v>0</v>
      </c>
      <c r="AD212" s="64" t="n">
        <f aca="false">IF(Arterial=1,IF(Informed=1,1,0),0)</f>
        <v>0</v>
      </c>
      <c r="AE212" s="64" t="n">
        <f aca="false">IF(Arterial=1,IF(Informed=0,1,0),0)</f>
        <v>0</v>
      </c>
      <c r="AF212" s="57" t="n">
        <f aca="false">IF(AB212=1,(X212-G$1030)^2,0)</f>
        <v>93.5514568919933</v>
      </c>
      <c r="AG212" s="57" t="n">
        <f aca="false">IF(AC212=1,(Y212-H$1030)^2,0)</f>
        <v>0</v>
      </c>
      <c r="AH212" s="57" t="n">
        <f aca="false">IF(AD212=1,(Z212-I$1030)^2,0)</f>
        <v>0</v>
      </c>
      <c r="AI212" s="57" t="n">
        <f aca="false">IF(AE212=1,(AA212-J$1030)^2,0)</f>
        <v>0</v>
      </c>
    </row>
    <row r="213" customFormat="false" ht="12" hidden="false" customHeight="false" outlineLevel="0" collapsed="false">
      <c r="A213" s="5" t="n">
        <v>196</v>
      </c>
      <c r="B213" s="58" t="n">
        <f aca="true">IF(RAND()&lt;$D$8,1,0)</f>
        <v>0</v>
      </c>
      <c r="C213" s="47" t="n">
        <f aca="true">-LN(RAND())/$D$2</f>
        <v>0.0677304099754775</v>
      </c>
      <c r="D213" s="59" t="n">
        <f aca="false">D212+C213</f>
        <v>193.932027050989</v>
      </c>
      <c r="E213" s="60" t="n">
        <f aca="false">MAX($D$3,(1+P212-VLOOKUP(VALUE(D213),$J$18:$Q212,7,TRUE()))*$D$3)</f>
        <v>12</v>
      </c>
      <c r="F213" s="60" t="n">
        <f aca="false">MAX($D$4,(1+Q212-VLOOKUP(VALUE(D213),$M$18:$Q212,5,TRUE()))*$D$4)</f>
        <v>10</v>
      </c>
      <c r="G213" s="61" t="n">
        <v>0.5</v>
      </c>
      <c r="H213" s="59" t="n">
        <f aca="true">IF((B213=1),(IF((F213&lt;E213),1,(IF((F213=E213),(IF(RAND()&lt;G213,1,0)),0)))),(IF((RAND()&lt;G213),1,0)))</f>
        <v>0</v>
      </c>
      <c r="I213" s="59" t="n">
        <f aca="true">IF((H213=1),0,$D$3+$D$5*(RAND()-0.5))</f>
        <v>2.13396838378367</v>
      </c>
      <c r="J213" s="59" t="n">
        <f aca="false">I213+MAX(D213,J212)</f>
        <v>205.670465234264</v>
      </c>
      <c r="K213" s="59" t="n">
        <f aca="false">IF((H213=0),J213-D213,0)</f>
        <v>11.7384381832742</v>
      </c>
      <c r="L213" s="59" t="n">
        <f aca="true">IF(($H213=0),0,$D$4+$D$5*(RAND()-0.5))</f>
        <v>0</v>
      </c>
      <c r="M213" s="59" t="n">
        <f aca="false">L213+MAX(D213,M212)</f>
        <v>199.858857962599</v>
      </c>
      <c r="N213" s="59" t="n">
        <f aca="false">IF((H213=1),M213-D213,0)</f>
        <v>0</v>
      </c>
      <c r="O213" s="5" t="n">
        <v>196</v>
      </c>
      <c r="P213" s="62" t="n">
        <f aca="false">IF((Arterial=0),P212+1,P212)</f>
        <v>99</v>
      </c>
      <c r="Q213" s="62" t="n">
        <f aca="false">IF((Arterial=1),Q212+1,Q212)</f>
        <v>97</v>
      </c>
      <c r="R213" s="63" t="e">
        <f aca="false">IF((RESET=1),0,R213+K213)</f>
        <v>#N/A</v>
      </c>
      <c r="S213" s="10" t="n">
        <f aca="false">IF(RESET=1,0,S213+N213)</f>
        <v>347.420983821523</v>
      </c>
      <c r="T213" s="0" t="e">
        <f aca="false">IF(RESET=1,0,T213+IF(H213=0,1,0))</f>
        <v>#N/A</v>
      </c>
      <c r="U213" s="0" t="n">
        <f aca="false">IF(RESET=1,0,U213+H213)</f>
        <v>28</v>
      </c>
      <c r="V213" s="10" t="e">
        <f aca="false">R213/(T213+0.00001)</f>
        <v>#N/A</v>
      </c>
      <c r="W213" s="10" t="n">
        <f aca="false">S213/(U213+0.0001)</f>
        <v>12.4078479655974</v>
      </c>
      <c r="X213" s="60" t="n">
        <f aca="false">IF(Informed=1,K213,0)</f>
        <v>0</v>
      </c>
      <c r="Y213" s="60" t="n">
        <f aca="false">IF(Informed=0,K213,0)</f>
        <v>11.7384381832742</v>
      </c>
      <c r="Z213" s="60" t="n">
        <f aca="false">IF(Informed=1,N213,0)</f>
        <v>0</v>
      </c>
      <c r="AA213" s="60" t="n">
        <f aca="false">IF(Informed=0,N213,0)</f>
        <v>0</v>
      </c>
      <c r="AB213" s="64" t="n">
        <f aca="false">IF(Arterial=0,IF(Informed=1,1,0),0)</f>
        <v>0</v>
      </c>
      <c r="AC213" s="64" t="n">
        <f aca="false">IF(Arterial=0,IF(Informed=0,1,0),0)</f>
        <v>1</v>
      </c>
      <c r="AD213" s="64" t="n">
        <f aca="false">IF(Arterial=1,IF(Informed=1,1,0),0)</f>
        <v>0</v>
      </c>
      <c r="AE213" s="64" t="n">
        <f aca="false">IF(Arterial=1,IF(Informed=0,1,0),0)</f>
        <v>0</v>
      </c>
      <c r="AF213" s="57" t="n">
        <f aca="false">IF(AB213=1,(X213-G$1030)^2,0)</f>
        <v>0</v>
      </c>
      <c r="AG213" s="57" t="n">
        <f aca="false">IF(AC213=1,(Y213-H$1030)^2,0)</f>
        <v>137.790930982549</v>
      </c>
      <c r="AH213" s="57" t="n">
        <f aca="false">IF(AD213=1,(Z213-I$1030)^2,0)</f>
        <v>0</v>
      </c>
      <c r="AI213" s="57" t="n">
        <f aca="false">IF(AE213=1,(AA213-J$1030)^2,0)</f>
        <v>0</v>
      </c>
    </row>
    <row r="214" customFormat="false" ht="12" hidden="false" customHeight="false" outlineLevel="0" collapsed="false">
      <c r="A214" s="5" t="n">
        <v>197</v>
      </c>
      <c r="B214" s="58" t="n">
        <f aca="true">IF(RAND()&lt;$D$8,1,0)</f>
        <v>0</v>
      </c>
      <c r="C214" s="47" t="n">
        <f aca="true">-LN(RAND())/$D$2</f>
        <v>0.884200463098791</v>
      </c>
      <c r="D214" s="59" t="n">
        <f aca="false">D213+C214</f>
        <v>194.816227514088</v>
      </c>
      <c r="E214" s="60" t="n">
        <f aca="false">MAX($D$3,(1+P213-VLOOKUP(VALUE(D214),$J$18:$Q213,7,TRUE()))*$D$3)</f>
        <v>14</v>
      </c>
      <c r="F214" s="60" t="n">
        <f aca="false">MAX($D$4,(1+Q213-VLOOKUP(VALUE(D214),$M$18:$Q213,5,TRUE()))*$D$4)</f>
        <v>8</v>
      </c>
      <c r="G214" s="61" t="n">
        <v>0.5</v>
      </c>
      <c r="H214" s="59" t="n">
        <f aca="true">IF((B214=1),(IF((F214&lt;E214),1,(IF((F214=E214),(IF(RAND()&lt;G214,1,0)),0)))),(IF((RAND()&lt;G214),1,0)))</f>
        <v>1</v>
      </c>
      <c r="I214" s="59" t="n">
        <f aca="true">IF((H214=1),0,$D$3+$D$5*(RAND()-0.5))</f>
        <v>0</v>
      </c>
      <c r="J214" s="59" t="n">
        <f aca="false">I214+MAX(D214,J213)</f>
        <v>205.670465234264</v>
      </c>
      <c r="K214" s="59" t="n">
        <f aca="false">IF((H214=0),J214-D214,0)</f>
        <v>0</v>
      </c>
      <c r="L214" s="59" t="n">
        <f aca="true">IF(($H214=0),0,$D$4+$D$5*(RAND()-0.5))</f>
        <v>2.02588522627226</v>
      </c>
      <c r="M214" s="59" t="n">
        <f aca="false">L214+MAX(D214,M213)</f>
        <v>201.884743188872</v>
      </c>
      <c r="N214" s="59" t="n">
        <f aca="false">IF((H214=1),M214-D214,0)</f>
        <v>7.0685156747835</v>
      </c>
      <c r="O214" s="5" t="n">
        <v>197</v>
      </c>
      <c r="P214" s="62" t="n">
        <f aca="false">IF((Arterial=0),P213+1,P213)</f>
        <v>99</v>
      </c>
      <c r="Q214" s="62" t="n">
        <f aca="false">IF((Arterial=1),Q213+1,Q213)</f>
        <v>98</v>
      </c>
      <c r="R214" s="63" t="n">
        <f aca="false">IF((RESET=1),0,R214+K214)</f>
        <v>396.090450029303</v>
      </c>
      <c r="S214" s="10" t="e">
        <f aca="false">IF(RESET=1,0,S214+N214)</f>
        <v>#N/A</v>
      </c>
      <c r="T214" s="0" t="n">
        <f aca="false">IF(RESET=1,0,T214+IF(H214=0,1,0))</f>
        <v>26</v>
      </c>
      <c r="U214" s="0" t="e">
        <f aca="false">IF(RESET=1,0,U214+H214)</f>
        <v>#N/A</v>
      </c>
      <c r="V214" s="10" t="n">
        <f aca="false">R214/(T214+0.00001)</f>
        <v>15.2342422187262</v>
      </c>
      <c r="W214" s="10" t="e">
        <f aca="false">S214/(U214+0.0001)</f>
        <v>#N/A</v>
      </c>
      <c r="X214" s="60" t="n">
        <f aca="false">IF(Informed=1,K214,0)</f>
        <v>0</v>
      </c>
      <c r="Y214" s="60" t="n">
        <f aca="false">IF(Informed=0,K214,0)</f>
        <v>0</v>
      </c>
      <c r="Z214" s="60" t="n">
        <f aca="false">IF(Informed=1,N214,0)</f>
        <v>0</v>
      </c>
      <c r="AA214" s="60" t="n">
        <f aca="false">IF(Informed=0,N214,0)</f>
        <v>7.0685156747835</v>
      </c>
      <c r="AB214" s="64" t="n">
        <f aca="false">IF(Arterial=0,IF(Informed=1,1,0),0)</f>
        <v>0</v>
      </c>
      <c r="AC214" s="64" t="n">
        <f aca="false">IF(Arterial=0,IF(Informed=0,1,0),0)</f>
        <v>0</v>
      </c>
      <c r="AD214" s="64" t="n">
        <f aca="false">IF(Arterial=1,IF(Informed=1,1,0),0)</f>
        <v>0</v>
      </c>
      <c r="AE214" s="64" t="n">
        <f aca="false">IF(Arterial=1,IF(Informed=0,1,0),0)</f>
        <v>1</v>
      </c>
      <c r="AF214" s="57" t="n">
        <f aca="false">IF(AB214=1,(X214-G$1030)^2,0)</f>
        <v>0</v>
      </c>
      <c r="AG214" s="57" t="n">
        <f aca="false">IF(AC214=1,(Y214-H$1030)^2,0)</f>
        <v>0</v>
      </c>
      <c r="AH214" s="57" t="n">
        <f aca="false">IF(AD214=1,(Z214-I$1030)^2,0)</f>
        <v>0</v>
      </c>
      <c r="AI214" s="57" t="n">
        <f aca="false">IF(AE214=1,(AA214-J$1030)^2,0)</f>
        <v>49.96391384466</v>
      </c>
    </row>
    <row r="215" customFormat="false" ht="12" hidden="false" customHeight="false" outlineLevel="0" collapsed="false">
      <c r="A215" s="5" t="n">
        <v>198</v>
      </c>
      <c r="B215" s="58" t="n">
        <f aca="true">IF(RAND()&lt;$D$8,1,0)</f>
        <v>0</v>
      </c>
      <c r="C215" s="47" t="n">
        <f aca="true">-LN(RAND())/$D$2</f>
        <v>0.194762994235778</v>
      </c>
      <c r="D215" s="59" t="n">
        <f aca="false">D214+C215</f>
        <v>195.010990508324</v>
      </c>
      <c r="E215" s="60" t="n">
        <f aca="false">MAX($D$3,(1+P214-VLOOKUP(VALUE(D215),$J$18:$Q214,7,TRUE()))*$D$3)</f>
        <v>14</v>
      </c>
      <c r="F215" s="60" t="n">
        <f aca="false">MAX($D$4,(1+Q214-VLOOKUP(VALUE(D215),$M$18:$Q214,5,TRUE()))*$D$4)</f>
        <v>10</v>
      </c>
      <c r="G215" s="61" t="n">
        <v>0.5</v>
      </c>
      <c r="H215" s="59" t="n">
        <f aca="true">IF((B215=1),(IF((F215&lt;E215),1,(IF((F215=E215),(IF(RAND()&lt;G215,1,0)),0)))),(IF((RAND()&lt;G215),1,0)))</f>
        <v>1</v>
      </c>
      <c r="I215" s="59" t="n">
        <f aca="true">IF((H215=1),0,$D$3+$D$5*(RAND()-0.5))</f>
        <v>0</v>
      </c>
      <c r="J215" s="59" t="n">
        <f aca="false">I215+MAX(D215,J214)</f>
        <v>205.670465234264</v>
      </c>
      <c r="K215" s="59" t="n">
        <f aca="false">IF((H215=0),J215-D215,0)</f>
        <v>0</v>
      </c>
      <c r="L215" s="59" t="n">
        <f aca="true">IF(($H215=0),0,$D$4+$D$5*(RAND()-0.5))</f>
        <v>1.92678432226447</v>
      </c>
      <c r="M215" s="59" t="n">
        <f aca="false">L215+MAX(D215,M214)</f>
        <v>203.811527511136</v>
      </c>
      <c r="N215" s="59" t="n">
        <f aca="false">IF((H215=1),M215-D215,0)</f>
        <v>8.80053700281218</v>
      </c>
      <c r="O215" s="5" t="n">
        <v>198</v>
      </c>
      <c r="P215" s="62" t="n">
        <f aca="false">IF((Arterial=0),P214+1,P214)</f>
        <v>99</v>
      </c>
      <c r="Q215" s="62" t="n">
        <f aca="false">IF((Arterial=1),Q214+1,Q214)</f>
        <v>99</v>
      </c>
      <c r="R215" s="63" t="n">
        <f aca="false">IF((RESET=1),0,R215+K215)</f>
        <v>402.854876288075</v>
      </c>
      <c r="S215" s="10" t="e">
        <f aca="false">IF(RESET=1,0,S215+N215)</f>
        <v>#N/A</v>
      </c>
      <c r="T215" s="0" t="n">
        <f aca="false">IF(RESET=1,0,T215+IF(H215=0,1,0))</f>
        <v>32</v>
      </c>
      <c r="U215" s="0" t="e">
        <f aca="false">IF(RESET=1,0,U215+H215)</f>
        <v>#N/A</v>
      </c>
      <c r="V215" s="10" t="n">
        <f aca="false">R215/(T215+0.00001)</f>
        <v>12.5892109498739</v>
      </c>
      <c r="W215" s="10" t="e">
        <f aca="false">S215/(U215+0.0001)</f>
        <v>#N/A</v>
      </c>
      <c r="X215" s="60" t="n">
        <f aca="false">IF(Informed=1,K215,0)</f>
        <v>0</v>
      </c>
      <c r="Y215" s="60" t="n">
        <f aca="false">IF(Informed=0,K215,0)</f>
        <v>0</v>
      </c>
      <c r="Z215" s="60" t="n">
        <f aca="false">IF(Informed=1,N215,0)</f>
        <v>0</v>
      </c>
      <c r="AA215" s="60" t="n">
        <f aca="false">IF(Informed=0,N215,0)</f>
        <v>8.80053700281218</v>
      </c>
      <c r="AB215" s="64" t="n">
        <f aca="false">IF(Arterial=0,IF(Informed=1,1,0),0)</f>
        <v>0</v>
      </c>
      <c r="AC215" s="64" t="n">
        <f aca="false">IF(Arterial=0,IF(Informed=0,1,0),0)</f>
        <v>0</v>
      </c>
      <c r="AD215" s="64" t="n">
        <f aca="false">IF(Arterial=1,IF(Informed=1,1,0),0)</f>
        <v>0</v>
      </c>
      <c r="AE215" s="64" t="n">
        <f aca="false">IF(Arterial=1,IF(Informed=0,1,0),0)</f>
        <v>1</v>
      </c>
      <c r="AF215" s="57" t="n">
        <f aca="false">IF(AB215=1,(X215-G$1030)^2,0)</f>
        <v>0</v>
      </c>
      <c r="AG215" s="57" t="n">
        <f aca="false">IF(AC215=1,(Y215-H$1030)^2,0)</f>
        <v>0</v>
      </c>
      <c r="AH215" s="57" t="n">
        <f aca="false">IF(AD215=1,(Z215-I$1030)^2,0)</f>
        <v>0</v>
      </c>
      <c r="AI215" s="57" t="n">
        <f aca="false">IF(AE215=1,(AA215-J$1030)^2,0)</f>
        <v>77.4494515378663</v>
      </c>
    </row>
    <row r="216" customFormat="false" ht="12" hidden="false" customHeight="false" outlineLevel="0" collapsed="false">
      <c r="A216" s="5" t="n">
        <v>199</v>
      </c>
      <c r="B216" s="58" t="n">
        <f aca="true">IF(RAND()&lt;$D$8,1,0)</f>
        <v>1</v>
      </c>
      <c r="C216" s="47" t="n">
        <f aca="true">-LN(RAND())/$D$2</f>
        <v>0.0928001135437996</v>
      </c>
      <c r="D216" s="59" t="n">
        <f aca="false">D215+C216</f>
        <v>195.103790621868</v>
      </c>
      <c r="E216" s="60" t="n">
        <f aca="false">MAX($D$3,(1+P215-VLOOKUP(VALUE(D216),$J$18:$Q215,7,TRUE()))*$D$3)</f>
        <v>14</v>
      </c>
      <c r="F216" s="60" t="n">
        <f aca="false">MAX($D$4,(1+Q215-VLOOKUP(VALUE(D216),$M$18:$Q215,5,TRUE()))*$D$4)</f>
        <v>12</v>
      </c>
      <c r="G216" s="61" t="n">
        <v>0.5</v>
      </c>
      <c r="H216" s="59" t="n">
        <f aca="true">IF((B216=1),(IF((F216&lt;E216),1,(IF((F216=E216),(IF(RAND()&lt;G216,1,0)),0)))),(IF((RAND()&lt;G216),1,0)))</f>
        <v>1</v>
      </c>
      <c r="I216" s="59" t="n">
        <f aca="true">IF((H216=1),0,$D$3+$D$5*(RAND()-0.5))</f>
        <v>0</v>
      </c>
      <c r="J216" s="59" t="n">
        <f aca="false">I216+MAX(D216,J215)</f>
        <v>205.670465234264</v>
      </c>
      <c r="K216" s="59" t="n">
        <f aca="false">IF((H216=0),J216-D216,0)</f>
        <v>0</v>
      </c>
      <c r="L216" s="59" t="n">
        <f aca="true">IF(($H216=0),0,$D$4+$D$5*(RAND()-0.5))</f>
        <v>2.02166333729828</v>
      </c>
      <c r="M216" s="59" t="n">
        <f aca="false">L216+MAX(D216,M215)</f>
        <v>205.833190848434</v>
      </c>
      <c r="N216" s="59" t="n">
        <f aca="false">IF((H216=1),M216-D216,0)</f>
        <v>10.7294002265667</v>
      </c>
      <c r="O216" s="5" t="n">
        <v>199</v>
      </c>
      <c r="P216" s="62" t="n">
        <f aca="false">IF((Arterial=0),P215+1,P215)</f>
        <v>99</v>
      </c>
      <c r="Q216" s="62" t="n">
        <f aca="false">IF((Arterial=1),Q215+1,Q215)</f>
        <v>100</v>
      </c>
      <c r="R216" s="63" t="n">
        <f aca="false">IF((RESET=1),0,R216+K216)</f>
        <v>353.837446111061</v>
      </c>
      <c r="S216" s="10" t="e">
        <f aca="false">IF(RESET=1,0,S216+N216)</f>
        <v>#N/A</v>
      </c>
      <c r="T216" s="0" t="n">
        <f aca="false">IF(RESET=1,0,T216+IF(H216=0,1,0))</f>
        <v>28</v>
      </c>
      <c r="U216" s="0" t="e">
        <f aca="false">IF(RESET=1,0,U216+H216)</f>
        <v>#N/A</v>
      </c>
      <c r="V216" s="10" t="n">
        <f aca="false">R216/(T216+0.00001)</f>
        <v>12.6370471335925</v>
      </c>
      <c r="W216" s="10" t="e">
        <f aca="false">S216/(U216+0.0001)</f>
        <v>#N/A</v>
      </c>
      <c r="X216" s="60" t="n">
        <f aca="false">IF(Informed=1,K216,0)</f>
        <v>0</v>
      </c>
      <c r="Y216" s="60" t="n">
        <f aca="false">IF(Informed=0,K216,0)</f>
        <v>0</v>
      </c>
      <c r="Z216" s="60" t="n">
        <f aca="false">IF(Informed=1,N216,0)</f>
        <v>10.7294002265667</v>
      </c>
      <c r="AA216" s="60" t="n">
        <f aca="false">IF(Informed=0,N216,0)</f>
        <v>0</v>
      </c>
      <c r="AB216" s="64" t="n">
        <f aca="false">IF(Arterial=0,IF(Informed=1,1,0),0)</f>
        <v>0</v>
      </c>
      <c r="AC216" s="64" t="n">
        <f aca="false">IF(Arterial=0,IF(Informed=0,1,0),0)</f>
        <v>0</v>
      </c>
      <c r="AD216" s="64" t="n">
        <f aca="false">IF(Arterial=1,IF(Informed=1,1,0),0)</f>
        <v>1</v>
      </c>
      <c r="AE216" s="64" t="n">
        <f aca="false">IF(Arterial=1,IF(Informed=0,1,0),0)</f>
        <v>0</v>
      </c>
      <c r="AF216" s="57" t="n">
        <f aca="false">IF(AB216=1,(X216-G$1030)^2,0)</f>
        <v>0</v>
      </c>
      <c r="AG216" s="57" t="n">
        <f aca="false">IF(AC216=1,(Y216-H$1030)^2,0)</f>
        <v>0</v>
      </c>
      <c r="AH216" s="57" t="n">
        <f aca="false">IF(AD216=1,(Z216-I$1030)^2,0)</f>
        <v>115.120029221849</v>
      </c>
      <c r="AI216" s="57" t="n">
        <f aca="false">IF(AE216=1,(AA216-J$1030)^2,0)</f>
        <v>0</v>
      </c>
    </row>
    <row r="217" customFormat="false" ht="12" hidden="false" customHeight="false" outlineLevel="0" collapsed="false">
      <c r="A217" s="5" t="n">
        <v>200</v>
      </c>
      <c r="B217" s="58" t="n">
        <f aca="true">IF(RAND()&lt;$D$8,1,0)</f>
        <v>1</v>
      </c>
      <c r="C217" s="47" t="n">
        <f aca="true">-LN(RAND())/$D$2</f>
        <v>0.60194195053711</v>
      </c>
      <c r="D217" s="59" t="n">
        <f aca="false">D216+C217</f>
        <v>195.705732572405</v>
      </c>
      <c r="E217" s="60" t="n">
        <f aca="false">MAX($D$3,(1+P216-VLOOKUP(VALUE(D217),$J$18:$Q216,7,TRUE()))*$D$3)</f>
        <v>12</v>
      </c>
      <c r="F217" s="60" t="n">
        <f aca="false">MAX($D$4,(1+Q216-VLOOKUP(VALUE(D217),$M$18:$Q216,5,TRUE()))*$D$4)</f>
        <v>14</v>
      </c>
      <c r="G217" s="61" t="n">
        <v>0.5</v>
      </c>
      <c r="H217" s="59" t="n">
        <f aca="true">IF((B217=1),(IF((F217&lt;E217),1,(IF((F217=E217),(IF(RAND()&lt;G217,1,0)),0)))),(IF((RAND()&lt;G217),1,0)))</f>
        <v>0</v>
      </c>
      <c r="I217" s="59" t="n">
        <f aca="true">IF((H217=1),0,$D$3+$D$5*(RAND()-0.5))</f>
        <v>2.12813533958378</v>
      </c>
      <c r="J217" s="59" t="n">
        <f aca="false">I217+MAX(D217,J216)</f>
        <v>207.798600573847</v>
      </c>
      <c r="K217" s="59" t="n">
        <f aca="false">IF((H217=0),J217-D217,0)</f>
        <v>12.0928680014424</v>
      </c>
      <c r="L217" s="59" t="n">
        <f aca="true">IF(($H217=0),0,$D$4+$D$5*(RAND()-0.5))</f>
        <v>0</v>
      </c>
      <c r="M217" s="59" t="n">
        <f aca="false">L217+MAX(D217,M216)</f>
        <v>205.833190848434</v>
      </c>
      <c r="N217" s="59" t="n">
        <f aca="false">IF((H217=1),M217-D217,0)</f>
        <v>0</v>
      </c>
      <c r="O217" s="5" t="n">
        <v>200</v>
      </c>
      <c r="P217" s="62" t="n">
        <f aca="false">IF((Arterial=0),P216+1,P216)</f>
        <v>100</v>
      </c>
      <c r="Q217" s="62" t="n">
        <f aca="false">IF((Arterial=1),Q216+1,Q216)</f>
        <v>100</v>
      </c>
      <c r="R217" s="63" t="e">
        <f aca="false">IF((RESET=1),0,R217+K217)</f>
        <v>#N/A</v>
      </c>
      <c r="S217" s="10" t="n">
        <f aca="false">IF(RESET=1,0,S217+N217)</f>
        <v>364.470384806582</v>
      </c>
      <c r="T217" s="0" t="e">
        <f aca="false">IF(RESET=1,0,T217+IF(H217=0,1,0))</f>
        <v>#N/A</v>
      </c>
      <c r="U217" s="0" t="n">
        <f aca="false">IF(RESET=1,0,U217+H217)</f>
        <v>23</v>
      </c>
      <c r="V217" s="10" t="e">
        <f aca="false">R217/(T217+0.00001)</f>
        <v>#N/A</v>
      </c>
      <c r="W217" s="10" t="n">
        <f aca="false">S217/(U217+0.0001)</f>
        <v>15.8464695721576</v>
      </c>
      <c r="X217" s="60" t="n">
        <f aca="false">IF(Informed=1,K217,0)</f>
        <v>12.0928680014424</v>
      </c>
      <c r="Y217" s="60" t="n">
        <f aca="false">IF(Informed=0,K217,0)</f>
        <v>0</v>
      </c>
      <c r="Z217" s="60" t="n">
        <f aca="false">IF(Informed=1,N217,0)</f>
        <v>0</v>
      </c>
      <c r="AA217" s="60" t="n">
        <f aca="false">IF(Informed=0,N217,0)</f>
        <v>0</v>
      </c>
      <c r="AB217" s="64" t="n">
        <f aca="false">IF(Arterial=0,IF(Informed=1,1,0),0)</f>
        <v>1</v>
      </c>
      <c r="AC217" s="64" t="n">
        <f aca="false">IF(Arterial=0,IF(Informed=0,1,0),0)</f>
        <v>0</v>
      </c>
      <c r="AD217" s="64" t="n">
        <f aca="false">IF(Arterial=1,IF(Informed=1,1,0),0)</f>
        <v>0</v>
      </c>
      <c r="AE217" s="64" t="n">
        <f aca="false">IF(Arterial=1,IF(Informed=0,1,0),0)</f>
        <v>0</v>
      </c>
      <c r="AF217" s="57" t="n">
        <f aca="false">IF(AB217=1,(X217-G$1030)^2,0)</f>
        <v>146.237456500311</v>
      </c>
      <c r="AG217" s="57" t="n">
        <f aca="false">IF(AC217=1,(Y217-H$1030)^2,0)</f>
        <v>0</v>
      </c>
      <c r="AH217" s="57" t="n">
        <f aca="false">IF(AD217=1,(Z217-I$1030)^2,0)</f>
        <v>0</v>
      </c>
      <c r="AI217" s="57" t="n">
        <f aca="false">IF(AE217=1,(AA217-J$1030)^2,0)</f>
        <v>0</v>
      </c>
    </row>
    <row r="218" customFormat="false" ht="12" hidden="false" customHeight="false" outlineLevel="0" collapsed="false">
      <c r="A218" s="5" t="n">
        <v>201</v>
      </c>
      <c r="B218" s="58" t="n">
        <f aca="true">IF(RAND()&lt;$D$8,1,0)</f>
        <v>0</v>
      </c>
      <c r="C218" s="47" t="n">
        <f aca="true">-LN(RAND())/$D$2</f>
        <v>0.196877477624906</v>
      </c>
      <c r="D218" s="59" t="n">
        <f aca="false">D217+C218</f>
        <v>195.90261005003</v>
      </c>
      <c r="E218" s="60" t="n">
        <f aca="false">MAX($D$3,(1+P217-VLOOKUP(VALUE(D218),$J$18:$Q217,7,TRUE()))*$D$3)</f>
        <v>14</v>
      </c>
      <c r="F218" s="60" t="n">
        <f aca="false">MAX($D$4,(1+Q217-VLOOKUP(VALUE(D218),$M$18:$Q217,5,TRUE()))*$D$4)</f>
        <v>12</v>
      </c>
      <c r="G218" s="61" t="n">
        <v>0.5</v>
      </c>
      <c r="H218" s="59" t="n">
        <f aca="true">IF((B218=1),(IF((F218&lt;E218),1,(IF((F218=E218),(IF(RAND()&lt;G218,1,0)),0)))),(IF((RAND()&lt;G218),1,0)))</f>
        <v>1</v>
      </c>
      <c r="I218" s="59" t="n">
        <f aca="true">IF((H218=1),0,$D$3+$D$5*(RAND()-0.5))</f>
        <v>0</v>
      </c>
      <c r="J218" s="59" t="n">
        <f aca="false">I218+MAX(D218,J217)</f>
        <v>207.798600573847</v>
      </c>
      <c r="K218" s="59" t="n">
        <f aca="false">IF((H218=0),J218-D218,0)</f>
        <v>0</v>
      </c>
      <c r="L218" s="59" t="n">
        <f aca="true">IF(($H218=0),0,$D$4+$D$5*(RAND()-0.5))</f>
        <v>1.91457979864353</v>
      </c>
      <c r="M218" s="59" t="n">
        <f aca="false">L218+MAX(D218,M217)</f>
        <v>207.747770647078</v>
      </c>
      <c r="N218" s="59" t="n">
        <f aca="false">IF((H218=1),M218-D218,0)</f>
        <v>11.8451605970482</v>
      </c>
      <c r="O218" s="5" t="n">
        <v>201</v>
      </c>
      <c r="P218" s="62" t="n">
        <f aca="false">IF((Arterial=0),P217+1,P217)</f>
        <v>100</v>
      </c>
      <c r="Q218" s="62" t="n">
        <f aca="false">IF((Arterial=1),Q217+1,Q217)</f>
        <v>101</v>
      </c>
      <c r="R218" s="63" t="n">
        <f aca="false">IF((RESET=1),0,R218+K218)</f>
        <v>348.533092941724</v>
      </c>
      <c r="S218" s="10" t="e">
        <f aca="false">IF(RESET=1,0,S218+N218)</f>
        <v>#N/A</v>
      </c>
      <c r="T218" s="0" t="n">
        <f aca="false">IF(RESET=1,0,T218+IF(H218=0,1,0))</f>
        <v>28</v>
      </c>
      <c r="U218" s="0" t="e">
        <f aca="false">IF(RESET=1,0,U218+H218)</f>
        <v>#N/A</v>
      </c>
      <c r="V218" s="10" t="n">
        <f aca="false">R218/(T218+0.00001)</f>
        <v>12.4476060166309</v>
      </c>
      <c r="W218" s="10" t="e">
        <f aca="false">S218/(U218+0.0001)</f>
        <v>#N/A</v>
      </c>
      <c r="X218" s="60" t="n">
        <f aca="false">IF(Informed=1,K218,0)</f>
        <v>0</v>
      </c>
      <c r="Y218" s="60" t="n">
        <f aca="false">IF(Informed=0,K218,0)</f>
        <v>0</v>
      </c>
      <c r="Z218" s="60" t="n">
        <f aca="false">IF(Informed=1,N218,0)</f>
        <v>0</v>
      </c>
      <c r="AA218" s="60" t="n">
        <f aca="false">IF(Informed=0,N218,0)</f>
        <v>11.8451605970482</v>
      </c>
      <c r="AB218" s="64" t="n">
        <f aca="false">IF(Arterial=0,IF(Informed=1,1,0),0)</f>
        <v>0</v>
      </c>
      <c r="AC218" s="64" t="n">
        <f aca="false">IF(Arterial=0,IF(Informed=0,1,0),0)</f>
        <v>0</v>
      </c>
      <c r="AD218" s="64" t="n">
        <f aca="false">IF(Arterial=1,IF(Informed=1,1,0),0)</f>
        <v>0</v>
      </c>
      <c r="AE218" s="64" t="n">
        <f aca="false">IF(Arterial=1,IF(Informed=0,1,0),0)</f>
        <v>1</v>
      </c>
      <c r="AF218" s="57" t="n">
        <f aca="false">IF(AB218=1,(X218-G$1030)^2,0)</f>
        <v>0</v>
      </c>
      <c r="AG218" s="57" t="n">
        <f aca="false">IF(AC218=1,(Y218-H$1030)^2,0)</f>
        <v>0</v>
      </c>
      <c r="AH218" s="57" t="n">
        <f aca="false">IF(AD218=1,(Z218-I$1030)^2,0)</f>
        <v>0</v>
      </c>
      <c r="AI218" s="57" t="n">
        <f aca="false">IF(AE218=1,(AA218-J$1030)^2,0)</f>
        <v>140.307829569863</v>
      </c>
    </row>
    <row r="219" customFormat="false" ht="12" hidden="false" customHeight="false" outlineLevel="0" collapsed="false">
      <c r="A219" s="5" t="n">
        <v>202</v>
      </c>
      <c r="B219" s="58" t="n">
        <f aca="true">IF(RAND()&lt;$D$8,1,0)</f>
        <v>1</v>
      </c>
      <c r="C219" s="47" t="n">
        <f aca="true">-LN(RAND())/$D$2</f>
        <v>3.04360066870738</v>
      </c>
      <c r="D219" s="59" t="n">
        <f aca="false">D218+C219</f>
        <v>198.946210718737</v>
      </c>
      <c r="E219" s="60" t="n">
        <f aca="false">MAX($D$3,(1+P218-VLOOKUP(VALUE(D219),$J$18:$Q218,7,TRUE()))*$D$3)</f>
        <v>12</v>
      </c>
      <c r="F219" s="60" t="n">
        <f aca="false">MAX($D$4,(1+Q218-VLOOKUP(VALUE(D219),$M$18:$Q218,5,TRUE()))*$D$4)</f>
        <v>12</v>
      </c>
      <c r="G219" s="61" t="n">
        <v>0.5</v>
      </c>
      <c r="H219" s="59" t="n">
        <f aca="true">IF((B219=1),(IF((F219&lt;E219),1,(IF((F219=E219),(IF(RAND()&lt;G219,1,0)),0)))),(IF((RAND()&lt;G219),1,0)))</f>
        <v>0</v>
      </c>
      <c r="I219" s="59" t="n">
        <f aca="true">IF((H219=1),0,$D$3+$D$5*(RAND()-0.5))</f>
        <v>2.06441202808759</v>
      </c>
      <c r="J219" s="59" t="n">
        <f aca="false">I219+MAX(D219,J218)</f>
        <v>209.863012601935</v>
      </c>
      <c r="K219" s="59" t="n">
        <f aca="false">IF((H219=0),J219-D219,0)</f>
        <v>10.9168018831978</v>
      </c>
      <c r="L219" s="59" t="n">
        <f aca="true">IF(($H219=0),0,$D$4+$D$5*(RAND()-0.5))</f>
        <v>0</v>
      </c>
      <c r="M219" s="59" t="n">
        <f aca="false">L219+MAX(D219,M218)</f>
        <v>207.747770647078</v>
      </c>
      <c r="N219" s="59" t="n">
        <f aca="false">IF((H219=1),M219-D219,0)</f>
        <v>0</v>
      </c>
      <c r="O219" s="5" t="n">
        <v>202</v>
      </c>
      <c r="P219" s="62" t="n">
        <f aca="false">IF((Arterial=0),P218+1,P218)</f>
        <v>101</v>
      </c>
      <c r="Q219" s="62" t="n">
        <f aca="false">IF((Arterial=1),Q218+1,Q218)</f>
        <v>101</v>
      </c>
      <c r="R219" s="63" t="e">
        <f aca="false">IF((RESET=1),0,R219+K219)</f>
        <v>#N/A</v>
      </c>
      <c r="S219" s="10" t="n">
        <f aca="false">IF(RESET=1,0,S219+N219)</f>
        <v>329.665780822489</v>
      </c>
      <c r="T219" s="0" t="e">
        <f aca="false">IF(RESET=1,0,T219+IF(H219=0,1,0))</f>
        <v>#N/A</v>
      </c>
      <c r="U219" s="0" t="n">
        <f aca="false">IF(RESET=1,0,U219+H219)</f>
        <v>27</v>
      </c>
      <c r="V219" s="10" t="e">
        <f aca="false">R219/(T219+0.00001)</f>
        <v>#N/A</v>
      </c>
      <c r="W219" s="10" t="n">
        <f aca="false">S219/(U219+0.0001)</f>
        <v>12.2097985126903</v>
      </c>
      <c r="X219" s="60" t="n">
        <f aca="false">IF(Informed=1,K219,0)</f>
        <v>10.9168018831978</v>
      </c>
      <c r="Y219" s="60" t="n">
        <f aca="false">IF(Informed=0,K219,0)</f>
        <v>0</v>
      </c>
      <c r="Z219" s="60" t="n">
        <f aca="false">IF(Informed=1,N219,0)</f>
        <v>0</v>
      </c>
      <c r="AA219" s="60" t="n">
        <f aca="false">IF(Informed=0,N219,0)</f>
        <v>0</v>
      </c>
      <c r="AB219" s="64" t="n">
        <f aca="false">IF(Arterial=0,IF(Informed=1,1,0),0)</f>
        <v>1</v>
      </c>
      <c r="AC219" s="64" t="n">
        <f aca="false">IF(Arterial=0,IF(Informed=0,1,0),0)</f>
        <v>0</v>
      </c>
      <c r="AD219" s="64" t="n">
        <f aca="false">IF(Arterial=1,IF(Informed=1,1,0),0)</f>
        <v>0</v>
      </c>
      <c r="AE219" s="64" t="n">
        <f aca="false">IF(Arterial=1,IF(Informed=0,1,0),0)</f>
        <v>0</v>
      </c>
      <c r="AF219" s="57" t="n">
        <f aca="false">IF(AB219=1,(X219-G$1030)^2,0)</f>
        <v>119.17656335699</v>
      </c>
      <c r="AG219" s="57" t="n">
        <f aca="false">IF(AC219=1,(Y219-H$1030)^2,0)</f>
        <v>0</v>
      </c>
      <c r="AH219" s="57" t="n">
        <f aca="false">IF(AD219=1,(Z219-I$1030)^2,0)</f>
        <v>0</v>
      </c>
      <c r="AI219" s="57" t="n">
        <f aca="false">IF(AE219=1,(AA219-J$1030)^2,0)</f>
        <v>0</v>
      </c>
    </row>
    <row r="220" customFormat="false" ht="12" hidden="false" customHeight="false" outlineLevel="0" collapsed="false">
      <c r="A220" s="5" t="n">
        <v>203</v>
      </c>
      <c r="B220" s="58" t="n">
        <f aca="true">IF(RAND()&lt;$D$8,1,0)</f>
        <v>1</v>
      </c>
      <c r="C220" s="47" t="n">
        <f aca="true">-LN(RAND())/$D$2</f>
        <v>1.95709963382897</v>
      </c>
      <c r="D220" s="59" t="n">
        <f aca="false">D219+C220</f>
        <v>200.903310352566</v>
      </c>
      <c r="E220" s="60" t="n">
        <f aca="false">MAX($D$3,(1+P219-VLOOKUP(VALUE(D220),$J$18:$Q219,7,TRUE()))*$D$3)</f>
        <v>12</v>
      </c>
      <c r="F220" s="60" t="n">
        <f aca="false">MAX($D$4,(1+Q219-VLOOKUP(VALUE(D220),$M$18:$Q219,5,TRUE()))*$D$4)</f>
        <v>10</v>
      </c>
      <c r="G220" s="61" t="n">
        <v>0.5</v>
      </c>
      <c r="H220" s="59" t="n">
        <f aca="true">IF((B220=1),(IF((F220&lt;E220),1,(IF((F220=E220),(IF(RAND()&lt;G220,1,0)),0)))),(IF((RAND()&lt;G220),1,0)))</f>
        <v>1</v>
      </c>
      <c r="I220" s="59" t="n">
        <f aca="true">IF((H220=1),0,$D$3+$D$5*(RAND()-0.5))</f>
        <v>0</v>
      </c>
      <c r="J220" s="59" t="n">
        <f aca="false">I220+MAX(D220,J219)</f>
        <v>209.863012601935</v>
      </c>
      <c r="K220" s="59" t="n">
        <f aca="false">IF((H220=0),J220-D220,0)</f>
        <v>0</v>
      </c>
      <c r="L220" s="59" t="n">
        <f aca="true">IF(($H220=0),0,$D$4+$D$5*(RAND()-0.5))</f>
        <v>2.2494806332794</v>
      </c>
      <c r="M220" s="59" t="n">
        <f aca="false">L220+MAX(D220,M219)</f>
        <v>209.997251280357</v>
      </c>
      <c r="N220" s="59" t="n">
        <f aca="false">IF((H220=1),M220-D220,0)</f>
        <v>9.09394092779127</v>
      </c>
      <c r="O220" s="5" t="n">
        <v>203</v>
      </c>
      <c r="P220" s="62" t="n">
        <f aca="false">IF((Arterial=0),P219+1,P219)</f>
        <v>101</v>
      </c>
      <c r="Q220" s="62" t="n">
        <f aca="false">IF((Arterial=1),Q219+1,Q219)</f>
        <v>102</v>
      </c>
      <c r="R220" s="63" t="n">
        <f aca="false">IF((RESET=1),0,R220+K220)</f>
        <v>411.084519232483</v>
      </c>
      <c r="S220" s="10" t="e">
        <f aca="false">IF(RESET=1,0,S220+N220)</f>
        <v>#N/A</v>
      </c>
      <c r="T220" s="0" t="n">
        <f aca="false">IF(RESET=1,0,T220+IF(H220=0,1,0))</f>
        <v>26</v>
      </c>
      <c r="U220" s="0" t="e">
        <f aca="false">IF(RESET=1,0,U220+H220)</f>
        <v>#N/A</v>
      </c>
      <c r="V220" s="10" t="n">
        <f aca="false">R220/(T220+0.00001)</f>
        <v>15.8109369662736</v>
      </c>
      <c r="W220" s="10" t="e">
        <f aca="false">S220/(U220+0.0001)</f>
        <v>#N/A</v>
      </c>
      <c r="X220" s="60" t="n">
        <f aca="false">IF(Informed=1,K220,0)</f>
        <v>0</v>
      </c>
      <c r="Y220" s="60" t="n">
        <f aca="false">IF(Informed=0,K220,0)</f>
        <v>0</v>
      </c>
      <c r="Z220" s="60" t="n">
        <f aca="false">IF(Informed=1,N220,0)</f>
        <v>9.09394092779127</v>
      </c>
      <c r="AA220" s="60" t="n">
        <f aca="false">IF(Informed=0,N220,0)</f>
        <v>0</v>
      </c>
      <c r="AB220" s="64" t="n">
        <f aca="false">IF(Arterial=0,IF(Informed=1,1,0),0)</f>
        <v>0</v>
      </c>
      <c r="AC220" s="64" t="n">
        <f aca="false">IF(Arterial=0,IF(Informed=0,1,0),0)</f>
        <v>0</v>
      </c>
      <c r="AD220" s="64" t="n">
        <f aca="false">IF(Arterial=1,IF(Informed=1,1,0),0)</f>
        <v>1</v>
      </c>
      <c r="AE220" s="64" t="n">
        <f aca="false">IF(Arterial=1,IF(Informed=0,1,0),0)</f>
        <v>0</v>
      </c>
      <c r="AF220" s="57" t="n">
        <f aca="false">IF(AB220=1,(X220-G$1030)^2,0)</f>
        <v>0</v>
      </c>
      <c r="AG220" s="57" t="n">
        <f aca="false">IF(AC220=1,(Y220-H$1030)^2,0)</f>
        <v>0</v>
      </c>
      <c r="AH220" s="57" t="n">
        <f aca="false">IF(AD220=1,(Z220-I$1030)^2,0)</f>
        <v>82.6997615981571</v>
      </c>
      <c r="AI220" s="57" t="n">
        <f aca="false">IF(AE220=1,(AA220-J$1030)^2,0)</f>
        <v>0</v>
      </c>
    </row>
    <row r="221" customFormat="false" ht="12" hidden="false" customHeight="false" outlineLevel="0" collapsed="false">
      <c r="A221" s="5" t="n">
        <v>204</v>
      </c>
      <c r="B221" s="58" t="n">
        <f aca="true">IF(RAND()&lt;$D$8,1,0)</f>
        <v>1</v>
      </c>
      <c r="C221" s="47" t="n">
        <f aca="true">-LN(RAND())/$D$2</f>
        <v>0.723883068135043</v>
      </c>
      <c r="D221" s="59" t="n">
        <f aca="false">D220+C221</f>
        <v>201.627193420701</v>
      </c>
      <c r="E221" s="60" t="n">
        <f aca="false">MAX($D$3,(1+P220-VLOOKUP(VALUE(D221),$J$18:$Q220,7,TRUE()))*$D$3)</f>
        <v>12</v>
      </c>
      <c r="F221" s="60" t="n">
        <f aca="false">MAX($D$4,(1+Q220-VLOOKUP(VALUE(D221),$M$18:$Q220,5,TRUE()))*$D$4)</f>
        <v>12</v>
      </c>
      <c r="G221" s="61" t="n">
        <v>0.5</v>
      </c>
      <c r="H221" s="59" t="n">
        <f aca="true">IF((B221=1),(IF((F221&lt;E221),1,(IF((F221=E221),(IF(RAND()&lt;G221,1,0)),0)))),(IF((RAND()&lt;G221),1,0)))</f>
        <v>1</v>
      </c>
      <c r="I221" s="59" t="n">
        <f aca="true">IF((H221=1),0,$D$3+$D$5*(RAND()-0.5))</f>
        <v>0</v>
      </c>
      <c r="J221" s="59" t="n">
        <f aca="false">I221+MAX(D221,J220)</f>
        <v>209.863012601935</v>
      </c>
      <c r="K221" s="59" t="n">
        <f aca="false">IF((H221=0),J221-D221,0)</f>
        <v>0</v>
      </c>
      <c r="L221" s="59" t="n">
        <f aca="true">IF(($H221=0),0,$D$4+$D$5*(RAND()-0.5))</f>
        <v>1.7571736522225</v>
      </c>
      <c r="M221" s="59" t="n">
        <f aca="false">L221+MAX(D221,M220)</f>
        <v>211.75442493258</v>
      </c>
      <c r="N221" s="59" t="n">
        <f aca="false">IF((H221=1),M221-D221,0)</f>
        <v>10.1272315118787</v>
      </c>
      <c r="O221" s="5" t="n">
        <v>204</v>
      </c>
      <c r="P221" s="62" t="n">
        <f aca="false">IF((Arterial=0),P220+1,P220)</f>
        <v>101</v>
      </c>
      <c r="Q221" s="62" t="n">
        <f aca="false">IF((Arterial=1),Q220+1,Q220)</f>
        <v>103</v>
      </c>
      <c r="R221" s="63" t="n">
        <f aca="false">IF((RESET=1),0,R221+K221)</f>
        <v>260.793570005375</v>
      </c>
      <c r="S221" s="10" t="e">
        <f aca="false">IF(RESET=1,0,S221+N221)</f>
        <v>#N/A</v>
      </c>
      <c r="T221" s="0" t="n">
        <f aca="false">IF(RESET=1,0,T221+IF(H221=0,1,0))</f>
        <v>22</v>
      </c>
      <c r="U221" s="0" t="e">
        <f aca="false">IF(RESET=1,0,U221+H221)</f>
        <v>#N/A</v>
      </c>
      <c r="V221" s="10" t="n">
        <f aca="false">R221/(T221+0.00001)</f>
        <v>11.8542477937681</v>
      </c>
      <c r="W221" s="10" t="e">
        <f aca="false">S221/(U221+0.0001)</f>
        <v>#N/A</v>
      </c>
      <c r="X221" s="60" t="n">
        <f aca="false">IF(Informed=1,K221,0)</f>
        <v>0</v>
      </c>
      <c r="Y221" s="60" t="n">
        <f aca="false">IF(Informed=0,K221,0)</f>
        <v>0</v>
      </c>
      <c r="Z221" s="60" t="n">
        <f aca="false">IF(Informed=1,N221,0)</f>
        <v>10.1272315118787</v>
      </c>
      <c r="AA221" s="60" t="n">
        <f aca="false">IF(Informed=0,N221,0)</f>
        <v>0</v>
      </c>
      <c r="AB221" s="64" t="n">
        <f aca="false">IF(Arterial=0,IF(Informed=1,1,0),0)</f>
        <v>0</v>
      </c>
      <c r="AC221" s="64" t="n">
        <f aca="false">IF(Arterial=0,IF(Informed=0,1,0),0)</f>
        <v>0</v>
      </c>
      <c r="AD221" s="64" t="n">
        <f aca="false">IF(Arterial=1,IF(Informed=1,1,0),0)</f>
        <v>1</v>
      </c>
      <c r="AE221" s="64" t="n">
        <f aca="false">IF(Arterial=1,IF(Informed=0,1,0),0)</f>
        <v>0</v>
      </c>
      <c r="AF221" s="57" t="n">
        <f aca="false">IF(AB221=1,(X221-G$1030)^2,0)</f>
        <v>0</v>
      </c>
      <c r="AG221" s="57" t="n">
        <f aca="false">IF(AC221=1,(Y221-H$1030)^2,0)</f>
        <v>0</v>
      </c>
      <c r="AH221" s="57" t="n">
        <f aca="false">IF(AD221=1,(Z221-I$1030)^2,0)</f>
        <v>102.560818095189</v>
      </c>
      <c r="AI221" s="57" t="n">
        <f aca="false">IF(AE221=1,(AA221-J$1030)^2,0)</f>
        <v>0</v>
      </c>
    </row>
    <row r="222" customFormat="false" ht="12" hidden="false" customHeight="false" outlineLevel="0" collapsed="false">
      <c r="A222" s="5" t="n">
        <v>205</v>
      </c>
      <c r="B222" s="58" t="n">
        <f aca="true">IF(RAND()&lt;$D$8,1,0)</f>
        <v>0</v>
      </c>
      <c r="C222" s="47" t="n">
        <f aca="true">-LN(RAND())/$D$2</f>
        <v>0.352219451309046</v>
      </c>
      <c r="D222" s="59" t="n">
        <f aca="false">D221+C222</f>
        <v>201.97941287201</v>
      </c>
      <c r="E222" s="60" t="n">
        <f aca="false">MAX($D$3,(1+P221-VLOOKUP(VALUE(D222),$J$18:$Q221,7,TRUE()))*$D$3)</f>
        <v>10</v>
      </c>
      <c r="F222" s="60" t="n">
        <f aca="false">MAX($D$4,(1+Q221-VLOOKUP(VALUE(D222),$M$18:$Q221,5,TRUE()))*$D$4)</f>
        <v>12</v>
      </c>
      <c r="G222" s="61" t="n">
        <v>0.5</v>
      </c>
      <c r="H222" s="59" t="n">
        <f aca="true">IF((B222=1),(IF((F222&lt;E222),1,(IF((F222=E222),(IF(RAND()&lt;G222,1,0)),0)))),(IF((RAND()&lt;G222),1,0)))</f>
        <v>1</v>
      </c>
      <c r="I222" s="59" t="n">
        <f aca="true">IF((H222=1),0,$D$3+$D$5*(RAND()-0.5))</f>
        <v>0</v>
      </c>
      <c r="J222" s="59" t="n">
        <f aca="false">I222+MAX(D222,J221)</f>
        <v>209.863012601935</v>
      </c>
      <c r="K222" s="59" t="n">
        <f aca="false">IF((H222=0),J222-D222,0)</f>
        <v>0</v>
      </c>
      <c r="L222" s="59" t="n">
        <f aca="true">IF(($H222=0),0,$D$4+$D$5*(RAND()-0.5))</f>
        <v>1.97462686893875</v>
      </c>
      <c r="M222" s="59" t="n">
        <f aca="false">L222+MAX(D222,M221)</f>
        <v>213.729051801519</v>
      </c>
      <c r="N222" s="59" t="n">
        <f aca="false">IF((H222=1),M222-D222,0)</f>
        <v>11.7496389295084</v>
      </c>
      <c r="O222" s="5" t="n">
        <v>205</v>
      </c>
      <c r="P222" s="62" t="n">
        <f aca="false">IF((Arterial=0),P221+1,P221)</f>
        <v>101</v>
      </c>
      <c r="Q222" s="62" t="n">
        <f aca="false">IF((Arterial=1),Q221+1,Q221)</f>
        <v>104</v>
      </c>
      <c r="R222" s="63" t="n">
        <f aca="false">IF((RESET=1),0,R222+K222)</f>
        <v>450.765878086611</v>
      </c>
      <c r="S222" s="10" t="e">
        <f aca="false">IF(RESET=1,0,S222+N222)</f>
        <v>#N/A</v>
      </c>
      <c r="T222" s="0" t="n">
        <f aca="false">IF(RESET=1,0,T222+IF(H222=0,1,0))</f>
        <v>34</v>
      </c>
      <c r="U222" s="0" t="e">
        <f aca="false">IF(RESET=1,0,U222+H222)</f>
        <v>#N/A</v>
      </c>
      <c r="V222" s="10" t="n">
        <f aca="false">R222/(T222+0.00001)</f>
        <v>13.2578160443662</v>
      </c>
      <c r="W222" s="10" t="e">
        <f aca="false">S222/(U222+0.0001)</f>
        <v>#N/A</v>
      </c>
      <c r="X222" s="60" t="n">
        <f aca="false">IF(Informed=1,K222,0)</f>
        <v>0</v>
      </c>
      <c r="Y222" s="60" t="n">
        <f aca="false">IF(Informed=0,K222,0)</f>
        <v>0</v>
      </c>
      <c r="Z222" s="60" t="n">
        <f aca="false">IF(Informed=1,N222,0)</f>
        <v>0</v>
      </c>
      <c r="AA222" s="60" t="n">
        <f aca="false">IF(Informed=0,N222,0)</f>
        <v>11.7496389295084</v>
      </c>
      <c r="AB222" s="64" t="n">
        <f aca="false">IF(Arterial=0,IF(Informed=1,1,0),0)</f>
        <v>0</v>
      </c>
      <c r="AC222" s="64" t="n">
        <f aca="false">IF(Arterial=0,IF(Informed=0,1,0),0)</f>
        <v>0</v>
      </c>
      <c r="AD222" s="64" t="n">
        <f aca="false">IF(Arterial=1,IF(Informed=1,1,0),0)</f>
        <v>0</v>
      </c>
      <c r="AE222" s="64" t="n">
        <f aca="false">IF(Arterial=1,IF(Informed=0,1,0),0)</f>
        <v>1</v>
      </c>
      <c r="AF222" s="57" t="n">
        <f aca="false">IF(AB222=1,(X222-G$1030)^2,0)</f>
        <v>0</v>
      </c>
      <c r="AG222" s="57" t="n">
        <f aca="false">IF(AC222=1,(Y222-H$1030)^2,0)</f>
        <v>0</v>
      </c>
      <c r="AH222" s="57" t="n">
        <f aca="false">IF(AD222=1,(Z222-I$1030)^2,0)</f>
        <v>0</v>
      </c>
      <c r="AI222" s="57" t="n">
        <f aca="false">IF(AE222=1,(AA222-J$1030)^2,0)</f>
        <v>138.054014973819</v>
      </c>
    </row>
    <row r="223" customFormat="false" ht="12" hidden="false" customHeight="false" outlineLevel="0" collapsed="false">
      <c r="A223" s="5" t="n">
        <v>206</v>
      </c>
      <c r="B223" s="58" t="n">
        <f aca="true">IF(RAND()&lt;$D$8,1,0)</f>
        <v>0</v>
      </c>
      <c r="C223" s="47" t="n">
        <f aca="true">-LN(RAND())/$D$2</f>
        <v>0.57185817938062</v>
      </c>
      <c r="D223" s="59" t="n">
        <f aca="false">D222+C223</f>
        <v>202.551271051391</v>
      </c>
      <c r="E223" s="60" t="n">
        <f aca="false">MAX($D$3,(1+P222-VLOOKUP(VALUE(D223),$J$18:$Q222,7,TRUE()))*$D$3)</f>
        <v>10</v>
      </c>
      <c r="F223" s="60" t="n">
        <f aca="false">MAX($D$4,(1+Q222-VLOOKUP(VALUE(D223),$M$18:$Q222,5,TRUE()))*$D$4)</f>
        <v>14</v>
      </c>
      <c r="G223" s="61" t="n">
        <v>0.5</v>
      </c>
      <c r="H223" s="59" t="n">
        <f aca="true">IF((B223=1),(IF((F223&lt;E223),1,(IF((F223=E223),(IF(RAND()&lt;G223,1,0)),0)))),(IF((RAND()&lt;G223),1,0)))</f>
        <v>1</v>
      </c>
      <c r="I223" s="59" t="n">
        <f aca="true">IF((H223=1),0,$D$3+$D$5*(RAND()-0.5))</f>
        <v>0</v>
      </c>
      <c r="J223" s="59" t="n">
        <f aca="false">I223+MAX(D223,J222)</f>
        <v>209.863012601935</v>
      </c>
      <c r="K223" s="59" t="n">
        <f aca="false">IF((H223=0),J223-D223,0)</f>
        <v>0</v>
      </c>
      <c r="L223" s="59" t="n">
        <f aca="true">IF(($H223=0),0,$D$4+$D$5*(RAND()-0.5))</f>
        <v>1.98890963870916</v>
      </c>
      <c r="M223" s="59" t="n">
        <f aca="false">L223+MAX(D223,M222)</f>
        <v>215.717961440228</v>
      </c>
      <c r="N223" s="59" t="n">
        <f aca="false">IF((H223=1),M223-D223,0)</f>
        <v>13.1666903888369</v>
      </c>
      <c r="O223" s="5" t="n">
        <v>206</v>
      </c>
      <c r="P223" s="62" t="n">
        <f aca="false">IF((Arterial=0),P222+1,P222)</f>
        <v>101</v>
      </c>
      <c r="Q223" s="62" t="n">
        <f aca="false">IF((Arterial=1),Q222+1,Q222)</f>
        <v>105</v>
      </c>
      <c r="R223" s="63" t="n">
        <f aca="false">IF((RESET=1),0,R223+K223)</f>
        <v>303.285769286961</v>
      </c>
      <c r="S223" s="10" t="e">
        <f aca="false">IF(RESET=1,0,S223+N223)</f>
        <v>#N/A</v>
      </c>
      <c r="T223" s="0" t="n">
        <f aca="false">IF(RESET=1,0,T223+IF(H223=0,1,0))</f>
        <v>24</v>
      </c>
      <c r="U223" s="0" t="e">
        <f aca="false">IF(RESET=1,0,U223+H223)</f>
        <v>#N/A</v>
      </c>
      <c r="V223" s="10" t="n">
        <f aca="false">R223/(T223+0.00001)</f>
        <v>12.6369017882476</v>
      </c>
      <c r="W223" s="10" t="e">
        <f aca="false">S223/(U223+0.0001)</f>
        <v>#N/A</v>
      </c>
      <c r="X223" s="60" t="n">
        <f aca="false">IF(Informed=1,K223,0)</f>
        <v>0</v>
      </c>
      <c r="Y223" s="60" t="n">
        <f aca="false">IF(Informed=0,K223,0)</f>
        <v>0</v>
      </c>
      <c r="Z223" s="60" t="n">
        <f aca="false">IF(Informed=1,N223,0)</f>
        <v>0</v>
      </c>
      <c r="AA223" s="60" t="n">
        <f aca="false">IF(Informed=0,N223,0)</f>
        <v>13.1666903888369</v>
      </c>
      <c r="AB223" s="64" t="n">
        <f aca="false">IF(Arterial=0,IF(Informed=1,1,0),0)</f>
        <v>0</v>
      </c>
      <c r="AC223" s="64" t="n">
        <f aca="false">IF(Arterial=0,IF(Informed=0,1,0),0)</f>
        <v>0</v>
      </c>
      <c r="AD223" s="64" t="n">
        <f aca="false">IF(Arterial=1,IF(Informed=1,1,0),0)</f>
        <v>0</v>
      </c>
      <c r="AE223" s="64" t="n">
        <f aca="false">IF(Arterial=1,IF(Informed=0,1,0),0)</f>
        <v>1</v>
      </c>
      <c r="AF223" s="57" t="n">
        <f aca="false">IF(AB223=1,(X223-G$1030)^2,0)</f>
        <v>0</v>
      </c>
      <c r="AG223" s="57" t="n">
        <f aca="false">IF(AC223=1,(Y223-H$1030)^2,0)</f>
        <v>0</v>
      </c>
      <c r="AH223" s="57" t="n">
        <f aca="false">IF(AD223=1,(Z223-I$1030)^2,0)</f>
        <v>0</v>
      </c>
      <c r="AI223" s="57" t="n">
        <f aca="false">IF(AE223=1,(AA223-J$1030)^2,0)</f>
        <v>173.36173579549</v>
      </c>
    </row>
    <row r="224" customFormat="false" ht="12" hidden="false" customHeight="false" outlineLevel="0" collapsed="false">
      <c r="A224" s="5" t="n">
        <v>207</v>
      </c>
      <c r="B224" s="58" t="n">
        <f aca="true">IF(RAND()&lt;$D$8,1,0)</f>
        <v>0</v>
      </c>
      <c r="C224" s="47" t="n">
        <f aca="true">-LN(RAND())/$D$2</f>
        <v>0.106006788529984</v>
      </c>
      <c r="D224" s="59" t="n">
        <f aca="false">D223+C224</f>
        <v>202.657277839921</v>
      </c>
      <c r="E224" s="60" t="n">
        <f aca="false">MAX($D$3,(1+P223-VLOOKUP(VALUE(D224),$J$18:$Q223,7,TRUE()))*$D$3)</f>
        <v>10</v>
      </c>
      <c r="F224" s="60" t="n">
        <f aca="false">MAX($D$4,(1+Q223-VLOOKUP(VALUE(D224),$M$18:$Q223,5,TRUE()))*$D$4)</f>
        <v>16</v>
      </c>
      <c r="G224" s="61" t="n">
        <v>0.5</v>
      </c>
      <c r="H224" s="59" t="n">
        <f aca="true">IF((B224=1),(IF((F224&lt;E224),1,(IF((F224=E224),(IF(RAND()&lt;G224,1,0)),0)))),(IF((RAND()&lt;G224),1,0)))</f>
        <v>1</v>
      </c>
      <c r="I224" s="59" t="n">
        <f aca="true">IF((H224=1),0,$D$3+$D$5*(RAND()-0.5))</f>
        <v>0</v>
      </c>
      <c r="J224" s="59" t="n">
        <f aca="false">I224+MAX(D224,J223)</f>
        <v>209.863012601935</v>
      </c>
      <c r="K224" s="59" t="n">
        <f aca="false">IF((H224=0),J224-D224,0)</f>
        <v>0</v>
      </c>
      <c r="L224" s="59" t="n">
        <f aca="true">IF(($H224=0),0,$D$4+$D$5*(RAND()-0.5))</f>
        <v>1.86551972131949</v>
      </c>
      <c r="M224" s="59" t="n">
        <f aca="false">L224+MAX(D224,M223)</f>
        <v>217.583481161547</v>
      </c>
      <c r="N224" s="59" t="n">
        <f aca="false">IF((H224=1),M224-D224,0)</f>
        <v>14.9262033216264</v>
      </c>
      <c r="O224" s="5" t="n">
        <v>207</v>
      </c>
      <c r="P224" s="62" t="n">
        <f aca="false">IF((Arterial=0),P223+1,P223)</f>
        <v>101</v>
      </c>
      <c r="Q224" s="62" t="n">
        <f aca="false">IF((Arterial=1),Q223+1,Q223)</f>
        <v>106</v>
      </c>
      <c r="R224" s="63" t="n">
        <f aca="false">IF((RESET=1),0,R224+K224)</f>
        <v>388.317089433982</v>
      </c>
      <c r="S224" s="10" t="e">
        <f aca="false">IF(RESET=1,0,S224+N224)</f>
        <v>#N/A</v>
      </c>
      <c r="T224" s="0" t="n">
        <f aca="false">IF(RESET=1,0,T224+IF(H224=0,1,0))</f>
        <v>26</v>
      </c>
      <c r="U224" s="0" t="e">
        <f aca="false">IF(RESET=1,0,U224+H224)</f>
        <v>#N/A</v>
      </c>
      <c r="V224" s="10" t="n">
        <f aca="false">R224/(T224+0.00001)</f>
        <v>14.9352669262043</v>
      </c>
      <c r="W224" s="10" t="e">
        <f aca="false">S224/(U224+0.0001)</f>
        <v>#N/A</v>
      </c>
      <c r="X224" s="60" t="n">
        <f aca="false">IF(Informed=1,K224,0)</f>
        <v>0</v>
      </c>
      <c r="Y224" s="60" t="n">
        <f aca="false">IF(Informed=0,K224,0)</f>
        <v>0</v>
      </c>
      <c r="Z224" s="60" t="n">
        <f aca="false">IF(Informed=1,N224,0)</f>
        <v>0</v>
      </c>
      <c r="AA224" s="60" t="n">
        <f aca="false">IF(Informed=0,N224,0)</f>
        <v>14.9262033216264</v>
      </c>
      <c r="AB224" s="64" t="n">
        <f aca="false">IF(Arterial=0,IF(Informed=1,1,0),0)</f>
        <v>0</v>
      </c>
      <c r="AC224" s="64" t="n">
        <f aca="false">IF(Arterial=0,IF(Informed=0,1,0),0)</f>
        <v>0</v>
      </c>
      <c r="AD224" s="64" t="n">
        <f aca="false">IF(Arterial=1,IF(Informed=1,1,0),0)</f>
        <v>0</v>
      </c>
      <c r="AE224" s="64" t="n">
        <f aca="false">IF(Arterial=1,IF(Informed=0,1,0),0)</f>
        <v>1</v>
      </c>
      <c r="AF224" s="57" t="n">
        <f aca="false">IF(AB224=1,(X224-G$1030)^2,0)</f>
        <v>0</v>
      </c>
      <c r="AG224" s="57" t="n">
        <f aca="false">IF(AC224=1,(Y224-H$1030)^2,0)</f>
        <v>0</v>
      </c>
      <c r="AH224" s="57" t="n">
        <f aca="false">IF(AD224=1,(Z224-I$1030)^2,0)</f>
        <v>0</v>
      </c>
      <c r="AI224" s="57" t="n">
        <f aca="false">IF(AE224=1,(AA224-J$1030)^2,0)</f>
        <v>222.791545598531</v>
      </c>
    </row>
    <row r="225" customFormat="false" ht="12" hidden="false" customHeight="false" outlineLevel="0" collapsed="false">
      <c r="A225" s="5" t="n">
        <v>208</v>
      </c>
      <c r="B225" s="58" t="n">
        <f aca="true">IF(RAND()&lt;$D$8,1,0)</f>
        <v>0</v>
      </c>
      <c r="C225" s="47" t="n">
        <f aca="true">-LN(RAND())/$D$2</f>
        <v>5.62454555579101</v>
      </c>
      <c r="D225" s="59" t="n">
        <f aca="false">D224+C225</f>
        <v>208.281823395712</v>
      </c>
      <c r="E225" s="60" t="n">
        <f aca="false">MAX($D$3,(1+P224-VLOOKUP(VALUE(D225),$J$18:$Q224,7,TRUE()))*$D$3)</f>
        <v>4</v>
      </c>
      <c r="F225" s="60" t="n">
        <f aca="false">MAX($D$4,(1+Q224-VLOOKUP(VALUE(D225),$M$18:$Q224,5,TRUE()))*$D$4)</f>
        <v>12</v>
      </c>
      <c r="G225" s="61" t="n">
        <v>0.5</v>
      </c>
      <c r="H225" s="59" t="n">
        <f aca="true">IF((B225=1),(IF((F225&lt;E225),1,(IF((F225=E225),(IF(RAND()&lt;G225,1,0)),0)))),(IF((RAND()&lt;G225),1,0)))</f>
        <v>0</v>
      </c>
      <c r="I225" s="59" t="n">
        <f aca="true">IF((H225=1),0,$D$3+$D$5*(RAND()-0.5))</f>
        <v>2.0855722195501</v>
      </c>
      <c r="J225" s="59" t="n">
        <f aca="false">I225+MAX(D225,J224)</f>
        <v>211.948584821485</v>
      </c>
      <c r="K225" s="59" t="n">
        <f aca="false">IF((H225=0),J225-D225,0)</f>
        <v>3.66676142577319</v>
      </c>
      <c r="L225" s="59" t="n">
        <f aca="true">IF(($H225=0),0,$D$4+$D$5*(RAND()-0.5))</f>
        <v>0</v>
      </c>
      <c r="M225" s="59" t="n">
        <f aca="false">L225+MAX(D225,M224)</f>
        <v>217.583481161547</v>
      </c>
      <c r="N225" s="59" t="n">
        <f aca="false">IF((H225=1),M225-D225,0)</f>
        <v>0</v>
      </c>
      <c r="O225" s="5" t="n">
        <v>208</v>
      </c>
      <c r="P225" s="62" t="n">
        <f aca="false">IF((Arterial=0),P224+1,P224)</f>
        <v>102</v>
      </c>
      <c r="Q225" s="62" t="n">
        <f aca="false">IF((Arterial=1),Q224+1,Q224)</f>
        <v>106</v>
      </c>
      <c r="R225" s="63" t="e">
        <f aca="false">IF((RESET=1),0,R225+K225)</f>
        <v>#N/A</v>
      </c>
      <c r="S225" s="10" t="n">
        <f aca="false">IF(RESET=1,0,S225+N225)</f>
        <v>349.063937758018</v>
      </c>
      <c r="T225" s="0" t="e">
        <f aca="false">IF(RESET=1,0,T225+IF(H225=0,1,0))</f>
        <v>#N/A</v>
      </c>
      <c r="U225" s="0" t="n">
        <f aca="false">IF(RESET=1,0,U225+H225)</f>
        <v>26</v>
      </c>
      <c r="V225" s="10" t="e">
        <f aca="false">R225/(T225+0.00001)</f>
        <v>#N/A</v>
      </c>
      <c r="W225" s="10" t="n">
        <f aca="false">S225/(U225+0.0001)</f>
        <v>13.4254844311375</v>
      </c>
      <c r="X225" s="60" t="n">
        <f aca="false">IF(Informed=1,K225,0)</f>
        <v>0</v>
      </c>
      <c r="Y225" s="60" t="n">
        <f aca="false">IF(Informed=0,K225,0)</f>
        <v>3.66676142577319</v>
      </c>
      <c r="Z225" s="60" t="n">
        <f aca="false">IF(Informed=1,N225,0)</f>
        <v>0</v>
      </c>
      <c r="AA225" s="60" t="n">
        <f aca="false">IF(Informed=0,N225,0)</f>
        <v>0</v>
      </c>
      <c r="AB225" s="64" t="n">
        <f aca="false">IF(Arterial=0,IF(Informed=1,1,0),0)</f>
        <v>0</v>
      </c>
      <c r="AC225" s="64" t="n">
        <f aca="false">IF(Arterial=0,IF(Informed=0,1,0),0)</f>
        <v>1</v>
      </c>
      <c r="AD225" s="64" t="n">
        <f aca="false">IF(Arterial=1,IF(Informed=1,1,0),0)</f>
        <v>0</v>
      </c>
      <c r="AE225" s="64" t="n">
        <f aca="false">IF(Arterial=1,IF(Informed=0,1,0),0)</f>
        <v>0</v>
      </c>
      <c r="AF225" s="57" t="n">
        <f aca="false">IF(AB225=1,(X225-G$1030)^2,0)</f>
        <v>0</v>
      </c>
      <c r="AG225" s="57" t="n">
        <f aca="false">IF(AC225=1,(Y225-H$1030)^2,0)</f>
        <v>13.4451393535382</v>
      </c>
      <c r="AH225" s="57" t="n">
        <f aca="false">IF(AD225=1,(Z225-I$1030)^2,0)</f>
        <v>0</v>
      </c>
      <c r="AI225" s="57" t="n">
        <f aca="false">IF(AE225=1,(AA225-J$1030)^2,0)</f>
        <v>0</v>
      </c>
    </row>
    <row r="226" customFormat="false" ht="12" hidden="false" customHeight="false" outlineLevel="0" collapsed="false">
      <c r="A226" s="5" t="n">
        <v>209</v>
      </c>
      <c r="B226" s="58" t="n">
        <f aca="true">IF(RAND()&lt;$D$8,1,0)</f>
        <v>0</v>
      </c>
      <c r="C226" s="47" t="n">
        <f aca="true">-LN(RAND())/$D$2</f>
        <v>0.94343446607219</v>
      </c>
      <c r="D226" s="59" t="n">
        <f aca="false">D225+C226</f>
        <v>209.225257861784</v>
      </c>
      <c r="E226" s="60" t="n">
        <f aca="false">MAX($D$3,(1+P225-VLOOKUP(VALUE(D226),$J$18:$Q225,7,TRUE()))*$D$3)</f>
        <v>6</v>
      </c>
      <c r="F226" s="60" t="n">
        <f aca="false">MAX($D$4,(1+Q225-VLOOKUP(VALUE(D226),$M$18:$Q225,5,TRUE()))*$D$4)</f>
        <v>12</v>
      </c>
      <c r="G226" s="61" t="n">
        <v>0.5</v>
      </c>
      <c r="H226" s="59" t="n">
        <f aca="true">IF((B226=1),(IF((F226&lt;E226),1,(IF((F226=E226),(IF(RAND()&lt;G226,1,0)),0)))),(IF((RAND()&lt;G226),1,0)))</f>
        <v>0</v>
      </c>
      <c r="I226" s="59" t="n">
        <f aca="true">IF((H226=1),0,$D$3+$D$5*(RAND()-0.5))</f>
        <v>1.84343734303937</v>
      </c>
      <c r="J226" s="59" t="n">
        <f aca="false">I226+MAX(D226,J225)</f>
        <v>213.792022164524</v>
      </c>
      <c r="K226" s="59" t="n">
        <f aca="false">IF((H226=0),J226-D226,0)</f>
        <v>4.56676430274038</v>
      </c>
      <c r="L226" s="59" t="n">
        <f aca="true">IF(($H226=0),0,$D$4+$D$5*(RAND()-0.5))</f>
        <v>0</v>
      </c>
      <c r="M226" s="59" t="n">
        <f aca="false">L226+MAX(D226,M225)</f>
        <v>217.583481161547</v>
      </c>
      <c r="N226" s="59" t="n">
        <f aca="false">IF((H226=1),M226-D226,0)</f>
        <v>0</v>
      </c>
      <c r="O226" s="5" t="n">
        <v>209</v>
      </c>
      <c r="P226" s="62" t="n">
        <f aca="false">IF((Arterial=0),P225+1,P225)</f>
        <v>103</v>
      </c>
      <c r="Q226" s="62" t="n">
        <f aca="false">IF((Arterial=1),Q225+1,Q225)</f>
        <v>106</v>
      </c>
      <c r="R226" s="63" t="e">
        <f aca="false">IF((RESET=1),0,R226+K226)</f>
        <v>#N/A</v>
      </c>
      <c r="S226" s="10" t="n">
        <f aca="false">IF(RESET=1,0,S226+N226)</f>
        <v>319.796910098422</v>
      </c>
      <c r="T226" s="0" t="e">
        <f aca="false">IF(RESET=1,0,T226+IF(H226=0,1,0))</f>
        <v>#N/A</v>
      </c>
      <c r="U226" s="0" t="n">
        <f aca="false">IF(RESET=1,0,U226+H226)</f>
        <v>26</v>
      </c>
      <c r="V226" s="10" t="e">
        <f aca="false">R226/(T226+0.00001)</f>
        <v>#N/A</v>
      </c>
      <c r="W226" s="10" t="n">
        <f aca="false">S226/(U226+0.0001)</f>
        <v>12.2998338505784</v>
      </c>
      <c r="X226" s="60" t="n">
        <f aca="false">IF(Informed=1,K226,0)</f>
        <v>0</v>
      </c>
      <c r="Y226" s="60" t="n">
        <f aca="false">IF(Informed=0,K226,0)</f>
        <v>4.56676430274038</v>
      </c>
      <c r="Z226" s="60" t="n">
        <f aca="false">IF(Informed=1,N226,0)</f>
        <v>0</v>
      </c>
      <c r="AA226" s="60" t="n">
        <f aca="false">IF(Informed=0,N226,0)</f>
        <v>0</v>
      </c>
      <c r="AB226" s="64" t="n">
        <f aca="false">IF(Arterial=0,IF(Informed=1,1,0),0)</f>
        <v>0</v>
      </c>
      <c r="AC226" s="64" t="n">
        <f aca="false">IF(Arterial=0,IF(Informed=0,1,0),0)</f>
        <v>1</v>
      </c>
      <c r="AD226" s="64" t="n">
        <f aca="false">IF(Arterial=1,IF(Informed=1,1,0),0)</f>
        <v>0</v>
      </c>
      <c r="AE226" s="64" t="n">
        <f aca="false">IF(Arterial=1,IF(Informed=0,1,0),0)</f>
        <v>0</v>
      </c>
      <c r="AF226" s="57" t="n">
        <f aca="false">IF(AB226=1,(X226-G$1030)^2,0)</f>
        <v>0</v>
      </c>
      <c r="AG226" s="57" t="n">
        <f aca="false">IF(AC226=1,(Y226-H$1030)^2,0)</f>
        <v>20.8553361967838</v>
      </c>
      <c r="AH226" s="57" t="n">
        <f aca="false">IF(AD226=1,(Z226-I$1030)^2,0)</f>
        <v>0</v>
      </c>
      <c r="AI226" s="57" t="n">
        <f aca="false">IF(AE226=1,(AA226-J$1030)^2,0)</f>
        <v>0</v>
      </c>
    </row>
    <row r="227" customFormat="false" ht="12" hidden="false" customHeight="false" outlineLevel="0" collapsed="false">
      <c r="A227" s="5" t="n">
        <v>210</v>
      </c>
      <c r="B227" s="58" t="n">
        <f aca="true">IF(RAND()&lt;$D$8,1,0)</f>
        <v>0</v>
      </c>
      <c r="C227" s="47" t="n">
        <f aca="true">-LN(RAND())/$D$2</f>
        <v>0.396185622551396</v>
      </c>
      <c r="D227" s="59" t="n">
        <f aca="false">D226+C227</f>
        <v>209.621443484335</v>
      </c>
      <c r="E227" s="60" t="n">
        <f aca="false">MAX($D$3,(1+P226-VLOOKUP(VALUE(D227),$J$18:$Q226,7,TRUE()))*$D$3)</f>
        <v>8</v>
      </c>
      <c r="F227" s="60" t="n">
        <f aca="false">MAX($D$4,(1+Q226-VLOOKUP(VALUE(D227),$M$18:$Q226,5,TRUE()))*$D$4)</f>
        <v>12</v>
      </c>
      <c r="G227" s="61" t="n">
        <v>0.5</v>
      </c>
      <c r="H227" s="59" t="n">
        <f aca="true">IF((B227=1),(IF((F227&lt;E227),1,(IF((F227=E227),(IF(RAND()&lt;G227,1,0)),0)))),(IF((RAND()&lt;G227),1,0)))</f>
        <v>1</v>
      </c>
      <c r="I227" s="59" t="n">
        <f aca="true">IF((H227=1),0,$D$3+$D$5*(RAND()-0.5))</f>
        <v>0</v>
      </c>
      <c r="J227" s="59" t="n">
        <f aca="false">I227+MAX(D227,J226)</f>
        <v>213.792022164524</v>
      </c>
      <c r="K227" s="59" t="n">
        <f aca="false">IF((H227=0),J227-D227,0)</f>
        <v>0</v>
      </c>
      <c r="L227" s="59" t="n">
        <f aca="true">IF(($H227=0),0,$D$4+$D$5*(RAND()-0.5))</f>
        <v>2.24409749147078</v>
      </c>
      <c r="M227" s="59" t="n">
        <f aca="false">L227+MAX(D227,M226)</f>
        <v>219.827578653018</v>
      </c>
      <c r="N227" s="59" t="n">
        <f aca="false">IF((H227=1),M227-D227,0)</f>
        <v>10.2061351686826</v>
      </c>
      <c r="O227" s="5" t="n">
        <v>210</v>
      </c>
      <c r="P227" s="62" t="n">
        <f aca="false">IF((Arterial=0),P226+1,P226)</f>
        <v>103</v>
      </c>
      <c r="Q227" s="62" t="n">
        <f aca="false">IF((Arterial=1),Q226+1,Q226)</f>
        <v>107</v>
      </c>
      <c r="R227" s="63" t="n">
        <f aca="false">IF((RESET=1),0,R227+K227)</f>
        <v>462.320305972399</v>
      </c>
      <c r="S227" s="10" t="e">
        <f aca="false">IF(RESET=1,0,S227+N227)</f>
        <v>#N/A</v>
      </c>
      <c r="T227" s="0" t="n">
        <f aca="false">IF(RESET=1,0,T227+IF(H227=0,1,0))</f>
        <v>33</v>
      </c>
      <c r="U227" s="0" t="e">
        <f aca="false">IF(RESET=1,0,U227+H227)</f>
        <v>#N/A</v>
      </c>
      <c r="V227" s="10" t="n">
        <f aca="false">R227/(T227+0.00001)</f>
        <v>14.0097019962236</v>
      </c>
      <c r="W227" s="10" t="e">
        <f aca="false">S227/(U227+0.0001)</f>
        <v>#N/A</v>
      </c>
      <c r="X227" s="60" t="n">
        <f aca="false">IF(Informed=1,K227,0)</f>
        <v>0</v>
      </c>
      <c r="Y227" s="60" t="n">
        <f aca="false">IF(Informed=0,K227,0)</f>
        <v>0</v>
      </c>
      <c r="Z227" s="60" t="n">
        <f aca="false">IF(Informed=1,N227,0)</f>
        <v>0</v>
      </c>
      <c r="AA227" s="60" t="n">
        <f aca="false">IF(Informed=0,N227,0)</f>
        <v>10.2061351686826</v>
      </c>
      <c r="AB227" s="64" t="n">
        <f aca="false">IF(Arterial=0,IF(Informed=1,1,0),0)</f>
        <v>0</v>
      </c>
      <c r="AC227" s="64" t="n">
        <f aca="false">IF(Arterial=0,IF(Informed=0,1,0),0)</f>
        <v>0</v>
      </c>
      <c r="AD227" s="64" t="n">
        <f aca="false">IF(Arterial=1,IF(Informed=1,1,0),0)</f>
        <v>0</v>
      </c>
      <c r="AE227" s="64" t="n">
        <f aca="false">IF(Arterial=1,IF(Informed=0,1,0),0)</f>
        <v>1</v>
      </c>
      <c r="AF227" s="57" t="n">
        <f aca="false">IF(AB227=1,(X227-G$1030)^2,0)</f>
        <v>0</v>
      </c>
      <c r="AG227" s="57" t="n">
        <f aca="false">IF(AC227=1,(Y227-H$1030)^2,0)</f>
        <v>0</v>
      </c>
      <c r="AH227" s="57" t="n">
        <f aca="false">IF(AD227=1,(Z227-I$1030)^2,0)</f>
        <v>0</v>
      </c>
      <c r="AI227" s="57" t="n">
        <f aca="false">IF(AE227=1,(AA227-J$1030)^2,0)</f>
        <v>104.165195081421</v>
      </c>
    </row>
    <row r="228" customFormat="false" ht="12" hidden="false" customHeight="false" outlineLevel="0" collapsed="false">
      <c r="A228" s="5" t="n">
        <v>211</v>
      </c>
      <c r="B228" s="58" t="n">
        <f aca="true">IF(RAND()&lt;$D$8,1,0)</f>
        <v>1</v>
      </c>
      <c r="C228" s="47" t="n">
        <f aca="true">-LN(RAND())/$D$2</f>
        <v>0.226390456451616</v>
      </c>
      <c r="D228" s="59" t="n">
        <f aca="false">D227+C228</f>
        <v>209.847833940787</v>
      </c>
      <c r="E228" s="60" t="n">
        <f aca="false">MAX($D$3,(1+P227-VLOOKUP(VALUE(D228),$J$18:$Q227,7,TRUE()))*$D$3)</f>
        <v>8</v>
      </c>
      <c r="F228" s="60" t="n">
        <f aca="false">MAX($D$4,(1+Q227-VLOOKUP(VALUE(D228),$M$18:$Q227,5,TRUE()))*$D$4)</f>
        <v>14</v>
      </c>
      <c r="G228" s="61" t="n">
        <v>0.5</v>
      </c>
      <c r="H228" s="59" t="n">
        <f aca="true">IF((B228=1),(IF((F228&lt;E228),1,(IF((F228=E228),(IF(RAND()&lt;G228,1,0)),0)))),(IF((RAND()&lt;G228),1,0)))</f>
        <v>0</v>
      </c>
      <c r="I228" s="59" t="n">
        <f aca="true">IF((H228=1),0,$D$3+$D$5*(RAND()-0.5))</f>
        <v>1.79610359117167</v>
      </c>
      <c r="J228" s="59" t="n">
        <f aca="false">I228+MAX(D228,J227)</f>
        <v>215.588125755696</v>
      </c>
      <c r="K228" s="59" t="n">
        <f aca="false">IF((H228=0),J228-D228,0)</f>
        <v>5.74029181490903</v>
      </c>
      <c r="L228" s="59" t="n">
        <f aca="true">IF(($H228=0),0,$D$4+$D$5*(RAND()-0.5))</f>
        <v>0</v>
      </c>
      <c r="M228" s="59" t="n">
        <f aca="false">L228+MAX(D228,M227)</f>
        <v>219.827578653018</v>
      </c>
      <c r="N228" s="59" t="n">
        <f aca="false">IF((H228=1),M228-D228,0)</f>
        <v>0</v>
      </c>
      <c r="O228" s="5" t="n">
        <v>211</v>
      </c>
      <c r="P228" s="62" t="n">
        <f aca="false">IF((Arterial=0),P227+1,P227)</f>
        <v>104</v>
      </c>
      <c r="Q228" s="62" t="n">
        <f aca="false">IF((Arterial=1),Q227+1,Q227)</f>
        <v>107</v>
      </c>
      <c r="R228" s="63" t="e">
        <f aca="false">IF((RESET=1),0,R228+K228)</f>
        <v>#N/A</v>
      </c>
      <c r="S228" s="10" t="n">
        <f aca="false">IF(RESET=1,0,S228+N228)</f>
        <v>416.477092320024</v>
      </c>
      <c r="T228" s="0" t="e">
        <f aca="false">IF(RESET=1,0,T228+IF(H228=0,1,0))</f>
        <v>#N/A</v>
      </c>
      <c r="U228" s="0" t="n">
        <f aca="false">IF(RESET=1,0,U228+H228)</f>
        <v>35</v>
      </c>
      <c r="V228" s="10" t="e">
        <f aca="false">R228/(T228+0.00001)</f>
        <v>#N/A</v>
      </c>
      <c r="W228" s="10" t="n">
        <f aca="false">S228/(U228+0.0001)</f>
        <v>11.899311496825</v>
      </c>
      <c r="X228" s="60" t="n">
        <f aca="false">IF(Informed=1,K228,0)</f>
        <v>5.74029181490903</v>
      </c>
      <c r="Y228" s="60" t="n">
        <f aca="false">IF(Informed=0,K228,0)</f>
        <v>0</v>
      </c>
      <c r="Z228" s="60" t="n">
        <f aca="false">IF(Informed=1,N228,0)</f>
        <v>0</v>
      </c>
      <c r="AA228" s="60" t="n">
        <f aca="false">IF(Informed=0,N228,0)</f>
        <v>0</v>
      </c>
      <c r="AB228" s="64" t="n">
        <f aca="false">IF(Arterial=0,IF(Informed=1,1,0),0)</f>
        <v>1</v>
      </c>
      <c r="AC228" s="64" t="n">
        <f aca="false">IF(Arterial=0,IF(Informed=0,1,0),0)</f>
        <v>0</v>
      </c>
      <c r="AD228" s="64" t="n">
        <f aca="false">IF(Arterial=1,IF(Informed=1,1,0),0)</f>
        <v>0</v>
      </c>
      <c r="AE228" s="64" t="n">
        <f aca="false">IF(Arterial=1,IF(Informed=0,1,0),0)</f>
        <v>0</v>
      </c>
      <c r="AF228" s="57" t="n">
        <f aca="false">IF(AB228=1,(X228-G$1030)^2,0)</f>
        <v>32.9509501203116</v>
      </c>
      <c r="AG228" s="57" t="n">
        <f aca="false">IF(AC228=1,(Y228-H$1030)^2,0)</f>
        <v>0</v>
      </c>
      <c r="AH228" s="57" t="n">
        <f aca="false">IF(AD228=1,(Z228-I$1030)^2,0)</f>
        <v>0</v>
      </c>
      <c r="AI228" s="57" t="n">
        <f aca="false">IF(AE228=1,(AA228-J$1030)^2,0)</f>
        <v>0</v>
      </c>
    </row>
    <row r="229" customFormat="false" ht="12" hidden="false" customHeight="false" outlineLevel="0" collapsed="false">
      <c r="A229" s="5" t="n">
        <v>212</v>
      </c>
      <c r="B229" s="58" t="n">
        <f aca="true">IF(RAND()&lt;$D$8,1,0)</f>
        <v>0</v>
      </c>
      <c r="C229" s="47" t="n">
        <f aca="true">-LN(RAND())/$D$2</f>
        <v>0.232975032839782</v>
      </c>
      <c r="D229" s="59" t="n">
        <f aca="false">D228+C229</f>
        <v>210.080808973627</v>
      </c>
      <c r="E229" s="60" t="n">
        <f aca="false">MAX($D$3,(1+P228-VLOOKUP(VALUE(D229),$J$18:$Q228,7,TRUE()))*$D$3)</f>
        <v>8</v>
      </c>
      <c r="F229" s="60" t="n">
        <f aca="false">MAX($D$4,(1+Q228-VLOOKUP(VALUE(D229),$M$18:$Q228,5,TRUE()))*$D$4)</f>
        <v>12</v>
      </c>
      <c r="G229" s="61" t="n">
        <v>0.5</v>
      </c>
      <c r="H229" s="59" t="n">
        <f aca="true">IF((B229=1),(IF((F229&lt;E229),1,(IF((F229=E229),(IF(RAND()&lt;G229,1,0)),0)))),(IF((RAND()&lt;G229),1,0)))</f>
        <v>1</v>
      </c>
      <c r="I229" s="59" t="n">
        <f aca="true">IF((H229=1),0,$D$3+$D$5*(RAND()-0.5))</f>
        <v>0</v>
      </c>
      <c r="J229" s="59" t="n">
        <f aca="false">I229+MAX(D229,J228)</f>
        <v>215.588125755696</v>
      </c>
      <c r="K229" s="59" t="n">
        <f aca="false">IF((H229=0),J229-D229,0)</f>
        <v>0</v>
      </c>
      <c r="L229" s="59" t="n">
        <f aca="true">IF(($H229=0),0,$D$4+$D$5*(RAND()-0.5))</f>
        <v>1.83216052934328</v>
      </c>
      <c r="M229" s="59" t="n">
        <f aca="false">L229+MAX(D229,M228)</f>
        <v>221.659739182361</v>
      </c>
      <c r="N229" s="59" t="n">
        <f aca="false">IF((H229=1),M229-D229,0)</f>
        <v>11.5789302087345</v>
      </c>
      <c r="O229" s="5" t="n">
        <v>212</v>
      </c>
      <c r="P229" s="62" t="n">
        <f aca="false">IF((Arterial=0),P228+1,P228)</f>
        <v>104</v>
      </c>
      <c r="Q229" s="62" t="n">
        <f aca="false">IF((Arterial=1),Q228+1,Q228)</f>
        <v>108</v>
      </c>
      <c r="R229" s="63" t="n">
        <f aca="false">IF((RESET=1),0,R229+K229)</f>
        <v>343.681661233975</v>
      </c>
      <c r="S229" s="10" t="e">
        <f aca="false">IF(RESET=1,0,S229+N229)</f>
        <v>#N/A</v>
      </c>
      <c r="T229" s="0" t="n">
        <f aca="false">IF(RESET=1,0,T229+IF(H229=0,1,0))</f>
        <v>27</v>
      </c>
      <c r="U229" s="0" t="e">
        <f aca="false">IF(RESET=1,0,U229+H229)</f>
        <v>#N/A</v>
      </c>
      <c r="V229" s="10" t="n">
        <f aca="false">R229/(T229+0.00001)</f>
        <v>12.7289457016488</v>
      </c>
      <c r="W229" s="10" t="e">
        <f aca="false">S229/(U229+0.0001)</f>
        <v>#N/A</v>
      </c>
      <c r="X229" s="60" t="n">
        <f aca="false">IF(Informed=1,K229,0)</f>
        <v>0</v>
      </c>
      <c r="Y229" s="60" t="n">
        <f aca="false">IF(Informed=0,K229,0)</f>
        <v>0</v>
      </c>
      <c r="Z229" s="60" t="n">
        <f aca="false">IF(Informed=1,N229,0)</f>
        <v>0</v>
      </c>
      <c r="AA229" s="60" t="n">
        <f aca="false">IF(Informed=0,N229,0)</f>
        <v>11.5789302087345</v>
      </c>
      <c r="AB229" s="64" t="n">
        <f aca="false">IF(Arterial=0,IF(Informed=1,1,0),0)</f>
        <v>0</v>
      </c>
      <c r="AC229" s="64" t="n">
        <f aca="false">IF(Arterial=0,IF(Informed=0,1,0),0)</f>
        <v>0</v>
      </c>
      <c r="AD229" s="64" t="n">
        <f aca="false">IF(Arterial=1,IF(Informed=1,1,0),0)</f>
        <v>0</v>
      </c>
      <c r="AE229" s="64" t="n">
        <f aca="false">IF(Arterial=1,IF(Informed=0,1,0),0)</f>
        <v>1</v>
      </c>
      <c r="AF229" s="57" t="n">
        <f aca="false">IF(AB229=1,(X229-G$1030)^2,0)</f>
        <v>0</v>
      </c>
      <c r="AG229" s="57" t="n">
        <f aca="false">IF(AC229=1,(Y229-H$1030)^2,0)</f>
        <v>0</v>
      </c>
      <c r="AH229" s="57" t="n">
        <f aca="false">IF(AD229=1,(Z229-I$1030)^2,0)</f>
        <v>0</v>
      </c>
      <c r="AI229" s="57" t="n">
        <f aca="false">IF(AE229=1,(AA229-J$1030)^2,0)</f>
        <v>134.071624778744</v>
      </c>
    </row>
    <row r="230" customFormat="false" ht="12" hidden="false" customHeight="false" outlineLevel="0" collapsed="false">
      <c r="A230" s="5" t="n">
        <v>213</v>
      </c>
      <c r="B230" s="58" t="n">
        <f aca="true">IF(RAND()&lt;$D$8,1,0)</f>
        <v>1</v>
      </c>
      <c r="C230" s="47" t="n">
        <f aca="true">-LN(RAND())/$D$2</f>
        <v>1.04442057879118</v>
      </c>
      <c r="D230" s="59" t="n">
        <f aca="false">D229+C230</f>
        <v>211.125229552418</v>
      </c>
      <c r="E230" s="60" t="n">
        <f aca="false">MAX($D$3,(1+P229-VLOOKUP(VALUE(D230),$J$18:$Q229,7,TRUE()))*$D$3)</f>
        <v>8</v>
      </c>
      <c r="F230" s="60" t="n">
        <f aca="false">MAX($D$4,(1+Q229-VLOOKUP(VALUE(D230),$M$18:$Q229,5,TRUE()))*$D$4)</f>
        <v>14</v>
      </c>
      <c r="G230" s="61" t="n">
        <v>0.5</v>
      </c>
      <c r="H230" s="59" t="n">
        <f aca="true">IF((B230=1),(IF((F230&lt;E230),1,(IF((F230=E230),(IF(RAND()&lt;G230,1,0)),0)))),(IF((RAND()&lt;G230),1,0)))</f>
        <v>0</v>
      </c>
      <c r="I230" s="59" t="n">
        <f aca="true">IF((H230=1),0,$D$3+$D$5*(RAND()-0.5))</f>
        <v>2.24428542461022</v>
      </c>
      <c r="J230" s="59" t="n">
        <f aca="false">I230+MAX(D230,J229)</f>
        <v>217.832411180306</v>
      </c>
      <c r="K230" s="59" t="n">
        <f aca="false">IF((H230=0),J230-D230,0)</f>
        <v>6.70718162788828</v>
      </c>
      <c r="L230" s="59" t="n">
        <f aca="true">IF(($H230=0),0,$D$4+$D$5*(RAND()-0.5))</f>
        <v>0</v>
      </c>
      <c r="M230" s="59" t="n">
        <f aca="false">L230+MAX(D230,M229)</f>
        <v>221.659739182361</v>
      </c>
      <c r="N230" s="59" t="n">
        <f aca="false">IF((H230=1),M230-D230,0)</f>
        <v>0</v>
      </c>
      <c r="O230" s="5" t="n">
        <v>213</v>
      </c>
      <c r="P230" s="62" t="n">
        <f aca="false">IF((Arterial=0),P229+1,P229)</f>
        <v>105</v>
      </c>
      <c r="Q230" s="62" t="n">
        <f aca="false">IF((Arterial=1),Q229+1,Q229)</f>
        <v>108</v>
      </c>
      <c r="R230" s="63" t="e">
        <f aca="false">IF((RESET=1),0,R230+K230)</f>
        <v>#N/A</v>
      </c>
      <c r="S230" s="10" t="n">
        <f aca="false">IF(RESET=1,0,S230+N230)</f>
        <v>371.253980030654</v>
      </c>
      <c r="T230" s="0" t="e">
        <f aca="false">IF(RESET=1,0,T230+IF(H230=0,1,0))</f>
        <v>#N/A</v>
      </c>
      <c r="U230" s="0" t="n">
        <f aca="false">IF(RESET=1,0,U230+H230)</f>
        <v>27</v>
      </c>
      <c r="V230" s="10" t="e">
        <f aca="false">R230/(T230+0.00001)</f>
        <v>#N/A</v>
      </c>
      <c r="W230" s="10" t="n">
        <f aca="false">S230/(U230+0.0001)</f>
        <v>13.7500964822595</v>
      </c>
      <c r="X230" s="60" t="n">
        <f aca="false">IF(Informed=1,K230,0)</f>
        <v>6.70718162788828</v>
      </c>
      <c r="Y230" s="60" t="n">
        <f aca="false">IF(Informed=0,K230,0)</f>
        <v>0</v>
      </c>
      <c r="Z230" s="60" t="n">
        <f aca="false">IF(Informed=1,N230,0)</f>
        <v>0</v>
      </c>
      <c r="AA230" s="60" t="n">
        <f aca="false">IF(Informed=0,N230,0)</f>
        <v>0</v>
      </c>
      <c r="AB230" s="64" t="n">
        <f aca="false">IF(Arterial=0,IF(Informed=1,1,0),0)</f>
        <v>1</v>
      </c>
      <c r="AC230" s="64" t="n">
        <f aca="false">IF(Arterial=0,IF(Informed=0,1,0),0)</f>
        <v>0</v>
      </c>
      <c r="AD230" s="64" t="n">
        <f aca="false">IF(Arterial=1,IF(Informed=1,1,0),0)</f>
        <v>0</v>
      </c>
      <c r="AE230" s="64" t="n">
        <f aca="false">IF(Arterial=1,IF(Informed=0,1,0),0)</f>
        <v>0</v>
      </c>
      <c r="AF230" s="57" t="n">
        <f aca="false">IF(AB230=1,(X230-G$1030)^2,0)</f>
        <v>44.986285389482</v>
      </c>
      <c r="AG230" s="57" t="n">
        <f aca="false">IF(AC230=1,(Y230-H$1030)^2,0)</f>
        <v>0</v>
      </c>
      <c r="AH230" s="57" t="n">
        <f aca="false">IF(AD230=1,(Z230-I$1030)^2,0)</f>
        <v>0</v>
      </c>
      <c r="AI230" s="57" t="n">
        <f aca="false">IF(AE230=1,(AA230-J$1030)^2,0)</f>
        <v>0</v>
      </c>
    </row>
    <row r="231" customFormat="false" ht="12" hidden="false" customHeight="false" outlineLevel="0" collapsed="false">
      <c r="A231" s="5" t="n">
        <v>214</v>
      </c>
      <c r="B231" s="58" t="n">
        <f aca="true">IF(RAND()&lt;$D$8,1,0)</f>
        <v>0</v>
      </c>
      <c r="C231" s="47" t="n">
        <f aca="true">-LN(RAND())/$D$2</f>
        <v>0.433162390845997</v>
      </c>
      <c r="D231" s="59" t="n">
        <f aca="false">D230+C231</f>
        <v>211.558391943264</v>
      </c>
      <c r="E231" s="60" t="n">
        <f aca="false">MAX($D$3,(1+P230-VLOOKUP(VALUE(D231),$J$18:$Q230,7,TRUE()))*$D$3)</f>
        <v>10</v>
      </c>
      <c r="F231" s="60" t="n">
        <f aca="false">MAX($D$4,(1+Q230-VLOOKUP(VALUE(D231),$M$18:$Q230,5,TRUE()))*$D$4)</f>
        <v>14</v>
      </c>
      <c r="G231" s="61" t="n">
        <v>0.5</v>
      </c>
      <c r="H231" s="59" t="n">
        <f aca="true">IF((B231=1),(IF((F231&lt;E231),1,(IF((F231=E231),(IF(RAND()&lt;G231,1,0)),0)))),(IF((RAND()&lt;G231),1,0)))</f>
        <v>0</v>
      </c>
      <c r="I231" s="59" t="n">
        <f aca="true">IF((H231=1),0,$D$3+$D$5*(RAND()-0.5))</f>
        <v>1.78426208316837</v>
      </c>
      <c r="J231" s="59" t="n">
        <f aca="false">I231+MAX(D231,J230)</f>
        <v>219.616673263475</v>
      </c>
      <c r="K231" s="59" t="n">
        <f aca="false">IF((H231=0),J231-D231,0)</f>
        <v>8.05828132021063</v>
      </c>
      <c r="L231" s="59" t="n">
        <f aca="true">IF(($H231=0),0,$D$4+$D$5*(RAND()-0.5))</f>
        <v>0</v>
      </c>
      <c r="M231" s="59" t="n">
        <f aca="false">L231+MAX(D231,M230)</f>
        <v>221.659739182361</v>
      </c>
      <c r="N231" s="59" t="n">
        <f aca="false">IF((H231=1),M231-D231,0)</f>
        <v>0</v>
      </c>
      <c r="O231" s="5" t="n">
        <v>214</v>
      </c>
      <c r="P231" s="62" t="n">
        <f aca="false">IF((Arterial=0),P230+1,P230)</f>
        <v>106</v>
      </c>
      <c r="Q231" s="62" t="n">
        <f aca="false">IF((Arterial=1),Q230+1,Q230)</f>
        <v>108</v>
      </c>
      <c r="R231" s="63" t="e">
        <f aca="false">IF((RESET=1),0,R231+K231)</f>
        <v>#N/A</v>
      </c>
      <c r="S231" s="10" t="n">
        <f aca="false">IF(RESET=1,0,S231+N231)</f>
        <v>305.650113133748</v>
      </c>
      <c r="T231" s="0" t="e">
        <f aca="false">IF(RESET=1,0,T231+IF(H231=0,1,0))</f>
        <v>#N/A</v>
      </c>
      <c r="U231" s="0" t="n">
        <f aca="false">IF(RESET=1,0,U231+H231)</f>
        <v>25</v>
      </c>
      <c r="V231" s="10" t="e">
        <f aca="false">R231/(T231+0.00001)</f>
        <v>#N/A</v>
      </c>
      <c r="W231" s="10" t="n">
        <f aca="false">S231/(U231+0.0001)</f>
        <v>12.2259556215274</v>
      </c>
      <c r="X231" s="60" t="n">
        <f aca="false">IF(Informed=1,K231,0)</f>
        <v>0</v>
      </c>
      <c r="Y231" s="60" t="n">
        <f aca="false">IF(Informed=0,K231,0)</f>
        <v>8.05828132021063</v>
      </c>
      <c r="Z231" s="60" t="n">
        <f aca="false">IF(Informed=1,N231,0)</f>
        <v>0</v>
      </c>
      <c r="AA231" s="60" t="n">
        <f aca="false">IF(Informed=0,N231,0)</f>
        <v>0</v>
      </c>
      <c r="AB231" s="64" t="n">
        <f aca="false">IF(Arterial=0,IF(Informed=1,1,0),0)</f>
        <v>0</v>
      </c>
      <c r="AC231" s="64" t="n">
        <f aca="false">IF(Arterial=0,IF(Informed=0,1,0),0)</f>
        <v>1</v>
      </c>
      <c r="AD231" s="64" t="n">
        <f aca="false">IF(Arterial=1,IF(Informed=1,1,0),0)</f>
        <v>0</v>
      </c>
      <c r="AE231" s="64" t="n">
        <f aca="false">IF(Arterial=1,IF(Informed=0,1,0),0)</f>
        <v>0</v>
      </c>
      <c r="AF231" s="57" t="n">
        <f aca="false">IF(AB231=1,(X231-G$1030)^2,0)</f>
        <v>0</v>
      </c>
      <c r="AG231" s="57" t="n">
        <f aca="false">IF(AC231=1,(Y231-H$1030)^2,0)</f>
        <v>64.9358978356555</v>
      </c>
      <c r="AH231" s="57" t="n">
        <f aca="false">IF(AD231=1,(Z231-I$1030)^2,0)</f>
        <v>0</v>
      </c>
      <c r="AI231" s="57" t="n">
        <f aca="false">IF(AE231=1,(AA231-J$1030)^2,0)</f>
        <v>0</v>
      </c>
    </row>
    <row r="232" customFormat="false" ht="12" hidden="false" customHeight="false" outlineLevel="0" collapsed="false">
      <c r="A232" s="5" t="n">
        <v>215</v>
      </c>
      <c r="B232" s="58" t="n">
        <f aca="true">IF(RAND()&lt;$D$8,1,0)</f>
        <v>0</v>
      </c>
      <c r="C232" s="47" t="n">
        <f aca="true">-LN(RAND())/$D$2</f>
        <v>0.00888447413852504</v>
      </c>
      <c r="D232" s="59" t="n">
        <f aca="false">D231+C232</f>
        <v>211.567276417403</v>
      </c>
      <c r="E232" s="60" t="n">
        <f aca="false">MAX($D$3,(1+P231-VLOOKUP(VALUE(D232),$J$18:$Q231,7,TRUE()))*$D$3)</f>
        <v>12</v>
      </c>
      <c r="F232" s="60" t="n">
        <f aca="false">MAX($D$4,(1+Q231-VLOOKUP(VALUE(D232),$M$18:$Q231,5,TRUE()))*$D$4)</f>
        <v>14</v>
      </c>
      <c r="G232" s="61" t="n">
        <v>0.5</v>
      </c>
      <c r="H232" s="59" t="n">
        <f aca="true">IF((B232=1),(IF((F232&lt;E232),1,(IF((F232=E232),(IF(RAND()&lt;G232,1,0)),0)))),(IF((RAND()&lt;G232),1,0)))</f>
        <v>1</v>
      </c>
      <c r="I232" s="59" t="n">
        <f aca="true">IF((H232=1),0,$D$3+$D$5*(RAND()-0.5))</f>
        <v>0</v>
      </c>
      <c r="J232" s="59" t="n">
        <f aca="false">I232+MAX(D232,J231)</f>
        <v>219.616673263475</v>
      </c>
      <c r="K232" s="59" t="n">
        <f aca="false">IF((H232=0),J232-D232,0)</f>
        <v>0</v>
      </c>
      <c r="L232" s="59" t="n">
        <f aca="true">IF(($H232=0),0,$D$4+$D$5*(RAND()-0.5))</f>
        <v>1.91573431014861</v>
      </c>
      <c r="M232" s="59" t="n">
        <f aca="false">L232+MAX(D232,M231)</f>
        <v>223.57547349251</v>
      </c>
      <c r="N232" s="59" t="n">
        <f aca="false">IF((H232=1),M232-D232,0)</f>
        <v>12.0081970751074</v>
      </c>
      <c r="O232" s="5" t="n">
        <v>215</v>
      </c>
      <c r="P232" s="62" t="n">
        <f aca="false">IF((Arterial=0),P231+1,P231)</f>
        <v>106</v>
      </c>
      <c r="Q232" s="62" t="n">
        <f aca="false">IF((Arterial=1),Q231+1,Q231)</f>
        <v>109</v>
      </c>
      <c r="R232" s="63" t="n">
        <f aca="false">IF((RESET=1),0,R232+K232)</f>
        <v>254.816038450727</v>
      </c>
      <c r="S232" s="10" t="e">
        <f aca="false">IF(RESET=1,0,S232+N232)</f>
        <v>#N/A</v>
      </c>
      <c r="T232" s="0" t="n">
        <f aca="false">IF(RESET=1,0,T232+IF(H232=0,1,0))</f>
        <v>19</v>
      </c>
      <c r="U232" s="0" t="e">
        <f aca="false">IF(RESET=1,0,U232+H232)</f>
        <v>#N/A</v>
      </c>
      <c r="V232" s="10" t="n">
        <f aca="false">R232/(T232+0.00001)</f>
        <v>13.4113633861628</v>
      </c>
      <c r="W232" s="10" t="e">
        <f aca="false">S232/(U232+0.0001)</f>
        <v>#N/A</v>
      </c>
      <c r="X232" s="60" t="n">
        <f aca="false">IF(Informed=1,K232,0)</f>
        <v>0</v>
      </c>
      <c r="Y232" s="60" t="n">
        <f aca="false">IF(Informed=0,K232,0)</f>
        <v>0</v>
      </c>
      <c r="Z232" s="60" t="n">
        <f aca="false">IF(Informed=1,N232,0)</f>
        <v>0</v>
      </c>
      <c r="AA232" s="60" t="n">
        <f aca="false">IF(Informed=0,N232,0)</f>
        <v>12.0081970751074</v>
      </c>
      <c r="AB232" s="64" t="n">
        <f aca="false">IF(Arterial=0,IF(Informed=1,1,0),0)</f>
        <v>0</v>
      </c>
      <c r="AC232" s="64" t="n">
        <f aca="false">IF(Arterial=0,IF(Informed=0,1,0),0)</f>
        <v>0</v>
      </c>
      <c r="AD232" s="64" t="n">
        <f aca="false">IF(Arterial=1,IF(Informed=1,1,0),0)</f>
        <v>0</v>
      </c>
      <c r="AE232" s="64" t="n">
        <f aca="false">IF(Arterial=1,IF(Informed=0,1,0),0)</f>
        <v>1</v>
      </c>
      <c r="AF232" s="57" t="n">
        <f aca="false">IF(AB232=1,(X232-G$1030)^2,0)</f>
        <v>0</v>
      </c>
      <c r="AG232" s="57" t="n">
        <f aca="false">IF(AC232=1,(Y232-H$1030)^2,0)</f>
        <v>0</v>
      </c>
      <c r="AH232" s="57" t="n">
        <f aca="false">IF(AD232=1,(Z232-I$1030)^2,0)</f>
        <v>0</v>
      </c>
      <c r="AI232" s="57" t="n">
        <f aca="false">IF(AE232=1,(AA232-J$1030)^2,0)</f>
        <v>144.196796994618</v>
      </c>
    </row>
    <row r="233" customFormat="false" ht="12" hidden="false" customHeight="false" outlineLevel="0" collapsed="false">
      <c r="A233" s="5" t="n">
        <v>216</v>
      </c>
      <c r="B233" s="58" t="n">
        <f aca="true">IF(RAND()&lt;$D$8,1,0)</f>
        <v>0</v>
      </c>
      <c r="C233" s="47" t="n">
        <f aca="true">-LN(RAND())/$D$2</f>
        <v>0.861374904007193</v>
      </c>
      <c r="D233" s="59" t="n">
        <f aca="false">D232+C233</f>
        <v>212.42865132141</v>
      </c>
      <c r="E233" s="60" t="n">
        <f aca="false">MAX($D$3,(1+P232-VLOOKUP(VALUE(D233),$J$18:$Q232,7,TRUE()))*$D$3)</f>
        <v>10</v>
      </c>
      <c r="F233" s="60" t="n">
        <f aca="false">MAX($D$4,(1+Q232-VLOOKUP(VALUE(D233),$M$18:$Q232,5,TRUE()))*$D$4)</f>
        <v>14</v>
      </c>
      <c r="G233" s="61" t="n">
        <v>0.5</v>
      </c>
      <c r="H233" s="59" t="n">
        <f aca="true">IF((B233=1),(IF((F233&lt;E233),1,(IF((F233=E233),(IF(RAND()&lt;G233,1,0)),0)))),(IF((RAND()&lt;G233),1,0)))</f>
        <v>0</v>
      </c>
      <c r="I233" s="59" t="n">
        <f aca="true">IF((H233=1),0,$D$3+$D$5*(RAND()-0.5))</f>
        <v>2.24153853380786</v>
      </c>
      <c r="J233" s="59" t="n">
        <f aca="false">I233+MAX(D233,J232)</f>
        <v>221.858211797282</v>
      </c>
      <c r="K233" s="59" t="n">
        <f aca="false">IF((H233=0),J233-D233,0)</f>
        <v>9.42956047587279</v>
      </c>
      <c r="L233" s="59" t="n">
        <f aca="true">IF(($H233=0),0,$D$4+$D$5*(RAND()-0.5))</f>
        <v>0</v>
      </c>
      <c r="M233" s="59" t="n">
        <f aca="false">L233+MAX(D233,M232)</f>
        <v>223.57547349251</v>
      </c>
      <c r="N233" s="59" t="n">
        <f aca="false">IF((H233=1),M233-D233,0)</f>
        <v>0</v>
      </c>
      <c r="O233" s="5" t="n">
        <v>216</v>
      </c>
      <c r="P233" s="62" t="n">
        <f aca="false">IF((Arterial=0),P232+1,P232)</f>
        <v>107</v>
      </c>
      <c r="Q233" s="62" t="n">
        <f aca="false">IF((Arterial=1),Q232+1,Q232)</f>
        <v>109</v>
      </c>
      <c r="R233" s="63" t="e">
        <f aca="false">IF((RESET=1),0,R233+K233)</f>
        <v>#N/A</v>
      </c>
      <c r="S233" s="10" t="n">
        <f aca="false">IF(RESET=1,0,S233+N233)</f>
        <v>385.230432668489</v>
      </c>
      <c r="T233" s="0" t="e">
        <f aca="false">IF(RESET=1,0,T233+IF(H233=0,1,0))</f>
        <v>#N/A</v>
      </c>
      <c r="U233" s="0" t="n">
        <f aca="false">IF(RESET=1,0,U233+H233)</f>
        <v>28</v>
      </c>
      <c r="V233" s="10" t="e">
        <f aca="false">R233/(T233+0.00001)</f>
        <v>#N/A</v>
      </c>
      <c r="W233" s="10" t="n">
        <f aca="false">S233/(U233+0.0001)</f>
        <v>13.758180601801</v>
      </c>
      <c r="X233" s="60" t="n">
        <f aca="false">IF(Informed=1,K233,0)</f>
        <v>0</v>
      </c>
      <c r="Y233" s="60" t="n">
        <f aca="false">IF(Informed=0,K233,0)</f>
        <v>9.42956047587279</v>
      </c>
      <c r="Z233" s="60" t="n">
        <f aca="false">IF(Informed=1,N233,0)</f>
        <v>0</v>
      </c>
      <c r="AA233" s="60" t="n">
        <f aca="false">IF(Informed=0,N233,0)</f>
        <v>0</v>
      </c>
      <c r="AB233" s="64" t="n">
        <f aca="false">IF(Arterial=0,IF(Informed=1,1,0),0)</f>
        <v>0</v>
      </c>
      <c r="AC233" s="64" t="n">
        <f aca="false">IF(Arterial=0,IF(Informed=0,1,0),0)</f>
        <v>1</v>
      </c>
      <c r="AD233" s="64" t="n">
        <f aca="false">IF(Arterial=1,IF(Informed=1,1,0),0)</f>
        <v>0</v>
      </c>
      <c r="AE233" s="64" t="n">
        <f aca="false">IF(Arterial=1,IF(Informed=0,1,0),0)</f>
        <v>0</v>
      </c>
      <c r="AF233" s="57" t="n">
        <f aca="false">IF(AB233=1,(X233-G$1030)^2,0)</f>
        <v>0</v>
      </c>
      <c r="AG233" s="57" t="n">
        <f aca="false">IF(AC233=1,(Y233-H$1030)^2,0)</f>
        <v>88.9166107681423</v>
      </c>
      <c r="AH233" s="57" t="n">
        <f aca="false">IF(AD233=1,(Z233-I$1030)^2,0)</f>
        <v>0</v>
      </c>
      <c r="AI233" s="57" t="n">
        <f aca="false">IF(AE233=1,(AA233-J$1030)^2,0)</f>
        <v>0</v>
      </c>
    </row>
    <row r="234" customFormat="false" ht="12" hidden="false" customHeight="false" outlineLevel="0" collapsed="false">
      <c r="A234" s="5" t="n">
        <v>217</v>
      </c>
      <c r="B234" s="58" t="n">
        <f aca="true">IF(RAND()&lt;$D$8,1,0)</f>
        <v>1</v>
      </c>
      <c r="C234" s="47" t="n">
        <f aca="true">-LN(RAND())/$D$2</f>
        <v>0.340297071760471</v>
      </c>
      <c r="D234" s="59" t="n">
        <f aca="false">D233+C234</f>
        <v>212.76894839317</v>
      </c>
      <c r="E234" s="60" t="n">
        <f aca="false">MAX($D$3,(1+P233-VLOOKUP(VALUE(D234),$J$18:$Q233,7,TRUE()))*$D$3)</f>
        <v>12</v>
      </c>
      <c r="F234" s="60" t="n">
        <f aca="false">MAX($D$4,(1+Q233-VLOOKUP(VALUE(D234),$M$18:$Q233,5,TRUE()))*$D$4)</f>
        <v>14</v>
      </c>
      <c r="G234" s="61" t="n">
        <v>0.5</v>
      </c>
      <c r="H234" s="59" t="n">
        <f aca="true">IF((B234=1),(IF((F234&lt;E234),1,(IF((F234=E234),(IF(RAND()&lt;G234,1,0)),0)))),(IF((RAND()&lt;G234),1,0)))</f>
        <v>0</v>
      </c>
      <c r="I234" s="59" t="n">
        <f aca="true">IF((H234=1),0,$D$3+$D$5*(RAND()-0.5))</f>
        <v>1.92766201041404</v>
      </c>
      <c r="J234" s="59" t="n">
        <f aca="false">I234+MAX(D234,J233)</f>
        <v>223.785873807697</v>
      </c>
      <c r="K234" s="59" t="n">
        <f aca="false">IF((H234=0),J234-D234,0)</f>
        <v>11.0169254145264</v>
      </c>
      <c r="L234" s="59" t="n">
        <f aca="true">IF(($H234=0),0,$D$4+$D$5*(RAND()-0.5))</f>
        <v>0</v>
      </c>
      <c r="M234" s="59" t="n">
        <f aca="false">L234+MAX(D234,M233)</f>
        <v>223.57547349251</v>
      </c>
      <c r="N234" s="59" t="n">
        <f aca="false">IF((H234=1),M234-D234,0)</f>
        <v>0</v>
      </c>
      <c r="O234" s="5" t="n">
        <v>217</v>
      </c>
      <c r="P234" s="62" t="n">
        <f aca="false">IF((Arterial=0),P233+1,P233)</f>
        <v>108</v>
      </c>
      <c r="Q234" s="62" t="n">
        <f aca="false">IF((Arterial=1),Q233+1,Q233)</f>
        <v>109</v>
      </c>
      <c r="R234" s="63" t="e">
        <f aca="false">IF((RESET=1),0,R234+K234)</f>
        <v>#N/A</v>
      </c>
      <c r="S234" s="10" t="n">
        <f aca="false">IF(RESET=1,0,S234+N234)</f>
        <v>354.481950379785</v>
      </c>
      <c r="T234" s="0" t="e">
        <f aca="false">IF(RESET=1,0,T234+IF(H234=0,1,0))</f>
        <v>#N/A</v>
      </c>
      <c r="U234" s="0" t="n">
        <f aca="false">IF(RESET=1,0,U234+H234)</f>
        <v>24</v>
      </c>
      <c r="V234" s="10" t="e">
        <f aca="false">R234/(T234+0.00001)</f>
        <v>#N/A</v>
      </c>
      <c r="W234" s="10" t="n">
        <f aca="false">S234/(U234+0.0001)</f>
        <v>14.7700197240755</v>
      </c>
      <c r="X234" s="60" t="n">
        <f aca="false">IF(Informed=1,K234,0)</f>
        <v>11.0169254145264</v>
      </c>
      <c r="Y234" s="60" t="n">
        <f aca="false">IF(Informed=0,K234,0)</f>
        <v>0</v>
      </c>
      <c r="Z234" s="60" t="n">
        <f aca="false">IF(Informed=1,N234,0)</f>
        <v>0</v>
      </c>
      <c r="AA234" s="60" t="n">
        <f aca="false">IF(Informed=0,N234,0)</f>
        <v>0</v>
      </c>
      <c r="AB234" s="64" t="n">
        <f aca="false">IF(Arterial=0,IF(Informed=1,1,0),0)</f>
        <v>1</v>
      </c>
      <c r="AC234" s="64" t="n">
        <f aca="false">IF(Arterial=0,IF(Informed=0,1,0),0)</f>
        <v>0</v>
      </c>
      <c r="AD234" s="64" t="n">
        <f aca="false">IF(Arterial=1,IF(Informed=1,1,0),0)</f>
        <v>0</v>
      </c>
      <c r="AE234" s="64" t="n">
        <f aca="false">IF(Arterial=1,IF(Informed=0,1,0),0)</f>
        <v>0</v>
      </c>
      <c r="AF234" s="57" t="n">
        <f aca="false">IF(AB234=1,(X234-G$1030)^2,0)</f>
        <v>121.372645589237</v>
      </c>
      <c r="AG234" s="57" t="n">
        <f aca="false">IF(AC234=1,(Y234-H$1030)^2,0)</f>
        <v>0</v>
      </c>
      <c r="AH234" s="57" t="n">
        <f aca="false">IF(AD234=1,(Z234-I$1030)^2,0)</f>
        <v>0</v>
      </c>
      <c r="AI234" s="57" t="n">
        <f aca="false">IF(AE234=1,(AA234-J$1030)^2,0)</f>
        <v>0</v>
      </c>
    </row>
    <row r="235" customFormat="false" ht="12" hidden="false" customHeight="false" outlineLevel="0" collapsed="false">
      <c r="A235" s="5" t="n">
        <v>218</v>
      </c>
      <c r="B235" s="58" t="n">
        <f aca="true">IF(RAND()&lt;$D$8,1,0)</f>
        <v>1</v>
      </c>
      <c r="C235" s="47" t="n">
        <f aca="true">-LN(RAND())/$D$2</f>
        <v>0.836120811889451</v>
      </c>
      <c r="D235" s="59" t="n">
        <f aca="false">D234+C235</f>
        <v>213.60506920506</v>
      </c>
      <c r="E235" s="60" t="n">
        <f aca="false">MAX($D$3,(1+P234-VLOOKUP(VALUE(D235),$J$18:$Q234,7,TRUE()))*$D$3)</f>
        <v>14</v>
      </c>
      <c r="F235" s="60" t="n">
        <f aca="false">MAX($D$4,(1+Q234-VLOOKUP(VALUE(D235),$M$18:$Q234,5,TRUE()))*$D$4)</f>
        <v>14</v>
      </c>
      <c r="G235" s="61" t="n">
        <v>0.5</v>
      </c>
      <c r="H235" s="59" t="n">
        <f aca="true">IF((B235=1),(IF((F235&lt;E235),1,(IF((F235=E235),(IF(RAND()&lt;G235,1,0)),0)))),(IF((RAND()&lt;G235),1,0)))</f>
        <v>0</v>
      </c>
      <c r="I235" s="59" t="n">
        <f aca="true">IF((H235=1),0,$D$3+$D$5*(RAND()-0.5))</f>
        <v>1.88441507835009</v>
      </c>
      <c r="J235" s="59" t="n">
        <f aca="false">I235+MAX(D235,J234)</f>
        <v>225.670288886047</v>
      </c>
      <c r="K235" s="59" t="n">
        <f aca="false">IF((H235=0),J235-D235,0)</f>
        <v>12.065219680987</v>
      </c>
      <c r="L235" s="59" t="n">
        <f aca="true">IF(($H235=0),0,$D$4+$D$5*(RAND()-0.5))</f>
        <v>0</v>
      </c>
      <c r="M235" s="59" t="n">
        <f aca="false">L235+MAX(D235,M234)</f>
        <v>223.57547349251</v>
      </c>
      <c r="N235" s="59" t="n">
        <f aca="false">IF((H235=1),M235-D235,0)</f>
        <v>0</v>
      </c>
      <c r="O235" s="5" t="n">
        <v>218</v>
      </c>
      <c r="P235" s="62" t="n">
        <f aca="false">IF((Arterial=0),P234+1,P234)</f>
        <v>109</v>
      </c>
      <c r="Q235" s="62" t="n">
        <f aca="false">IF((Arterial=1),Q234+1,Q234)</f>
        <v>109</v>
      </c>
      <c r="R235" s="63" t="e">
        <f aca="false">IF((RESET=1),0,R235+K235)</f>
        <v>#N/A</v>
      </c>
      <c r="S235" s="10" t="n">
        <f aca="false">IF(RESET=1,0,S235+N235)</f>
        <v>350.987894235823</v>
      </c>
      <c r="T235" s="0" t="e">
        <f aca="false">IF(RESET=1,0,T235+IF(H235=0,1,0))</f>
        <v>#N/A</v>
      </c>
      <c r="U235" s="0" t="n">
        <f aca="false">IF(RESET=1,0,U235+H235)</f>
        <v>26</v>
      </c>
      <c r="V235" s="10" t="e">
        <f aca="false">R235/(T235+0.00001)</f>
        <v>#N/A</v>
      </c>
      <c r="W235" s="10" t="n">
        <f aca="false">S235/(U235+0.0001)</f>
        <v>13.4994824725991</v>
      </c>
      <c r="X235" s="60" t="n">
        <f aca="false">IF(Informed=1,K235,0)</f>
        <v>12.065219680987</v>
      </c>
      <c r="Y235" s="60" t="n">
        <f aca="false">IF(Informed=0,K235,0)</f>
        <v>0</v>
      </c>
      <c r="Z235" s="60" t="n">
        <f aca="false">IF(Informed=1,N235,0)</f>
        <v>0</v>
      </c>
      <c r="AA235" s="60" t="n">
        <f aca="false">IF(Informed=0,N235,0)</f>
        <v>0</v>
      </c>
      <c r="AB235" s="64" t="n">
        <f aca="false">IF(Arterial=0,IF(Informed=1,1,0),0)</f>
        <v>1</v>
      </c>
      <c r="AC235" s="64" t="n">
        <f aca="false">IF(Arterial=0,IF(Informed=0,1,0),0)</f>
        <v>0</v>
      </c>
      <c r="AD235" s="64" t="n">
        <f aca="false">IF(Arterial=1,IF(Informed=1,1,0),0)</f>
        <v>0</v>
      </c>
      <c r="AE235" s="64" t="n">
        <f aca="false">IF(Arterial=1,IF(Informed=0,1,0),0)</f>
        <v>0</v>
      </c>
      <c r="AF235" s="57" t="n">
        <f aca="false">IF(AB235=1,(X235-G$1030)^2,0)</f>
        <v>145.569525950476</v>
      </c>
      <c r="AG235" s="57" t="n">
        <f aca="false">IF(AC235=1,(Y235-H$1030)^2,0)</f>
        <v>0</v>
      </c>
      <c r="AH235" s="57" t="n">
        <f aca="false">IF(AD235=1,(Z235-I$1030)^2,0)</f>
        <v>0</v>
      </c>
      <c r="AI235" s="57" t="n">
        <f aca="false">IF(AE235=1,(AA235-J$1030)^2,0)</f>
        <v>0</v>
      </c>
    </row>
    <row r="236" customFormat="false" ht="12" hidden="false" customHeight="false" outlineLevel="0" collapsed="false">
      <c r="A236" s="5" t="n">
        <v>219</v>
      </c>
      <c r="B236" s="58" t="n">
        <f aca="true">IF(RAND()&lt;$D$8,1,0)</f>
        <v>0</v>
      </c>
      <c r="C236" s="47" t="n">
        <f aca="true">-LN(RAND())/$D$2</f>
        <v>0.691696921824888</v>
      </c>
      <c r="D236" s="59" t="n">
        <f aca="false">D235+C236</f>
        <v>214.296766126885</v>
      </c>
      <c r="E236" s="60" t="n">
        <f aca="false">MAX($D$3,(1+P235-VLOOKUP(VALUE(D236),$J$18:$Q235,7,TRUE()))*$D$3)</f>
        <v>14</v>
      </c>
      <c r="F236" s="60" t="n">
        <f aca="false">MAX($D$4,(1+Q235-VLOOKUP(VALUE(D236),$M$18:$Q235,5,TRUE()))*$D$4)</f>
        <v>12</v>
      </c>
      <c r="G236" s="61" t="n">
        <v>0.5</v>
      </c>
      <c r="H236" s="59" t="n">
        <f aca="true">IF((B236=1),(IF((F236&lt;E236),1,(IF((F236=E236),(IF(RAND()&lt;G236,1,0)),0)))),(IF((RAND()&lt;G236),1,0)))</f>
        <v>1</v>
      </c>
      <c r="I236" s="59" t="n">
        <f aca="true">IF((H236=1),0,$D$3+$D$5*(RAND()-0.5))</f>
        <v>0</v>
      </c>
      <c r="J236" s="59" t="n">
        <f aca="false">I236+MAX(D236,J235)</f>
        <v>225.670288886047</v>
      </c>
      <c r="K236" s="59" t="n">
        <f aca="false">IF((H236=0),J236-D236,0)</f>
        <v>0</v>
      </c>
      <c r="L236" s="59" t="n">
        <f aca="true">IF(($H236=0),0,$D$4+$D$5*(RAND()-0.5))</f>
        <v>2.21265893234787</v>
      </c>
      <c r="M236" s="59" t="n">
        <f aca="false">L236+MAX(D236,M235)</f>
        <v>225.788132424858</v>
      </c>
      <c r="N236" s="59" t="n">
        <f aca="false">IF((H236=1),M236-D236,0)</f>
        <v>11.4913662979733</v>
      </c>
      <c r="O236" s="5" t="n">
        <v>219</v>
      </c>
      <c r="P236" s="62" t="n">
        <f aca="false">IF((Arterial=0),P235+1,P235)</f>
        <v>109</v>
      </c>
      <c r="Q236" s="62" t="n">
        <f aca="false">IF((Arterial=1),Q235+1,Q235)</f>
        <v>110</v>
      </c>
      <c r="R236" s="63" t="n">
        <f aca="false">IF((RESET=1),0,R236+K236)</f>
        <v>419.421308154333</v>
      </c>
      <c r="S236" s="10" t="e">
        <f aca="false">IF(RESET=1,0,S236+N236)</f>
        <v>#N/A</v>
      </c>
      <c r="T236" s="0" t="n">
        <f aca="false">IF(RESET=1,0,T236+IF(H236=0,1,0))</f>
        <v>32</v>
      </c>
      <c r="U236" s="0" t="e">
        <f aca="false">IF(RESET=1,0,U236+H236)</f>
        <v>#N/A</v>
      </c>
      <c r="V236" s="10" t="n">
        <f aca="false">R236/(T236+0.00001)</f>
        <v>13.106911783913</v>
      </c>
      <c r="W236" s="10" t="e">
        <f aca="false">S236/(U236+0.0001)</f>
        <v>#N/A</v>
      </c>
      <c r="X236" s="60" t="n">
        <f aca="false">IF(Informed=1,K236,0)</f>
        <v>0</v>
      </c>
      <c r="Y236" s="60" t="n">
        <f aca="false">IF(Informed=0,K236,0)</f>
        <v>0</v>
      </c>
      <c r="Z236" s="60" t="n">
        <f aca="false">IF(Informed=1,N236,0)</f>
        <v>0</v>
      </c>
      <c r="AA236" s="60" t="n">
        <f aca="false">IF(Informed=0,N236,0)</f>
        <v>11.4913662979733</v>
      </c>
      <c r="AB236" s="64" t="n">
        <f aca="false">IF(Arterial=0,IF(Informed=1,1,0),0)</f>
        <v>0</v>
      </c>
      <c r="AC236" s="64" t="n">
        <f aca="false">IF(Arterial=0,IF(Informed=0,1,0),0)</f>
        <v>0</v>
      </c>
      <c r="AD236" s="64" t="n">
        <f aca="false">IF(Arterial=1,IF(Informed=1,1,0),0)</f>
        <v>0</v>
      </c>
      <c r="AE236" s="64" t="n">
        <f aca="false">IF(Arterial=1,IF(Informed=0,1,0),0)</f>
        <v>1</v>
      </c>
      <c r="AF236" s="57" t="n">
        <f aca="false">IF(AB236=1,(X236-G$1030)^2,0)</f>
        <v>0</v>
      </c>
      <c r="AG236" s="57" t="n">
        <f aca="false">IF(AC236=1,(Y236-H$1030)^2,0)</f>
        <v>0</v>
      </c>
      <c r="AH236" s="57" t="n">
        <f aca="false">IF(AD236=1,(Z236-I$1030)^2,0)</f>
        <v>0</v>
      </c>
      <c r="AI236" s="57" t="n">
        <f aca="false">IF(AE236=1,(AA236-J$1030)^2,0)</f>
        <v>132.051499394196</v>
      </c>
    </row>
    <row r="237" customFormat="false" ht="12" hidden="false" customHeight="false" outlineLevel="0" collapsed="false">
      <c r="A237" s="5" t="n">
        <v>220</v>
      </c>
      <c r="B237" s="58" t="n">
        <f aca="true">IF(RAND()&lt;$D$8,1,0)</f>
        <v>1</v>
      </c>
      <c r="C237" s="47" t="n">
        <f aca="true">-LN(RAND())/$D$2</f>
        <v>0.770177082658311</v>
      </c>
      <c r="D237" s="59" t="n">
        <f aca="false">D236+C237</f>
        <v>215.066943209543</v>
      </c>
      <c r="E237" s="60" t="n">
        <f aca="false">MAX($D$3,(1+P236-VLOOKUP(VALUE(D237),$J$18:$Q236,7,TRUE()))*$D$3)</f>
        <v>14</v>
      </c>
      <c r="F237" s="60" t="n">
        <f aca="false">MAX($D$4,(1+Q236-VLOOKUP(VALUE(D237),$M$18:$Q236,5,TRUE()))*$D$4)</f>
        <v>14</v>
      </c>
      <c r="G237" s="61" t="n">
        <v>0.5</v>
      </c>
      <c r="H237" s="59" t="n">
        <f aca="true">IF((B237=1),(IF((F237&lt;E237),1,(IF((F237=E237),(IF(RAND()&lt;G237,1,0)),0)))),(IF((RAND()&lt;G237),1,0)))</f>
        <v>0</v>
      </c>
      <c r="I237" s="59" t="n">
        <f aca="true">IF((H237=1),0,$D$3+$D$5*(RAND()-0.5))</f>
        <v>2.15797669305292</v>
      </c>
      <c r="J237" s="59" t="n">
        <f aca="false">I237+MAX(D237,J236)</f>
        <v>227.8282655791</v>
      </c>
      <c r="K237" s="59" t="n">
        <f aca="false">IF((H237=0),J237-D237,0)</f>
        <v>12.7613223695567</v>
      </c>
      <c r="L237" s="59" t="n">
        <f aca="true">IF(($H237=0),0,$D$4+$D$5*(RAND()-0.5))</f>
        <v>0</v>
      </c>
      <c r="M237" s="59" t="n">
        <f aca="false">L237+MAX(D237,M236)</f>
        <v>225.788132424858</v>
      </c>
      <c r="N237" s="59" t="n">
        <f aca="false">IF((H237=1),M237-D237,0)</f>
        <v>0</v>
      </c>
      <c r="O237" s="5" t="n">
        <v>220</v>
      </c>
      <c r="P237" s="62" t="n">
        <f aca="false">IF((Arterial=0),P236+1,P236)</f>
        <v>110</v>
      </c>
      <c r="Q237" s="62" t="n">
        <f aca="false">IF((Arterial=1),Q236+1,Q236)</f>
        <v>110</v>
      </c>
      <c r="R237" s="63" t="e">
        <f aca="false">IF((RESET=1),0,R237+K237)</f>
        <v>#N/A</v>
      </c>
      <c r="S237" s="10" t="n">
        <f aca="false">IF(RESET=1,0,S237+N237)</f>
        <v>537.580143913131</v>
      </c>
      <c r="T237" s="0" t="e">
        <f aca="false">IF(RESET=1,0,T237+IF(H237=0,1,0))</f>
        <v>#N/A</v>
      </c>
      <c r="U237" s="0" t="n">
        <f aca="false">IF(RESET=1,0,U237+H237)</f>
        <v>37</v>
      </c>
      <c r="V237" s="10" t="e">
        <f aca="false">R237/(T237+0.00001)</f>
        <v>#N/A</v>
      </c>
      <c r="W237" s="10" t="n">
        <f aca="false">S237/(U237+0.0001)</f>
        <v>14.52915381075</v>
      </c>
      <c r="X237" s="60" t="n">
        <f aca="false">IF(Informed=1,K237,0)</f>
        <v>12.7613223695567</v>
      </c>
      <c r="Y237" s="60" t="n">
        <f aca="false">IF(Informed=0,K237,0)</f>
        <v>0</v>
      </c>
      <c r="Z237" s="60" t="n">
        <f aca="false">IF(Informed=1,N237,0)</f>
        <v>0</v>
      </c>
      <c r="AA237" s="60" t="n">
        <f aca="false">IF(Informed=0,N237,0)</f>
        <v>0</v>
      </c>
      <c r="AB237" s="64" t="n">
        <f aca="false">IF(Arterial=0,IF(Informed=1,1,0),0)</f>
        <v>1</v>
      </c>
      <c r="AC237" s="64" t="n">
        <f aca="false">IF(Arterial=0,IF(Informed=0,1,0),0)</f>
        <v>0</v>
      </c>
      <c r="AD237" s="64" t="n">
        <f aca="false">IF(Arterial=1,IF(Informed=1,1,0),0)</f>
        <v>0</v>
      </c>
      <c r="AE237" s="64" t="n">
        <f aca="false">IF(Arterial=1,IF(Informed=0,1,0),0)</f>
        <v>0</v>
      </c>
      <c r="AF237" s="57" t="n">
        <f aca="false">IF(AB237=1,(X237-G$1030)^2,0)</f>
        <v>162.851348619749</v>
      </c>
      <c r="AG237" s="57" t="n">
        <f aca="false">IF(AC237=1,(Y237-H$1030)^2,0)</f>
        <v>0</v>
      </c>
      <c r="AH237" s="57" t="n">
        <f aca="false">IF(AD237=1,(Z237-I$1030)^2,0)</f>
        <v>0</v>
      </c>
      <c r="AI237" s="57" t="n">
        <f aca="false">IF(AE237=1,(AA237-J$1030)^2,0)</f>
        <v>0</v>
      </c>
    </row>
    <row r="238" customFormat="false" ht="12" hidden="false" customHeight="false" outlineLevel="0" collapsed="false">
      <c r="A238" s="5" t="n">
        <v>221</v>
      </c>
      <c r="B238" s="58" t="n">
        <f aca="true">IF(RAND()&lt;$D$8,1,0)</f>
        <v>1</v>
      </c>
      <c r="C238" s="47" t="n">
        <f aca="true">-LN(RAND())/$D$2</f>
        <v>0.0506248468068655</v>
      </c>
      <c r="D238" s="59" t="n">
        <f aca="false">D237+C238</f>
        <v>215.11756805635</v>
      </c>
      <c r="E238" s="60" t="n">
        <f aca="false">MAX($D$3,(1+P237-VLOOKUP(VALUE(D238),$J$18:$Q237,7,TRUE()))*$D$3)</f>
        <v>16</v>
      </c>
      <c r="F238" s="60" t="n">
        <f aca="false">MAX($D$4,(1+Q237-VLOOKUP(VALUE(D238),$M$18:$Q237,5,TRUE()))*$D$4)</f>
        <v>14</v>
      </c>
      <c r="G238" s="61" t="n">
        <v>0.5</v>
      </c>
      <c r="H238" s="59" t="n">
        <f aca="true">IF((B238=1),(IF((F238&lt;E238),1,(IF((F238=E238),(IF(RAND()&lt;G238,1,0)),0)))),(IF((RAND()&lt;G238),1,0)))</f>
        <v>1</v>
      </c>
      <c r="I238" s="59" t="n">
        <f aca="true">IF((H238=1),0,$D$3+$D$5*(RAND()-0.5))</f>
        <v>0</v>
      </c>
      <c r="J238" s="59" t="n">
        <f aca="false">I238+MAX(D238,J237)</f>
        <v>227.8282655791</v>
      </c>
      <c r="K238" s="59" t="n">
        <f aca="false">IF((H238=0),J238-D238,0)</f>
        <v>0</v>
      </c>
      <c r="L238" s="59" t="n">
        <f aca="true">IF(($H238=0),0,$D$4+$D$5*(RAND()-0.5))</f>
        <v>1.76968371354927</v>
      </c>
      <c r="M238" s="59" t="n">
        <f aca="false">L238+MAX(D238,M237)</f>
        <v>227.557816138407</v>
      </c>
      <c r="N238" s="59" t="n">
        <f aca="false">IF((H238=1),M238-D238,0)</f>
        <v>12.4402480820573</v>
      </c>
      <c r="O238" s="5" t="n">
        <v>221</v>
      </c>
      <c r="P238" s="62" t="n">
        <f aca="false">IF((Arterial=0),P237+1,P237)</f>
        <v>110</v>
      </c>
      <c r="Q238" s="62" t="n">
        <f aca="false">IF((Arterial=1),Q237+1,Q237)</f>
        <v>111</v>
      </c>
      <c r="R238" s="63" t="n">
        <f aca="false">IF((RESET=1),0,R238+K238)</f>
        <v>492.046797671546</v>
      </c>
      <c r="S238" s="10" t="e">
        <f aca="false">IF(RESET=1,0,S238+N238)</f>
        <v>#N/A</v>
      </c>
      <c r="T238" s="0" t="n">
        <f aca="false">IF(RESET=1,0,T238+IF(H238=0,1,0))</f>
        <v>32</v>
      </c>
      <c r="U238" s="0" t="e">
        <f aca="false">IF(RESET=1,0,U238+H238)</f>
        <v>#N/A</v>
      </c>
      <c r="V238" s="10" t="n">
        <f aca="false">R238/(T238+0.00001)</f>
        <v>15.3764576220928</v>
      </c>
      <c r="W238" s="10" t="e">
        <f aca="false">S238/(U238+0.0001)</f>
        <v>#N/A</v>
      </c>
      <c r="X238" s="60" t="n">
        <f aca="false">IF(Informed=1,K238,0)</f>
        <v>0</v>
      </c>
      <c r="Y238" s="60" t="n">
        <f aca="false">IF(Informed=0,K238,0)</f>
        <v>0</v>
      </c>
      <c r="Z238" s="60" t="n">
        <f aca="false">IF(Informed=1,N238,0)</f>
        <v>12.4402480820573</v>
      </c>
      <c r="AA238" s="60" t="n">
        <f aca="false">IF(Informed=0,N238,0)</f>
        <v>0</v>
      </c>
      <c r="AB238" s="64" t="n">
        <f aca="false">IF(Arterial=0,IF(Informed=1,1,0),0)</f>
        <v>0</v>
      </c>
      <c r="AC238" s="64" t="n">
        <f aca="false">IF(Arterial=0,IF(Informed=0,1,0),0)</f>
        <v>0</v>
      </c>
      <c r="AD238" s="64" t="n">
        <f aca="false">IF(Arterial=1,IF(Informed=1,1,0),0)</f>
        <v>1</v>
      </c>
      <c r="AE238" s="64" t="n">
        <f aca="false">IF(Arterial=1,IF(Informed=0,1,0),0)</f>
        <v>0</v>
      </c>
      <c r="AF238" s="57" t="n">
        <f aca="false">IF(AB238=1,(X238-G$1030)^2,0)</f>
        <v>0</v>
      </c>
      <c r="AG238" s="57" t="n">
        <f aca="false">IF(AC238=1,(Y238-H$1030)^2,0)</f>
        <v>0</v>
      </c>
      <c r="AH238" s="57" t="n">
        <f aca="false">IF(AD238=1,(Z238-I$1030)^2,0)</f>
        <v>154.759772343131</v>
      </c>
      <c r="AI238" s="57" t="n">
        <f aca="false">IF(AE238=1,(AA238-J$1030)^2,0)</f>
        <v>0</v>
      </c>
    </row>
    <row r="239" customFormat="false" ht="12" hidden="false" customHeight="false" outlineLevel="0" collapsed="false">
      <c r="A239" s="5" t="n">
        <v>222</v>
      </c>
      <c r="B239" s="58" t="n">
        <f aca="true">IF(RAND()&lt;$D$8,1,0)</f>
        <v>1</v>
      </c>
      <c r="C239" s="47" t="n">
        <f aca="true">-LN(RAND())/$D$2</f>
        <v>1.22942718446332</v>
      </c>
      <c r="D239" s="59" t="n">
        <f aca="false">D238+C239</f>
        <v>216.346995240813</v>
      </c>
      <c r="E239" s="60" t="n">
        <f aca="false">MAX($D$3,(1+P238-VLOOKUP(VALUE(D239),$J$18:$Q238,7,TRUE()))*$D$3)</f>
        <v>14</v>
      </c>
      <c r="F239" s="60" t="n">
        <f aca="false">MAX($D$4,(1+Q238-VLOOKUP(VALUE(D239),$M$18:$Q238,5,TRUE()))*$D$4)</f>
        <v>14</v>
      </c>
      <c r="G239" s="61" t="n">
        <v>0.5</v>
      </c>
      <c r="H239" s="59" t="n">
        <f aca="true">IF((B239=1),(IF((F239&lt;E239),1,(IF((F239=E239),(IF(RAND()&lt;G239,1,0)),0)))),(IF((RAND()&lt;G239),1,0)))</f>
        <v>1</v>
      </c>
      <c r="I239" s="59" t="n">
        <f aca="true">IF((H239=1),0,$D$3+$D$5*(RAND()-0.5))</f>
        <v>0</v>
      </c>
      <c r="J239" s="59" t="n">
        <f aca="false">I239+MAX(D239,J238)</f>
        <v>227.8282655791</v>
      </c>
      <c r="K239" s="59" t="n">
        <f aca="false">IF((H239=0),J239-D239,0)</f>
        <v>0</v>
      </c>
      <c r="L239" s="59" t="n">
        <f aca="true">IF(($H239=0),0,$D$4+$D$5*(RAND()-0.5))</f>
        <v>1.80915071239028</v>
      </c>
      <c r="M239" s="59" t="n">
        <f aca="false">L239+MAX(D239,M238)</f>
        <v>229.366966850797</v>
      </c>
      <c r="N239" s="59" t="n">
        <f aca="false">IF((H239=1),M239-D239,0)</f>
        <v>13.0199716099843</v>
      </c>
      <c r="O239" s="5" t="n">
        <v>222</v>
      </c>
      <c r="P239" s="62" t="n">
        <f aca="false">IF((Arterial=0),P238+1,P238)</f>
        <v>110</v>
      </c>
      <c r="Q239" s="62" t="n">
        <f aca="false">IF((Arterial=1),Q238+1,Q238)</f>
        <v>112</v>
      </c>
      <c r="R239" s="63" t="n">
        <f aca="false">IF((RESET=1),0,R239+K239)</f>
        <v>275.440111307157</v>
      </c>
      <c r="S239" s="10" t="e">
        <f aca="false">IF(RESET=1,0,S239+N239)</f>
        <v>#N/A</v>
      </c>
      <c r="T239" s="0" t="n">
        <f aca="false">IF(RESET=1,0,T239+IF(H239=0,1,0))</f>
        <v>23</v>
      </c>
      <c r="U239" s="0" t="e">
        <f aca="false">IF(RESET=1,0,U239+H239)</f>
        <v>#N/A</v>
      </c>
      <c r="V239" s="10" t="n">
        <f aca="false">R239/(T239+0.00001)</f>
        <v>11.9756518065495</v>
      </c>
      <c r="W239" s="10" t="e">
        <f aca="false">S239/(U239+0.0001)</f>
        <v>#N/A</v>
      </c>
      <c r="X239" s="60" t="n">
        <f aca="false">IF(Informed=1,K239,0)</f>
        <v>0</v>
      </c>
      <c r="Y239" s="60" t="n">
        <f aca="false">IF(Informed=0,K239,0)</f>
        <v>0</v>
      </c>
      <c r="Z239" s="60" t="n">
        <f aca="false">IF(Informed=1,N239,0)</f>
        <v>13.0199716099843</v>
      </c>
      <c r="AA239" s="60" t="n">
        <f aca="false">IF(Informed=0,N239,0)</f>
        <v>0</v>
      </c>
      <c r="AB239" s="64" t="n">
        <f aca="false">IF(Arterial=0,IF(Informed=1,1,0),0)</f>
        <v>0</v>
      </c>
      <c r="AC239" s="64" t="n">
        <f aca="false">IF(Arterial=0,IF(Informed=0,1,0),0)</f>
        <v>0</v>
      </c>
      <c r="AD239" s="64" t="n">
        <f aca="false">IF(Arterial=1,IF(Informed=1,1,0),0)</f>
        <v>1</v>
      </c>
      <c r="AE239" s="64" t="n">
        <f aca="false">IF(Arterial=1,IF(Informed=0,1,0),0)</f>
        <v>0</v>
      </c>
      <c r="AF239" s="57" t="n">
        <f aca="false">IF(AB239=1,(X239-G$1030)^2,0)</f>
        <v>0</v>
      </c>
      <c r="AG239" s="57" t="n">
        <f aca="false">IF(AC239=1,(Y239-H$1030)^2,0)</f>
        <v>0</v>
      </c>
      <c r="AH239" s="57" t="n">
        <f aca="false">IF(AD239=1,(Z239-I$1030)^2,0)</f>
        <v>169.519660724797</v>
      </c>
      <c r="AI239" s="57" t="n">
        <f aca="false">IF(AE239=1,(AA239-J$1030)^2,0)</f>
        <v>0</v>
      </c>
    </row>
    <row r="240" customFormat="false" ht="12" hidden="false" customHeight="false" outlineLevel="0" collapsed="false">
      <c r="A240" s="5" t="n">
        <v>223</v>
      </c>
      <c r="B240" s="58" t="n">
        <f aca="true">IF(RAND()&lt;$D$8,1,0)</f>
        <v>1</v>
      </c>
      <c r="C240" s="47" t="n">
        <f aca="true">-LN(RAND())/$D$2</f>
        <v>0.0105356572204688</v>
      </c>
      <c r="D240" s="59" t="n">
        <f aca="false">D239+C240</f>
        <v>216.357530898033</v>
      </c>
      <c r="E240" s="60" t="n">
        <f aca="false">MAX($D$3,(1+P239-VLOOKUP(VALUE(D240),$J$18:$Q239,7,TRUE()))*$D$3)</f>
        <v>14</v>
      </c>
      <c r="F240" s="60" t="n">
        <f aca="false">MAX($D$4,(1+Q239-VLOOKUP(VALUE(D240),$M$18:$Q239,5,TRUE()))*$D$4)</f>
        <v>16</v>
      </c>
      <c r="G240" s="61" t="n">
        <v>0.5</v>
      </c>
      <c r="H240" s="59" t="n">
        <f aca="true">IF((B240=1),(IF((F240&lt;E240),1,(IF((F240=E240),(IF(RAND()&lt;G240,1,0)),0)))),(IF((RAND()&lt;G240),1,0)))</f>
        <v>0</v>
      </c>
      <c r="I240" s="59" t="n">
        <f aca="true">IF((H240=1),0,$D$3+$D$5*(RAND()-0.5))</f>
        <v>1.85975435770528</v>
      </c>
      <c r="J240" s="59" t="n">
        <f aca="false">I240+MAX(D240,J239)</f>
        <v>229.688019936805</v>
      </c>
      <c r="K240" s="59" t="n">
        <f aca="false">IF((H240=0),J240-D240,0)</f>
        <v>13.3304890387714</v>
      </c>
      <c r="L240" s="59" t="n">
        <f aca="true">IF(($H240=0),0,$D$4+$D$5*(RAND()-0.5))</f>
        <v>0</v>
      </c>
      <c r="M240" s="59" t="n">
        <f aca="false">L240+MAX(D240,M239)</f>
        <v>229.366966850797</v>
      </c>
      <c r="N240" s="59" t="n">
        <f aca="false">IF((H240=1),M240-D240,0)</f>
        <v>0</v>
      </c>
      <c r="O240" s="5" t="n">
        <v>223</v>
      </c>
      <c r="P240" s="62" t="n">
        <f aca="false">IF((Arterial=0),P239+1,P239)</f>
        <v>111</v>
      </c>
      <c r="Q240" s="62" t="n">
        <f aca="false">IF((Arterial=1),Q239+1,Q239)</f>
        <v>112</v>
      </c>
      <c r="R240" s="63" t="e">
        <f aca="false">IF((RESET=1),0,R240+K240)</f>
        <v>#N/A</v>
      </c>
      <c r="S240" s="10" t="n">
        <f aca="false">IF(RESET=1,0,S240+N240)</f>
        <v>298.150199199633</v>
      </c>
      <c r="T240" s="0" t="e">
        <f aca="false">IF(RESET=1,0,T240+IF(H240=0,1,0))</f>
        <v>#N/A</v>
      </c>
      <c r="U240" s="0" t="n">
        <f aca="false">IF(RESET=1,0,U240+H240)</f>
        <v>23</v>
      </c>
      <c r="V240" s="10" t="e">
        <f aca="false">R240/(T240+0.00001)</f>
        <v>#N/A</v>
      </c>
      <c r="W240" s="10" t="n">
        <f aca="false">S240/(U240+0.0001)</f>
        <v>12.9629957782633</v>
      </c>
      <c r="X240" s="60" t="n">
        <f aca="false">IF(Informed=1,K240,0)</f>
        <v>13.3304890387714</v>
      </c>
      <c r="Y240" s="60" t="n">
        <f aca="false">IF(Informed=0,K240,0)</f>
        <v>0</v>
      </c>
      <c r="Z240" s="60" t="n">
        <f aca="false">IF(Informed=1,N240,0)</f>
        <v>0</v>
      </c>
      <c r="AA240" s="60" t="n">
        <f aca="false">IF(Informed=0,N240,0)</f>
        <v>0</v>
      </c>
      <c r="AB240" s="64" t="n">
        <f aca="false">IF(Arterial=0,IF(Informed=1,1,0),0)</f>
        <v>1</v>
      </c>
      <c r="AC240" s="64" t="n">
        <f aca="false">IF(Arterial=0,IF(Informed=0,1,0),0)</f>
        <v>0</v>
      </c>
      <c r="AD240" s="64" t="n">
        <f aca="false">IF(Arterial=1,IF(Informed=1,1,0),0)</f>
        <v>0</v>
      </c>
      <c r="AE240" s="64" t="n">
        <f aca="false">IF(Arterial=1,IF(Informed=0,1,0),0)</f>
        <v>0</v>
      </c>
      <c r="AF240" s="57" t="n">
        <f aca="false">IF(AB240=1,(X240-G$1030)^2,0)</f>
        <v>177.701938012803</v>
      </c>
      <c r="AG240" s="57" t="n">
        <f aca="false">IF(AC240=1,(Y240-H$1030)^2,0)</f>
        <v>0</v>
      </c>
      <c r="AH240" s="57" t="n">
        <f aca="false">IF(AD240=1,(Z240-I$1030)^2,0)</f>
        <v>0</v>
      </c>
      <c r="AI240" s="57" t="n">
        <f aca="false">IF(AE240=1,(AA240-J$1030)^2,0)</f>
        <v>0</v>
      </c>
    </row>
    <row r="241" customFormat="false" ht="12" hidden="false" customHeight="false" outlineLevel="0" collapsed="false">
      <c r="A241" s="5" t="n">
        <v>224</v>
      </c>
      <c r="B241" s="58" t="n">
        <f aca="true">IF(RAND()&lt;$D$8,1,0)</f>
        <v>0</v>
      </c>
      <c r="C241" s="47" t="n">
        <f aca="true">-LN(RAND())/$D$2</f>
        <v>2.28694034131032</v>
      </c>
      <c r="D241" s="59" t="n">
        <f aca="false">D240+C241</f>
        <v>218.644471239344</v>
      </c>
      <c r="E241" s="60" t="n">
        <f aca="false">MAX($D$3,(1+P240-VLOOKUP(VALUE(D241),$J$18:$Q240,7,TRUE()))*$D$3)</f>
        <v>14</v>
      </c>
      <c r="F241" s="60" t="n">
        <f aca="false">MAX($D$4,(1+Q240-VLOOKUP(VALUE(D241),$M$18:$Q240,5,TRUE()))*$D$4)</f>
        <v>14</v>
      </c>
      <c r="G241" s="61" t="n">
        <v>0.5</v>
      </c>
      <c r="H241" s="59" t="n">
        <f aca="true">IF((B241=1),(IF((F241&lt;E241),1,(IF((F241=E241),(IF(RAND()&lt;G241,1,0)),0)))),(IF((RAND()&lt;G241),1,0)))</f>
        <v>1</v>
      </c>
      <c r="I241" s="59" t="n">
        <f aca="true">IF((H241=1),0,$D$3+$D$5*(RAND()-0.5))</f>
        <v>0</v>
      </c>
      <c r="J241" s="59" t="n">
        <f aca="false">I241+MAX(D241,J240)</f>
        <v>229.688019936805</v>
      </c>
      <c r="K241" s="59" t="n">
        <f aca="false">IF((H241=0),J241-D241,0)</f>
        <v>0</v>
      </c>
      <c r="L241" s="59" t="n">
        <f aca="true">IF(($H241=0),0,$D$4+$D$5*(RAND()-0.5))</f>
        <v>1.76638236887108</v>
      </c>
      <c r="M241" s="59" t="n">
        <f aca="false">L241+MAX(D241,M240)</f>
        <v>231.133349219668</v>
      </c>
      <c r="N241" s="59" t="n">
        <f aca="false">IF((H241=1),M241-D241,0)</f>
        <v>12.4888779803246</v>
      </c>
      <c r="O241" s="5" t="n">
        <v>224</v>
      </c>
      <c r="P241" s="62" t="n">
        <f aca="false">IF((Arterial=0),P240+1,P240)</f>
        <v>111</v>
      </c>
      <c r="Q241" s="62" t="n">
        <f aca="false">IF((Arterial=1),Q240+1,Q240)</f>
        <v>113</v>
      </c>
      <c r="R241" s="63" t="n">
        <f aca="false">IF((RESET=1),0,R241+K241)</f>
        <v>303.122390790903</v>
      </c>
      <c r="S241" s="10" t="e">
        <f aca="false">IF(RESET=1,0,S241+N241)</f>
        <v>#N/A</v>
      </c>
      <c r="T241" s="0" t="n">
        <f aca="false">IF(RESET=1,0,T241+IF(H241=0,1,0))</f>
        <v>22</v>
      </c>
      <c r="U241" s="0" t="e">
        <f aca="false">IF(RESET=1,0,U241+H241)</f>
        <v>#N/A</v>
      </c>
      <c r="V241" s="10" t="n">
        <f aca="false">R241/(T241+0.00001)</f>
        <v>13.7782842276391</v>
      </c>
      <c r="W241" s="10" t="e">
        <f aca="false">S241/(U241+0.0001)</f>
        <v>#N/A</v>
      </c>
      <c r="X241" s="60" t="n">
        <f aca="false">IF(Informed=1,K241,0)</f>
        <v>0</v>
      </c>
      <c r="Y241" s="60" t="n">
        <f aca="false">IF(Informed=0,K241,0)</f>
        <v>0</v>
      </c>
      <c r="Z241" s="60" t="n">
        <f aca="false">IF(Informed=1,N241,0)</f>
        <v>0</v>
      </c>
      <c r="AA241" s="60" t="n">
        <f aca="false">IF(Informed=0,N241,0)</f>
        <v>12.4888779803246</v>
      </c>
      <c r="AB241" s="64" t="n">
        <f aca="false">IF(Arterial=0,IF(Informed=1,1,0),0)</f>
        <v>0</v>
      </c>
      <c r="AC241" s="64" t="n">
        <f aca="false">IF(Arterial=0,IF(Informed=0,1,0),0)</f>
        <v>0</v>
      </c>
      <c r="AD241" s="64" t="n">
        <f aca="false">IF(Arterial=1,IF(Informed=1,1,0),0)</f>
        <v>0</v>
      </c>
      <c r="AE241" s="64" t="n">
        <f aca="false">IF(Arterial=1,IF(Informed=0,1,0),0)</f>
        <v>1</v>
      </c>
      <c r="AF241" s="57" t="n">
        <f aca="false">IF(AB241=1,(X241-G$1030)^2,0)</f>
        <v>0</v>
      </c>
      <c r="AG241" s="57" t="n">
        <f aca="false">IF(AC241=1,(Y241-H$1030)^2,0)</f>
        <v>0</v>
      </c>
      <c r="AH241" s="57" t="n">
        <f aca="false">IF(AD241=1,(Z241-I$1030)^2,0)</f>
        <v>0</v>
      </c>
      <c r="AI241" s="57" t="n">
        <f aca="false">IF(AE241=1,(AA241-J$1030)^2,0)</f>
        <v>155.972073207437</v>
      </c>
    </row>
    <row r="242" customFormat="false" ht="12" hidden="false" customHeight="false" outlineLevel="0" collapsed="false">
      <c r="A242" s="5" t="n">
        <v>225</v>
      </c>
      <c r="B242" s="58" t="n">
        <f aca="true">IF(RAND()&lt;$D$8,1,0)</f>
        <v>1</v>
      </c>
      <c r="C242" s="47" t="n">
        <f aca="true">-LN(RAND())/$D$2</f>
        <v>0.188548537065753</v>
      </c>
      <c r="D242" s="59" t="n">
        <f aca="false">D241+C242</f>
        <v>218.83301977641</v>
      </c>
      <c r="E242" s="60" t="n">
        <f aca="false">MAX($D$3,(1+P241-VLOOKUP(VALUE(D242),$J$18:$Q241,7,TRUE()))*$D$3)</f>
        <v>14</v>
      </c>
      <c r="F242" s="60" t="n">
        <f aca="false">MAX($D$4,(1+Q241-VLOOKUP(VALUE(D242),$M$18:$Q241,5,TRUE()))*$D$4)</f>
        <v>16</v>
      </c>
      <c r="G242" s="61" t="n">
        <v>0.5</v>
      </c>
      <c r="H242" s="59" t="n">
        <f aca="true">IF((B242=1),(IF((F242&lt;E242),1,(IF((F242=E242),(IF(RAND()&lt;G242,1,0)),0)))),(IF((RAND()&lt;G242),1,0)))</f>
        <v>0</v>
      </c>
      <c r="I242" s="59" t="n">
        <f aca="true">IF((H242=1),0,$D$3+$D$5*(RAND()-0.5))</f>
        <v>2.19884867369926</v>
      </c>
      <c r="J242" s="59" t="n">
        <f aca="false">I242+MAX(D242,J241)</f>
        <v>231.886868610504</v>
      </c>
      <c r="K242" s="59" t="n">
        <f aca="false">IF((H242=0),J242-D242,0)</f>
        <v>13.0538488340945</v>
      </c>
      <c r="L242" s="59" t="n">
        <f aca="true">IF(($H242=0),0,$D$4+$D$5*(RAND()-0.5))</f>
        <v>0</v>
      </c>
      <c r="M242" s="59" t="n">
        <f aca="false">L242+MAX(D242,M241)</f>
        <v>231.133349219668</v>
      </c>
      <c r="N242" s="59" t="n">
        <f aca="false">IF((H242=1),M242-D242,0)</f>
        <v>0</v>
      </c>
      <c r="O242" s="5" t="n">
        <v>225</v>
      </c>
      <c r="P242" s="62" t="n">
        <f aca="false">IF((Arterial=0),P241+1,P241)</f>
        <v>112</v>
      </c>
      <c r="Q242" s="62" t="n">
        <f aca="false">IF((Arterial=1),Q241+1,Q241)</f>
        <v>113</v>
      </c>
      <c r="R242" s="63" t="e">
        <f aca="false">IF((RESET=1),0,R242+K242)</f>
        <v>#N/A</v>
      </c>
      <c r="S242" s="10" t="n">
        <f aca="false">IF(RESET=1,0,S242+N242)</f>
        <v>315.930332247306</v>
      </c>
      <c r="T242" s="0" t="e">
        <f aca="false">IF(RESET=1,0,T242+IF(H242=0,1,0))</f>
        <v>#N/A</v>
      </c>
      <c r="U242" s="0" t="n">
        <f aca="false">IF(RESET=1,0,U242+H242)</f>
        <v>21</v>
      </c>
      <c r="V242" s="10" t="e">
        <f aca="false">R242/(T242+0.00001)</f>
        <v>#N/A</v>
      </c>
      <c r="W242" s="10" t="n">
        <f aca="false">S242/(U242+0.0001)</f>
        <v>15.044229896396</v>
      </c>
      <c r="X242" s="60" t="n">
        <f aca="false">IF(Informed=1,K242,0)</f>
        <v>13.0538488340945</v>
      </c>
      <c r="Y242" s="60" t="n">
        <f aca="false">IF(Informed=0,K242,0)</f>
        <v>0</v>
      </c>
      <c r="Z242" s="60" t="n">
        <f aca="false">IF(Informed=1,N242,0)</f>
        <v>0</v>
      </c>
      <c r="AA242" s="60" t="n">
        <f aca="false">IF(Informed=0,N242,0)</f>
        <v>0</v>
      </c>
      <c r="AB242" s="64" t="n">
        <f aca="false">IF(Arterial=0,IF(Informed=1,1,0),0)</f>
        <v>1</v>
      </c>
      <c r="AC242" s="64" t="n">
        <f aca="false">IF(Arterial=0,IF(Informed=0,1,0),0)</f>
        <v>0</v>
      </c>
      <c r="AD242" s="64" t="n">
        <f aca="false">IF(Arterial=1,IF(Informed=1,1,0),0)</f>
        <v>0</v>
      </c>
      <c r="AE242" s="64" t="n">
        <f aca="false">IF(Arterial=1,IF(Informed=0,1,0),0)</f>
        <v>0</v>
      </c>
      <c r="AF242" s="57" t="n">
        <f aca="false">IF(AB242=1,(X242-G$1030)^2,0)</f>
        <v>170.402969383391</v>
      </c>
      <c r="AG242" s="57" t="n">
        <f aca="false">IF(AC242=1,(Y242-H$1030)^2,0)</f>
        <v>0</v>
      </c>
      <c r="AH242" s="57" t="n">
        <f aca="false">IF(AD242=1,(Z242-I$1030)^2,0)</f>
        <v>0</v>
      </c>
      <c r="AI242" s="57" t="n">
        <f aca="false">IF(AE242=1,(AA242-J$1030)^2,0)</f>
        <v>0</v>
      </c>
    </row>
    <row r="243" customFormat="false" ht="12" hidden="false" customHeight="false" outlineLevel="0" collapsed="false">
      <c r="A243" s="5" t="n">
        <v>226</v>
      </c>
      <c r="B243" s="58" t="n">
        <f aca="true">IF(RAND()&lt;$D$8,1,0)</f>
        <v>1</v>
      </c>
      <c r="C243" s="47" t="n">
        <f aca="true">-LN(RAND())/$D$2</f>
        <v>0.921693897261689</v>
      </c>
      <c r="D243" s="59" t="n">
        <f aca="false">D242+C243</f>
        <v>219.754713673671</v>
      </c>
      <c r="E243" s="60" t="n">
        <f aca="false">MAX($D$3,(1+P242-VLOOKUP(VALUE(D243),$J$18:$Q242,7,TRUE()))*$D$3)</f>
        <v>14</v>
      </c>
      <c r="F243" s="60" t="n">
        <f aca="false">MAX($D$4,(1+Q242-VLOOKUP(VALUE(D243),$M$18:$Q242,5,TRUE()))*$D$4)</f>
        <v>16</v>
      </c>
      <c r="G243" s="61" t="n">
        <v>0.5</v>
      </c>
      <c r="H243" s="59" t="n">
        <f aca="true">IF((B243=1),(IF((F243&lt;E243),1,(IF((F243=E243),(IF(RAND()&lt;G243,1,0)),0)))),(IF((RAND()&lt;G243),1,0)))</f>
        <v>0</v>
      </c>
      <c r="I243" s="59" t="n">
        <f aca="true">IF((H243=1),0,$D$3+$D$5*(RAND()-0.5))</f>
        <v>2.12082319166595</v>
      </c>
      <c r="J243" s="59" t="n">
        <f aca="false">I243+MAX(D243,J242)</f>
        <v>234.00769180217</v>
      </c>
      <c r="K243" s="59" t="n">
        <f aca="false">IF((H243=0),J243-D243,0)</f>
        <v>14.2529781284988</v>
      </c>
      <c r="L243" s="59" t="n">
        <f aca="true">IF(($H243=0),0,$D$4+$D$5*(RAND()-0.5))</f>
        <v>0</v>
      </c>
      <c r="M243" s="59" t="n">
        <f aca="false">L243+MAX(D243,M242)</f>
        <v>231.133349219668</v>
      </c>
      <c r="N243" s="59" t="n">
        <f aca="false">IF((H243=1),M243-D243,0)</f>
        <v>0</v>
      </c>
      <c r="O243" s="5" t="n">
        <v>226</v>
      </c>
      <c r="P243" s="62" t="n">
        <f aca="false">IF((Arterial=0),P242+1,P242)</f>
        <v>113</v>
      </c>
      <c r="Q243" s="62" t="n">
        <f aca="false">IF((Arterial=1),Q242+1,Q242)</f>
        <v>113</v>
      </c>
      <c r="R243" s="63" t="e">
        <f aca="false">IF((RESET=1),0,R243+K243)</f>
        <v>#N/A</v>
      </c>
      <c r="S243" s="10" t="n">
        <f aca="false">IF(RESET=1,0,S243+N243)</f>
        <v>483.632035989122</v>
      </c>
      <c r="T243" s="0" t="e">
        <f aca="false">IF(RESET=1,0,T243+IF(H243=0,1,0))</f>
        <v>#N/A</v>
      </c>
      <c r="U243" s="0" t="n">
        <f aca="false">IF(RESET=1,0,U243+H243)</f>
        <v>30</v>
      </c>
      <c r="V243" s="10" t="e">
        <f aca="false">R243/(T243+0.00001)</f>
        <v>#N/A</v>
      </c>
      <c r="W243" s="10" t="n">
        <f aca="false">S243/(U243+0.0001)</f>
        <v>16.1210141295903</v>
      </c>
      <c r="X243" s="60" t="n">
        <f aca="false">IF(Informed=1,K243,0)</f>
        <v>14.2529781284988</v>
      </c>
      <c r="Y243" s="60" t="n">
        <f aca="false">IF(Informed=0,K243,0)</f>
        <v>0</v>
      </c>
      <c r="Z243" s="60" t="n">
        <f aca="false">IF(Informed=1,N243,0)</f>
        <v>0</v>
      </c>
      <c r="AA243" s="60" t="n">
        <f aca="false">IF(Informed=0,N243,0)</f>
        <v>0</v>
      </c>
      <c r="AB243" s="64" t="n">
        <f aca="false">IF(Arterial=0,IF(Informed=1,1,0),0)</f>
        <v>1</v>
      </c>
      <c r="AC243" s="64" t="n">
        <f aca="false">IF(Arterial=0,IF(Informed=0,1,0),0)</f>
        <v>0</v>
      </c>
      <c r="AD243" s="64" t="n">
        <f aca="false">IF(Arterial=1,IF(Informed=1,1,0),0)</f>
        <v>0</v>
      </c>
      <c r="AE243" s="64" t="n">
        <f aca="false">IF(Arterial=1,IF(Informed=0,1,0),0)</f>
        <v>0</v>
      </c>
      <c r="AF243" s="57" t="n">
        <f aca="false">IF(AB243=1,(X243-G$1030)^2,0)</f>
        <v>203.147385531465</v>
      </c>
      <c r="AG243" s="57" t="n">
        <f aca="false">IF(AC243=1,(Y243-H$1030)^2,0)</f>
        <v>0</v>
      </c>
      <c r="AH243" s="57" t="n">
        <f aca="false">IF(AD243=1,(Z243-I$1030)^2,0)</f>
        <v>0</v>
      </c>
      <c r="AI243" s="57" t="n">
        <f aca="false">IF(AE243=1,(AA243-J$1030)^2,0)</f>
        <v>0</v>
      </c>
    </row>
    <row r="244" customFormat="false" ht="12" hidden="false" customHeight="false" outlineLevel="0" collapsed="false">
      <c r="A244" s="5" t="n">
        <v>227</v>
      </c>
      <c r="B244" s="58" t="n">
        <f aca="true">IF(RAND()&lt;$D$8,1,0)</f>
        <v>1</v>
      </c>
      <c r="C244" s="47" t="n">
        <f aca="true">-LN(RAND())/$D$2</f>
        <v>0.82537300029437</v>
      </c>
      <c r="D244" s="59" t="n">
        <f aca="false">D243+C244</f>
        <v>220.580086673966</v>
      </c>
      <c r="E244" s="60" t="n">
        <f aca="false">MAX($D$3,(1+P243-VLOOKUP(VALUE(D244),$J$18:$Q243,7,TRUE()))*$D$3)</f>
        <v>16</v>
      </c>
      <c r="F244" s="60" t="n">
        <f aca="false">MAX($D$4,(1+Q243-VLOOKUP(VALUE(D244),$M$18:$Q243,5,TRUE()))*$D$4)</f>
        <v>14</v>
      </c>
      <c r="G244" s="61" t="n">
        <v>0.5</v>
      </c>
      <c r="H244" s="59" t="n">
        <f aca="true">IF((B244=1),(IF((F244&lt;E244),1,(IF((F244=E244),(IF(RAND()&lt;G244,1,0)),0)))),(IF((RAND()&lt;G244),1,0)))</f>
        <v>1</v>
      </c>
      <c r="I244" s="59" t="n">
        <f aca="true">IF((H244=1),0,$D$3+$D$5*(RAND()-0.5))</f>
        <v>0</v>
      </c>
      <c r="J244" s="59" t="n">
        <f aca="false">I244+MAX(D244,J243)</f>
        <v>234.00769180217</v>
      </c>
      <c r="K244" s="59" t="n">
        <f aca="false">IF((H244=0),J244-D244,0)</f>
        <v>0</v>
      </c>
      <c r="L244" s="59" t="n">
        <f aca="true">IF(($H244=0),0,$D$4+$D$5*(RAND()-0.5))</f>
        <v>1.90675711064305</v>
      </c>
      <c r="M244" s="59" t="n">
        <f aca="false">L244+MAX(D244,M243)</f>
        <v>233.040106330311</v>
      </c>
      <c r="N244" s="59" t="n">
        <f aca="false">IF((H244=1),M244-D244,0)</f>
        <v>12.4600196563459</v>
      </c>
      <c r="O244" s="5" t="n">
        <v>227</v>
      </c>
      <c r="P244" s="62" t="n">
        <f aca="false">IF((Arterial=0),P243+1,P243)</f>
        <v>113</v>
      </c>
      <c r="Q244" s="62" t="n">
        <f aca="false">IF((Arterial=1),Q243+1,Q243)</f>
        <v>114</v>
      </c>
      <c r="R244" s="63" t="n">
        <f aca="false">IF((RESET=1),0,R244+K244)</f>
        <v>464.780997025004</v>
      </c>
      <c r="S244" s="10" t="e">
        <f aca="false">IF(RESET=1,0,S244+N244)</f>
        <v>#N/A</v>
      </c>
      <c r="T244" s="0" t="n">
        <f aca="false">IF(RESET=1,0,T244+IF(H244=0,1,0))</f>
        <v>29</v>
      </c>
      <c r="U244" s="0" t="e">
        <f aca="false">IF(RESET=1,0,U244+H244)</f>
        <v>#N/A</v>
      </c>
      <c r="V244" s="10" t="n">
        <f aca="false">R244/(T244+0.00001)</f>
        <v>16.0269254053707</v>
      </c>
      <c r="W244" s="10" t="e">
        <f aca="false">S244/(U244+0.0001)</f>
        <v>#N/A</v>
      </c>
      <c r="X244" s="60" t="n">
        <f aca="false">IF(Informed=1,K244,0)</f>
        <v>0</v>
      </c>
      <c r="Y244" s="60" t="n">
        <f aca="false">IF(Informed=0,K244,0)</f>
        <v>0</v>
      </c>
      <c r="Z244" s="60" t="n">
        <f aca="false">IF(Informed=1,N244,0)</f>
        <v>12.4600196563459</v>
      </c>
      <c r="AA244" s="60" t="n">
        <f aca="false">IF(Informed=0,N244,0)</f>
        <v>0</v>
      </c>
      <c r="AB244" s="64" t="n">
        <f aca="false">IF(Arterial=0,IF(Informed=1,1,0),0)</f>
        <v>0</v>
      </c>
      <c r="AC244" s="64" t="n">
        <f aca="false">IF(Arterial=0,IF(Informed=0,1,0),0)</f>
        <v>0</v>
      </c>
      <c r="AD244" s="64" t="n">
        <f aca="false">IF(Arterial=1,IF(Informed=1,1,0),0)</f>
        <v>1</v>
      </c>
      <c r="AE244" s="64" t="n">
        <f aca="false">IF(Arterial=1,IF(Informed=0,1,0),0)</f>
        <v>0</v>
      </c>
      <c r="AF244" s="57" t="n">
        <f aca="false">IF(AB244=1,(X244-G$1030)^2,0)</f>
        <v>0</v>
      </c>
      <c r="AG244" s="57" t="n">
        <f aca="false">IF(AC244=1,(Y244-H$1030)^2,0)</f>
        <v>0</v>
      </c>
      <c r="AH244" s="57" t="n">
        <f aca="false">IF(AD244=1,(Z244-I$1030)^2,0)</f>
        <v>155.252089836525</v>
      </c>
      <c r="AI244" s="57" t="n">
        <f aca="false">IF(AE244=1,(AA244-J$1030)^2,0)</f>
        <v>0</v>
      </c>
    </row>
    <row r="245" customFormat="false" ht="12" hidden="false" customHeight="false" outlineLevel="0" collapsed="false">
      <c r="A245" s="5" t="n">
        <v>228</v>
      </c>
      <c r="B245" s="58" t="n">
        <f aca="true">IF(RAND()&lt;$D$8,1,0)</f>
        <v>0</v>
      </c>
      <c r="C245" s="47" t="n">
        <f aca="true">-LN(RAND())/$D$2</f>
        <v>0.558710661004825</v>
      </c>
      <c r="D245" s="59" t="n">
        <f aca="false">D244+C245</f>
        <v>221.13879733497</v>
      </c>
      <c r="E245" s="60" t="n">
        <f aca="false">MAX($D$3,(1+P244-VLOOKUP(VALUE(D245),$J$18:$Q244,7,TRUE()))*$D$3)</f>
        <v>16</v>
      </c>
      <c r="F245" s="60" t="n">
        <f aca="false">MAX($D$4,(1+Q244-VLOOKUP(VALUE(D245),$M$18:$Q244,5,TRUE()))*$D$4)</f>
        <v>16</v>
      </c>
      <c r="G245" s="61" t="n">
        <v>0.5</v>
      </c>
      <c r="H245" s="59" t="n">
        <f aca="true">IF((B245=1),(IF((F245&lt;E245),1,(IF((F245=E245),(IF(RAND()&lt;G245,1,0)),0)))),(IF((RAND()&lt;G245),1,0)))</f>
        <v>1</v>
      </c>
      <c r="I245" s="59" t="n">
        <f aca="true">IF((H245=1),0,$D$3+$D$5*(RAND()-0.5))</f>
        <v>0</v>
      </c>
      <c r="J245" s="59" t="n">
        <f aca="false">I245+MAX(D245,J244)</f>
        <v>234.00769180217</v>
      </c>
      <c r="K245" s="59" t="n">
        <f aca="false">IF((H245=0),J245-D245,0)</f>
        <v>0</v>
      </c>
      <c r="L245" s="59" t="n">
        <f aca="true">IF(($H245=0),0,$D$4+$D$5*(RAND()-0.5))</f>
        <v>1.99596672733747</v>
      </c>
      <c r="M245" s="59" t="n">
        <f aca="false">L245+MAX(D245,M244)</f>
        <v>235.036073057649</v>
      </c>
      <c r="N245" s="59" t="n">
        <f aca="false">IF((H245=1),M245-D245,0)</f>
        <v>13.8972757226785</v>
      </c>
      <c r="O245" s="5" t="n">
        <v>228</v>
      </c>
      <c r="P245" s="62" t="n">
        <f aca="false">IF((Arterial=0),P244+1,P244)</f>
        <v>113</v>
      </c>
      <c r="Q245" s="62" t="n">
        <f aca="false">IF((Arterial=1),Q244+1,Q244)</f>
        <v>115</v>
      </c>
      <c r="R245" s="63" t="n">
        <f aca="false">IF((RESET=1),0,R245+K245)</f>
        <v>341.976864115267</v>
      </c>
      <c r="S245" s="10" t="e">
        <f aca="false">IF(RESET=1,0,S245+N245)</f>
        <v>#N/A</v>
      </c>
      <c r="T245" s="0" t="n">
        <f aca="false">IF(RESET=1,0,T245+IF(H245=0,1,0))</f>
        <v>24</v>
      </c>
      <c r="U245" s="0" t="e">
        <f aca="false">IF(RESET=1,0,U245+H245)</f>
        <v>#N/A</v>
      </c>
      <c r="V245" s="10" t="n">
        <f aca="false">R245/(T245+0.00001)</f>
        <v>14.2490300677069</v>
      </c>
      <c r="W245" s="10" t="e">
        <f aca="false">S245/(U245+0.0001)</f>
        <v>#N/A</v>
      </c>
      <c r="X245" s="60" t="n">
        <f aca="false">IF(Informed=1,K245,0)</f>
        <v>0</v>
      </c>
      <c r="Y245" s="60" t="n">
        <f aca="false">IF(Informed=0,K245,0)</f>
        <v>0</v>
      </c>
      <c r="Z245" s="60" t="n">
        <f aca="false">IF(Informed=1,N245,0)</f>
        <v>0</v>
      </c>
      <c r="AA245" s="60" t="n">
        <f aca="false">IF(Informed=0,N245,0)</f>
        <v>13.8972757226785</v>
      </c>
      <c r="AB245" s="64" t="n">
        <f aca="false">IF(Arterial=0,IF(Informed=1,1,0),0)</f>
        <v>0</v>
      </c>
      <c r="AC245" s="64" t="n">
        <f aca="false">IF(Arterial=0,IF(Informed=0,1,0),0)</f>
        <v>0</v>
      </c>
      <c r="AD245" s="64" t="n">
        <f aca="false">IF(Arterial=1,IF(Informed=1,1,0),0)</f>
        <v>0</v>
      </c>
      <c r="AE245" s="64" t="n">
        <f aca="false">IF(Arterial=1,IF(Informed=0,1,0),0)</f>
        <v>1</v>
      </c>
      <c r="AF245" s="57" t="n">
        <f aca="false">IF(AB245=1,(X245-G$1030)^2,0)</f>
        <v>0</v>
      </c>
      <c r="AG245" s="57" t="n">
        <f aca="false">IF(AC245=1,(Y245-H$1030)^2,0)</f>
        <v>0</v>
      </c>
      <c r="AH245" s="57" t="n">
        <f aca="false">IF(AD245=1,(Z245-I$1030)^2,0)</f>
        <v>0</v>
      </c>
      <c r="AI245" s="57" t="n">
        <f aca="false">IF(AE245=1,(AA245-J$1030)^2,0)</f>
        <v>193.134272512149</v>
      </c>
    </row>
    <row r="246" customFormat="false" ht="12" hidden="false" customHeight="false" outlineLevel="0" collapsed="false">
      <c r="A246" s="5" t="n">
        <v>229</v>
      </c>
      <c r="B246" s="58" t="n">
        <f aca="true">IF(RAND()&lt;$D$8,1,0)</f>
        <v>0</v>
      </c>
      <c r="C246" s="47" t="n">
        <f aca="true">-LN(RAND())/$D$2</f>
        <v>1.25255764518819</v>
      </c>
      <c r="D246" s="59" t="n">
        <f aca="false">D245+C246</f>
        <v>222.391354980159</v>
      </c>
      <c r="E246" s="60" t="n">
        <f aca="false">MAX($D$3,(1+P245-VLOOKUP(VALUE(D246),$J$18:$Q245,7,TRUE()))*$D$3)</f>
        <v>14</v>
      </c>
      <c r="F246" s="60" t="n">
        <f aca="false">MAX($D$4,(1+Q245-VLOOKUP(VALUE(D246),$M$18:$Q245,5,TRUE()))*$D$4)</f>
        <v>16</v>
      </c>
      <c r="G246" s="61" t="n">
        <v>0.5</v>
      </c>
      <c r="H246" s="59" t="n">
        <f aca="true">IF((B246=1),(IF((F246&lt;E246),1,(IF((F246=E246),(IF(RAND()&lt;G246,1,0)),0)))),(IF((RAND()&lt;G246),1,0)))</f>
        <v>1</v>
      </c>
      <c r="I246" s="59" t="n">
        <f aca="true">IF((H246=1),0,$D$3+$D$5*(RAND()-0.5))</f>
        <v>0</v>
      </c>
      <c r="J246" s="59" t="n">
        <f aca="false">I246+MAX(D246,J245)</f>
        <v>234.00769180217</v>
      </c>
      <c r="K246" s="59" t="n">
        <f aca="false">IF((H246=0),J246-D246,0)</f>
        <v>0</v>
      </c>
      <c r="L246" s="59" t="n">
        <f aca="true">IF(($H246=0),0,$D$4+$D$5*(RAND()-0.5))</f>
        <v>1.88828109947678</v>
      </c>
      <c r="M246" s="59" t="n">
        <f aca="false">L246+MAX(D246,M245)</f>
        <v>236.924354157126</v>
      </c>
      <c r="N246" s="59" t="n">
        <f aca="false">IF((H246=1),M246-D246,0)</f>
        <v>14.5329991769671</v>
      </c>
      <c r="O246" s="5" t="n">
        <v>229</v>
      </c>
      <c r="P246" s="62" t="n">
        <f aca="false">IF((Arterial=0),P245+1,P245)</f>
        <v>113</v>
      </c>
      <c r="Q246" s="62" t="n">
        <f aca="false">IF((Arterial=1),Q245+1,Q245)</f>
        <v>116</v>
      </c>
      <c r="R246" s="63" t="n">
        <f aca="false">IF((RESET=1),0,R246+K246)</f>
        <v>460.428320219906</v>
      </c>
      <c r="S246" s="10" t="e">
        <f aca="false">IF(RESET=1,0,S246+N246)</f>
        <v>#N/A</v>
      </c>
      <c r="T246" s="0" t="n">
        <f aca="false">IF(RESET=1,0,T246+IF(H246=0,1,0))</f>
        <v>30</v>
      </c>
      <c r="U246" s="0" t="e">
        <f aca="false">IF(RESET=1,0,U246+H246)</f>
        <v>#N/A</v>
      </c>
      <c r="V246" s="10" t="n">
        <f aca="false">R246/(T246+0.00001)</f>
        <v>15.3476055581283</v>
      </c>
      <c r="W246" s="10" t="e">
        <f aca="false">S246/(U246+0.0001)</f>
        <v>#N/A</v>
      </c>
      <c r="X246" s="60" t="n">
        <f aca="false">IF(Informed=1,K246,0)</f>
        <v>0</v>
      </c>
      <c r="Y246" s="60" t="n">
        <f aca="false">IF(Informed=0,K246,0)</f>
        <v>0</v>
      </c>
      <c r="Z246" s="60" t="n">
        <f aca="false">IF(Informed=1,N246,0)</f>
        <v>0</v>
      </c>
      <c r="AA246" s="60" t="n">
        <f aca="false">IF(Informed=0,N246,0)</f>
        <v>14.5329991769671</v>
      </c>
      <c r="AB246" s="64" t="n">
        <f aca="false">IF(Arterial=0,IF(Informed=1,1,0),0)</f>
        <v>0</v>
      </c>
      <c r="AC246" s="64" t="n">
        <f aca="false">IF(Arterial=0,IF(Informed=0,1,0),0)</f>
        <v>0</v>
      </c>
      <c r="AD246" s="64" t="n">
        <f aca="false">IF(Arterial=1,IF(Informed=1,1,0),0)</f>
        <v>0</v>
      </c>
      <c r="AE246" s="64" t="n">
        <f aca="false">IF(Arterial=1,IF(Informed=0,1,0),0)</f>
        <v>1</v>
      </c>
      <c r="AF246" s="57" t="n">
        <f aca="false">IF(AB246=1,(X246-G$1030)^2,0)</f>
        <v>0</v>
      </c>
      <c r="AG246" s="57" t="n">
        <f aca="false">IF(AC246=1,(Y246-H$1030)^2,0)</f>
        <v>0</v>
      </c>
      <c r="AH246" s="57" t="n">
        <f aca="false">IF(AD246=1,(Z246-I$1030)^2,0)</f>
        <v>0</v>
      </c>
      <c r="AI246" s="57" t="n">
        <f aca="false">IF(AE246=1,(AA246-J$1030)^2,0)</f>
        <v>211.208065077727</v>
      </c>
    </row>
    <row r="247" customFormat="false" ht="12" hidden="false" customHeight="false" outlineLevel="0" collapsed="false">
      <c r="A247" s="5" t="n">
        <v>230</v>
      </c>
      <c r="B247" s="58" t="n">
        <f aca="true">IF(RAND()&lt;$D$8,1,0)</f>
        <v>1</v>
      </c>
      <c r="C247" s="47" t="n">
        <f aca="true">-LN(RAND())/$D$2</f>
        <v>0.789517072800146</v>
      </c>
      <c r="D247" s="59" t="n">
        <f aca="false">D246+C247</f>
        <v>223.180872052959</v>
      </c>
      <c r="E247" s="60" t="n">
        <f aca="false">MAX($D$3,(1+P246-VLOOKUP(VALUE(D247),$J$18:$Q246,7,TRUE()))*$D$3)</f>
        <v>14</v>
      </c>
      <c r="F247" s="60" t="n">
        <f aca="false">MAX($D$4,(1+Q246-VLOOKUP(VALUE(D247),$M$18:$Q246,5,TRUE()))*$D$4)</f>
        <v>18</v>
      </c>
      <c r="G247" s="61" t="n">
        <v>0.5</v>
      </c>
      <c r="H247" s="59" t="n">
        <f aca="true">IF((B247=1),(IF((F247&lt;E247),1,(IF((F247=E247),(IF(RAND()&lt;G247,1,0)),0)))),(IF((RAND()&lt;G247),1,0)))</f>
        <v>0</v>
      </c>
      <c r="I247" s="59" t="n">
        <f aca="true">IF((H247=1),0,$D$3+$D$5*(RAND()-0.5))</f>
        <v>2.03195056333717</v>
      </c>
      <c r="J247" s="59" t="n">
        <f aca="false">I247+MAX(D247,J246)</f>
        <v>236.039642365507</v>
      </c>
      <c r="K247" s="59" t="n">
        <f aca="false">IF((H247=0),J247-D247,0)</f>
        <v>12.8587703125484</v>
      </c>
      <c r="L247" s="59" t="n">
        <f aca="true">IF(($H247=0),0,$D$4+$D$5*(RAND()-0.5))</f>
        <v>0</v>
      </c>
      <c r="M247" s="59" t="n">
        <f aca="false">L247+MAX(D247,M246)</f>
        <v>236.924354157126</v>
      </c>
      <c r="N247" s="59" t="n">
        <f aca="false">IF((H247=1),M247-D247,0)</f>
        <v>0</v>
      </c>
      <c r="O247" s="5" t="n">
        <v>230</v>
      </c>
      <c r="P247" s="62" t="n">
        <f aca="false">IF((Arterial=0),P246+1,P246)</f>
        <v>114</v>
      </c>
      <c r="Q247" s="62" t="n">
        <f aca="false">IF((Arterial=1),Q246+1,Q246)</f>
        <v>116</v>
      </c>
      <c r="R247" s="63" t="e">
        <f aca="false">IF((RESET=1),0,R247+K247)</f>
        <v>#N/A</v>
      </c>
      <c r="S247" s="10" t="n">
        <f aca="false">IF(RESET=1,0,S247+N247)</f>
        <v>349.4219963907</v>
      </c>
      <c r="T247" s="0" t="e">
        <f aca="false">IF(RESET=1,0,T247+IF(H247=0,1,0))</f>
        <v>#N/A</v>
      </c>
      <c r="U247" s="0" t="n">
        <f aca="false">IF(RESET=1,0,U247+H247)</f>
        <v>24</v>
      </c>
      <c r="V247" s="10" t="e">
        <f aca="false">R247/(T247+0.00001)</f>
        <v>#N/A</v>
      </c>
      <c r="W247" s="10" t="n">
        <f aca="false">S247/(U247+0.0001)</f>
        <v>14.5591891863242</v>
      </c>
      <c r="X247" s="60" t="n">
        <f aca="false">IF(Informed=1,K247,0)</f>
        <v>12.8587703125484</v>
      </c>
      <c r="Y247" s="60" t="n">
        <f aca="false">IF(Informed=0,K247,0)</f>
        <v>0</v>
      </c>
      <c r="Z247" s="60" t="n">
        <f aca="false">IF(Informed=1,N247,0)</f>
        <v>0</v>
      </c>
      <c r="AA247" s="60" t="n">
        <f aca="false">IF(Informed=0,N247,0)</f>
        <v>0</v>
      </c>
      <c r="AB247" s="64" t="n">
        <f aca="false">IF(Arterial=0,IF(Informed=1,1,0),0)</f>
        <v>1</v>
      </c>
      <c r="AC247" s="64" t="n">
        <f aca="false">IF(Arterial=0,IF(Informed=0,1,0),0)</f>
        <v>0</v>
      </c>
      <c r="AD247" s="64" t="n">
        <f aca="false">IF(Arterial=1,IF(Informed=1,1,0),0)</f>
        <v>0</v>
      </c>
      <c r="AE247" s="64" t="n">
        <f aca="false">IF(Arterial=1,IF(Informed=0,1,0),0)</f>
        <v>0</v>
      </c>
      <c r="AF247" s="57" t="n">
        <f aca="false">IF(AB247=1,(X247-G$1030)^2,0)</f>
        <v>165.347973950877</v>
      </c>
      <c r="AG247" s="57" t="n">
        <f aca="false">IF(AC247=1,(Y247-H$1030)^2,0)</f>
        <v>0</v>
      </c>
      <c r="AH247" s="57" t="n">
        <f aca="false">IF(AD247=1,(Z247-I$1030)^2,0)</f>
        <v>0</v>
      </c>
      <c r="AI247" s="57" t="n">
        <f aca="false">IF(AE247=1,(AA247-J$1030)^2,0)</f>
        <v>0</v>
      </c>
    </row>
    <row r="248" customFormat="false" ht="12" hidden="false" customHeight="false" outlineLevel="0" collapsed="false">
      <c r="A248" s="5" t="n">
        <v>231</v>
      </c>
      <c r="B248" s="58" t="n">
        <f aca="true">IF(RAND()&lt;$D$8,1,0)</f>
        <v>1</v>
      </c>
      <c r="C248" s="47" t="n">
        <f aca="true">-LN(RAND())/$D$2</f>
        <v>0.184052810804916</v>
      </c>
      <c r="D248" s="59" t="n">
        <f aca="false">D247+C248</f>
        <v>223.364924863764</v>
      </c>
      <c r="E248" s="60" t="n">
        <f aca="false">MAX($D$3,(1+P247-VLOOKUP(VALUE(D248),$J$18:$Q247,7,TRUE()))*$D$3)</f>
        <v>16</v>
      </c>
      <c r="F248" s="60" t="n">
        <f aca="false">MAX($D$4,(1+Q247-VLOOKUP(VALUE(D248),$M$18:$Q247,5,TRUE()))*$D$4)</f>
        <v>18</v>
      </c>
      <c r="G248" s="61" t="n">
        <v>0.5</v>
      </c>
      <c r="H248" s="59" t="n">
        <f aca="true">IF((B248=1),(IF((F248&lt;E248),1,(IF((F248=E248),(IF(RAND()&lt;G248,1,0)),0)))),(IF((RAND()&lt;G248),1,0)))</f>
        <v>0</v>
      </c>
      <c r="I248" s="59" t="n">
        <f aca="true">IF((H248=1),0,$D$3+$D$5*(RAND()-0.5))</f>
        <v>2.01851773749679</v>
      </c>
      <c r="J248" s="59" t="n">
        <f aca="false">I248+MAX(D248,J247)</f>
        <v>238.058160103004</v>
      </c>
      <c r="K248" s="59" t="n">
        <f aca="false">IF((H248=0),J248-D248,0)</f>
        <v>14.6932352392403</v>
      </c>
      <c r="L248" s="59" t="n">
        <f aca="true">IF(($H248=0),0,$D$4+$D$5*(RAND()-0.5))</f>
        <v>0</v>
      </c>
      <c r="M248" s="59" t="n">
        <f aca="false">L248+MAX(D248,M247)</f>
        <v>236.924354157126</v>
      </c>
      <c r="N248" s="59" t="n">
        <f aca="false">IF((H248=1),M248-D248,0)</f>
        <v>0</v>
      </c>
      <c r="O248" s="5" t="n">
        <v>231</v>
      </c>
      <c r="P248" s="62" t="n">
        <f aca="false">IF((Arterial=0),P247+1,P247)</f>
        <v>115</v>
      </c>
      <c r="Q248" s="62" t="n">
        <f aca="false">IF((Arterial=1),Q247+1,Q247)</f>
        <v>116</v>
      </c>
      <c r="R248" s="63" t="e">
        <f aca="false">IF((RESET=1),0,R248+K248)</f>
        <v>#N/A</v>
      </c>
      <c r="S248" s="10" t="n">
        <f aca="false">IF(RESET=1,0,S248+N248)</f>
        <v>337.272653741278</v>
      </c>
      <c r="T248" s="0" t="e">
        <f aca="false">IF(RESET=1,0,T248+IF(H248=0,1,0))</f>
        <v>#N/A</v>
      </c>
      <c r="U248" s="0" t="n">
        <f aca="false">IF(RESET=1,0,U248+H248)</f>
        <v>25</v>
      </c>
      <c r="V248" s="10" t="e">
        <f aca="false">R248/(T248+0.00001)</f>
        <v>#N/A</v>
      </c>
      <c r="W248" s="10" t="n">
        <f aca="false">S248/(U248+0.0001)</f>
        <v>13.4908521862424</v>
      </c>
      <c r="X248" s="60" t="n">
        <f aca="false">IF(Informed=1,K248,0)</f>
        <v>14.6932352392403</v>
      </c>
      <c r="Y248" s="60" t="n">
        <f aca="false">IF(Informed=0,K248,0)</f>
        <v>0</v>
      </c>
      <c r="Z248" s="60" t="n">
        <f aca="false">IF(Informed=1,N248,0)</f>
        <v>0</v>
      </c>
      <c r="AA248" s="60" t="n">
        <f aca="false">IF(Informed=0,N248,0)</f>
        <v>0</v>
      </c>
      <c r="AB248" s="64" t="n">
        <f aca="false">IF(Arterial=0,IF(Informed=1,1,0),0)</f>
        <v>1</v>
      </c>
      <c r="AC248" s="64" t="n">
        <f aca="false">IF(Arterial=0,IF(Informed=0,1,0),0)</f>
        <v>0</v>
      </c>
      <c r="AD248" s="64" t="n">
        <f aca="false">IF(Arterial=1,IF(Informed=1,1,0),0)</f>
        <v>0</v>
      </c>
      <c r="AE248" s="64" t="n">
        <f aca="false">IF(Arterial=1,IF(Informed=0,1,0),0)</f>
        <v>0</v>
      </c>
      <c r="AF248" s="57" t="n">
        <f aca="false">IF(AB248=1,(X248-G$1030)^2,0)</f>
        <v>215.891161795653</v>
      </c>
      <c r="AG248" s="57" t="n">
        <f aca="false">IF(AC248=1,(Y248-H$1030)^2,0)</f>
        <v>0</v>
      </c>
      <c r="AH248" s="57" t="n">
        <f aca="false">IF(AD248=1,(Z248-I$1030)^2,0)</f>
        <v>0</v>
      </c>
      <c r="AI248" s="57" t="n">
        <f aca="false">IF(AE248=1,(AA248-J$1030)^2,0)</f>
        <v>0</v>
      </c>
    </row>
    <row r="249" customFormat="false" ht="12" hidden="false" customHeight="false" outlineLevel="0" collapsed="false">
      <c r="A249" s="5" t="n">
        <v>232</v>
      </c>
      <c r="B249" s="58" t="n">
        <f aca="true">IF(RAND()&lt;$D$8,1,0)</f>
        <v>1</v>
      </c>
      <c r="C249" s="47" t="n">
        <f aca="true">-LN(RAND())/$D$2</f>
        <v>0.78992262076889</v>
      </c>
      <c r="D249" s="59" t="n">
        <f aca="false">D248+C249</f>
        <v>224.154847484533</v>
      </c>
      <c r="E249" s="60" t="n">
        <f aca="false">MAX($D$3,(1+P248-VLOOKUP(VALUE(D249),$J$18:$Q248,7,TRUE()))*$D$3)</f>
        <v>16</v>
      </c>
      <c r="F249" s="60" t="n">
        <f aca="false">MAX($D$4,(1+Q248-VLOOKUP(VALUE(D249),$M$18:$Q248,5,TRUE()))*$D$4)</f>
        <v>16</v>
      </c>
      <c r="G249" s="61" t="n">
        <v>0.5</v>
      </c>
      <c r="H249" s="59" t="n">
        <f aca="true">IF((B249=1),(IF((F249&lt;E249),1,(IF((F249=E249),(IF(RAND()&lt;G249,1,0)),0)))),(IF((RAND()&lt;G249),1,0)))</f>
        <v>0</v>
      </c>
      <c r="I249" s="59" t="n">
        <f aca="true">IF((H249=1),0,$D$3+$D$5*(RAND()-0.5))</f>
        <v>1.99500623159124</v>
      </c>
      <c r="J249" s="59" t="n">
        <f aca="false">I249+MAX(D249,J248)</f>
        <v>240.053166334595</v>
      </c>
      <c r="K249" s="59" t="n">
        <f aca="false">IF((H249=0),J249-D249,0)</f>
        <v>15.8983188500627</v>
      </c>
      <c r="L249" s="59" t="n">
        <f aca="true">IF(($H249=0),0,$D$4+$D$5*(RAND()-0.5))</f>
        <v>0</v>
      </c>
      <c r="M249" s="59" t="n">
        <f aca="false">L249+MAX(D249,M248)</f>
        <v>236.924354157126</v>
      </c>
      <c r="N249" s="59" t="n">
        <f aca="false">IF((H249=1),M249-D249,0)</f>
        <v>0</v>
      </c>
      <c r="O249" s="5" t="n">
        <v>232</v>
      </c>
      <c r="P249" s="62" t="n">
        <f aca="false">IF((Arterial=0),P248+1,P248)</f>
        <v>116</v>
      </c>
      <c r="Q249" s="62" t="n">
        <f aca="false">IF((Arterial=1),Q248+1,Q248)</f>
        <v>116</v>
      </c>
      <c r="R249" s="63" t="e">
        <f aca="false">IF((RESET=1),0,R249+K249)</f>
        <v>#N/A</v>
      </c>
      <c r="S249" s="10" t="n">
        <f aca="false">IF(RESET=1,0,S249+N249)</f>
        <v>493.000516693634</v>
      </c>
      <c r="T249" s="0" t="e">
        <f aca="false">IF(RESET=1,0,T249+IF(H249=0,1,0))</f>
        <v>#N/A</v>
      </c>
      <c r="U249" s="0" t="n">
        <f aca="false">IF(RESET=1,0,U249+H249)</f>
        <v>34</v>
      </c>
      <c r="V249" s="10" t="e">
        <f aca="false">R249/(T249+0.00001)</f>
        <v>#N/A</v>
      </c>
      <c r="W249" s="10" t="n">
        <f aca="false">S249/(U249+0.0001)</f>
        <v>14.4999725498935</v>
      </c>
      <c r="X249" s="60" t="n">
        <f aca="false">IF(Informed=1,K249,0)</f>
        <v>15.8983188500627</v>
      </c>
      <c r="Y249" s="60" t="n">
        <f aca="false">IF(Informed=0,K249,0)</f>
        <v>0</v>
      </c>
      <c r="Z249" s="60" t="n">
        <f aca="false">IF(Informed=1,N249,0)</f>
        <v>0</v>
      </c>
      <c r="AA249" s="60" t="n">
        <f aca="false">IF(Informed=0,N249,0)</f>
        <v>0</v>
      </c>
      <c r="AB249" s="64" t="n">
        <f aca="false">IF(Arterial=0,IF(Informed=1,1,0),0)</f>
        <v>1</v>
      </c>
      <c r="AC249" s="64" t="n">
        <f aca="false">IF(Arterial=0,IF(Informed=0,1,0),0)</f>
        <v>0</v>
      </c>
      <c r="AD249" s="64" t="n">
        <f aca="false">IF(Arterial=1,IF(Informed=1,1,0),0)</f>
        <v>0</v>
      </c>
      <c r="AE249" s="64" t="n">
        <f aca="false">IF(Arterial=1,IF(Informed=0,1,0),0)</f>
        <v>0</v>
      </c>
      <c r="AF249" s="57" t="n">
        <f aca="false">IF(AB249=1,(X249-G$1030)^2,0)</f>
        <v>252.756542258257</v>
      </c>
      <c r="AG249" s="57" t="n">
        <f aca="false">IF(AC249=1,(Y249-H$1030)^2,0)</f>
        <v>0</v>
      </c>
      <c r="AH249" s="57" t="n">
        <f aca="false">IF(AD249=1,(Z249-I$1030)^2,0)</f>
        <v>0</v>
      </c>
      <c r="AI249" s="57" t="n">
        <f aca="false">IF(AE249=1,(AA249-J$1030)^2,0)</f>
        <v>0</v>
      </c>
    </row>
    <row r="250" customFormat="false" ht="12" hidden="false" customHeight="false" outlineLevel="0" collapsed="false">
      <c r="A250" s="5" t="n">
        <v>233</v>
      </c>
      <c r="B250" s="58" t="n">
        <f aca="true">IF(RAND()&lt;$D$8,1,0)</f>
        <v>0</v>
      </c>
      <c r="C250" s="47" t="n">
        <f aca="true">-LN(RAND())/$D$2</f>
        <v>2.15681154604451</v>
      </c>
      <c r="D250" s="59" t="n">
        <f aca="false">D249+C250</f>
        <v>226.311659030577</v>
      </c>
      <c r="E250" s="60" t="n">
        <f aca="false">MAX($D$3,(1+P249-VLOOKUP(VALUE(D250),$J$18:$Q249,7,TRUE()))*$D$3)</f>
        <v>16</v>
      </c>
      <c r="F250" s="60" t="n">
        <f aca="false">MAX($D$4,(1+Q249-VLOOKUP(VALUE(D250),$M$18:$Q249,5,TRUE()))*$D$4)</f>
        <v>14</v>
      </c>
      <c r="G250" s="61" t="n">
        <v>0.5</v>
      </c>
      <c r="H250" s="59" t="n">
        <f aca="true">IF((B250=1),(IF((F250&lt;E250),1,(IF((F250=E250),(IF(RAND()&lt;G250,1,0)),0)))),(IF((RAND()&lt;G250),1,0)))</f>
        <v>1</v>
      </c>
      <c r="I250" s="59" t="n">
        <f aca="true">IF((H250=1),0,$D$3+$D$5*(RAND()-0.5))</f>
        <v>0</v>
      </c>
      <c r="J250" s="59" t="n">
        <f aca="false">I250+MAX(D250,J249)</f>
        <v>240.053166334595</v>
      </c>
      <c r="K250" s="59" t="n">
        <f aca="false">IF((H250=0),J250-D250,0)</f>
        <v>0</v>
      </c>
      <c r="L250" s="59" t="n">
        <f aca="true">IF(($H250=0),0,$D$4+$D$5*(RAND()-0.5))</f>
        <v>1.98889985577329</v>
      </c>
      <c r="M250" s="59" t="n">
        <f aca="false">L250+MAX(D250,M249)</f>
        <v>238.913254012899</v>
      </c>
      <c r="N250" s="59" t="n">
        <f aca="false">IF((H250=1),M250-D250,0)</f>
        <v>12.6015949823219</v>
      </c>
      <c r="O250" s="5" t="n">
        <v>233</v>
      </c>
      <c r="P250" s="62" t="n">
        <f aca="false">IF((Arterial=0),P249+1,P249)</f>
        <v>116</v>
      </c>
      <c r="Q250" s="62" t="n">
        <f aca="false">IF((Arterial=1),Q249+1,Q249)</f>
        <v>117</v>
      </c>
      <c r="R250" s="63" t="n">
        <f aca="false">IF((RESET=1),0,R250+K250)</f>
        <v>407.0882151464</v>
      </c>
      <c r="S250" s="10" t="e">
        <f aca="false">IF(RESET=1,0,S250+N250)</f>
        <v>#N/A</v>
      </c>
      <c r="T250" s="0" t="n">
        <f aca="false">IF(RESET=1,0,T250+IF(H250=0,1,0))</f>
        <v>32</v>
      </c>
      <c r="U250" s="0" t="e">
        <f aca="false">IF(RESET=1,0,U250+H250)</f>
        <v>#N/A</v>
      </c>
      <c r="V250" s="10" t="n">
        <f aca="false">R250/(T250+0.00001)</f>
        <v>12.7215027478554</v>
      </c>
      <c r="W250" s="10" t="e">
        <f aca="false">S250/(U250+0.0001)</f>
        <v>#N/A</v>
      </c>
      <c r="X250" s="60" t="n">
        <f aca="false">IF(Informed=1,K250,0)</f>
        <v>0</v>
      </c>
      <c r="Y250" s="60" t="n">
        <f aca="false">IF(Informed=0,K250,0)</f>
        <v>0</v>
      </c>
      <c r="Z250" s="60" t="n">
        <f aca="false">IF(Informed=1,N250,0)</f>
        <v>0</v>
      </c>
      <c r="AA250" s="60" t="n">
        <f aca="false">IF(Informed=0,N250,0)</f>
        <v>12.6015949823219</v>
      </c>
      <c r="AB250" s="64" t="n">
        <f aca="false">IF(Arterial=0,IF(Informed=1,1,0),0)</f>
        <v>0</v>
      </c>
      <c r="AC250" s="64" t="n">
        <f aca="false">IF(Arterial=0,IF(Informed=0,1,0),0)</f>
        <v>0</v>
      </c>
      <c r="AD250" s="64" t="n">
        <f aca="false">IF(Arterial=1,IF(Informed=1,1,0),0)</f>
        <v>0</v>
      </c>
      <c r="AE250" s="64" t="n">
        <f aca="false">IF(Arterial=1,IF(Informed=0,1,0),0)</f>
        <v>1</v>
      </c>
      <c r="AF250" s="57" t="n">
        <f aca="false">IF(AB250=1,(X250-G$1030)^2,0)</f>
        <v>0</v>
      </c>
      <c r="AG250" s="57" t="n">
        <f aca="false">IF(AC250=1,(Y250-H$1030)^2,0)</f>
        <v>0</v>
      </c>
      <c r="AH250" s="57" t="n">
        <f aca="false">IF(AD250=1,(Z250-I$1030)^2,0)</f>
        <v>0</v>
      </c>
      <c r="AI250" s="57" t="n">
        <f aca="false">IF(AE250=1,(AA250-J$1030)^2,0)</f>
        <v>158.800196098481</v>
      </c>
    </row>
    <row r="251" customFormat="false" ht="12" hidden="false" customHeight="false" outlineLevel="0" collapsed="false">
      <c r="A251" s="5" t="n">
        <v>234</v>
      </c>
      <c r="B251" s="58" t="n">
        <f aca="true">IF(RAND()&lt;$D$8,1,0)</f>
        <v>0</v>
      </c>
      <c r="C251" s="47" t="n">
        <f aca="true">-LN(RAND())/$D$2</f>
        <v>0.108351974361262</v>
      </c>
      <c r="D251" s="59" t="n">
        <f aca="false">D250+C251</f>
        <v>226.420011004938</v>
      </c>
      <c r="E251" s="60" t="n">
        <f aca="false">MAX($D$3,(1+P250-VLOOKUP(VALUE(D251),$J$18:$Q250,7,TRUE()))*$D$3)</f>
        <v>16</v>
      </c>
      <c r="F251" s="60" t="n">
        <f aca="false">MAX($D$4,(1+Q250-VLOOKUP(VALUE(D251),$M$18:$Q250,5,TRUE()))*$D$4)</f>
        <v>16</v>
      </c>
      <c r="G251" s="61" t="n">
        <v>0.5</v>
      </c>
      <c r="H251" s="59" t="n">
        <f aca="true">IF((B251=1),(IF((F251&lt;E251),1,(IF((F251=E251),(IF(RAND()&lt;G251,1,0)),0)))),(IF((RAND()&lt;G251),1,0)))</f>
        <v>0</v>
      </c>
      <c r="I251" s="59" t="n">
        <f aca="true">IF((H251=1),0,$D$3+$D$5*(RAND()-0.5))</f>
        <v>1.85116635977289</v>
      </c>
      <c r="J251" s="59" t="n">
        <f aca="false">I251+MAX(D251,J250)</f>
        <v>241.904332694368</v>
      </c>
      <c r="K251" s="59" t="n">
        <f aca="false">IF((H251=0),J251-D251,0)</f>
        <v>15.4843216894298</v>
      </c>
      <c r="L251" s="59" t="n">
        <f aca="true">IF(($H251=0),0,$D$4+$D$5*(RAND()-0.5))</f>
        <v>0</v>
      </c>
      <c r="M251" s="59" t="n">
        <f aca="false">L251+MAX(D251,M250)</f>
        <v>238.913254012899</v>
      </c>
      <c r="N251" s="59" t="n">
        <f aca="false">IF((H251=1),M251-D251,0)</f>
        <v>0</v>
      </c>
      <c r="O251" s="5" t="n">
        <v>234</v>
      </c>
      <c r="P251" s="62" t="n">
        <f aca="false">IF((Arterial=0),P250+1,P250)</f>
        <v>117</v>
      </c>
      <c r="Q251" s="62" t="n">
        <f aca="false">IF((Arterial=1),Q250+1,Q250)</f>
        <v>117</v>
      </c>
      <c r="R251" s="63" t="e">
        <f aca="false">IF((RESET=1),0,R251+K251)</f>
        <v>#N/A</v>
      </c>
      <c r="S251" s="10" t="n">
        <f aca="false">IF(RESET=1,0,S251+N251)</f>
        <v>426.306654647293</v>
      </c>
      <c r="T251" s="0" t="e">
        <f aca="false">IF(RESET=1,0,T251+IF(H251=0,1,0))</f>
        <v>#N/A</v>
      </c>
      <c r="U251" s="0" t="n">
        <f aca="false">IF(RESET=1,0,U251+H251)</f>
        <v>29</v>
      </c>
      <c r="V251" s="10" t="e">
        <f aca="false">R251/(T251+0.00001)</f>
        <v>#N/A</v>
      </c>
      <c r="W251" s="10" t="n">
        <f aca="false">S251/(U251+0.0001)</f>
        <v>14.7001787803247</v>
      </c>
      <c r="X251" s="60" t="n">
        <f aca="false">IF(Informed=1,K251,0)</f>
        <v>0</v>
      </c>
      <c r="Y251" s="60" t="n">
        <f aca="false">IF(Informed=0,K251,0)</f>
        <v>15.4843216894298</v>
      </c>
      <c r="Z251" s="60" t="n">
        <f aca="false">IF(Informed=1,N251,0)</f>
        <v>0</v>
      </c>
      <c r="AA251" s="60" t="n">
        <f aca="false">IF(Informed=0,N251,0)</f>
        <v>0</v>
      </c>
      <c r="AB251" s="64" t="n">
        <f aca="false">IF(Arterial=0,IF(Informed=1,1,0),0)</f>
        <v>0</v>
      </c>
      <c r="AC251" s="64" t="n">
        <f aca="false">IF(Arterial=0,IF(Informed=0,1,0),0)</f>
        <v>1</v>
      </c>
      <c r="AD251" s="64" t="n">
        <f aca="false">IF(Arterial=1,IF(Informed=1,1,0),0)</f>
        <v>0</v>
      </c>
      <c r="AE251" s="64" t="n">
        <f aca="false">IF(Arterial=1,IF(Informed=0,1,0),0)</f>
        <v>0</v>
      </c>
      <c r="AF251" s="57" t="n">
        <f aca="false">IF(AB251=1,(X251-G$1030)^2,0)</f>
        <v>0</v>
      </c>
      <c r="AG251" s="57" t="n">
        <f aca="false">IF(AC251=1,(Y251-H$1030)^2,0)</f>
        <v>239.764218181745</v>
      </c>
      <c r="AH251" s="57" t="n">
        <f aca="false">IF(AD251=1,(Z251-I$1030)^2,0)</f>
        <v>0</v>
      </c>
      <c r="AI251" s="57" t="n">
        <f aca="false">IF(AE251=1,(AA251-J$1030)^2,0)</f>
        <v>0</v>
      </c>
    </row>
    <row r="252" customFormat="false" ht="12" hidden="false" customHeight="false" outlineLevel="0" collapsed="false">
      <c r="A252" s="5" t="n">
        <v>235</v>
      </c>
      <c r="B252" s="58" t="n">
        <f aca="true">IF(RAND()&lt;$D$8,1,0)</f>
        <v>1</v>
      </c>
      <c r="C252" s="47" t="n">
        <f aca="true">-LN(RAND())/$D$2</f>
        <v>0.50823266489831</v>
      </c>
      <c r="D252" s="59" t="n">
        <f aca="false">D251+C252</f>
        <v>226.928243669837</v>
      </c>
      <c r="E252" s="60" t="n">
        <f aca="false">MAX($D$3,(1+P251-VLOOKUP(VALUE(D252),$J$18:$Q251,7,TRUE()))*$D$3)</f>
        <v>18</v>
      </c>
      <c r="F252" s="60" t="n">
        <f aca="false">MAX($D$4,(1+Q251-VLOOKUP(VALUE(D252),$M$18:$Q251,5,TRUE()))*$D$4)</f>
        <v>16</v>
      </c>
      <c r="G252" s="61" t="n">
        <v>0.5</v>
      </c>
      <c r="H252" s="59" t="n">
        <f aca="true">IF((B252=1),(IF((F252&lt;E252),1,(IF((F252=E252),(IF(RAND()&lt;G252,1,0)),0)))),(IF((RAND()&lt;G252),1,0)))</f>
        <v>1</v>
      </c>
      <c r="I252" s="59" t="n">
        <f aca="true">IF((H252=1),0,$D$3+$D$5*(RAND()-0.5))</f>
        <v>0</v>
      </c>
      <c r="J252" s="59" t="n">
        <f aca="false">I252+MAX(D252,J251)</f>
        <v>241.904332694368</v>
      </c>
      <c r="K252" s="59" t="n">
        <f aca="false">IF((H252=0),J252-D252,0)</f>
        <v>0</v>
      </c>
      <c r="L252" s="59" t="n">
        <f aca="true">IF(($H252=0),0,$D$4+$D$5*(RAND()-0.5))</f>
        <v>2.04388804831962</v>
      </c>
      <c r="M252" s="59" t="n">
        <f aca="false">L252+MAX(D252,M251)</f>
        <v>240.957142061219</v>
      </c>
      <c r="N252" s="59" t="n">
        <f aca="false">IF((H252=1),M252-D252,0)</f>
        <v>14.028898391382</v>
      </c>
      <c r="O252" s="5" t="n">
        <v>235</v>
      </c>
      <c r="P252" s="62" t="n">
        <f aca="false">IF((Arterial=0),P251+1,P251)</f>
        <v>117</v>
      </c>
      <c r="Q252" s="62" t="n">
        <f aca="false">IF((Arterial=1),Q251+1,Q251)</f>
        <v>118</v>
      </c>
      <c r="R252" s="63" t="n">
        <f aca="false">IF((RESET=1),0,R252+K252)</f>
        <v>456.642542003378</v>
      </c>
      <c r="S252" s="10" t="e">
        <f aca="false">IF(RESET=1,0,S252+N252)</f>
        <v>#N/A</v>
      </c>
      <c r="T252" s="0" t="n">
        <f aca="false">IF(RESET=1,0,T252+IF(H252=0,1,0))</f>
        <v>28</v>
      </c>
      <c r="U252" s="0" t="e">
        <f aca="false">IF(RESET=1,0,U252+H252)</f>
        <v>#N/A</v>
      </c>
      <c r="V252" s="10" t="n">
        <f aca="false">R252/(T252+0.00001)</f>
        <v>16.3086563898862</v>
      </c>
      <c r="W252" s="10" t="e">
        <f aca="false">S252/(U252+0.0001)</f>
        <v>#N/A</v>
      </c>
      <c r="X252" s="60" t="n">
        <f aca="false">IF(Informed=1,K252,0)</f>
        <v>0</v>
      </c>
      <c r="Y252" s="60" t="n">
        <f aca="false">IF(Informed=0,K252,0)</f>
        <v>0</v>
      </c>
      <c r="Z252" s="60" t="n">
        <f aca="false">IF(Informed=1,N252,0)</f>
        <v>14.028898391382</v>
      </c>
      <c r="AA252" s="60" t="n">
        <f aca="false">IF(Informed=0,N252,0)</f>
        <v>0</v>
      </c>
      <c r="AB252" s="64" t="n">
        <f aca="false">IF(Arterial=0,IF(Informed=1,1,0),0)</f>
        <v>0</v>
      </c>
      <c r="AC252" s="64" t="n">
        <f aca="false">IF(Arterial=0,IF(Informed=0,1,0),0)</f>
        <v>0</v>
      </c>
      <c r="AD252" s="64" t="n">
        <f aca="false">IF(Arterial=1,IF(Informed=1,1,0),0)</f>
        <v>1</v>
      </c>
      <c r="AE252" s="64" t="n">
        <f aca="false">IF(Arterial=1,IF(Informed=0,1,0),0)</f>
        <v>0</v>
      </c>
      <c r="AF252" s="57" t="n">
        <f aca="false">IF(AB252=1,(X252-G$1030)^2,0)</f>
        <v>0</v>
      </c>
      <c r="AG252" s="57" t="n">
        <f aca="false">IF(AC252=1,(Y252-H$1030)^2,0)</f>
        <v>0</v>
      </c>
      <c r="AH252" s="57" t="n">
        <f aca="false">IF(AD252=1,(Z252-I$1030)^2,0)</f>
        <v>196.80999007572</v>
      </c>
      <c r="AI252" s="57" t="n">
        <f aca="false">IF(AE252=1,(AA252-J$1030)^2,0)</f>
        <v>0</v>
      </c>
    </row>
    <row r="253" customFormat="false" ht="12" hidden="false" customHeight="false" outlineLevel="0" collapsed="false">
      <c r="A253" s="5" t="n">
        <v>236</v>
      </c>
      <c r="B253" s="58" t="n">
        <f aca="true">IF(RAND()&lt;$D$8,1,0)</f>
        <v>1</v>
      </c>
      <c r="C253" s="47" t="n">
        <f aca="true">-LN(RAND())/$D$2</f>
        <v>0.586808741101108</v>
      </c>
      <c r="D253" s="59" t="n">
        <f aca="false">D252+C253</f>
        <v>227.515052410938</v>
      </c>
      <c r="E253" s="60" t="n">
        <f aca="false">MAX($D$3,(1+P252-VLOOKUP(VALUE(D253),$J$18:$Q252,7,TRUE()))*$D$3)</f>
        <v>18</v>
      </c>
      <c r="F253" s="60" t="n">
        <f aca="false">MAX($D$4,(1+Q252-VLOOKUP(VALUE(D253),$M$18:$Q252,5,TRUE()))*$D$4)</f>
        <v>18</v>
      </c>
      <c r="G253" s="61" t="n">
        <v>0.5</v>
      </c>
      <c r="H253" s="59" t="n">
        <f aca="true">IF((B253=1),(IF((F253&lt;E253),1,(IF((F253=E253),(IF(RAND()&lt;G253,1,0)),0)))),(IF((RAND()&lt;G253),1,0)))</f>
        <v>1</v>
      </c>
      <c r="I253" s="59" t="n">
        <f aca="true">IF((H253=1),0,$D$3+$D$5*(RAND()-0.5))</f>
        <v>0</v>
      </c>
      <c r="J253" s="59" t="n">
        <f aca="false">I253+MAX(D253,J252)</f>
        <v>241.904332694368</v>
      </c>
      <c r="K253" s="59" t="n">
        <f aca="false">IF((H253=0),J253-D253,0)</f>
        <v>0</v>
      </c>
      <c r="L253" s="59" t="n">
        <f aca="true">IF(($H253=0),0,$D$4+$D$5*(RAND()-0.5))</f>
        <v>2.07210358122422</v>
      </c>
      <c r="M253" s="59" t="n">
        <f aca="false">L253+MAX(D253,M252)</f>
        <v>243.029245642443</v>
      </c>
      <c r="N253" s="59" t="n">
        <f aca="false">IF((H253=1),M253-D253,0)</f>
        <v>15.5141932315051</v>
      </c>
      <c r="O253" s="5" t="n">
        <v>236</v>
      </c>
      <c r="P253" s="62" t="n">
        <f aca="false">IF((Arterial=0),P252+1,P252)</f>
        <v>117</v>
      </c>
      <c r="Q253" s="62" t="n">
        <f aca="false">IF((Arterial=1),Q252+1,Q252)</f>
        <v>119</v>
      </c>
      <c r="R253" s="63" t="n">
        <f aca="false">IF((RESET=1),0,R253+K253)</f>
        <v>387.466987003216</v>
      </c>
      <c r="S253" s="10" t="e">
        <f aca="false">IF(RESET=1,0,S253+N253)</f>
        <v>#N/A</v>
      </c>
      <c r="T253" s="0" t="n">
        <f aca="false">IF(RESET=1,0,T253+IF(H253=0,1,0))</f>
        <v>27</v>
      </c>
      <c r="U253" s="0" t="e">
        <f aca="false">IF(RESET=1,0,U253+H253)</f>
        <v>#N/A</v>
      </c>
      <c r="V253" s="10" t="n">
        <f aca="false">R253/(T253+0.00001)</f>
        <v>14.3506238332214</v>
      </c>
      <c r="W253" s="10" t="e">
        <f aca="false">S253/(U253+0.0001)</f>
        <v>#N/A</v>
      </c>
      <c r="X253" s="60" t="n">
        <f aca="false">IF(Informed=1,K253,0)</f>
        <v>0</v>
      </c>
      <c r="Y253" s="60" t="n">
        <f aca="false">IF(Informed=0,K253,0)</f>
        <v>0</v>
      </c>
      <c r="Z253" s="60" t="n">
        <f aca="false">IF(Informed=1,N253,0)</f>
        <v>15.5141932315051</v>
      </c>
      <c r="AA253" s="60" t="n">
        <f aca="false">IF(Informed=0,N253,0)</f>
        <v>0</v>
      </c>
      <c r="AB253" s="64" t="n">
        <f aca="false">IF(Arterial=0,IF(Informed=1,1,0),0)</f>
        <v>0</v>
      </c>
      <c r="AC253" s="64" t="n">
        <f aca="false">IF(Arterial=0,IF(Informed=0,1,0),0)</f>
        <v>0</v>
      </c>
      <c r="AD253" s="64" t="n">
        <f aca="false">IF(Arterial=1,IF(Informed=1,1,0),0)</f>
        <v>1</v>
      </c>
      <c r="AE253" s="64" t="n">
        <f aca="false">IF(Arterial=1,IF(Informed=0,1,0),0)</f>
        <v>0</v>
      </c>
      <c r="AF253" s="57" t="n">
        <f aca="false">IF(AB253=1,(X253-G$1030)^2,0)</f>
        <v>0</v>
      </c>
      <c r="AG253" s="57" t="n">
        <f aca="false">IF(AC253=1,(Y253-H$1030)^2,0)</f>
        <v>0</v>
      </c>
      <c r="AH253" s="57" t="n">
        <f aca="false">IF(AD253=1,(Z253-I$1030)^2,0)</f>
        <v>240.690191624478</v>
      </c>
      <c r="AI253" s="57" t="n">
        <f aca="false">IF(AE253=1,(AA253-J$1030)^2,0)</f>
        <v>0</v>
      </c>
    </row>
    <row r="254" customFormat="false" ht="12" hidden="false" customHeight="false" outlineLevel="0" collapsed="false">
      <c r="A254" s="5" t="n">
        <v>237</v>
      </c>
      <c r="B254" s="58" t="n">
        <f aca="true">IF(RAND()&lt;$D$8,1,0)</f>
        <v>1</v>
      </c>
      <c r="C254" s="47" t="n">
        <f aca="true">-LN(RAND())/$D$2</f>
        <v>0.755689397058442</v>
      </c>
      <c r="D254" s="59" t="n">
        <f aca="false">D253+C254</f>
        <v>228.270741807996</v>
      </c>
      <c r="E254" s="60" t="n">
        <f aca="false">MAX($D$3,(1+P253-VLOOKUP(VALUE(D254),$J$18:$Q253,7,TRUE()))*$D$3)</f>
        <v>16</v>
      </c>
      <c r="F254" s="60" t="n">
        <f aca="false">MAX($D$4,(1+Q253-VLOOKUP(VALUE(D254),$M$18:$Q253,5,TRUE()))*$D$4)</f>
        <v>18</v>
      </c>
      <c r="G254" s="61" t="n">
        <v>0.5</v>
      </c>
      <c r="H254" s="59" t="n">
        <f aca="true">IF((B254=1),(IF((F254&lt;E254),1,(IF((F254=E254),(IF(RAND()&lt;G254,1,0)),0)))),(IF((RAND()&lt;G254),1,0)))</f>
        <v>0</v>
      </c>
      <c r="I254" s="59" t="n">
        <f aca="true">IF((H254=1),0,$D$3+$D$5*(RAND()-0.5))</f>
        <v>1.82191434831494</v>
      </c>
      <c r="J254" s="59" t="n">
        <f aca="false">I254+MAX(D254,J253)</f>
        <v>243.726247042683</v>
      </c>
      <c r="K254" s="59" t="n">
        <f aca="false">IF((H254=0),J254-D254,0)</f>
        <v>15.4555052346869</v>
      </c>
      <c r="L254" s="59" t="n">
        <f aca="true">IF(($H254=0),0,$D$4+$D$5*(RAND()-0.5))</f>
        <v>0</v>
      </c>
      <c r="M254" s="59" t="n">
        <f aca="false">L254+MAX(D254,M253)</f>
        <v>243.029245642443</v>
      </c>
      <c r="N254" s="59" t="n">
        <f aca="false">IF((H254=1),M254-D254,0)</f>
        <v>0</v>
      </c>
      <c r="O254" s="5" t="n">
        <v>237</v>
      </c>
      <c r="P254" s="62" t="n">
        <f aca="false">IF((Arterial=0),P253+1,P253)</f>
        <v>118</v>
      </c>
      <c r="Q254" s="62" t="n">
        <f aca="false">IF((Arterial=1),Q253+1,Q253)</f>
        <v>119</v>
      </c>
      <c r="R254" s="63" t="e">
        <f aca="false">IF((RESET=1),0,R254+K254)</f>
        <v>#N/A</v>
      </c>
      <c r="S254" s="10" t="n">
        <f aca="false">IF(RESET=1,0,S254+N254)</f>
        <v>493.177189663032</v>
      </c>
      <c r="T254" s="0" t="e">
        <f aca="false">IF(RESET=1,0,T254+IF(H254=0,1,0))</f>
        <v>#N/A</v>
      </c>
      <c r="U254" s="0" t="n">
        <f aca="false">IF(RESET=1,0,U254+H254)</f>
        <v>31</v>
      </c>
      <c r="V254" s="10" t="e">
        <f aca="false">R254/(T254+0.00001)</f>
        <v>#N/A</v>
      </c>
      <c r="W254" s="10" t="n">
        <f aca="false">S254/(U254+0.0001)</f>
        <v>15.9088902830324</v>
      </c>
      <c r="X254" s="60" t="n">
        <f aca="false">IF(Informed=1,K254,0)</f>
        <v>15.4555052346869</v>
      </c>
      <c r="Y254" s="60" t="n">
        <f aca="false">IF(Informed=0,K254,0)</f>
        <v>0</v>
      </c>
      <c r="Z254" s="60" t="n">
        <f aca="false">IF(Informed=1,N254,0)</f>
        <v>0</v>
      </c>
      <c r="AA254" s="60" t="n">
        <f aca="false">IF(Informed=0,N254,0)</f>
        <v>0</v>
      </c>
      <c r="AB254" s="64" t="n">
        <f aca="false">IF(Arterial=0,IF(Informed=1,1,0),0)</f>
        <v>1</v>
      </c>
      <c r="AC254" s="64" t="n">
        <f aca="false">IF(Arterial=0,IF(Informed=0,1,0),0)</f>
        <v>0</v>
      </c>
      <c r="AD254" s="64" t="n">
        <f aca="false">IF(Arterial=1,IF(Informed=1,1,0),0)</f>
        <v>0</v>
      </c>
      <c r="AE254" s="64" t="n">
        <f aca="false">IF(Arterial=1,IF(Informed=0,1,0),0)</f>
        <v>0</v>
      </c>
      <c r="AF254" s="57" t="n">
        <f aca="false">IF(AB254=1,(X254-G$1030)^2,0)</f>
        <v>238.872642059434</v>
      </c>
      <c r="AG254" s="57" t="n">
        <f aca="false">IF(AC254=1,(Y254-H$1030)^2,0)</f>
        <v>0</v>
      </c>
      <c r="AH254" s="57" t="n">
        <f aca="false">IF(AD254=1,(Z254-I$1030)^2,0)</f>
        <v>0</v>
      </c>
      <c r="AI254" s="57" t="n">
        <f aca="false">IF(AE254=1,(AA254-J$1030)^2,0)</f>
        <v>0</v>
      </c>
    </row>
    <row r="255" customFormat="false" ht="12" hidden="false" customHeight="false" outlineLevel="0" collapsed="false">
      <c r="A255" s="5" t="n">
        <v>238</v>
      </c>
      <c r="B255" s="58" t="n">
        <f aca="true">IF(RAND()&lt;$D$8,1,0)</f>
        <v>1</v>
      </c>
      <c r="C255" s="47" t="n">
        <f aca="true">-LN(RAND())/$D$2</f>
        <v>0.174450783991536</v>
      </c>
      <c r="D255" s="59" t="n">
        <f aca="false">D254+C255</f>
        <v>228.445192591988</v>
      </c>
      <c r="E255" s="60" t="n">
        <f aca="false">MAX($D$3,(1+P254-VLOOKUP(VALUE(D255),$J$18:$Q254,7,TRUE()))*$D$3)</f>
        <v>18</v>
      </c>
      <c r="F255" s="60" t="n">
        <f aca="false">MAX($D$4,(1+Q254-VLOOKUP(VALUE(D255),$M$18:$Q254,5,TRUE()))*$D$4)</f>
        <v>18</v>
      </c>
      <c r="G255" s="61" t="n">
        <v>0.5</v>
      </c>
      <c r="H255" s="59" t="n">
        <f aca="true">IF((B255=1),(IF((F255&lt;E255),1,(IF((F255=E255),(IF(RAND()&lt;G255,1,0)),0)))),(IF((RAND()&lt;G255),1,0)))</f>
        <v>1</v>
      </c>
      <c r="I255" s="59" t="n">
        <f aca="true">IF((H255=1),0,$D$3+$D$5*(RAND()-0.5))</f>
        <v>0</v>
      </c>
      <c r="J255" s="59" t="n">
        <f aca="false">I255+MAX(D255,J254)</f>
        <v>243.726247042683</v>
      </c>
      <c r="K255" s="59" t="n">
        <f aca="false">IF((H255=0),J255-D255,0)</f>
        <v>0</v>
      </c>
      <c r="L255" s="59" t="n">
        <f aca="true">IF(($H255=0),0,$D$4+$D$5*(RAND()-0.5))</f>
        <v>2.10635957824053</v>
      </c>
      <c r="M255" s="59" t="n">
        <f aca="false">L255+MAX(D255,M254)</f>
        <v>245.135605220683</v>
      </c>
      <c r="N255" s="59" t="n">
        <f aca="false">IF((H255=1),M255-D255,0)</f>
        <v>16.6904126286956</v>
      </c>
      <c r="O255" s="5" t="n">
        <v>238</v>
      </c>
      <c r="P255" s="62" t="n">
        <f aca="false">IF((Arterial=0),P254+1,P254)</f>
        <v>118</v>
      </c>
      <c r="Q255" s="62" t="n">
        <f aca="false">IF((Arterial=1),Q254+1,Q254)</f>
        <v>120</v>
      </c>
      <c r="R255" s="63" t="n">
        <f aca="false">IF((RESET=1),0,R255+K255)</f>
        <v>410.361283069862</v>
      </c>
      <c r="S255" s="10" t="e">
        <f aca="false">IF(RESET=1,0,S255+N255)</f>
        <v>#N/A</v>
      </c>
      <c r="T255" s="0" t="n">
        <f aca="false">IF(RESET=1,0,T255+IF(H255=0,1,0))</f>
        <v>30</v>
      </c>
      <c r="U255" s="0" t="e">
        <f aca="false">IF(RESET=1,0,U255+H255)</f>
        <v>#N/A</v>
      </c>
      <c r="V255" s="10" t="n">
        <f aca="false">R255/(T255+0.00001)</f>
        <v>13.6787048760938</v>
      </c>
      <c r="W255" s="10" t="e">
        <f aca="false">S255/(U255+0.0001)</f>
        <v>#N/A</v>
      </c>
      <c r="X255" s="60" t="n">
        <f aca="false">IF(Informed=1,K255,0)</f>
        <v>0</v>
      </c>
      <c r="Y255" s="60" t="n">
        <f aca="false">IF(Informed=0,K255,0)</f>
        <v>0</v>
      </c>
      <c r="Z255" s="60" t="n">
        <f aca="false">IF(Informed=1,N255,0)</f>
        <v>16.6904126286956</v>
      </c>
      <c r="AA255" s="60" t="n">
        <f aca="false">IF(Informed=0,N255,0)</f>
        <v>0</v>
      </c>
      <c r="AB255" s="64" t="n">
        <f aca="false">IF(Arterial=0,IF(Informed=1,1,0),0)</f>
        <v>0</v>
      </c>
      <c r="AC255" s="64" t="n">
        <f aca="false">IF(Arterial=0,IF(Informed=0,1,0),0)</f>
        <v>0</v>
      </c>
      <c r="AD255" s="64" t="n">
        <f aca="false">IF(Arterial=1,IF(Informed=1,1,0),0)</f>
        <v>1</v>
      </c>
      <c r="AE255" s="64" t="n">
        <f aca="false">IF(Arterial=1,IF(Informed=0,1,0),0)</f>
        <v>0</v>
      </c>
      <c r="AF255" s="57" t="n">
        <f aca="false">IF(AB255=1,(X255-G$1030)^2,0)</f>
        <v>0</v>
      </c>
      <c r="AG255" s="57" t="n">
        <f aca="false">IF(AC255=1,(Y255-H$1030)^2,0)</f>
        <v>0</v>
      </c>
      <c r="AH255" s="57" t="n">
        <f aca="false">IF(AD255=1,(Z255-I$1030)^2,0)</f>
        <v>278.569873716123</v>
      </c>
      <c r="AI255" s="57" t="n">
        <f aca="false">IF(AE255=1,(AA255-J$1030)^2,0)</f>
        <v>0</v>
      </c>
    </row>
    <row r="256" customFormat="false" ht="12" hidden="false" customHeight="false" outlineLevel="0" collapsed="false">
      <c r="A256" s="5" t="n">
        <v>239</v>
      </c>
      <c r="B256" s="58" t="n">
        <f aca="true">IF(RAND()&lt;$D$8,1,0)</f>
        <v>1</v>
      </c>
      <c r="C256" s="47" t="n">
        <f aca="true">-LN(RAND())/$D$2</f>
        <v>0.250656159239293</v>
      </c>
      <c r="D256" s="59" t="n">
        <f aca="false">D255+C256</f>
        <v>228.695848751227</v>
      </c>
      <c r="E256" s="60" t="n">
        <f aca="false">MAX($D$3,(1+P255-VLOOKUP(VALUE(D256),$J$18:$Q255,7,TRUE()))*$D$3)</f>
        <v>18</v>
      </c>
      <c r="F256" s="60" t="n">
        <f aca="false">MAX($D$4,(1+Q255-VLOOKUP(VALUE(D256),$M$18:$Q255,5,TRUE()))*$D$4)</f>
        <v>20</v>
      </c>
      <c r="G256" s="61" t="n">
        <v>0.5</v>
      </c>
      <c r="H256" s="59" t="n">
        <f aca="true">IF((B256=1),(IF((F256&lt;E256),1,(IF((F256=E256),(IF(RAND()&lt;G256,1,0)),0)))),(IF((RAND()&lt;G256),1,0)))</f>
        <v>0</v>
      </c>
      <c r="I256" s="59" t="n">
        <f aca="true">IF((H256=1),0,$D$3+$D$5*(RAND()-0.5))</f>
        <v>2.23386567217438</v>
      </c>
      <c r="J256" s="59" t="n">
        <f aca="false">I256+MAX(D256,J255)</f>
        <v>245.960112714857</v>
      </c>
      <c r="K256" s="59" t="n">
        <f aca="false">IF((H256=0),J256-D256,0)</f>
        <v>17.2642639636304</v>
      </c>
      <c r="L256" s="59" t="n">
        <f aca="true">IF(($H256=0),0,$D$4+$D$5*(RAND()-0.5))</f>
        <v>0</v>
      </c>
      <c r="M256" s="59" t="n">
        <f aca="false">L256+MAX(D256,M255)</f>
        <v>245.135605220683</v>
      </c>
      <c r="N256" s="59" t="n">
        <f aca="false">IF((H256=1),M256-D256,0)</f>
        <v>0</v>
      </c>
      <c r="O256" s="5" t="n">
        <v>239</v>
      </c>
      <c r="P256" s="62" t="n">
        <f aca="false">IF((Arterial=0),P255+1,P255)</f>
        <v>119</v>
      </c>
      <c r="Q256" s="62" t="n">
        <f aca="false">IF((Arterial=1),Q255+1,Q255)</f>
        <v>120</v>
      </c>
      <c r="R256" s="63" t="e">
        <f aca="false">IF((RESET=1),0,R256+K256)</f>
        <v>#N/A</v>
      </c>
      <c r="S256" s="10" t="n">
        <f aca="false">IF(RESET=1,0,S256+N256)</f>
        <v>340.346031854725</v>
      </c>
      <c r="T256" s="0" t="e">
        <f aca="false">IF(RESET=1,0,T256+IF(H256=0,1,0))</f>
        <v>#N/A</v>
      </c>
      <c r="U256" s="0" t="n">
        <f aca="false">IF(RESET=1,0,U256+H256)</f>
        <v>25</v>
      </c>
      <c r="V256" s="10" t="e">
        <f aca="false">R256/(T256+0.00001)</f>
        <v>#N/A</v>
      </c>
      <c r="W256" s="10" t="n">
        <f aca="false">S256/(U256+0.0001)</f>
        <v>13.6137868190417</v>
      </c>
      <c r="X256" s="60" t="n">
        <f aca="false">IF(Informed=1,K256,0)</f>
        <v>17.2642639636304</v>
      </c>
      <c r="Y256" s="60" t="n">
        <f aca="false">IF(Informed=0,K256,0)</f>
        <v>0</v>
      </c>
      <c r="Z256" s="60" t="n">
        <f aca="false">IF(Informed=1,N256,0)</f>
        <v>0</v>
      </c>
      <c r="AA256" s="60" t="n">
        <f aca="false">IF(Informed=0,N256,0)</f>
        <v>0</v>
      </c>
      <c r="AB256" s="64" t="n">
        <f aca="false">IF(Arterial=0,IF(Informed=1,1,0),0)</f>
        <v>1</v>
      </c>
      <c r="AC256" s="64" t="n">
        <f aca="false">IF(Arterial=0,IF(Informed=0,1,0),0)</f>
        <v>0</v>
      </c>
      <c r="AD256" s="64" t="n">
        <f aca="false">IF(Arterial=1,IF(Informed=1,1,0),0)</f>
        <v>0</v>
      </c>
      <c r="AE256" s="64" t="n">
        <f aca="false">IF(Arterial=1,IF(Informed=0,1,0),0)</f>
        <v>0</v>
      </c>
      <c r="AF256" s="57" t="n">
        <f aca="false">IF(AB256=1,(X256-G$1030)^2,0)</f>
        <v>298.054810205908</v>
      </c>
      <c r="AG256" s="57" t="n">
        <f aca="false">IF(AC256=1,(Y256-H$1030)^2,0)</f>
        <v>0</v>
      </c>
      <c r="AH256" s="57" t="n">
        <f aca="false">IF(AD256=1,(Z256-I$1030)^2,0)</f>
        <v>0</v>
      </c>
      <c r="AI256" s="57" t="n">
        <f aca="false">IF(AE256=1,(AA256-J$1030)^2,0)</f>
        <v>0</v>
      </c>
    </row>
    <row r="257" customFormat="false" ht="12" hidden="false" customHeight="false" outlineLevel="0" collapsed="false">
      <c r="A257" s="5" t="n">
        <v>240</v>
      </c>
      <c r="B257" s="58" t="n">
        <f aca="true">IF(RAND()&lt;$D$8,1,0)</f>
        <v>0</v>
      </c>
      <c r="C257" s="47" t="n">
        <f aca="true">-LN(RAND())/$D$2</f>
        <v>0.562794201909215</v>
      </c>
      <c r="D257" s="59" t="n">
        <f aca="false">D256+C257</f>
        <v>229.258642953136</v>
      </c>
      <c r="E257" s="60" t="n">
        <f aca="false">MAX($D$3,(1+P256-VLOOKUP(VALUE(D257),$J$18:$Q256,7,TRUE()))*$D$3)</f>
        <v>20</v>
      </c>
      <c r="F257" s="60" t="n">
        <f aca="false">MAX($D$4,(1+Q256-VLOOKUP(VALUE(D257),$M$18:$Q256,5,TRUE()))*$D$4)</f>
        <v>20</v>
      </c>
      <c r="G257" s="61" t="n">
        <v>0.5</v>
      </c>
      <c r="H257" s="59" t="n">
        <f aca="true">IF((B257=1),(IF((F257&lt;E257),1,(IF((F257=E257),(IF(RAND()&lt;G257,1,0)),0)))),(IF((RAND()&lt;G257),1,0)))</f>
        <v>1</v>
      </c>
      <c r="I257" s="59" t="n">
        <f aca="true">IF((H257=1),0,$D$3+$D$5*(RAND()-0.5))</f>
        <v>0</v>
      </c>
      <c r="J257" s="59" t="n">
        <f aca="false">I257+MAX(D257,J256)</f>
        <v>245.960112714857</v>
      </c>
      <c r="K257" s="59" t="n">
        <f aca="false">IF((H257=0),J257-D257,0)</f>
        <v>0</v>
      </c>
      <c r="L257" s="59" t="n">
        <f aca="true">IF(($H257=0),0,$D$4+$D$5*(RAND()-0.5))</f>
        <v>1.95572050648372</v>
      </c>
      <c r="M257" s="59" t="n">
        <f aca="false">L257+MAX(D257,M256)</f>
        <v>247.091325727167</v>
      </c>
      <c r="N257" s="59" t="n">
        <f aca="false">IF((H257=1),M257-D257,0)</f>
        <v>17.8326827740308</v>
      </c>
      <c r="O257" s="5" t="n">
        <v>240</v>
      </c>
      <c r="P257" s="62" t="n">
        <f aca="false">IF((Arterial=0),P256+1,P256)</f>
        <v>119</v>
      </c>
      <c r="Q257" s="62" t="n">
        <f aca="false">IF((Arterial=1),Q256+1,Q256)</f>
        <v>121</v>
      </c>
      <c r="R257" s="63" t="n">
        <f aca="false">IF((RESET=1),0,R257+K257)</f>
        <v>382.441198077738</v>
      </c>
      <c r="S257" s="10" t="e">
        <f aca="false">IF(RESET=1,0,S257+N257)</f>
        <v>#N/A</v>
      </c>
      <c r="T257" s="0" t="n">
        <f aca="false">IF(RESET=1,0,T257+IF(H257=0,1,0))</f>
        <v>25</v>
      </c>
      <c r="U257" s="0" t="e">
        <f aca="false">IF(RESET=1,0,U257+H257)</f>
        <v>#N/A</v>
      </c>
      <c r="V257" s="10" t="n">
        <f aca="false">R257/(T257+0.00001)</f>
        <v>15.2976418040528</v>
      </c>
      <c r="W257" s="10" t="e">
        <f aca="false">S257/(U257+0.0001)</f>
        <v>#N/A</v>
      </c>
      <c r="X257" s="60" t="n">
        <f aca="false">IF(Informed=1,K257,0)</f>
        <v>0</v>
      </c>
      <c r="Y257" s="60" t="n">
        <f aca="false">IF(Informed=0,K257,0)</f>
        <v>0</v>
      </c>
      <c r="Z257" s="60" t="n">
        <f aca="false">IF(Informed=1,N257,0)</f>
        <v>0</v>
      </c>
      <c r="AA257" s="60" t="n">
        <f aca="false">IF(Informed=0,N257,0)</f>
        <v>17.8326827740308</v>
      </c>
      <c r="AB257" s="64" t="n">
        <f aca="false">IF(Arterial=0,IF(Informed=1,1,0),0)</f>
        <v>0</v>
      </c>
      <c r="AC257" s="64" t="n">
        <f aca="false">IF(Arterial=0,IF(Informed=0,1,0),0)</f>
        <v>0</v>
      </c>
      <c r="AD257" s="64" t="n">
        <f aca="false">IF(Arterial=1,IF(Informed=1,1,0),0)</f>
        <v>0</v>
      </c>
      <c r="AE257" s="64" t="n">
        <f aca="false">IF(Arterial=1,IF(Informed=0,1,0),0)</f>
        <v>1</v>
      </c>
      <c r="AF257" s="57" t="n">
        <f aca="false">IF(AB257=1,(X257-G$1030)^2,0)</f>
        <v>0</v>
      </c>
      <c r="AG257" s="57" t="n">
        <f aca="false">IF(AC257=1,(Y257-H$1030)^2,0)</f>
        <v>0</v>
      </c>
      <c r="AH257" s="57" t="n">
        <f aca="false">IF(AD257=1,(Z257-I$1030)^2,0)</f>
        <v>0</v>
      </c>
      <c r="AI257" s="57" t="n">
        <f aca="false">IF(AE257=1,(AA257-J$1030)^2,0)</f>
        <v>318.004574919216</v>
      </c>
    </row>
    <row r="258" customFormat="false" ht="12" hidden="false" customHeight="false" outlineLevel="0" collapsed="false">
      <c r="A258" s="5" t="n">
        <v>241</v>
      </c>
      <c r="B258" s="58" t="n">
        <f aca="true">IF(RAND()&lt;$D$8,1,0)</f>
        <v>0</v>
      </c>
      <c r="C258" s="47" t="n">
        <f aca="true">-LN(RAND())/$D$2</f>
        <v>1.44217451527467</v>
      </c>
      <c r="D258" s="59" t="n">
        <f aca="false">D257+C258</f>
        <v>230.700817468411</v>
      </c>
      <c r="E258" s="60" t="n">
        <f aca="false">MAX($D$3,(1+P257-VLOOKUP(VALUE(D258),$J$18:$Q257,7,TRUE()))*$D$3)</f>
        <v>18</v>
      </c>
      <c r="F258" s="60" t="n">
        <f aca="false">MAX($D$4,(1+Q257-VLOOKUP(VALUE(D258),$M$18:$Q257,5,TRUE()))*$D$4)</f>
        <v>20</v>
      </c>
      <c r="G258" s="61" t="n">
        <v>0.5</v>
      </c>
      <c r="H258" s="59" t="n">
        <f aca="true">IF((B258=1),(IF((F258&lt;E258),1,(IF((F258=E258),(IF(RAND()&lt;G258,1,0)),0)))),(IF((RAND()&lt;G258),1,0)))</f>
        <v>0</v>
      </c>
      <c r="I258" s="59" t="n">
        <f aca="true">IF((H258=1),0,$D$3+$D$5*(RAND()-0.5))</f>
        <v>1.82212651472756</v>
      </c>
      <c r="J258" s="59" t="n">
        <f aca="false">I258+MAX(D258,J257)</f>
        <v>247.782239229585</v>
      </c>
      <c r="K258" s="59" t="n">
        <f aca="false">IF((H258=0),J258-D258,0)</f>
        <v>17.0814217611741</v>
      </c>
      <c r="L258" s="59" t="n">
        <f aca="true">IF(($H258=0),0,$D$4+$D$5*(RAND()-0.5))</f>
        <v>0</v>
      </c>
      <c r="M258" s="59" t="n">
        <f aca="false">L258+MAX(D258,M257)</f>
        <v>247.091325727167</v>
      </c>
      <c r="N258" s="59" t="n">
        <f aca="false">IF((H258=1),M258-D258,0)</f>
        <v>0</v>
      </c>
      <c r="O258" s="5" t="n">
        <v>241</v>
      </c>
      <c r="P258" s="62" t="n">
        <f aca="false">IF((Arterial=0),P257+1,P257)</f>
        <v>120</v>
      </c>
      <c r="Q258" s="62" t="n">
        <f aca="false">IF((Arterial=1),Q257+1,Q257)</f>
        <v>121</v>
      </c>
      <c r="R258" s="63" t="e">
        <f aca="false">IF((RESET=1),0,R258+K258)</f>
        <v>#N/A</v>
      </c>
      <c r="S258" s="10" t="n">
        <f aca="false">IF(RESET=1,0,S258+N258)</f>
        <v>365.594159270635</v>
      </c>
      <c r="T258" s="0" t="e">
        <f aca="false">IF(RESET=1,0,T258+IF(H258=0,1,0))</f>
        <v>#N/A</v>
      </c>
      <c r="U258" s="0" t="n">
        <f aca="false">IF(RESET=1,0,U258+H258)</f>
        <v>27</v>
      </c>
      <c r="V258" s="10" t="e">
        <f aca="false">R258/(T258+0.00001)</f>
        <v>#N/A</v>
      </c>
      <c r="W258" s="10" t="n">
        <f aca="false">S258/(U258+0.0001)</f>
        <v>13.5404742675262</v>
      </c>
      <c r="X258" s="60" t="n">
        <f aca="false">IF(Informed=1,K258,0)</f>
        <v>0</v>
      </c>
      <c r="Y258" s="60" t="n">
        <f aca="false">IF(Informed=0,K258,0)</f>
        <v>17.0814217611741</v>
      </c>
      <c r="Z258" s="60" t="n">
        <f aca="false">IF(Informed=1,N258,0)</f>
        <v>0</v>
      </c>
      <c r="AA258" s="60" t="n">
        <f aca="false">IF(Informed=0,N258,0)</f>
        <v>0</v>
      </c>
      <c r="AB258" s="64" t="n">
        <f aca="false">IF(Arterial=0,IF(Informed=1,1,0),0)</f>
        <v>0</v>
      </c>
      <c r="AC258" s="64" t="n">
        <f aca="false">IF(Arterial=0,IF(Informed=0,1,0),0)</f>
        <v>1</v>
      </c>
      <c r="AD258" s="64" t="n">
        <f aca="false">IF(Arterial=1,IF(Informed=1,1,0),0)</f>
        <v>0</v>
      </c>
      <c r="AE258" s="64" t="n">
        <f aca="false">IF(Arterial=1,IF(Informed=0,1,0),0)</f>
        <v>0</v>
      </c>
      <c r="AF258" s="57" t="n">
        <f aca="false">IF(AB258=1,(X258-G$1030)^2,0)</f>
        <v>0</v>
      </c>
      <c r="AG258" s="57" t="n">
        <f aca="false">IF(AC258=1,(Y258-H$1030)^2,0)</f>
        <v>291.774969383112</v>
      </c>
      <c r="AH258" s="57" t="n">
        <f aca="false">IF(AD258=1,(Z258-I$1030)^2,0)</f>
        <v>0</v>
      </c>
      <c r="AI258" s="57" t="n">
        <f aca="false">IF(AE258=1,(AA258-J$1030)^2,0)</f>
        <v>0</v>
      </c>
    </row>
    <row r="259" customFormat="false" ht="12" hidden="false" customHeight="false" outlineLevel="0" collapsed="false">
      <c r="A259" s="5" t="n">
        <v>242</v>
      </c>
      <c r="B259" s="58" t="n">
        <f aca="true">IF(RAND()&lt;$D$8,1,0)</f>
        <v>1</v>
      </c>
      <c r="C259" s="47" t="n">
        <f aca="true">-LN(RAND())/$D$2</f>
        <v>0.689443216574407</v>
      </c>
      <c r="D259" s="59" t="n">
        <f aca="false">D258+C259</f>
        <v>231.390260684985</v>
      </c>
      <c r="E259" s="60" t="n">
        <f aca="false">MAX($D$3,(1+P258-VLOOKUP(VALUE(D259),$J$18:$Q258,7,TRUE()))*$D$3)</f>
        <v>20</v>
      </c>
      <c r="F259" s="60" t="n">
        <f aca="false">MAX($D$4,(1+Q258-VLOOKUP(VALUE(D259),$M$18:$Q258,5,TRUE()))*$D$4)</f>
        <v>18</v>
      </c>
      <c r="G259" s="61" t="n">
        <v>0.5</v>
      </c>
      <c r="H259" s="59" t="n">
        <f aca="true">IF((B259=1),(IF((F259&lt;E259),1,(IF((F259=E259),(IF(RAND()&lt;G259,1,0)),0)))),(IF((RAND()&lt;G259),1,0)))</f>
        <v>1</v>
      </c>
      <c r="I259" s="59" t="n">
        <f aca="true">IF((H259=1),0,$D$3+$D$5*(RAND()-0.5))</f>
        <v>0</v>
      </c>
      <c r="J259" s="59" t="n">
        <f aca="false">I259+MAX(D259,J258)</f>
        <v>247.782239229585</v>
      </c>
      <c r="K259" s="59" t="n">
        <f aca="false">IF((H259=0),J259-D259,0)</f>
        <v>0</v>
      </c>
      <c r="L259" s="59" t="n">
        <f aca="true">IF(($H259=0),0,$D$4+$D$5*(RAND()-0.5))</f>
        <v>2.08847380910932</v>
      </c>
      <c r="M259" s="59" t="n">
        <f aca="false">L259+MAX(D259,M258)</f>
        <v>249.179799536276</v>
      </c>
      <c r="N259" s="59" t="n">
        <f aca="false">IF((H259=1),M259-D259,0)</f>
        <v>17.7895388512911</v>
      </c>
      <c r="O259" s="5" t="n">
        <v>242</v>
      </c>
      <c r="P259" s="62" t="n">
        <f aca="false">IF((Arterial=0),P258+1,P258)</f>
        <v>120</v>
      </c>
      <c r="Q259" s="62" t="n">
        <f aca="false">IF((Arterial=1),Q258+1,Q258)</f>
        <v>122</v>
      </c>
      <c r="R259" s="63" t="n">
        <f aca="false">IF((RESET=1),0,R259+K259)</f>
        <v>415.263215878574</v>
      </c>
      <c r="S259" s="10" t="e">
        <f aca="false">IF(RESET=1,0,S259+N259)</f>
        <v>#N/A</v>
      </c>
      <c r="T259" s="0" t="n">
        <f aca="false">IF(RESET=1,0,T259+IF(H259=0,1,0))</f>
        <v>28</v>
      </c>
      <c r="U259" s="0" t="e">
        <f aca="false">IF(RESET=1,0,U259+H259)</f>
        <v>#N/A</v>
      </c>
      <c r="V259" s="10" t="n">
        <f aca="false">R259/(T259+0.00001)</f>
        <v>14.8308238417977</v>
      </c>
      <c r="W259" s="10" t="e">
        <f aca="false">S259/(U259+0.0001)</f>
        <v>#N/A</v>
      </c>
      <c r="X259" s="60" t="n">
        <f aca="false">IF(Informed=1,K259,0)</f>
        <v>0</v>
      </c>
      <c r="Y259" s="60" t="n">
        <f aca="false">IF(Informed=0,K259,0)</f>
        <v>0</v>
      </c>
      <c r="Z259" s="60" t="n">
        <f aca="false">IF(Informed=1,N259,0)</f>
        <v>17.7895388512911</v>
      </c>
      <c r="AA259" s="60" t="n">
        <f aca="false">IF(Informed=0,N259,0)</f>
        <v>0</v>
      </c>
      <c r="AB259" s="64" t="n">
        <f aca="false">IF(Arterial=0,IF(Informed=1,1,0),0)</f>
        <v>0</v>
      </c>
      <c r="AC259" s="64" t="n">
        <f aca="false">IF(Arterial=0,IF(Informed=0,1,0),0)</f>
        <v>0</v>
      </c>
      <c r="AD259" s="64" t="n">
        <f aca="false">IF(Arterial=1,IF(Informed=1,1,0),0)</f>
        <v>1</v>
      </c>
      <c r="AE259" s="64" t="n">
        <f aca="false">IF(Arterial=1,IF(Informed=0,1,0),0)</f>
        <v>0</v>
      </c>
      <c r="AF259" s="57" t="n">
        <f aca="false">IF(AB259=1,(X259-G$1030)^2,0)</f>
        <v>0</v>
      </c>
      <c r="AG259" s="57" t="n">
        <f aca="false">IF(AC259=1,(Y259-H$1030)^2,0)</f>
        <v>0</v>
      </c>
      <c r="AH259" s="57" t="n">
        <f aca="false">IF(AD259=1,(Z259-I$1030)^2,0)</f>
        <v>316.467692541595</v>
      </c>
      <c r="AI259" s="57" t="n">
        <f aca="false">IF(AE259=1,(AA259-J$1030)^2,0)</f>
        <v>0</v>
      </c>
    </row>
    <row r="260" customFormat="false" ht="12" hidden="false" customHeight="false" outlineLevel="0" collapsed="false">
      <c r="A260" s="5" t="n">
        <v>243</v>
      </c>
      <c r="B260" s="58" t="n">
        <f aca="true">IF(RAND()&lt;$D$8,1,0)</f>
        <v>0</v>
      </c>
      <c r="C260" s="47" t="n">
        <f aca="true">-LN(RAND())/$D$2</f>
        <v>0.0223706382561064</v>
      </c>
      <c r="D260" s="59" t="n">
        <f aca="false">D259+C260</f>
        <v>231.412631323241</v>
      </c>
      <c r="E260" s="60" t="n">
        <f aca="false">MAX($D$3,(1+P259-VLOOKUP(VALUE(D260),$J$18:$Q259,7,TRUE()))*$D$3)</f>
        <v>20</v>
      </c>
      <c r="F260" s="60" t="n">
        <f aca="false">MAX($D$4,(1+Q259-VLOOKUP(VALUE(D260),$M$18:$Q259,5,TRUE()))*$D$4)</f>
        <v>20</v>
      </c>
      <c r="G260" s="61" t="n">
        <v>0.5</v>
      </c>
      <c r="H260" s="59" t="n">
        <f aca="true">IF((B260=1),(IF((F260&lt;E260),1,(IF((F260=E260),(IF(RAND()&lt;G260,1,0)),0)))),(IF((RAND()&lt;G260),1,0)))</f>
        <v>1</v>
      </c>
      <c r="I260" s="59" t="n">
        <f aca="true">IF((H260=1),0,$D$3+$D$5*(RAND()-0.5))</f>
        <v>0</v>
      </c>
      <c r="J260" s="59" t="n">
        <f aca="false">I260+MAX(D260,J259)</f>
        <v>247.782239229585</v>
      </c>
      <c r="K260" s="59" t="n">
        <f aca="false">IF((H260=0),J260-D260,0)</f>
        <v>0</v>
      </c>
      <c r="L260" s="59" t="n">
        <f aca="true">IF(($H260=0),0,$D$4+$D$5*(RAND()-0.5))</f>
        <v>1.90103221218756</v>
      </c>
      <c r="M260" s="59" t="n">
        <f aca="false">L260+MAX(D260,M259)</f>
        <v>251.080831748464</v>
      </c>
      <c r="N260" s="59" t="n">
        <f aca="false">IF((H260=1),M260-D260,0)</f>
        <v>19.6682004252225</v>
      </c>
      <c r="O260" s="5" t="n">
        <v>243</v>
      </c>
      <c r="P260" s="62" t="n">
        <f aca="false">IF((Arterial=0),P259+1,P259)</f>
        <v>120</v>
      </c>
      <c r="Q260" s="62" t="n">
        <f aca="false">IF((Arterial=1),Q259+1,Q259)</f>
        <v>123</v>
      </c>
      <c r="R260" s="63" t="n">
        <f aca="false">IF((RESET=1),0,R260+K260)</f>
        <v>341.58807863715</v>
      </c>
      <c r="S260" s="10" t="e">
        <f aca="false">IF(RESET=1,0,S260+N260)</f>
        <v>#N/A</v>
      </c>
      <c r="T260" s="0" t="n">
        <f aca="false">IF(RESET=1,0,T260+IF(H260=0,1,0))</f>
        <v>21</v>
      </c>
      <c r="U260" s="0" t="e">
        <f aca="false">IF(RESET=1,0,U260+H260)</f>
        <v>#N/A</v>
      </c>
      <c r="V260" s="10" t="n">
        <f aca="false">R260/(T260+0.00001)</f>
        <v>16.2660912369637</v>
      </c>
      <c r="W260" s="10" t="e">
        <f aca="false">S260/(U260+0.0001)</f>
        <v>#N/A</v>
      </c>
      <c r="X260" s="60" t="n">
        <f aca="false">IF(Informed=1,K260,0)</f>
        <v>0</v>
      </c>
      <c r="Y260" s="60" t="n">
        <f aca="false">IF(Informed=0,K260,0)</f>
        <v>0</v>
      </c>
      <c r="Z260" s="60" t="n">
        <f aca="false">IF(Informed=1,N260,0)</f>
        <v>0</v>
      </c>
      <c r="AA260" s="60" t="n">
        <f aca="false">IF(Informed=0,N260,0)</f>
        <v>19.6682004252225</v>
      </c>
      <c r="AB260" s="64" t="n">
        <f aca="false">IF(Arterial=0,IF(Informed=1,1,0),0)</f>
        <v>0</v>
      </c>
      <c r="AC260" s="64" t="n">
        <f aca="false">IF(Arterial=0,IF(Informed=0,1,0),0)</f>
        <v>0</v>
      </c>
      <c r="AD260" s="64" t="n">
        <f aca="false">IF(Arterial=1,IF(Informed=1,1,0),0)</f>
        <v>0</v>
      </c>
      <c r="AE260" s="64" t="n">
        <f aca="false">IF(Arterial=1,IF(Informed=0,1,0),0)</f>
        <v>1</v>
      </c>
      <c r="AF260" s="57" t="n">
        <f aca="false">IF(AB260=1,(X260-G$1030)^2,0)</f>
        <v>0</v>
      </c>
      <c r="AG260" s="57" t="n">
        <f aca="false">IF(AC260=1,(Y260-H$1030)^2,0)</f>
        <v>0</v>
      </c>
      <c r="AH260" s="57" t="n">
        <f aca="false">IF(AD260=1,(Z260-I$1030)^2,0)</f>
        <v>0</v>
      </c>
      <c r="AI260" s="57" t="n">
        <f aca="false">IF(AE260=1,(AA260-J$1030)^2,0)</f>
        <v>386.838107966723</v>
      </c>
    </row>
    <row r="261" customFormat="false" ht="12" hidden="false" customHeight="false" outlineLevel="0" collapsed="false">
      <c r="A261" s="5" t="n">
        <v>244</v>
      </c>
      <c r="B261" s="58" t="n">
        <f aca="true">IF(RAND()&lt;$D$8,1,0)</f>
        <v>1</v>
      </c>
      <c r="C261" s="47" t="n">
        <f aca="true">-LN(RAND())/$D$2</f>
        <v>0.114794367481869</v>
      </c>
      <c r="D261" s="59" t="n">
        <f aca="false">D260+C261</f>
        <v>231.527425690723</v>
      </c>
      <c r="E261" s="60" t="n">
        <f aca="false">MAX($D$3,(1+P260-VLOOKUP(VALUE(D261),$J$18:$Q260,7,TRUE()))*$D$3)</f>
        <v>20</v>
      </c>
      <c r="F261" s="60" t="n">
        <f aca="false">MAX($D$4,(1+Q260-VLOOKUP(VALUE(D261),$M$18:$Q260,5,TRUE()))*$D$4)</f>
        <v>22</v>
      </c>
      <c r="G261" s="61" t="n">
        <v>0.5</v>
      </c>
      <c r="H261" s="59" t="n">
        <f aca="true">IF((B261=1),(IF((F261&lt;E261),1,(IF((F261=E261),(IF(RAND()&lt;G261,1,0)),0)))),(IF((RAND()&lt;G261),1,0)))</f>
        <v>0</v>
      </c>
      <c r="I261" s="59" t="n">
        <f aca="true">IF((H261=1),0,$D$3+$D$5*(RAND()-0.5))</f>
        <v>1.88571334320539</v>
      </c>
      <c r="J261" s="59" t="n">
        <f aca="false">I261+MAX(D261,J260)</f>
        <v>249.66795257279</v>
      </c>
      <c r="K261" s="59" t="n">
        <f aca="false">IF((H261=0),J261-D261,0)</f>
        <v>18.1405268820671</v>
      </c>
      <c r="L261" s="59" t="n">
        <f aca="true">IF(($H261=0),0,$D$4+$D$5*(RAND()-0.5))</f>
        <v>0</v>
      </c>
      <c r="M261" s="59" t="n">
        <f aca="false">L261+MAX(D261,M260)</f>
        <v>251.080831748464</v>
      </c>
      <c r="N261" s="59" t="n">
        <f aca="false">IF((H261=1),M261-D261,0)</f>
        <v>0</v>
      </c>
      <c r="O261" s="5" t="n">
        <v>244</v>
      </c>
      <c r="P261" s="62" t="n">
        <f aca="false">IF((Arterial=0),P260+1,P260)</f>
        <v>121</v>
      </c>
      <c r="Q261" s="62" t="n">
        <f aca="false">IF((Arterial=1),Q260+1,Q260)</f>
        <v>123</v>
      </c>
      <c r="R261" s="63" t="e">
        <f aca="false">IF((RESET=1),0,R261+K261)</f>
        <v>#N/A</v>
      </c>
      <c r="S261" s="10" t="n">
        <f aca="false">IF(RESET=1,0,S261+N261)</f>
        <v>432.052061134393</v>
      </c>
      <c r="T261" s="0" t="e">
        <f aca="false">IF(RESET=1,0,T261+IF(H261=0,1,0))</f>
        <v>#N/A</v>
      </c>
      <c r="U261" s="0" t="n">
        <f aca="false">IF(RESET=1,0,U261+H261)</f>
        <v>23</v>
      </c>
      <c r="V261" s="10" t="e">
        <f aca="false">R261/(T261+0.00001)</f>
        <v>#N/A</v>
      </c>
      <c r="W261" s="10" t="n">
        <f aca="false">S261/(U261+0.0001)</f>
        <v>18.7847905502321</v>
      </c>
      <c r="X261" s="60" t="n">
        <f aca="false">IF(Informed=1,K261,0)</f>
        <v>18.1405268820671</v>
      </c>
      <c r="Y261" s="60" t="n">
        <f aca="false">IF(Informed=0,K261,0)</f>
        <v>0</v>
      </c>
      <c r="Z261" s="60" t="n">
        <f aca="false">IF(Informed=1,N261,0)</f>
        <v>0</v>
      </c>
      <c r="AA261" s="60" t="n">
        <f aca="false">IF(Informed=0,N261,0)</f>
        <v>0</v>
      </c>
      <c r="AB261" s="64" t="n">
        <f aca="false">IF(Arterial=0,IF(Informed=1,1,0),0)</f>
        <v>1</v>
      </c>
      <c r="AC261" s="64" t="n">
        <f aca="false">IF(Arterial=0,IF(Informed=0,1,0),0)</f>
        <v>0</v>
      </c>
      <c r="AD261" s="64" t="n">
        <f aca="false">IF(Arterial=1,IF(Informed=1,1,0),0)</f>
        <v>0</v>
      </c>
      <c r="AE261" s="64" t="n">
        <f aca="false">IF(Arterial=1,IF(Informed=0,1,0),0)</f>
        <v>0</v>
      </c>
      <c r="AF261" s="57" t="n">
        <f aca="false">IF(AB261=1,(X261-G$1030)^2,0)</f>
        <v>329.078715558999</v>
      </c>
      <c r="AG261" s="57" t="n">
        <f aca="false">IF(AC261=1,(Y261-H$1030)^2,0)</f>
        <v>0</v>
      </c>
      <c r="AH261" s="57" t="n">
        <f aca="false">IF(AD261=1,(Z261-I$1030)^2,0)</f>
        <v>0</v>
      </c>
      <c r="AI261" s="57" t="n">
        <f aca="false">IF(AE261=1,(AA261-J$1030)^2,0)</f>
        <v>0</v>
      </c>
    </row>
    <row r="262" customFormat="false" ht="12" hidden="false" customHeight="false" outlineLevel="0" collapsed="false">
      <c r="A262" s="5" t="n">
        <v>245</v>
      </c>
      <c r="B262" s="58" t="n">
        <f aca="true">IF(RAND()&lt;$D$8,1,0)</f>
        <v>1</v>
      </c>
      <c r="C262" s="47" t="n">
        <f aca="true">-LN(RAND())/$D$2</f>
        <v>0.307544747573942</v>
      </c>
      <c r="D262" s="59" t="n">
        <f aca="false">D261+C262</f>
        <v>231.834970438297</v>
      </c>
      <c r="E262" s="60" t="n">
        <f aca="false">MAX($D$3,(1+P261-VLOOKUP(VALUE(D262),$J$18:$Q261,7,TRUE()))*$D$3)</f>
        <v>22</v>
      </c>
      <c r="F262" s="60" t="n">
        <f aca="false">MAX($D$4,(1+Q261-VLOOKUP(VALUE(D262),$M$18:$Q261,5,TRUE()))*$D$4)</f>
        <v>22</v>
      </c>
      <c r="G262" s="61" t="n">
        <v>0.5</v>
      </c>
      <c r="H262" s="59" t="n">
        <f aca="true">IF((B262=1),(IF((F262&lt;E262),1,(IF((F262=E262),(IF(RAND()&lt;G262,1,0)),0)))),(IF((RAND()&lt;G262),1,0)))</f>
        <v>1</v>
      </c>
      <c r="I262" s="59" t="n">
        <f aca="true">IF((H262=1),0,$D$3+$D$5*(RAND()-0.5))</f>
        <v>0</v>
      </c>
      <c r="J262" s="59" t="n">
        <f aca="false">I262+MAX(D262,J261)</f>
        <v>249.66795257279</v>
      </c>
      <c r="K262" s="59" t="n">
        <f aca="false">IF((H262=0),J262-D262,0)</f>
        <v>0</v>
      </c>
      <c r="L262" s="59" t="n">
        <f aca="true">IF(($H262=0),0,$D$4+$D$5*(RAND()-0.5))</f>
        <v>1.75273526832658</v>
      </c>
      <c r="M262" s="59" t="n">
        <f aca="false">L262+MAX(D262,M261)</f>
        <v>252.833567016791</v>
      </c>
      <c r="N262" s="59" t="n">
        <f aca="false">IF((H262=1),M262-D262,0)</f>
        <v>20.9985965784933</v>
      </c>
      <c r="O262" s="5" t="n">
        <v>245</v>
      </c>
      <c r="P262" s="62" t="n">
        <f aca="false">IF((Arterial=0),P261+1,P261)</f>
        <v>121</v>
      </c>
      <c r="Q262" s="62" t="n">
        <f aca="false">IF((Arterial=1),Q261+1,Q261)</f>
        <v>124</v>
      </c>
      <c r="R262" s="63" t="n">
        <f aca="false">IF((RESET=1),0,R262+K262)</f>
        <v>397.620978983546</v>
      </c>
      <c r="S262" s="10" t="e">
        <f aca="false">IF(RESET=1,0,S262+N262)</f>
        <v>#N/A</v>
      </c>
      <c r="T262" s="0" t="n">
        <f aca="false">IF(RESET=1,0,T262+IF(H262=0,1,0))</f>
        <v>30</v>
      </c>
      <c r="U262" s="0" t="e">
        <f aca="false">IF(RESET=1,0,U262+H262)</f>
        <v>#N/A</v>
      </c>
      <c r="V262" s="10" t="n">
        <f aca="false">R262/(T262+0.00001)</f>
        <v>13.2540282147755</v>
      </c>
      <c r="W262" s="10" t="e">
        <f aca="false">S262/(U262+0.0001)</f>
        <v>#N/A</v>
      </c>
      <c r="X262" s="60" t="n">
        <f aca="false">IF(Informed=1,K262,0)</f>
        <v>0</v>
      </c>
      <c r="Y262" s="60" t="n">
        <f aca="false">IF(Informed=0,K262,0)</f>
        <v>0</v>
      </c>
      <c r="Z262" s="60" t="n">
        <f aca="false">IF(Informed=1,N262,0)</f>
        <v>20.9985965784933</v>
      </c>
      <c r="AA262" s="60" t="n">
        <f aca="false">IF(Informed=0,N262,0)</f>
        <v>0</v>
      </c>
      <c r="AB262" s="64" t="n">
        <f aca="false">IF(Arterial=0,IF(Informed=1,1,0),0)</f>
        <v>0</v>
      </c>
      <c r="AC262" s="64" t="n">
        <f aca="false">IF(Arterial=0,IF(Informed=0,1,0),0)</f>
        <v>0</v>
      </c>
      <c r="AD262" s="64" t="n">
        <f aca="false">IF(Arterial=1,IF(Informed=1,1,0),0)</f>
        <v>1</v>
      </c>
      <c r="AE262" s="64" t="n">
        <f aca="false">IF(Arterial=1,IF(Informed=0,1,0),0)</f>
        <v>0</v>
      </c>
      <c r="AF262" s="57" t="n">
        <f aca="false">IF(AB262=1,(X262-G$1030)^2,0)</f>
        <v>0</v>
      </c>
      <c r="AG262" s="57" t="n">
        <f aca="false">IF(AC262=1,(Y262-H$1030)^2,0)</f>
        <v>0</v>
      </c>
      <c r="AH262" s="57" t="n">
        <f aca="false">IF(AD262=1,(Z262-I$1030)^2,0)</f>
        <v>440.941058266311</v>
      </c>
      <c r="AI262" s="57" t="n">
        <f aca="false">IF(AE262=1,(AA262-J$1030)^2,0)</f>
        <v>0</v>
      </c>
    </row>
    <row r="263" customFormat="false" ht="12" hidden="false" customHeight="false" outlineLevel="0" collapsed="false">
      <c r="A263" s="5" t="n">
        <v>246</v>
      </c>
      <c r="B263" s="58" t="n">
        <f aca="true">IF(RAND()&lt;$D$8,1,0)</f>
        <v>0</v>
      </c>
      <c r="C263" s="47" t="n">
        <f aca="true">-LN(RAND())/$D$2</f>
        <v>1.2012475526151</v>
      </c>
      <c r="D263" s="59" t="n">
        <f aca="false">D262+C263</f>
        <v>233.036217990912</v>
      </c>
      <c r="E263" s="60" t="n">
        <f aca="false">MAX($D$3,(1+P262-VLOOKUP(VALUE(D263),$J$18:$Q262,7,TRUE()))*$D$3)</f>
        <v>20</v>
      </c>
      <c r="F263" s="60" t="n">
        <f aca="false">MAX($D$4,(1+Q262-VLOOKUP(VALUE(D263),$M$18:$Q262,5,TRUE()))*$D$4)</f>
        <v>24</v>
      </c>
      <c r="G263" s="61" t="n">
        <v>0.5</v>
      </c>
      <c r="H263" s="59" t="n">
        <f aca="true">IF((B263=1),(IF((F263&lt;E263),1,(IF((F263=E263),(IF(RAND()&lt;G263,1,0)),0)))),(IF((RAND()&lt;G263),1,0)))</f>
        <v>0</v>
      </c>
      <c r="I263" s="59" t="n">
        <f aca="true">IF((H263=1),0,$D$3+$D$5*(RAND()-0.5))</f>
        <v>2.17092191351632</v>
      </c>
      <c r="J263" s="59" t="n">
        <f aca="false">I263+MAX(D263,J262)</f>
        <v>251.838874486307</v>
      </c>
      <c r="K263" s="59" t="n">
        <f aca="false">IF((H263=0),J263-D263,0)</f>
        <v>18.8026564953944</v>
      </c>
      <c r="L263" s="59" t="n">
        <f aca="true">IF(($H263=0),0,$D$4+$D$5*(RAND()-0.5))</f>
        <v>0</v>
      </c>
      <c r="M263" s="59" t="n">
        <f aca="false">L263+MAX(D263,M262)</f>
        <v>252.833567016791</v>
      </c>
      <c r="N263" s="59" t="n">
        <f aca="false">IF((H263=1),M263-D263,0)</f>
        <v>0</v>
      </c>
      <c r="O263" s="5" t="n">
        <v>246</v>
      </c>
      <c r="P263" s="62" t="n">
        <f aca="false">IF((Arterial=0),P262+1,P262)</f>
        <v>122</v>
      </c>
      <c r="Q263" s="62" t="n">
        <f aca="false">IF((Arterial=1),Q262+1,Q262)</f>
        <v>124</v>
      </c>
      <c r="R263" s="63" t="e">
        <f aca="false">IF((RESET=1),0,R263+K263)</f>
        <v>#N/A</v>
      </c>
      <c r="S263" s="10" t="n">
        <f aca="false">IF(RESET=1,0,S263+N263)</f>
        <v>411.994418009275</v>
      </c>
      <c r="T263" s="0" t="e">
        <f aca="false">IF(RESET=1,0,T263+IF(H263=0,1,0))</f>
        <v>#N/A</v>
      </c>
      <c r="U263" s="0" t="n">
        <f aca="false">IF(RESET=1,0,U263+H263)</f>
        <v>28</v>
      </c>
      <c r="V263" s="10" t="e">
        <f aca="false">R263/(T263+0.00001)</f>
        <v>#N/A</v>
      </c>
      <c r="W263" s="10" t="n">
        <f aca="false">S263/(U263+0.0001)</f>
        <v>14.7140338073534</v>
      </c>
      <c r="X263" s="60" t="n">
        <f aca="false">IF(Informed=1,K263,0)</f>
        <v>0</v>
      </c>
      <c r="Y263" s="60" t="n">
        <f aca="false">IF(Informed=0,K263,0)</f>
        <v>18.8026564953944</v>
      </c>
      <c r="Z263" s="60" t="n">
        <f aca="false">IF(Informed=1,N263,0)</f>
        <v>0</v>
      </c>
      <c r="AA263" s="60" t="n">
        <f aca="false">IF(Informed=0,N263,0)</f>
        <v>0</v>
      </c>
      <c r="AB263" s="64" t="n">
        <f aca="false">IF(Arterial=0,IF(Informed=1,1,0),0)</f>
        <v>0</v>
      </c>
      <c r="AC263" s="64" t="n">
        <f aca="false">IF(Arterial=0,IF(Informed=0,1,0),0)</f>
        <v>1</v>
      </c>
      <c r="AD263" s="64" t="n">
        <f aca="false">IF(Arterial=1,IF(Informed=1,1,0),0)</f>
        <v>0</v>
      </c>
      <c r="AE263" s="64" t="n">
        <f aca="false">IF(Arterial=1,IF(Informed=0,1,0),0)</f>
        <v>0</v>
      </c>
      <c r="AF263" s="57" t="n">
        <f aca="false">IF(AB263=1,(X263-G$1030)^2,0)</f>
        <v>0</v>
      </c>
      <c r="AG263" s="57" t="n">
        <f aca="false">IF(AC263=1,(Y263-H$1030)^2,0)</f>
        <v>353.539891283796</v>
      </c>
      <c r="AH263" s="57" t="n">
        <f aca="false">IF(AD263=1,(Z263-I$1030)^2,0)</f>
        <v>0</v>
      </c>
      <c r="AI263" s="57" t="n">
        <f aca="false">IF(AE263=1,(AA263-J$1030)^2,0)</f>
        <v>0</v>
      </c>
    </row>
    <row r="264" customFormat="false" ht="12" hidden="false" customHeight="false" outlineLevel="0" collapsed="false">
      <c r="A264" s="5" t="n">
        <v>247</v>
      </c>
      <c r="B264" s="58" t="n">
        <f aca="true">IF(RAND()&lt;$D$8,1,0)</f>
        <v>1</v>
      </c>
      <c r="C264" s="47" t="n">
        <f aca="true">-LN(RAND())/$D$2</f>
        <v>0.934384935960176</v>
      </c>
      <c r="D264" s="59" t="n">
        <f aca="false">D263+C264</f>
        <v>233.970602926873</v>
      </c>
      <c r="E264" s="60" t="n">
        <f aca="false">MAX($D$3,(1+P263-VLOOKUP(VALUE(D264),$J$18:$Q263,7,TRUE()))*$D$3)</f>
        <v>22</v>
      </c>
      <c r="F264" s="60" t="n">
        <f aca="false">MAX($D$4,(1+Q263-VLOOKUP(VALUE(D264),$M$18:$Q263,5,TRUE()))*$D$4)</f>
        <v>22</v>
      </c>
      <c r="G264" s="61" t="n">
        <v>0.5</v>
      </c>
      <c r="H264" s="59" t="n">
        <f aca="true">IF((B264=1),(IF((F264&lt;E264),1,(IF((F264=E264),(IF(RAND()&lt;G264,1,0)),0)))),(IF((RAND()&lt;G264),1,0)))</f>
        <v>1</v>
      </c>
      <c r="I264" s="59" t="n">
        <f aca="true">IF((H264=1),0,$D$3+$D$5*(RAND()-0.5))</f>
        <v>0</v>
      </c>
      <c r="J264" s="59" t="n">
        <f aca="false">I264+MAX(D264,J263)</f>
        <v>251.838874486307</v>
      </c>
      <c r="K264" s="59" t="n">
        <f aca="false">IF((H264=0),J264-D264,0)</f>
        <v>0</v>
      </c>
      <c r="L264" s="59" t="n">
        <f aca="true">IF(($H264=0),0,$D$4+$D$5*(RAND()-0.5))</f>
        <v>2.21003777678239</v>
      </c>
      <c r="M264" s="59" t="n">
        <f aca="false">L264+MAX(D264,M263)</f>
        <v>255.043604793573</v>
      </c>
      <c r="N264" s="59" t="n">
        <f aca="false">IF((H264=1),M264-D264,0)</f>
        <v>21.0730018667004</v>
      </c>
      <c r="O264" s="5" t="n">
        <v>247</v>
      </c>
      <c r="P264" s="62" t="n">
        <f aca="false">IF((Arterial=0),P263+1,P263)</f>
        <v>122</v>
      </c>
      <c r="Q264" s="62" t="n">
        <f aca="false">IF((Arterial=1),Q263+1,Q263)</f>
        <v>125</v>
      </c>
      <c r="R264" s="63" t="n">
        <f aca="false">IF((RESET=1),0,R264+K264)</f>
        <v>575.107891661388</v>
      </c>
      <c r="S264" s="10" t="e">
        <f aca="false">IF(RESET=1,0,S264+N264)</f>
        <v>#N/A</v>
      </c>
      <c r="T264" s="0" t="n">
        <f aca="false">IF(RESET=1,0,T264+IF(H264=0,1,0))</f>
        <v>33</v>
      </c>
      <c r="U264" s="0" t="e">
        <f aca="false">IF(RESET=1,0,U264+H264)</f>
        <v>#N/A</v>
      </c>
      <c r="V264" s="10" t="n">
        <f aca="false">R264/(T264+0.00001)</f>
        <v>17.4275065874643</v>
      </c>
      <c r="W264" s="10" t="e">
        <f aca="false">S264/(U264+0.0001)</f>
        <v>#N/A</v>
      </c>
      <c r="X264" s="60" t="n">
        <f aca="false">IF(Informed=1,K264,0)</f>
        <v>0</v>
      </c>
      <c r="Y264" s="60" t="n">
        <f aca="false">IF(Informed=0,K264,0)</f>
        <v>0</v>
      </c>
      <c r="Z264" s="60" t="n">
        <f aca="false">IF(Informed=1,N264,0)</f>
        <v>21.0730018667004</v>
      </c>
      <c r="AA264" s="60" t="n">
        <f aca="false">IF(Informed=0,N264,0)</f>
        <v>0</v>
      </c>
      <c r="AB264" s="64" t="n">
        <f aca="false">IF(Arterial=0,IF(Informed=1,1,0),0)</f>
        <v>0</v>
      </c>
      <c r="AC264" s="64" t="n">
        <f aca="false">IF(Arterial=0,IF(Informed=0,1,0),0)</f>
        <v>0</v>
      </c>
      <c r="AD264" s="64" t="n">
        <f aca="false">IF(Arterial=1,IF(Informed=1,1,0),0)</f>
        <v>1</v>
      </c>
      <c r="AE264" s="64" t="n">
        <f aca="false">IF(Arterial=1,IF(Informed=0,1,0),0)</f>
        <v>0</v>
      </c>
      <c r="AF264" s="57" t="n">
        <f aca="false">IF(AB264=1,(X264-G$1030)^2,0)</f>
        <v>0</v>
      </c>
      <c r="AG264" s="57" t="n">
        <f aca="false">IF(AC264=1,(Y264-H$1030)^2,0)</f>
        <v>0</v>
      </c>
      <c r="AH264" s="57" t="n">
        <f aca="false">IF(AD264=1,(Z264-I$1030)^2,0)</f>
        <v>444.07140767396</v>
      </c>
      <c r="AI264" s="57" t="n">
        <f aca="false">IF(AE264=1,(AA264-J$1030)^2,0)</f>
        <v>0</v>
      </c>
    </row>
    <row r="265" customFormat="false" ht="12" hidden="false" customHeight="false" outlineLevel="0" collapsed="false">
      <c r="A265" s="5" t="n">
        <v>248</v>
      </c>
      <c r="B265" s="58" t="n">
        <f aca="true">IF(RAND()&lt;$D$8,1,0)</f>
        <v>1</v>
      </c>
      <c r="C265" s="47" t="n">
        <f aca="true">-LN(RAND())/$D$2</f>
        <v>0.734091956245609</v>
      </c>
      <c r="D265" s="59" t="n">
        <f aca="false">D264+C265</f>
        <v>234.704694883118</v>
      </c>
      <c r="E265" s="60" t="n">
        <f aca="false">MAX($D$3,(1+P264-VLOOKUP(VALUE(D265),$J$18:$Q264,7,TRUE()))*$D$3)</f>
        <v>20</v>
      </c>
      <c r="F265" s="60" t="n">
        <f aca="false">MAX($D$4,(1+Q264-VLOOKUP(VALUE(D265),$M$18:$Q264,5,TRUE()))*$D$4)</f>
        <v>24</v>
      </c>
      <c r="G265" s="61" t="n">
        <v>0.5</v>
      </c>
      <c r="H265" s="59" t="n">
        <f aca="true">IF((B265=1),(IF((F265&lt;E265),1,(IF((F265=E265),(IF(RAND()&lt;G265,1,0)),0)))),(IF((RAND()&lt;G265),1,0)))</f>
        <v>0</v>
      </c>
      <c r="I265" s="59" t="n">
        <f aca="true">IF((H265=1),0,$D$3+$D$5*(RAND()-0.5))</f>
        <v>1.96830249104655</v>
      </c>
      <c r="J265" s="59" t="n">
        <f aca="false">I265+MAX(D265,J264)</f>
        <v>253.807176977353</v>
      </c>
      <c r="K265" s="59" t="n">
        <f aca="false">IF((H265=0),J265-D265,0)</f>
        <v>19.1024820942351</v>
      </c>
      <c r="L265" s="59" t="n">
        <f aca="true">IF(($H265=0),0,$D$4+$D$5*(RAND()-0.5))</f>
        <v>0</v>
      </c>
      <c r="M265" s="59" t="n">
        <f aca="false">L265+MAX(D265,M264)</f>
        <v>255.043604793573</v>
      </c>
      <c r="N265" s="59" t="n">
        <f aca="false">IF((H265=1),M265-D265,0)</f>
        <v>0</v>
      </c>
      <c r="O265" s="5" t="n">
        <v>248</v>
      </c>
      <c r="P265" s="62" t="n">
        <f aca="false">IF((Arterial=0),P264+1,P264)</f>
        <v>123</v>
      </c>
      <c r="Q265" s="62" t="n">
        <f aca="false">IF((Arterial=1),Q264+1,Q264)</f>
        <v>125</v>
      </c>
      <c r="R265" s="63" t="e">
        <f aca="false">IF((RESET=1),0,R265+K265)</f>
        <v>#N/A</v>
      </c>
      <c r="S265" s="10" t="n">
        <f aca="false">IF(RESET=1,0,S265+N265)</f>
        <v>474.22108030871</v>
      </c>
      <c r="T265" s="0" t="e">
        <f aca="false">IF(RESET=1,0,T265+IF(H265=0,1,0))</f>
        <v>#N/A</v>
      </c>
      <c r="U265" s="0" t="n">
        <f aca="false">IF(RESET=1,0,U265+H265)</f>
        <v>29</v>
      </c>
      <c r="V265" s="10" t="e">
        <f aca="false">R265/(T265+0.00001)</f>
        <v>#N/A</v>
      </c>
      <c r="W265" s="10" t="n">
        <f aca="false">S265/(U265+0.0001)</f>
        <v>16.3523946575601</v>
      </c>
      <c r="X265" s="60" t="n">
        <f aca="false">IF(Informed=1,K265,0)</f>
        <v>19.1024820942351</v>
      </c>
      <c r="Y265" s="60" t="n">
        <f aca="false">IF(Informed=0,K265,0)</f>
        <v>0</v>
      </c>
      <c r="Z265" s="60" t="n">
        <f aca="false">IF(Informed=1,N265,0)</f>
        <v>0</v>
      </c>
      <c r="AA265" s="60" t="n">
        <f aca="false">IF(Informed=0,N265,0)</f>
        <v>0</v>
      </c>
      <c r="AB265" s="64" t="n">
        <f aca="false">IF(Arterial=0,IF(Informed=1,1,0),0)</f>
        <v>1</v>
      </c>
      <c r="AC265" s="64" t="n">
        <f aca="false">IF(Arterial=0,IF(Informed=0,1,0),0)</f>
        <v>0</v>
      </c>
      <c r="AD265" s="64" t="n">
        <f aca="false">IF(Arterial=1,IF(Informed=1,1,0),0)</f>
        <v>0</v>
      </c>
      <c r="AE265" s="64" t="n">
        <f aca="false">IF(Arterial=1,IF(Informed=0,1,0),0)</f>
        <v>0</v>
      </c>
      <c r="AF265" s="57" t="n">
        <f aca="false">IF(AB265=1,(X265-G$1030)^2,0)</f>
        <v>364.904822160574</v>
      </c>
      <c r="AG265" s="57" t="n">
        <f aca="false">IF(AC265=1,(Y265-H$1030)^2,0)</f>
        <v>0</v>
      </c>
      <c r="AH265" s="57" t="n">
        <f aca="false">IF(AD265=1,(Z265-I$1030)^2,0)</f>
        <v>0</v>
      </c>
      <c r="AI265" s="57" t="n">
        <f aca="false">IF(AE265=1,(AA265-J$1030)^2,0)</f>
        <v>0</v>
      </c>
    </row>
    <row r="266" customFormat="false" ht="12" hidden="false" customHeight="false" outlineLevel="0" collapsed="false">
      <c r="A266" s="5" t="n">
        <v>249</v>
      </c>
      <c r="B266" s="58" t="n">
        <f aca="true">IF(RAND()&lt;$D$8,1,0)</f>
        <v>1</v>
      </c>
      <c r="C266" s="47" t="n">
        <f aca="true">-LN(RAND())/$D$2</f>
        <v>0.75101596894093</v>
      </c>
      <c r="D266" s="59" t="n">
        <f aca="false">D265+C266</f>
        <v>235.455710852059</v>
      </c>
      <c r="E266" s="60" t="n">
        <f aca="false">MAX($D$3,(1+P265-VLOOKUP(VALUE(D266),$J$18:$Q265,7,TRUE()))*$D$3)</f>
        <v>22</v>
      </c>
      <c r="F266" s="60" t="n">
        <f aca="false">MAX($D$4,(1+Q265-VLOOKUP(VALUE(D266),$M$18:$Q265,5,TRUE()))*$D$4)</f>
        <v>22</v>
      </c>
      <c r="G266" s="61" t="n">
        <v>0.5</v>
      </c>
      <c r="H266" s="59" t="n">
        <f aca="true">IF((B266=1),(IF((F266&lt;E266),1,(IF((F266=E266),(IF(RAND()&lt;G266,1,0)),0)))),(IF((RAND()&lt;G266),1,0)))</f>
        <v>1</v>
      </c>
      <c r="I266" s="59" t="n">
        <f aca="true">IF((H266=1),0,$D$3+$D$5*(RAND()-0.5))</f>
        <v>0</v>
      </c>
      <c r="J266" s="59" t="n">
        <f aca="false">I266+MAX(D266,J265)</f>
        <v>253.807176977353</v>
      </c>
      <c r="K266" s="59" t="n">
        <f aca="false">IF((H266=0),J266-D266,0)</f>
        <v>0</v>
      </c>
      <c r="L266" s="59" t="n">
        <f aca="true">IF(($H266=0),0,$D$4+$D$5*(RAND()-0.5))</f>
        <v>2.03519313706515</v>
      </c>
      <c r="M266" s="59" t="n">
        <f aca="false">L266+MAX(D266,M265)</f>
        <v>257.078797930638</v>
      </c>
      <c r="N266" s="59" t="n">
        <f aca="false">IF((H266=1),M266-D266,0)</f>
        <v>21.6230870785791</v>
      </c>
      <c r="O266" s="5" t="n">
        <v>249</v>
      </c>
      <c r="P266" s="62" t="n">
        <f aca="false">IF((Arterial=0),P265+1,P265)</f>
        <v>123</v>
      </c>
      <c r="Q266" s="62" t="n">
        <f aca="false">IF((Arterial=1),Q265+1,Q265)</f>
        <v>126</v>
      </c>
      <c r="R266" s="63" t="n">
        <f aca="false">IF((RESET=1),0,R266+K266)</f>
        <v>368.11039124235</v>
      </c>
      <c r="S266" s="10" t="e">
        <f aca="false">IF(RESET=1,0,S266+N266)</f>
        <v>#N/A</v>
      </c>
      <c r="T266" s="0" t="n">
        <f aca="false">IF(RESET=1,0,T266+IF(H266=0,1,0))</f>
        <v>23</v>
      </c>
      <c r="U266" s="0" t="e">
        <f aca="false">IF(RESET=1,0,U266+H266)</f>
        <v>#N/A</v>
      </c>
      <c r="V266" s="10" t="n">
        <f aca="false">R266/(T266+0.00001)</f>
        <v>16.0047926606271</v>
      </c>
      <c r="W266" s="10" t="e">
        <f aca="false">S266/(U266+0.0001)</f>
        <v>#N/A</v>
      </c>
      <c r="X266" s="60" t="n">
        <f aca="false">IF(Informed=1,K266,0)</f>
        <v>0</v>
      </c>
      <c r="Y266" s="60" t="n">
        <f aca="false">IF(Informed=0,K266,0)</f>
        <v>0</v>
      </c>
      <c r="Z266" s="60" t="n">
        <f aca="false">IF(Informed=1,N266,0)</f>
        <v>21.6230870785791</v>
      </c>
      <c r="AA266" s="60" t="n">
        <f aca="false">IF(Informed=0,N266,0)</f>
        <v>0</v>
      </c>
      <c r="AB266" s="64" t="n">
        <f aca="false">IF(Arterial=0,IF(Informed=1,1,0),0)</f>
        <v>0</v>
      </c>
      <c r="AC266" s="64" t="n">
        <f aca="false">IF(Arterial=0,IF(Informed=0,1,0),0)</f>
        <v>0</v>
      </c>
      <c r="AD266" s="64" t="n">
        <f aca="false">IF(Arterial=1,IF(Informed=1,1,0),0)</f>
        <v>1</v>
      </c>
      <c r="AE266" s="64" t="n">
        <f aca="false">IF(Arterial=1,IF(Informed=0,1,0),0)</f>
        <v>0</v>
      </c>
      <c r="AF266" s="57" t="n">
        <f aca="false">IF(AB266=1,(X266-G$1030)^2,0)</f>
        <v>0</v>
      </c>
      <c r="AG266" s="57" t="n">
        <f aca="false">IF(AC266=1,(Y266-H$1030)^2,0)</f>
        <v>0</v>
      </c>
      <c r="AH266" s="57" t="n">
        <f aca="false">IF(AD266=1,(Z266-I$1030)^2,0)</f>
        <v>467.557894807813</v>
      </c>
      <c r="AI266" s="57" t="n">
        <f aca="false">IF(AE266=1,(AA266-J$1030)^2,0)</f>
        <v>0</v>
      </c>
    </row>
    <row r="267" customFormat="false" ht="12" hidden="false" customHeight="false" outlineLevel="0" collapsed="false">
      <c r="A267" s="5" t="n">
        <v>250</v>
      </c>
      <c r="B267" s="58" t="n">
        <f aca="true">IF(RAND()&lt;$D$8,1,0)</f>
        <v>0</v>
      </c>
      <c r="C267" s="47" t="n">
        <f aca="true">-LN(RAND())/$D$2</f>
        <v>0.165106028967708</v>
      </c>
      <c r="D267" s="59" t="n">
        <f aca="false">D266+C267</f>
        <v>235.620816881027</v>
      </c>
      <c r="E267" s="60" t="n">
        <f aca="false">MAX($D$3,(1+P266-VLOOKUP(VALUE(D267),$J$18:$Q266,7,TRUE()))*$D$3)</f>
        <v>22</v>
      </c>
      <c r="F267" s="60" t="n">
        <f aca="false">MAX($D$4,(1+Q266-VLOOKUP(VALUE(D267),$M$18:$Q266,5,TRUE()))*$D$4)</f>
        <v>24</v>
      </c>
      <c r="G267" s="61" t="n">
        <v>0.5</v>
      </c>
      <c r="H267" s="59" t="n">
        <f aca="true">IF((B267=1),(IF((F267&lt;E267),1,(IF((F267=E267),(IF(RAND()&lt;G267,1,0)),0)))),(IF((RAND()&lt;G267),1,0)))</f>
        <v>0</v>
      </c>
      <c r="I267" s="59" t="n">
        <f aca="true">IF((H267=1),0,$D$3+$D$5*(RAND()-0.5))</f>
        <v>1.8546984522789</v>
      </c>
      <c r="J267" s="59" t="n">
        <f aca="false">I267+MAX(D267,J266)</f>
        <v>255.661875429632</v>
      </c>
      <c r="K267" s="59" t="n">
        <f aca="false">IF((H267=0),J267-D267,0)</f>
        <v>20.0410585486054</v>
      </c>
      <c r="L267" s="59" t="n">
        <f aca="true">IF(($H267=0),0,$D$4+$D$5*(RAND()-0.5))</f>
        <v>0</v>
      </c>
      <c r="M267" s="59" t="n">
        <f aca="false">L267+MAX(D267,M266)</f>
        <v>257.078797930638</v>
      </c>
      <c r="N267" s="59" t="n">
        <f aca="false">IF((H267=1),M267-D267,0)</f>
        <v>0</v>
      </c>
      <c r="O267" s="5" t="n">
        <v>250</v>
      </c>
      <c r="P267" s="62" t="n">
        <f aca="false">IF((Arterial=0),P266+1,P266)</f>
        <v>124</v>
      </c>
      <c r="Q267" s="62" t="n">
        <f aca="false">IF((Arterial=1),Q266+1,Q266)</f>
        <v>126</v>
      </c>
      <c r="R267" s="63" t="e">
        <f aca="false">IF((RESET=1),0,R267+K267)</f>
        <v>#N/A</v>
      </c>
      <c r="S267" s="10" t="n">
        <f aca="false">IF(RESET=1,0,S267+N267)</f>
        <v>411.931335905596</v>
      </c>
      <c r="T267" s="0" t="e">
        <f aca="false">IF(RESET=1,0,T267+IF(H267=0,1,0))</f>
        <v>#N/A</v>
      </c>
      <c r="U267" s="0" t="n">
        <f aca="false">IF(RESET=1,0,U267+H267)</f>
        <v>26</v>
      </c>
      <c r="V267" s="10" t="e">
        <f aca="false">R267/(T267+0.00001)</f>
        <v>#N/A</v>
      </c>
      <c r="W267" s="10" t="n">
        <f aca="false">S267/(U267+0.0001)</f>
        <v>15.8434519830922</v>
      </c>
      <c r="X267" s="60" t="n">
        <f aca="false">IF(Informed=1,K267,0)</f>
        <v>0</v>
      </c>
      <c r="Y267" s="60" t="n">
        <f aca="false">IF(Informed=0,K267,0)</f>
        <v>20.0410585486054</v>
      </c>
      <c r="Z267" s="60" t="n">
        <f aca="false">IF(Informed=1,N267,0)</f>
        <v>0</v>
      </c>
      <c r="AA267" s="60" t="n">
        <f aca="false">IF(Informed=0,N267,0)</f>
        <v>0</v>
      </c>
      <c r="AB267" s="64" t="n">
        <f aca="false">IF(Arterial=0,IF(Informed=1,1,0),0)</f>
        <v>0</v>
      </c>
      <c r="AC267" s="64" t="n">
        <f aca="false">IF(Arterial=0,IF(Informed=0,1,0),0)</f>
        <v>1</v>
      </c>
      <c r="AD267" s="64" t="n">
        <f aca="false">IF(Arterial=1,IF(Informed=1,1,0),0)</f>
        <v>0</v>
      </c>
      <c r="AE267" s="64" t="n">
        <f aca="false">IF(Arterial=1,IF(Informed=0,1,0),0)</f>
        <v>0</v>
      </c>
      <c r="AF267" s="57" t="n">
        <f aca="false">IF(AB267=1,(X267-G$1030)^2,0)</f>
        <v>0</v>
      </c>
      <c r="AG267" s="57" t="n">
        <f aca="false">IF(AC267=1,(Y267-H$1030)^2,0)</f>
        <v>401.644027748631</v>
      </c>
      <c r="AH267" s="57" t="n">
        <f aca="false">IF(AD267=1,(Z267-I$1030)^2,0)</f>
        <v>0</v>
      </c>
      <c r="AI267" s="57" t="n">
        <f aca="false">IF(AE267=1,(AA267-J$1030)^2,0)</f>
        <v>0</v>
      </c>
    </row>
    <row r="268" customFormat="false" ht="12" hidden="false" customHeight="false" outlineLevel="0" collapsed="false">
      <c r="A268" s="5" t="n">
        <v>251</v>
      </c>
      <c r="B268" s="58" t="n">
        <f aca="true">IF(RAND()&lt;$D$8,1,0)</f>
        <v>0</v>
      </c>
      <c r="C268" s="47" t="n">
        <f aca="true">-LN(RAND())/$D$2</f>
        <v>0.097793326177032</v>
      </c>
      <c r="D268" s="59" t="n">
        <f aca="false">D267+C268</f>
        <v>235.718610207204</v>
      </c>
      <c r="E268" s="60" t="n">
        <f aca="false">MAX($D$3,(1+P267-VLOOKUP(VALUE(D268),$J$18:$Q267,7,TRUE()))*$D$3)</f>
        <v>24</v>
      </c>
      <c r="F268" s="60" t="n">
        <f aca="false">MAX($D$4,(1+Q267-VLOOKUP(VALUE(D268),$M$18:$Q267,5,TRUE()))*$D$4)</f>
        <v>24</v>
      </c>
      <c r="G268" s="61" t="n">
        <v>0.5</v>
      </c>
      <c r="H268" s="59" t="n">
        <f aca="true">IF((B268=1),(IF((F268&lt;E268),1,(IF((F268=E268),(IF(RAND()&lt;G268,1,0)),0)))),(IF((RAND()&lt;G268),1,0)))</f>
        <v>1</v>
      </c>
      <c r="I268" s="59" t="n">
        <f aca="true">IF((H268=1),0,$D$3+$D$5*(RAND()-0.5))</f>
        <v>0</v>
      </c>
      <c r="J268" s="59" t="n">
        <f aca="false">I268+MAX(D268,J267)</f>
        <v>255.661875429632</v>
      </c>
      <c r="K268" s="59" t="n">
        <f aca="false">IF((H268=0),J268-D268,0)</f>
        <v>0</v>
      </c>
      <c r="L268" s="59" t="n">
        <f aca="true">IF(($H268=0),0,$D$4+$D$5*(RAND()-0.5))</f>
        <v>2.08234172555907</v>
      </c>
      <c r="M268" s="59" t="n">
        <f aca="false">L268+MAX(D268,M267)</f>
        <v>259.161139656197</v>
      </c>
      <c r="N268" s="59" t="n">
        <f aca="false">IF((H268=1),M268-D268,0)</f>
        <v>23.4425294489934</v>
      </c>
      <c r="O268" s="5" t="n">
        <v>251</v>
      </c>
      <c r="P268" s="62" t="n">
        <f aca="false">IF((Arterial=0),P267+1,P267)</f>
        <v>124</v>
      </c>
      <c r="Q268" s="62" t="n">
        <f aca="false">IF((Arterial=1),Q267+1,Q267)</f>
        <v>127</v>
      </c>
      <c r="R268" s="63" t="n">
        <f aca="false">IF((RESET=1),0,R268+K268)</f>
        <v>479.039296610775</v>
      </c>
      <c r="S268" s="10" t="e">
        <f aca="false">IF(RESET=1,0,S268+N268)</f>
        <v>#N/A</v>
      </c>
      <c r="T268" s="0" t="n">
        <f aca="false">IF(RESET=1,0,T268+IF(H268=0,1,0))</f>
        <v>26</v>
      </c>
      <c r="U268" s="0" t="e">
        <f aca="false">IF(RESET=1,0,U268+H268)</f>
        <v>#N/A</v>
      </c>
      <c r="V268" s="10" t="n">
        <f aca="false">R268/(T268+0.00001)</f>
        <v>18.4245812448063</v>
      </c>
      <c r="W268" s="10" t="e">
        <f aca="false">S268/(U268+0.0001)</f>
        <v>#N/A</v>
      </c>
      <c r="X268" s="60" t="n">
        <f aca="false">IF(Informed=1,K268,0)</f>
        <v>0</v>
      </c>
      <c r="Y268" s="60" t="n">
        <f aca="false">IF(Informed=0,K268,0)</f>
        <v>0</v>
      </c>
      <c r="Z268" s="60" t="n">
        <f aca="false">IF(Informed=1,N268,0)</f>
        <v>0</v>
      </c>
      <c r="AA268" s="60" t="n">
        <f aca="false">IF(Informed=0,N268,0)</f>
        <v>23.4425294489934</v>
      </c>
      <c r="AB268" s="64" t="n">
        <f aca="false">IF(Arterial=0,IF(Informed=1,1,0),0)</f>
        <v>0</v>
      </c>
      <c r="AC268" s="64" t="n">
        <f aca="false">IF(Arterial=0,IF(Informed=0,1,0),0)</f>
        <v>0</v>
      </c>
      <c r="AD268" s="64" t="n">
        <f aca="false">IF(Arterial=1,IF(Informed=1,1,0),0)</f>
        <v>0</v>
      </c>
      <c r="AE268" s="64" t="n">
        <f aca="false">IF(Arterial=1,IF(Informed=0,1,0),0)</f>
        <v>1</v>
      </c>
      <c r="AF268" s="57" t="n">
        <f aca="false">IF(AB268=1,(X268-G$1030)^2,0)</f>
        <v>0</v>
      </c>
      <c r="AG268" s="57" t="n">
        <f aca="false">IF(AC268=1,(Y268-H$1030)^2,0)</f>
        <v>0</v>
      </c>
      <c r="AH268" s="57" t="n">
        <f aca="false">IF(AD268=1,(Z268-I$1030)^2,0)</f>
        <v>0</v>
      </c>
      <c r="AI268" s="57" t="n">
        <f aca="false">IF(AE268=1,(AA268-J$1030)^2,0)</f>
        <v>549.552186966922</v>
      </c>
    </row>
    <row r="269" customFormat="false" ht="12" hidden="false" customHeight="false" outlineLevel="0" collapsed="false">
      <c r="A269" s="5" t="n">
        <v>252</v>
      </c>
      <c r="B269" s="58" t="n">
        <f aca="true">IF(RAND()&lt;$D$8,1,0)</f>
        <v>0</v>
      </c>
      <c r="C269" s="47" t="n">
        <f aca="true">-LN(RAND())/$D$2</f>
        <v>2.03271244880233</v>
      </c>
      <c r="D269" s="59" t="n">
        <f aca="false">D268+C269</f>
        <v>237.751322656006</v>
      </c>
      <c r="E269" s="60" t="n">
        <f aca="false">MAX($D$3,(1+P268-VLOOKUP(VALUE(D269),$J$18:$Q268,7,TRUE()))*$D$3)</f>
        <v>22</v>
      </c>
      <c r="F269" s="60" t="n">
        <f aca="false">MAX($D$4,(1+Q268-VLOOKUP(VALUE(D269),$M$18:$Q268,5,TRUE()))*$D$4)</f>
        <v>24</v>
      </c>
      <c r="G269" s="61" t="n">
        <v>0.5</v>
      </c>
      <c r="H269" s="59" t="n">
        <f aca="true">IF((B269=1),(IF((F269&lt;E269),1,(IF((F269=E269),(IF(RAND()&lt;G269,1,0)),0)))),(IF((RAND()&lt;G269),1,0)))</f>
        <v>1</v>
      </c>
      <c r="I269" s="59" t="n">
        <f aca="true">IF((H269=1),0,$D$3+$D$5*(RAND()-0.5))</f>
        <v>0</v>
      </c>
      <c r="J269" s="59" t="n">
        <f aca="false">I269+MAX(D269,J268)</f>
        <v>255.661875429632</v>
      </c>
      <c r="K269" s="59" t="n">
        <f aca="false">IF((H269=0),J269-D269,0)</f>
        <v>0</v>
      </c>
      <c r="L269" s="59" t="n">
        <f aca="true">IF(($H269=0),0,$D$4+$D$5*(RAND()-0.5))</f>
        <v>1.99914535272754</v>
      </c>
      <c r="M269" s="59" t="n">
        <f aca="false">L269+MAX(D269,M268)</f>
        <v>261.160285008925</v>
      </c>
      <c r="N269" s="59" t="n">
        <f aca="false">IF((H269=1),M269-D269,0)</f>
        <v>23.4089623529186</v>
      </c>
      <c r="O269" s="5" t="n">
        <v>252</v>
      </c>
      <c r="P269" s="62" t="n">
        <f aca="false">IF((Arterial=0),P268+1,P268)</f>
        <v>124</v>
      </c>
      <c r="Q269" s="62" t="n">
        <f aca="false">IF((Arterial=1),Q268+1,Q268)</f>
        <v>128</v>
      </c>
      <c r="R269" s="63" t="n">
        <f aca="false">IF((RESET=1),0,R269+K269)</f>
        <v>362.133464802107</v>
      </c>
      <c r="S269" s="10" t="e">
        <f aca="false">IF(RESET=1,0,S269+N269)</f>
        <v>#N/A</v>
      </c>
      <c r="T269" s="0" t="n">
        <f aca="false">IF(RESET=1,0,T269+IF(H269=0,1,0))</f>
        <v>29</v>
      </c>
      <c r="U269" s="0" t="e">
        <f aca="false">IF(RESET=1,0,U269+H269)</f>
        <v>#N/A</v>
      </c>
      <c r="V269" s="10" t="n">
        <f aca="false">R269/(T269+0.00001)</f>
        <v>12.4873565492601</v>
      </c>
      <c r="W269" s="10" t="e">
        <f aca="false">S269/(U269+0.0001)</f>
        <v>#N/A</v>
      </c>
      <c r="X269" s="60" t="n">
        <f aca="false">IF(Informed=1,K269,0)</f>
        <v>0</v>
      </c>
      <c r="Y269" s="60" t="n">
        <f aca="false">IF(Informed=0,K269,0)</f>
        <v>0</v>
      </c>
      <c r="Z269" s="60" t="n">
        <f aca="false">IF(Informed=1,N269,0)</f>
        <v>0</v>
      </c>
      <c r="AA269" s="60" t="n">
        <f aca="false">IF(Informed=0,N269,0)</f>
        <v>23.4089623529186</v>
      </c>
      <c r="AB269" s="64" t="n">
        <f aca="false">IF(Arterial=0,IF(Informed=1,1,0),0)</f>
        <v>0</v>
      </c>
      <c r="AC269" s="64" t="n">
        <f aca="false">IF(Arterial=0,IF(Informed=0,1,0),0)</f>
        <v>0</v>
      </c>
      <c r="AD269" s="64" t="n">
        <f aca="false">IF(Arterial=1,IF(Informed=1,1,0),0)</f>
        <v>0</v>
      </c>
      <c r="AE269" s="64" t="n">
        <f aca="false">IF(Arterial=1,IF(Informed=0,1,0),0)</f>
        <v>1</v>
      </c>
      <c r="AF269" s="57" t="n">
        <f aca="false">IF(AB269=1,(X269-G$1030)^2,0)</f>
        <v>0</v>
      </c>
      <c r="AG269" s="57" t="n">
        <f aca="false">IF(AC269=1,(Y269-H$1030)^2,0)</f>
        <v>0</v>
      </c>
      <c r="AH269" s="57" t="n">
        <f aca="false">IF(AD269=1,(Z269-I$1030)^2,0)</f>
        <v>0</v>
      </c>
      <c r="AI269" s="57" t="n">
        <f aca="false">IF(AE269=1,(AA269-J$1030)^2,0)</f>
        <v>547.979518440361</v>
      </c>
    </row>
    <row r="270" customFormat="false" ht="12" hidden="false" customHeight="false" outlineLevel="0" collapsed="false">
      <c r="A270" s="5" t="n">
        <v>253</v>
      </c>
      <c r="B270" s="58" t="n">
        <f aca="true">IF(RAND()&lt;$D$8,1,0)</f>
        <v>1</v>
      </c>
      <c r="C270" s="47" t="n">
        <f aca="true">-LN(RAND())/$D$2</f>
        <v>0.456568934796435</v>
      </c>
      <c r="D270" s="59" t="n">
        <f aca="false">D269+C270</f>
        <v>238.207891590803</v>
      </c>
      <c r="E270" s="60" t="n">
        <f aca="false">MAX($D$3,(1+P269-VLOOKUP(VALUE(D270),$J$18:$Q269,7,TRUE()))*$D$3)</f>
        <v>20</v>
      </c>
      <c r="F270" s="60" t="n">
        <f aca="false">MAX($D$4,(1+Q269-VLOOKUP(VALUE(D270),$M$18:$Q269,5,TRUE()))*$D$4)</f>
        <v>26</v>
      </c>
      <c r="G270" s="61" t="n">
        <v>0.5</v>
      </c>
      <c r="H270" s="59" t="n">
        <f aca="true">IF((B270=1),(IF((F270&lt;E270),1,(IF((F270=E270),(IF(RAND()&lt;G270,1,0)),0)))),(IF((RAND()&lt;G270),1,0)))</f>
        <v>0</v>
      </c>
      <c r="I270" s="59" t="n">
        <f aca="true">IF((H270=1),0,$D$3+$D$5*(RAND()-0.5))</f>
        <v>1.86913942288663</v>
      </c>
      <c r="J270" s="59" t="n">
        <f aca="false">I270+MAX(D270,J269)</f>
        <v>257.531014852519</v>
      </c>
      <c r="K270" s="59" t="n">
        <f aca="false">IF((H270=0),J270-D270,0)</f>
        <v>19.3231232617163</v>
      </c>
      <c r="L270" s="59" t="n">
        <f aca="true">IF(($H270=0),0,$D$4+$D$5*(RAND()-0.5))</f>
        <v>0</v>
      </c>
      <c r="M270" s="59" t="n">
        <f aca="false">L270+MAX(D270,M269)</f>
        <v>261.160285008925</v>
      </c>
      <c r="N270" s="59" t="n">
        <f aca="false">IF((H270=1),M270-D270,0)</f>
        <v>0</v>
      </c>
      <c r="O270" s="5" t="n">
        <v>253</v>
      </c>
      <c r="P270" s="62" t="n">
        <f aca="false">IF((Arterial=0),P269+1,P269)</f>
        <v>125</v>
      </c>
      <c r="Q270" s="62" t="n">
        <f aca="false">IF((Arterial=1),Q269+1,Q269)</f>
        <v>128</v>
      </c>
      <c r="R270" s="63" t="e">
        <f aca="false">IF((RESET=1),0,R270+K270)</f>
        <v>#N/A</v>
      </c>
      <c r="S270" s="10" t="n">
        <f aca="false">IF(RESET=1,0,S270+N270)</f>
        <v>408.297551124869</v>
      </c>
      <c r="T270" s="0" t="e">
        <f aca="false">IF(RESET=1,0,T270+IF(H270=0,1,0))</f>
        <v>#N/A</v>
      </c>
      <c r="U270" s="0" t="n">
        <f aca="false">IF(RESET=1,0,U270+H270)</f>
        <v>29</v>
      </c>
      <c r="V270" s="10" t="e">
        <f aca="false">R270/(T270+0.00001)</f>
        <v>#N/A</v>
      </c>
      <c r="W270" s="10" t="n">
        <f aca="false">S270/(U270+0.0001)</f>
        <v>14.0791773519701</v>
      </c>
      <c r="X270" s="60" t="n">
        <f aca="false">IF(Informed=1,K270,0)</f>
        <v>19.3231232617163</v>
      </c>
      <c r="Y270" s="60" t="n">
        <f aca="false">IF(Informed=0,K270,0)</f>
        <v>0</v>
      </c>
      <c r="Z270" s="60" t="n">
        <f aca="false">IF(Informed=1,N270,0)</f>
        <v>0</v>
      </c>
      <c r="AA270" s="60" t="n">
        <f aca="false">IF(Informed=0,N270,0)</f>
        <v>0</v>
      </c>
      <c r="AB270" s="64" t="n">
        <f aca="false">IF(Arterial=0,IF(Informed=1,1,0),0)</f>
        <v>1</v>
      </c>
      <c r="AC270" s="64" t="n">
        <f aca="false">IF(Arterial=0,IF(Informed=0,1,0),0)</f>
        <v>0</v>
      </c>
      <c r="AD270" s="64" t="n">
        <f aca="false">IF(Arterial=1,IF(Informed=1,1,0),0)</f>
        <v>0</v>
      </c>
      <c r="AE270" s="64" t="n">
        <f aca="false">IF(Arterial=1,IF(Informed=0,1,0),0)</f>
        <v>0</v>
      </c>
      <c r="AF270" s="57" t="n">
        <f aca="false">IF(AB270=1,(X270-G$1030)^2,0)</f>
        <v>373.38309258748</v>
      </c>
      <c r="AG270" s="57" t="n">
        <f aca="false">IF(AC270=1,(Y270-H$1030)^2,0)</f>
        <v>0</v>
      </c>
      <c r="AH270" s="57" t="n">
        <f aca="false">IF(AD270=1,(Z270-I$1030)^2,0)</f>
        <v>0</v>
      </c>
      <c r="AI270" s="57" t="n">
        <f aca="false">IF(AE270=1,(AA270-J$1030)^2,0)</f>
        <v>0</v>
      </c>
    </row>
    <row r="271" customFormat="false" ht="12" hidden="false" customHeight="false" outlineLevel="0" collapsed="false">
      <c r="A271" s="5" t="n">
        <v>254</v>
      </c>
      <c r="B271" s="58" t="n">
        <f aca="true">IF(RAND()&lt;$D$8,1,0)</f>
        <v>1</v>
      </c>
      <c r="C271" s="47" t="n">
        <f aca="true">-LN(RAND())/$D$2</f>
        <v>0.653637302429113</v>
      </c>
      <c r="D271" s="59" t="n">
        <f aca="false">D270+C271</f>
        <v>238.861528893232</v>
      </c>
      <c r="E271" s="60" t="n">
        <f aca="false">MAX($D$3,(1+P270-VLOOKUP(VALUE(D271),$J$18:$Q270,7,TRUE()))*$D$3)</f>
        <v>22</v>
      </c>
      <c r="F271" s="60" t="n">
        <f aca="false">MAX($D$4,(1+Q270-VLOOKUP(VALUE(D271),$M$18:$Q270,5,TRUE()))*$D$4)</f>
        <v>26</v>
      </c>
      <c r="G271" s="61" t="n">
        <v>0.5</v>
      </c>
      <c r="H271" s="59" t="n">
        <f aca="true">IF((B271=1),(IF((F271&lt;E271),1,(IF((F271=E271),(IF(RAND()&lt;G271,1,0)),0)))),(IF((RAND()&lt;G271),1,0)))</f>
        <v>0</v>
      </c>
      <c r="I271" s="59" t="n">
        <f aca="true">IF((H271=1),0,$D$3+$D$5*(RAND()-0.5))</f>
        <v>2.0920505111751</v>
      </c>
      <c r="J271" s="59" t="n">
        <f aca="false">I271+MAX(D271,J270)</f>
        <v>259.623065363694</v>
      </c>
      <c r="K271" s="59" t="n">
        <f aca="false">IF((H271=0),J271-D271,0)</f>
        <v>20.7615364704623</v>
      </c>
      <c r="L271" s="59" t="n">
        <f aca="true">IF(($H271=0),0,$D$4+$D$5*(RAND()-0.5))</f>
        <v>0</v>
      </c>
      <c r="M271" s="59" t="n">
        <f aca="false">L271+MAX(D271,M270)</f>
        <v>261.160285008925</v>
      </c>
      <c r="N271" s="59" t="n">
        <f aca="false">IF((H271=1),M271-D271,0)</f>
        <v>0</v>
      </c>
      <c r="O271" s="5" t="n">
        <v>254</v>
      </c>
      <c r="P271" s="62" t="n">
        <f aca="false">IF((Arterial=0),P270+1,P270)</f>
        <v>126</v>
      </c>
      <c r="Q271" s="62" t="n">
        <f aca="false">IF((Arterial=1),Q270+1,Q270)</f>
        <v>128</v>
      </c>
      <c r="R271" s="63" t="e">
        <f aca="false">IF((RESET=1),0,R271+K271)</f>
        <v>#N/A</v>
      </c>
      <c r="S271" s="10" t="n">
        <f aca="false">IF(RESET=1,0,S271+N271)</f>
        <v>408.584136359452</v>
      </c>
      <c r="T271" s="0" t="e">
        <f aca="false">IF(RESET=1,0,T271+IF(H271=0,1,0))</f>
        <v>#N/A</v>
      </c>
      <c r="U271" s="0" t="n">
        <f aca="false">IF(RESET=1,0,U271+H271)</f>
        <v>25</v>
      </c>
      <c r="V271" s="10" t="e">
        <f aca="false">R271/(T271+0.00001)</f>
        <v>#N/A</v>
      </c>
      <c r="W271" s="10" t="n">
        <f aca="false">S271/(U271+0.0001)</f>
        <v>16.3433000811778</v>
      </c>
      <c r="X271" s="60" t="n">
        <f aca="false">IF(Informed=1,K271,0)</f>
        <v>20.7615364704623</v>
      </c>
      <c r="Y271" s="60" t="n">
        <f aca="false">IF(Informed=0,K271,0)</f>
        <v>0</v>
      </c>
      <c r="Z271" s="60" t="n">
        <f aca="false">IF(Informed=1,N271,0)</f>
        <v>0</v>
      </c>
      <c r="AA271" s="60" t="n">
        <f aca="false">IF(Informed=0,N271,0)</f>
        <v>0</v>
      </c>
      <c r="AB271" s="64" t="n">
        <f aca="false">IF(Arterial=0,IF(Informed=1,1,0),0)</f>
        <v>1</v>
      </c>
      <c r="AC271" s="64" t="n">
        <f aca="false">IF(Arterial=0,IF(Informed=0,1,0),0)</f>
        <v>0</v>
      </c>
      <c r="AD271" s="64" t="n">
        <f aca="false">IF(Arterial=1,IF(Informed=1,1,0),0)</f>
        <v>0</v>
      </c>
      <c r="AE271" s="64" t="n">
        <f aca="false">IF(Arterial=1,IF(Informed=0,1,0),0)</f>
        <v>0</v>
      </c>
      <c r="AF271" s="57" t="n">
        <f aca="false">IF(AB271=1,(X271-G$1030)^2,0)</f>
        <v>431.041396614335</v>
      </c>
      <c r="AG271" s="57" t="n">
        <f aca="false">IF(AC271=1,(Y271-H$1030)^2,0)</f>
        <v>0</v>
      </c>
      <c r="AH271" s="57" t="n">
        <f aca="false">IF(AD271=1,(Z271-I$1030)^2,0)</f>
        <v>0</v>
      </c>
      <c r="AI271" s="57" t="n">
        <f aca="false">IF(AE271=1,(AA271-J$1030)^2,0)</f>
        <v>0</v>
      </c>
    </row>
    <row r="272" customFormat="false" ht="12" hidden="false" customHeight="false" outlineLevel="0" collapsed="false">
      <c r="A272" s="5" t="n">
        <v>255</v>
      </c>
      <c r="B272" s="58" t="n">
        <f aca="true">IF(RAND()&lt;$D$8,1,0)</f>
        <v>0</v>
      </c>
      <c r="C272" s="47" t="n">
        <f aca="true">-LN(RAND())/$D$2</f>
        <v>1.87656111362599</v>
      </c>
      <c r="D272" s="59" t="n">
        <f aca="false">D271+C272</f>
        <v>240.738090006858</v>
      </c>
      <c r="E272" s="60" t="n">
        <f aca="false">MAX($D$3,(1+P271-VLOOKUP(VALUE(D272),$J$18:$Q271,7,TRUE()))*$D$3)</f>
        <v>22</v>
      </c>
      <c r="F272" s="60" t="n">
        <f aca="false">MAX($D$4,(1+Q271-VLOOKUP(VALUE(D272),$M$18:$Q271,5,TRUE()))*$D$4)</f>
        <v>24</v>
      </c>
      <c r="G272" s="61" t="n">
        <v>0.5</v>
      </c>
      <c r="H272" s="59" t="n">
        <f aca="true">IF((B272=1),(IF((F272&lt;E272),1,(IF((F272=E272),(IF(RAND()&lt;G272,1,0)),0)))),(IF((RAND()&lt;G272),1,0)))</f>
        <v>0</v>
      </c>
      <c r="I272" s="59" t="n">
        <f aca="true">IF((H272=1),0,$D$3+$D$5*(RAND()-0.5))</f>
        <v>2.1788268433491</v>
      </c>
      <c r="J272" s="59" t="n">
        <f aca="false">I272+MAX(D272,J271)</f>
        <v>261.801892207043</v>
      </c>
      <c r="K272" s="59" t="n">
        <f aca="false">IF((H272=0),J272-D272,0)</f>
        <v>21.0638022001854</v>
      </c>
      <c r="L272" s="59" t="n">
        <f aca="true">IF(($H272=0),0,$D$4+$D$5*(RAND()-0.5))</f>
        <v>0</v>
      </c>
      <c r="M272" s="59" t="n">
        <f aca="false">L272+MAX(D272,M271)</f>
        <v>261.160285008925</v>
      </c>
      <c r="N272" s="59" t="n">
        <f aca="false">IF((H272=1),M272-D272,0)</f>
        <v>0</v>
      </c>
      <c r="O272" s="5" t="n">
        <v>255</v>
      </c>
      <c r="P272" s="62" t="n">
        <f aca="false">IF((Arterial=0),P271+1,P271)</f>
        <v>127</v>
      </c>
      <c r="Q272" s="62" t="n">
        <f aca="false">IF((Arterial=1),Q271+1,Q271)</f>
        <v>128</v>
      </c>
      <c r="R272" s="63" t="e">
        <f aca="false">IF((RESET=1),0,R272+K272)</f>
        <v>#N/A</v>
      </c>
      <c r="S272" s="10" t="n">
        <f aca="false">IF(RESET=1,0,S272+N272)</f>
        <v>377.246953310284</v>
      </c>
      <c r="T272" s="0" t="e">
        <f aca="false">IF(RESET=1,0,T272+IF(H272=0,1,0))</f>
        <v>#N/A</v>
      </c>
      <c r="U272" s="0" t="n">
        <f aca="false">IF(RESET=1,0,U272+H272)</f>
        <v>24</v>
      </c>
      <c r="V272" s="10" t="e">
        <f aca="false">R272/(T272+0.00001)</f>
        <v>#N/A</v>
      </c>
      <c r="W272" s="10" t="n">
        <f aca="false">S272/(U272+0.0001)</f>
        <v>15.7185575606053</v>
      </c>
      <c r="X272" s="60" t="n">
        <f aca="false">IF(Informed=1,K272,0)</f>
        <v>0</v>
      </c>
      <c r="Y272" s="60" t="n">
        <f aca="false">IF(Informed=0,K272,0)</f>
        <v>21.0638022001854</v>
      </c>
      <c r="Z272" s="60" t="n">
        <f aca="false">IF(Informed=1,N272,0)</f>
        <v>0</v>
      </c>
      <c r="AA272" s="60" t="n">
        <f aca="false">IF(Informed=0,N272,0)</f>
        <v>0</v>
      </c>
      <c r="AB272" s="64" t="n">
        <f aca="false">IF(Arterial=0,IF(Informed=1,1,0),0)</f>
        <v>0</v>
      </c>
      <c r="AC272" s="64" t="n">
        <f aca="false">IF(Arterial=0,IF(Informed=0,1,0),0)</f>
        <v>1</v>
      </c>
      <c r="AD272" s="64" t="n">
        <f aca="false">IF(Arterial=1,IF(Informed=1,1,0),0)</f>
        <v>0</v>
      </c>
      <c r="AE272" s="64" t="n">
        <f aca="false">IF(Arterial=1,IF(Informed=0,1,0),0)</f>
        <v>0</v>
      </c>
      <c r="AF272" s="57" t="n">
        <f aca="false">IF(AB272=1,(X272-G$1030)^2,0)</f>
        <v>0</v>
      </c>
      <c r="AG272" s="57" t="n">
        <f aca="false">IF(AC272=1,(Y272-H$1030)^2,0)</f>
        <v>443.683763128534</v>
      </c>
      <c r="AH272" s="57" t="n">
        <f aca="false">IF(AD272=1,(Z272-I$1030)^2,0)</f>
        <v>0</v>
      </c>
      <c r="AI272" s="57" t="n">
        <f aca="false">IF(AE272=1,(AA272-J$1030)^2,0)</f>
        <v>0</v>
      </c>
    </row>
    <row r="273" customFormat="false" ht="12" hidden="false" customHeight="false" outlineLevel="0" collapsed="false">
      <c r="A273" s="5" t="n">
        <v>256</v>
      </c>
      <c r="B273" s="58" t="n">
        <f aca="true">IF(RAND()&lt;$D$8,1,0)</f>
        <v>0</v>
      </c>
      <c r="C273" s="47" t="n">
        <f aca="true">-LN(RAND())/$D$2</f>
        <v>0.383782824769396</v>
      </c>
      <c r="D273" s="59" t="n">
        <f aca="false">D272+C273</f>
        <v>241.121872831627</v>
      </c>
      <c r="E273" s="60" t="n">
        <f aca="false">MAX($D$3,(1+P272-VLOOKUP(VALUE(D273),$J$18:$Q272,7,TRUE()))*$D$3)</f>
        <v>24</v>
      </c>
      <c r="F273" s="60" t="n">
        <f aca="false">MAX($D$4,(1+Q272-VLOOKUP(VALUE(D273),$M$18:$Q272,5,TRUE()))*$D$4)</f>
        <v>22</v>
      </c>
      <c r="G273" s="61" t="n">
        <v>0.5</v>
      </c>
      <c r="H273" s="59" t="n">
        <f aca="true">IF((B273=1),(IF((F273&lt;E273),1,(IF((F273=E273),(IF(RAND()&lt;G273,1,0)),0)))),(IF((RAND()&lt;G273),1,0)))</f>
        <v>1</v>
      </c>
      <c r="I273" s="59" t="n">
        <f aca="true">IF((H273=1),0,$D$3+$D$5*(RAND()-0.5))</f>
        <v>0</v>
      </c>
      <c r="J273" s="59" t="n">
        <f aca="false">I273+MAX(D273,J272)</f>
        <v>261.801892207043</v>
      </c>
      <c r="K273" s="59" t="n">
        <f aca="false">IF((H273=0),J273-D273,0)</f>
        <v>0</v>
      </c>
      <c r="L273" s="59" t="n">
        <f aca="true">IF(($H273=0),0,$D$4+$D$5*(RAND()-0.5))</f>
        <v>2.04502512318914</v>
      </c>
      <c r="M273" s="59" t="n">
        <f aca="false">L273+MAX(D273,M272)</f>
        <v>263.205310132114</v>
      </c>
      <c r="N273" s="59" t="n">
        <f aca="false">IF((H273=1),M273-D273,0)</f>
        <v>22.0834373004869</v>
      </c>
      <c r="O273" s="5" t="n">
        <v>256</v>
      </c>
      <c r="P273" s="62" t="n">
        <f aca="false">IF((Arterial=0),P272+1,P272)</f>
        <v>127</v>
      </c>
      <c r="Q273" s="62" t="n">
        <f aca="false">IF((Arterial=1),Q272+1,Q272)</f>
        <v>129</v>
      </c>
      <c r="R273" s="63" t="n">
        <f aca="false">IF((RESET=1),0,R273+K273)</f>
        <v>261.135792793057</v>
      </c>
      <c r="S273" s="10" t="e">
        <f aca="false">IF(RESET=1,0,S273+N273)</f>
        <v>#N/A</v>
      </c>
      <c r="T273" s="0" t="n">
        <f aca="false">IF(RESET=1,0,T273+IF(H273=0,1,0))</f>
        <v>22</v>
      </c>
      <c r="U273" s="0" t="e">
        <f aca="false">IF(RESET=1,0,U273+H273)</f>
        <v>#N/A</v>
      </c>
      <c r="V273" s="10" t="n">
        <f aca="false">R273/(T273+0.00001)</f>
        <v>11.8698033679556</v>
      </c>
      <c r="W273" s="10" t="e">
        <f aca="false">S273/(U273+0.0001)</f>
        <v>#N/A</v>
      </c>
      <c r="X273" s="60" t="n">
        <f aca="false">IF(Informed=1,K273,0)</f>
        <v>0</v>
      </c>
      <c r="Y273" s="60" t="n">
        <f aca="false">IF(Informed=0,K273,0)</f>
        <v>0</v>
      </c>
      <c r="Z273" s="60" t="n">
        <f aca="false">IF(Informed=1,N273,0)</f>
        <v>0</v>
      </c>
      <c r="AA273" s="60" t="n">
        <f aca="false">IF(Informed=0,N273,0)</f>
        <v>22.0834373004869</v>
      </c>
      <c r="AB273" s="64" t="n">
        <f aca="false">IF(Arterial=0,IF(Informed=1,1,0),0)</f>
        <v>0</v>
      </c>
      <c r="AC273" s="64" t="n">
        <f aca="false">IF(Arterial=0,IF(Informed=0,1,0),0)</f>
        <v>0</v>
      </c>
      <c r="AD273" s="64" t="n">
        <f aca="false">IF(Arterial=1,IF(Informed=1,1,0),0)</f>
        <v>0</v>
      </c>
      <c r="AE273" s="64" t="n">
        <f aca="false">IF(Arterial=1,IF(Informed=0,1,0),0)</f>
        <v>1</v>
      </c>
      <c r="AF273" s="57" t="n">
        <f aca="false">IF(AB273=1,(X273-G$1030)^2,0)</f>
        <v>0</v>
      </c>
      <c r="AG273" s="57" t="n">
        <f aca="false">IF(AC273=1,(Y273-H$1030)^2,0)</f>
        <v>0</v>
      </c>
      <c r="AH273" s="57" t="n">
        <f aca="false">IF(AD273=1,(Z273-I$1030)^2,0)</f>
        <v>0</v>
      </c>
      <c r="AI273" s="57" t="n">
        <f aca="false">IF(AE273=1,(AA273-J$1030)^2,0)</f>
        <v>487.678203004534</v>
      </c>
    </row>
    <row r="274" customFormat="false" ht="12" hidden="false" customHeight="false" outlineLevel="0" collapsed="false">
      <c r="A274" s="5" t="n">
        <v>257</v>
      </c>
      <c r="B274" s="58" t="n">
        <f aca="true">IF(RAND()&lt;$D$8,1,0)</f>
        <v>0</v>
      </c>
      <c r="C274" s="47" t="n">
        <f aca="true">-LN(RAND())/$D$2</f>
        <v>0.0878172841015034</v>
      </c>
      <c r="D274" s="59" t="n">
        <f aca="false">D273+C274</f>
        <v>241.209690115728</v>
      </c>
      <c r="E274" s="60" t="n">
        <f aca="false">MAX($D$3,(1+P273-VLOOKUP(VALUE(D274),$J$18:$Q273,7,TRUE()))*$D$3)</f>
        <v>24</v>
      </c>
      <c r="F274" s="60" t="n">
        <f aca="false">MAX($D$4,(1+Q273-VLOOKUP(VALUE(D274),$M$18:$Q273,5,TRUE()))*$D$4)</f>
        <v>24</v>
      </c>
      <c r="G274" s="61" t="n">
        <v>0.5</v>
      </c>
      <c r="H274" s="59" t="n">
        <f aca="true">IF((B274=1),(IF((F274&lt;E274),1,(IF((F274=E274),(IF(RAND()&lt;G274,1,0)),0)))),(IF((RAND()&lt;G274),1,0)))</f>
        <v>1</v>
      </c>
      <c r="I274" s="59" t="n">
        <f aca="true">IF((H274=1),0,$D$3+$D$5*(RAND()-0.5))</f>
        <v>0</v>
      </c>
      <c r="J274" s="59" t="n">
        <f aca="false">I274+MAX(D274,J273)</f>
        <v>261.801892207043</v>
      </c>
      <c r="K274" s="59" t="n">
        <f aca="false">IF((H274=0),J274-D274,0)</f>
        <v>0</v>
      </c>
      <c r="L274" s="59" t="n">
        <f aca="true">IF(($H274=0),0,$D$4+$D$5*(RAND()-0.5))</f>
        <v>1.93895063386918</v>
      </c>
      <c r="M274" s="59" t="n">
        <f aca="false">L274+MAX(D274,M273)</f>
        <v>265.144260765983</v>
      </c>
      <c r="N274" s="59" t="n">
        <f aca="false">IF((H274=1),M274-D274,0)</f>
        <v>23.9345706502545</v>
      </c>
      <c r="O274" s="5" t="n">
        <v>257</v>
      </c>
      <c r="P274" s="62" t="n">
        <f aca="false">IF((Arterial=0),P273+1,P273)</f>
        <v>127</v>
      </c>
      <c r="Q274" s="62" t="n">
        <f aca="false">IF((Arterial=1),Q273+1,Q273)</f>
        <v>130</v>
      </c>
      <c r="R274" s="63" t="n">
        <f aca="false">IF((RESET=1),0,R274+K274)</f>
        <v>539.684486081046</v>
      </c>
      <c r="S274" s="10" t="e">
        <f aca="false">IF(RESET=1,0,S274+N274)</f>
        <v>#N/A</v>
      </c>
      <c r="T274" s="0" t="n">
        <f aca="false">IF(RESET=1,0,T274+IF(H274=0,1,0))</f>
        <v>28</v>
      </c>
      <c r="U274" s="0" t="e">
        <f aca="false">IF(RESET=1,0,U274+H274)</f>
        <v>#N/A</v>
      </c>
      <c r="V274" s="10" t="n">
        <f aca="false">R274/(T274+0.00001)</f>
        <v>19.2744390477377</v>
      </c>
      <c r="W274" s="10" t="e">
        <f aca="false">S274/(U274+0.0001)</f>
        <v>#N/A</v>
      </c>
      <c r="X274" s="60" t="n">
        <f aca="false">IF(Informed=1,K274,0)</f>
        <v>0</v>
      </c>
      <c r="Y274" s="60" t="n">
        <f aca="false">IF(Informed=0,K274,0)</f>
        <v>0</v>
      </c>
      <c r="Z274" s="60" t="n">
        <f aca="false">IF(Informed=1,N274,0)</f>
        <v>0</v>
      </c>
      <c r="AA274" s="60" t="n">
        <f aca="false">IF(Informed=0,N274,0)</f>
        <v>23.9345706502545</v>
      </c>
      <c r="AB274" s="64" t="n">
        <f aca="false">IF(Arterial=0,IF(Informed=1,1,0),0)</f>
        <v>0</v>
      </c>
      <c r="AC274" s="64" t="n">
        <f aca="false">IF(Arterial=0,IF(Informed=0,1,0),0)</f>
        <v>0</v>
      </c>
      <c r="AD274" s="64" t="n">
        <f aca="false">IF(Arterial=1,IF(Informed=1,1,0),0)</f>
        <v>0</v>
      </c>
      <c r="AE274" s="64" t="n">
        <f aca="false">IF(Arterial=1,IF(Informed=0,1,0),0)</f>
        <v>1</v>
      </c>
      <c r="AF274" s="57" t="n">
        <f aca="false">IF(AB274=1,(X274-G$1030)^2,0)</f>
        <v>0</v>
      </c>
      <c r="AG274" s="57" t="n">
        <f aca="false">IF(AC274=1,(Y274-H$1030)^2,0)</f>
        <v>0</v>
      </c>
      <c r="AH274" s="57" t="n">
        <f aca="false">IF(AD274=1,(Z274-I$1030)^2,0)</f>
        <v>0</v>
      </c>
      <c r="AI274" s="57" t="n">
        <f aca="false">IF(AE274=1,(AA274-J$1030)^2,0)</f>
        <v>572.863672212025</v>
      </c>
    </row>
    <row r="275" customFormat="false" ht="12" hidden="false" customHeight="false" outlineLevel="0" collapsed="false">
      <c r="A275" s="5" t="n">
        <v>258</v>
      </c>
      <c r="B275" s="58" t="n">
        <f aca="true">IF(RAND()&lt;$D$8,1,0)</f>
        <v>1</v>
      </c>
      <c r="C275" s="47" t="n">
        <f aca="true">-LN(RAND())/$D$2</f>
        <v>0.317141117112471</v>
      </c>
      <c r="D275" s="59" t="n">
        <f aca="false">D274+C275</f>
        <v>241.526831232841</v>
      </c>
      <c r="E275" s="60" t="n">
        <f aca="false">MAX($D$3,(1+P274-VLOOKUP(VALUE(D275),$J$18:$Q274,7,TRUE()))*$D$3)</f>
        <v>24</v>
      </c>
      <c r="F275" s="60" t="n">
        <f aca="false">MAX($D$4,(1+Q274-VLOOKUP(VALUE(D275),$M$18:$Q274,5,TRUE()))*$D$4)</f>
        <v>26</v>
      </c>
      <c r="G275" s="61" t="n">
        <v>0.5</v>
      </c>
      <c r="H275" s="59" t="n">
        <f aca="true">IF((B275=1),(IF((F275&lt;E275),1,(IF((F275=E275),(IF(RAND()&lt;G275,1,0)),0)))),(IF((RAND()&lt;G275),1,0)))</f>
        <v>0</v>
      </c>
      <c r="I275" s="59" t="n">
        <f aca="true">IF((H275=1),0,$D$3+$D$5*(RAND()-0.5))</f>
        <v>2.06124451616987</v>
      </c>
      <c r="J275" s="59" t="n">
        <f aca="false">I275+MAX(D275,J274)</f>
        <v>263.863136723213</v>
      </c>
      <c r="K275" s="59" t="n">
        <f aca="false">IF((H275=0),J275-D275,0)</f>
        <v>22.3363054903719</v>
      </c>
      <c r="L275" s="59" t="n">
        <f aca="true">IF(($H275=0),0,$D$4+$D$5*(RAND()-0.5))</f>
        <v>0</v>
      </c>
      <c r="M275" s="59" t="n">
        <f aca="false">L275+MAX(D275,M274)</f>
        <v>265.144260765983</v>
      </c>
      <c r="N275" s="59" t="n">
        <f aca="false">IF((H275=1),M275-D275,0)</f>
        <v>0</v>
      </c>
      <c r="O275" s="5" t="n">
        <v>258</v>
      </c>
      <c r="P275" s="62" t="n">
        <f aca="false">IF((Arterial=0),P274+1,P274)</f>
        <v>128</v>
      </c>
      <c r="Q275" s="62" t="n">
        <f aca="false">IF((Arterial=1),Q274+1,Q274)</f>
        <v>130</v>
      </c>
      <c r="R275" s="63" t="e">
        <f aca="false">IF((RESET=1),0,R275+K275)</f>
        <v>#N/A</v>
      </c>
      <c r="S275" s="10" t="n">
        <f aca="false">IF(RESET=1,0,S275+N275)</f>
        <v>386.006185595304</v>
      </c>
      <c r="T275" s="0" t="e">
        <f aca="false">IF(RESET=1,0,T275+IF(H275=0,1,0))</f>
        <v>#N/A</v>
      </c>
      <c r="U275" s="0" t="n">
        <f aca="false">IF(RESET=1,0,U275+H275)</f>
        <v>27</v>
      </c>
      <c r="V275" s="10" t="e">
        <f aca="false">R275/(T275+0.00001)</f>
        <v>#N/A</v>
      </c>
      <c r="W275" s="10" t="n">
        <f aca="false">S275/(U275+0.0001)</f>
        <v>14.2964724425207</v>
      </c>
      <c r="X275" s="60" t="n">
        <f aca="false">IF(Informed=1,K275,0)</f>
        <v>22.3363054903719</v>
      </c>
      <c r="Y275" s="60" t="n">
        <f aca="false">IF(Informed=0,K275,0)</f>
        <v>0</v>
      </c>
      <c r="Z275" s="60" t="n">
        <f aca="false">IF(Informed=1,N275,0)</f>
        <v>0</v>
      </c>
      <c r="AA275" s="60" t="n">
        <f aca="false">IF(Informed=0,N275,0)</f>
        <v>0</v>
      </c>
      <c r="AB275" s="64" t="n">
        <f aca="false">IF(Arterial=0,IF(Informed=1,1,0),0)</f>
        <v>1</v>
      </c>
      <c r="AC275" s="64" t="n">
        <f aca="false">IF(Arterial=0,IF(Informed=0,1,0),0)</f>
        <v>0</v>
      </c>
      <c r="AD275" s="64" t="n">
        <f aca="false">IF(Arterial=1,IF(Informed=1,1,0),0)</f>
        <v>0</v>
      </c>
      <c r="AE275" s="64" t="n">
        <f aca="false">IF(Arterial=1,IF(Informed=0,1,0),0)</f>
        <v>0</v>
      </c>
      <c r="AF275" s="57" t="n">
        <f aca="false">IF(AB275=1,(X275-G$1030)^2,0)</f>
        <v>498.910542959218</v>
      </c>
      <c r="AG275" s="57" t="n">
        <f aca="false">IF(AC275=1,(Y275-H$1030)^2,0)</f>
        <v>0</v>
      </c>
      <c r="AH275" s="57" t="n">
        <f aca="false">IF(AD275=1,(Z275-I$1030)^2,0)</f>
        <v>0</v>
      </c>
      <c r="AI275" s="57" t="n">
        <f aca="false">IF(AE275=1,(AA275-J$1030)^2,0)</f>
        <v>0</v>
      </c>
    </row>
    <row r="276" customFormat="false" ht="12" hidden="false" customHeight="false" outlineLevel="0" collapsed="false">
      <c r="A276" s="5" t="n">
        <v>259</v>
      </c>
      <c r="B276" s="58" t="n">
        <f aca="true">IF(RAND()&lt;$D$8,1,0)</f>
        <v>0</v>
      </c>
      <c r="C276" s="47" t="n">
        <f aca="true">-LN(RAND())/$D$2</f>
        <v>0.221188977735457</v>
      </c>
      <c r="D276" s="59" t="n">
        <f aca="false">D275+C276</f>
        <v>241.748020210576</v>
      </c>
      <c r="E276" s="60" t="n">
        <f aca="false">MAX($D$3,(1+P275-VLOOKUP(VALUE(D276),$J$18:$Q275,7,TRUE()))*$D$3)</f>
        <v>26</v>
      </c>
      <c r="F276" s="60" t="n">
        <f aca="false">MAX($D$4,(1+Q275-VLOOKUP(VALUE(D276),$M$18:$Q275,5,TRUE()))*$D$4)</f>
        <v>26</v>
      </c>
      <c r="G276" s="61" t="n">
        <v>0.5</v>
      </c>
      <c r="H276" s="59" t="n">
        <f aca="true">IF((B276=1),(IF((F276&lt;E276),1,(IF((F276=E276),(IF(RAND()&lt;G276,1,0)),0)))),(IF((RAND()&lt;G276),1,0)))</f>
        <v>0</v>
      </c>
      <c r="I276" s="59" t="n">
        <f aca="true">IF((H276=1),0,$D$3+$D$5*(RAND()-0.5))</f>
        <v>1.75209038690153</v>
      </c>
      <c r="J276" s="59" t="n">
        <f aca="false">I276+MAX(D276,J275)</f>
        <v>265.615227110114</v>
      </c>
      <c r="K276" s="59" t="n">
        <f aca="false">IF((H276=0),J276-D276,0)</f>
        <v>23.8672068995379</v>
      </c>
      <c r="L276" s="59" t="n">
        <f aca="true">IF(($H276=0),0,$D$4+$D$5*(RAND()-0.5))</f>
        <v>0</v>
      </c>
      <c r="M276" s="59" t="n">
        <f aca="false">L276+MAX(D276,M275)</f>
        <v>265.144260765983</v>
      </c>
      <c r="N276" s="59" t="n">
        <f aca="false">IF((H276=1),M276-D276,0)</f>
        <v>0</v>
      </c>
      <c r="O276" s="5" t="n">
        <v>259</v>
      </c>
      <c r="P276" s="62" t="n">
        <f aca="false">IF((Arterial=0),P275+1,P275)</f>
        <v>129</v>
      </c>
      <c r="Q276" s="62" t="n">
        <f aca="false">IF((Arterial=1),Q275+1,Q275)</f>
        <v>130</v>
      </c>
      <c r="R276" s="63" t="e">
        <f aca="false">IF((RESET=1),0,R276+K276)</f>
        <v>#N/A</v>
      </c>
      <c r="S276" s="10" t="n">
        <f aca="false">IF(RESET=1,0,S276+N276)</f>
        <v>564.598374741622</v>
      </c>
      <c r="T276" s="0" t="e">
        <f aca="false">IF(RESET=1,0,T276+IF(H276=0,1,0))</f>
        <v>#N/A</v>
      </c>
      <c r="U276" s="0" t="n">
        <f aca="false">IF(RESET=1,0,U276+H276)</f>
        <v>30</v>
      </c>
      <c r="V276" s="10" t="e">
        <f aca="false">R276/(T276+0.00001)</f>
        <v>#N/A</v>
      </c>
      <c r="W276" s="10" t="n">
        <f aca="false">S276/(U276+0.0001)</f>
        <v>18.8198830917771</v>
      </c>
      <c r="X276" s="60" t="n">
        <f aca="false">IF(Informed=1,K276,0)</f>
        <v>0</v>
      </c>
      <c r="Y276" s="60" t="n">
        <f aca="false">IF(Informed=0,K276,0)</f>
        <v>23.8672068995379</v>
      </c>
      <c r="Z276" s="60" t="n">
        <f aca="false">IF(Informed=1,N276,0)</f>
        <v>0</v>
      </c>
      <c r="AA276" s="60" t="n">
        <f aca="false">IF(Informed=0,N276,0)</f>
        <v>0</v>
      </c>
      <c r="AB276" s="64" t="n">
        <f aca="false">IF(Arterial=0,IF(Informed=1,1,0),0)</f>
        <v>0</v>
      </c>
      <c r="AC276" s="64" t="n">
        <f aca="false">IF(Arterial=0,IF(Informed=0,1,0),0)</f>
        <v>1</v>
      </c>
      <c r="AD276" s="64" t="n">
        <f aca="false">IF(Arterial=1,IF(Informed=1,1,0),0)</f>
        <v>0</v>
      </c>
      <c r="AE276" s="64" t="n">
        <f aca="false">IF(Arterial=1,IF(Informed=0,1,0),0)</f>
        <v>0</v>
      </c>
      <c r="AF276" s="57" t="n">
        <f aca="false">IF(AB276=1,(X276-G$1030)^2,0)</f>
        <v>0</v>
      </c>
      <c r="AG276" s="57" t="n">
        <f aca="false">IF(AC276=1,(Y276-H$1030)^2,0)</f>
        <v>569.643565185351</v>
      </c>
      <c r="AH276" s="57" t="n">
        <f aca="false">IF(AD276=1,(Z276-I$1030)^2,0)</f>
        <v>0</v>
      </c>
      <c r="AI276" s="57" t="n">
        <f aca="false">IF(AE276=1,(AA276-J$1030)^2,0)</f>
        <v>0</v>
      </c>
    </row>
    <row r="277" customFormat="false" ht="12" hidden="false" customHeight="false" outlineLevel="0" collapsed="false">
      <c r="A277" s="5" t="n">
        <v>260</v>
      </c>
      <c r="B277" s="58" t="n">
        <f aca="true">IF(RAND()&lt;$D$8,1,0)</f>
        <v>1</v>
      </c>
      <c r="C277" s="47" t="n">
        <f aca="true">-LN(RAND())/$D$2</f>
        <v>1.45246212466552</v>
      </c>
      <c r="D277" s="59" t="n">
        <f aca="false">D276+C277</f>
        <v>243.200482335242</v>
      </c>
      <c r="E277" s="60" t="n">
        <f aca="false">MAX($D$3,(1+P276-VLOOKUP(VALUE(D277),$J$18:$Q276,7,TRUE()))*$D$3)</f>
        <v>26</v>
      </c>
      <c r="F277" s="60" t="n">
        <f aca="false">MAX($D$4,(1+Q276-VLOOKUP(VALUE(D277),$M$18:$Q276,5,TRUE()))*$D$4)</f>
        <v>24</v>
      </c>
      <c r="G277" s="61" t="n">
        <v>0.5</v>
      </c>
      <c r="H277" s="59" t="n">
        <f aca="true">IF((B277=1),(IF((F277&lt;E277),1,(IF((F277=E277),(IF(RAND()&lt;G277,1,0)),0)))),(IF((RAND()&lt;G277),1,0)))</f>
        <v>1</v>
      </c>
      <c r="I277" s="59" t="n">
        <f aca="true">IF((H277=1),0,$D$3+$D$5*(RAND()-0.5))</f>
        <v>0</v>
      </c>
      <c r="J277" s="59" t="n">
        <f aca="false">I277+MAX(D277,J276)</f>
        <v>265.615227110114</v>
      </c>
      <c r="K277" s="59" t="n">
        <f aca="false">IF((H277=0),J277-D277,0)</f>
        <v>0</v>
      </c>
      <c r="L277" s="59" t="n">
        <f aca="true">IF(($H277=0),0,$D$4+$D$5*(RAND()-0.5))</f>
        <v>2.01303625565182</v>
      </c>
      <c r="M277" s="59" t="n">
        <f aca="false">L277+MAX(D277,M276)</f>
        <v>267.157297021635</v>
      </c>
      <c r="N277" s="59" t="n">
        <f aca="false">IF((H277=1),M277-D277,0)</f>
        <v>23.9568146863929</v>
      </c>
      <c r="O277" s="5" t="n">
        <v>260</v>
      </c>
      <c r="P277" s="62" t="n">
        <f aca="false">IF((Arterial=0),P276+1,P276)</f>
        <v>129</v>
      </c>
      <c r="Q277" s="62" t="n">
        <f aca="false">IF((Arterial=1),Q276+1,Q276)</f>
        <v>131</v>
      </c>
      <c r="R277" s="63" t="n">
        <f aca="false">IF((RESET=1),0,R277+K277)</f>
        <v>398.870144268819</v>
      </c>
      <c r="S277" s="10" t="e">
        <f aca="false">IF(RESET=1,0,S277+N277)</f>
        <v>#N/A</v>
      </c>
      <c r="T277" s="0" t="n">
        <f aca="false">IF(RESET=1,0,T277+IF(H277=0,1,0))</f>
        <v>25</v>
      </c>
      <c r="U277" s="0" t="e">
        <f aca="false">IF(RESET=1,0,U277+H277)</f>
        <v>#N/A</v>
      </c>
      <c r="V277" s="10" t="n">
        <f aca="false">R277/(T277+0.00001)</f>
        <v>15.954799388833</v>
      </c>
      <c r="W277" s="10" t="e">
        <f aca="false">S277/(U277+0.0001)</f>
        <v>#N/A</v>
      </c>
      <c r="X277" s="60" t="n">
        <f aca="false">IF(Informed=1,K277,0)</f>
        <v>0</v>
      </c>
      <c r="Y277" s="60" t="n">
        <f aca="false">IF(Informed=0,K277,0)</f>
        <v>0</v>
      </c>
      <c r="Z277" s="60" t="n">
        <f aca="false">IF(Informed=1,N277,0)</f>
        <v>23.9568146863929</v>
      </c>
      <c r="AA277" s="60" t="n">
        <f aca="false">IF(Informed=0,N277,0)</f>
        <v>0</v>
      </c>
      <c r="AB277" s="64" t="n">
        <f aca="false">IF(Arterial=0,IF(Informed=1,1,0),0)</f>
        <v>0</v>
      </c>
      <c r="AC277" s="64" t="n">
        <f aca="false">IF(Arterial=0,IF(Informed=0,1,0),0)</f>
        <v>0</v>
      </c>
      <c r="AD277" s="64" t="n">
        <f aca="false">IF(Arterial=1,IF(Informed=1,1,0),0)</f>
        <v>1</v>
      </c>
      <c r="AE277" s="64" t="n">
        <f aca="false">IF(Arterial=1,IF(Informed=0,1,0),0)</f>
        <v>0</v>
      </c>
      <c r="AF277" s="57" t="n">
        <f aca="false">IF(AB277=1,(X277-G$1030)^2,0)</f>
        <v>0</v>
      </c>
      <c r="AG277" s="57" t="n">
        <f aca="false">IF(AC277=1,(Y277-H$1030)^2,0)</f>
        <v>0</v>
      </c>
      <c r="AH277" s="57" t="n">
        <f aca="false">IF(AD277=1,(Z277-I$1030)^2,0)</f>
        <v>573.928969918169</v>
      </c>
      <c r="AI277" s="57" t="n">
        <f aca="false">IF(AE277=1,(AA277-J$1030)^2,0)</f>
        <v>0</v>
      </c>
    </row>
    <row r="278" customFormat="false" ht="12" hidden="false" customHeight="false" outlineLevel="0" collapsed="false">
      <c r="A278" s="5" t="n">
        <v>261</v>
      </c>
      <c r="B278" s="58" t="n">
        <f aca="true">IF(RAND()&lt;$D$8,1,0)</f>
        <v>1</v>
      </c>
      <c r="C278" s="47" t="n">
        <f aca="true">-LN(RAND())/$D$2</f>
        <v>2.98817588559921</v>
      </c>
      <c r="D278" s="59" t="n">
        <f aca="false">D277+C278</f>
        <v>246.188658220841</v>
      </c>
      <c r="E278" s="60" t="n">
        <f aca="false">MAX($D$3,(1+P277-VLOOKUP(VALUE(D278),$J$18:$Q277,7,TRUE()))*$D$3)</f>
        <v>22</v>
      </c>
      <c r="F278" s="60" t="n">
        <f aca="false">MAX($D$4,(1+Q277-VLOOKUP(VALUE(D278),$M$18:$Q277,5,TRUE()))*$D$4)</f>
        <v>24</v>
      </c>
      <c r="G278" s="61" t="n">
        <v>0.5</v>
      </c>
      <c r="H278" s="59" t="n">
        <f aca="true">IF((B278=1),(IF((F278&lt;E278),1,(IF((F278=E278),(IF(RAND()&lt;G278,1,0)),0)))),(IF((RAND()&lt;G278),1,0)))</f>
        <v>0</v>
      </c>
      <c r="I278" s="59" t="n">
        <f aca="true">IF((H278=1),0,$D$3+$D$5*(RAND()-0.5))</f>
        <v>2.09751471754685</v>
      </c>
      <c r="J278" s="59" t="n">
        <f aca="false">I278+MAX(D278,J277)</f>
        <v>267.712741827661</v>
      </c>
      <c r="K278" s="59" t="n">
        <f aca="false">IF((H278=0),J278-D278,0)</f>
        <v>21.5240836068201</v>
      </c>
      <c r="L278" s="59" t="n">
        <f aca="true">IF(($H278=0),0,$D$4+$D$5*(RAND()-0.5))</f>
        <v>0</v>
      </c>
      <c r="M278" s="59" t="n">
        <f aca="false">L278+MAX(D278,M277)</f>
        <v>267.157297021635</v>
      </c>
      <c r="N278" s="59" t="n">
        <f aca="false">IF((H278=1),M278-D278,0)</f>
        <v>0</v>
      </c>
      <c r="O278" s="5" t="n">
        <v>261</v>
      </c>
      <c r="P278" s="62" t="n">
        <f aca="false">IF((Arterial=0),P277+1,P277)</f>
        <v>130</v>
      </c>
      <c r="Q278" s="62" t="n">
        <f aca="false">IF((Arterial=1),Q277+1,Q277)</f>
        <v>131</v>
      </c>
      <c r="R278" s="63" t="e">
        <f aca="false">IF((RESET=1),0,R278+K278)</f>
        <v>#N/A</v>
      </c>
      <c r="S278" s="10" t="n">
        <f aca="false">IF(RESET=1,0,S278+N278)</f>
        <v>411.417513572293</v>
      </c>
      <c r="T278" s="0" t="e">
        <f aca="false">IF(RESET=1,0,T278+IF(H278=0,1,0))</f>
        <v>#N/A</v>
      </c>
      <c r="U278" s="0" t="n">
        <f aca="false">IF(RESET=1,0,U278+H278)</f>
        <v>23</v>
      </c>
      <c r="V278" s="10" t="e">
        <f aca="false">R278/(T278+0.00001)</f>
        <v>#N/A</v>
      </c>
      <c r="W278" s="10" t="n">
        <f aca="false">S278/(U278+0.0001)</f>
        <v>17.8876402090553</v>
      </c>
      <c r="X278" s="60" t="n">
        <f aca="false">IF(Informed=1,K278,0)</f>
        <v>21.5240836068201</v>
      </c>
      <c r="Y278" s="60" t="n">
        <f aca="false">IF(Informed=0,K278,0)</f>
        <v>0</v>
      </c>
      <c r="Z278" s="60" t="n">
        <f aca="false">IF(Informed=1,N278,0)</f>
        <v>0</v>
      </c>
      <c r="AA278" s="60" t="n">
        <f aca="false">IF(Informed=0,N278,0)</f>
        <v>0</v>
      </c>
      <c r="AB278" s="64" t="n">
        <f aca="false">IF(Arterial=0,IF(Informed=1,1,0),0)</f>
        <v>1</v>
      </c>
      <c r="AC278" s="64" t="n">
        <f aca="false">IF(Arterial=0,IF(Informed=0,1,0),0)</f>
        <v>0</v>
      </c>
      <c r="AD278" s="64" t="n">
        <f aca="false">IF(Arterial=1,IF(Informed=1,1,0),0)</f>
        <v>0</v>
      </c>
      <c r="AE278" s="64" t="n">
        <f aca="false">IF(Arterial=1,IF(Informed=0,1,0),0)</f>
        <v>0</v>
      </c>
      <c r="AF278" s="57" t="n">
        <f aca="false">IF(AB278=1,(X278-G$1030)^2,0)</f>
        <v>463.28617511338</v>
      </c>
      <c r="AG278" s="57" t="n">
        <f aca="false">IF(AC278=1,(Y278-H$1030)^2,0)</f>
        <v>0</v>
      </c>
      <c r="AH278" s="57" t="n">
        <f aca="false">IF(AD278=1,(Z278-I$1030)^2,0)</f>
        <v>0</v>
      </c>
      <c r="AI278" s="57" t="n">
        <f aca="false">IF(AE278=1,(AA278-J$1030)^2,0)</f>
        <v>0</v>
      </c>
    </row>
    <row r="279" customFormat="false" ht="12" hidden="false" customHeight="false" outlineLevel="0" collapsed="false">
      <c r="A279" s="5" t="n">
        <v>262</v>
      </c>
      <c r="B279" s="58" t="n">
        <f aca="true">IF(RAND()&lt;$D$8,1,0)</f>
        <v>1</v>
      </c>
      <c r="C279" s="47" t="n">
        <f aca="true">-LN(RAND())/$D$2</f>
        <v>0.273170981049591</v>
      </c>
      <c r="D279" s="59" t="n">
        <f aca="false">D278+C279</f>
        <v>246.461829201891</v>
      </c>
      <c r="E279" s="60" t="n">
        <f aca="false">MAX($D$3,(1+P278-VLOOKUP(VALUE(D279),$J$18:$Q278,7,TRUE()))*$D$3)</f>
        <v>24</v>
      </c>
      <c r="F279" s="60" t="n">
        <f aca="false">MAX($D$4,(1+Q278-VLOOKUP(VALUE(D279),$M$18:$Q278,5,TRUE()))*$D$4)</f>
        <v>24</v>
      </c>
      <c r="G279" s="61" t="n">
        <v>0.5</v>
      </c>
      <c r="H279" s="59" t="n">
        <f aca="true">IF((B279=1),(IF((F279&lt;E279),1,(IF((F279=E279),(IF(RAND()&lt;G279,1,0)),0)))),(IF((RAND()&lt;G279),1,0)))</f>
        <v>1</v>
      </c>
      <c r="I279" s="59" t="n">
        <f aca="true">IF((H279=1),0,$D$3+$D$5*(RAND()-0.5))</f>
        <v>0</v>
      </c>
      <c r="J279" s="59" t="n">
        <f aca="false">I279+MAX(D279,J278)</f>
        <v>267.712741827661</v>
      </c>
      <c r="K279" s="59" t="n">
        <f aca="false">IF((H279=0),J279-D279,0)</f>
        <v>0</v>
      </c>
      <c r="L279" s="59" t="n">
        <f aca="true">IF(($H279=0),0,$D$4+$D$5*(RAND()-0.5))</f>
        <v>1.94510663033844</v>
      </c>
      <c r="M279" s="59" t="n">
        <f aca="false">L279+MAX(D279,M278)</f>
        <v>269.102403651973</v>
      </c>
      <c r="N279" s="59" t="n">
        <f aca="false">IF((H279=1),M279-D279,0)</f>
        <v>22.6405744500825</v>
      </c>
      <c r="O279" s="5" t="n">
        <v>262</v>
      </c>
      <c r="P279" s="62" t="n">
        <f aca="false">IF((Arterial=0),P278+1,P278)</f>
        <v>130</v>
      </c>
      <c r="Q279" s="62" t="n">
        <f aca="false">IF((Arterial=1),Q278+1,Q278)</f>
        <v>132</v>
      </c>
      <c r="R279" s="63" t="n">
        <f aca="false">IF((RESET=1),0,R279+K279)</f>
        <v>454.405665452151</v>
      </c>
      <c r="S279" s="10" t="e">
        <f aca="false">IF(RESET=1,0,S279+N279)</f>
        <v>#N/A</v>
      </c>
      <c r="T279" s="0" t="n">
        <f aca="false">IF(RESET=1,0,T279+IF(H279=0,1,0))</f>
        <v>26</v>
      </c>
      <c r="U279" s="0" t="e">
        <f aca="false">IF(RESET=1,0,U279+H279)</f>
        <v>#N/A</v>
      </c>
      <c r="V279" s="10" t="n">
        <f aca="false">R279/(T279+0.00001)</f>
        <v>17.4771342569542</v>
      </c>
      <c r="W279" s="10" t="e">
        <f aca="false">S279/(U279+0.0001)</f>
        <v>#N/A</v>
      </c>
      <c r="X279" s="60" t="n">
        <f aca="false">IF(Informed=1,K279,0)</f>
        <v>0</v>
      </c>
      <c r="Y279" s="60" t="n">
        <f aca="false">IF(Informed=0,K279,0)</f>
        <v>0</v>
      </c>
      <c r="Z279" s="60" t="n">
        <f aca="false">IF(Informed=1,N279,0)</f>
        <v>22.6405744500825</v>
      </c>
      <c r="AA279" s="60" t="n">
        <f aca="false">IF(Informed=0,N279,0)</f>
        <v>0</v>
      </c>
      <c r="AB279" s="64" t="n">
        <f aca="false">IF(Arterial=0,IF(Informed=1,1,0),0)</f>
        <v>0</v>
      </c>
      <c r="AC279" s="64" t="n">
        <f aca="false">IF(Arterial=0,IF(Informed=0,1,0),0)</f>
        <v>0</v>
      </c>
      <c r="AD279" s="64" t="n">
        <f aca="false">IF(Arterial=1,IF(Informed=1,1,0),0)</f>
        <v>1</v>
      </c>
      <c r="AE279" s="64" t="n">
        <f aca="false">IF(Arterial=1,IF(Informed=0,1,0),0)</f>
        <v>0</v>
      </c>
      <c r="AF279" s="57" t="n">
        <f aca="false">IF(AB279=1,(X279-G$1030)^2,0)</f>
        <v>0</v>
      </c>
      <c r="AG279" s="57" t="n">
        <f aca="false">IF(AC279=1,(Y279-H$1030)^2,0)</f>
        <v>0</v>
      </c>
      <c r="AH279" s="57" t="n">
        <f aca="false">IF(AD279=1,(Z279-I$1030)^2,0)</f>
        <v>512.595611429729</v>
      </c>
      <c r="AI279" s="57" t="n">
        <f aca="false">IF(AE279=1,(AA279-J$1030)^2,0)</f>
        <v>0</v>
      </c>
    </row>
    <row r="280" customFormat="false" ht="12" hidden="false" customHeight="false" outlineLevel="0" collapsed="false">
      <c r="A280" s="5" t="n">
        <v>263</v>
      </c>
      <c r="B280" s="58" t="n">
        <f aca="true">IF(RAND()&lt;$D$8,1,0)</f>
        <v>1</v>
      </c>
      <c r="C280" s="47" t="n">
        <f aca="true">-LN(RAND())/$D$2</f>
        <v>0.129043774409448</v>
      </c>
      <c r="D280" s="59" t="n">
        <f aca="false">D279+C280</f>
        <v>246.5908729763</v>
      </c>
      <c r="E280" s="60" t="n">
        <f aca="false">MAX($D$3,(1+P279-VLOOKUP(VALUE(D280),$J$18:$Q279,7,TRUE()))*$D$3)</f>
        <v>24</v>
      </c>
      <c r="F280" s="60" t="n">
        <f aca="false">MAX($D$4,(1+Q279-VLOOKUP(VALUE(D280),$M$18:$Q279,5,TRUE()))*$D$4)</f>
        <v>26</v>
      </c>
      <c r="G280" s="61" t="n">
        <v>0.5</v>
      </c>
      <c r="H280" s="59" t="n">
        <f aca="true">IF((B280=1),(IF((F280&lt;E280),1,(IF((F280=E280),(IF(RAND()&lt;G280,1,0)),0)))),(IF((RAND()&lt;G280),1,0)))</f>
        <v>0</v>
      </c>
      <c r="I280" s="59" t="n">
        <f aca="true">IF((H280=1),0,$D$3+$D$5*(RAND()-0.5))</f>
        <v>1.89801415021109</v>
      </c>
      <c r="J280" s="59" t="n">
        <f aca="false">I280+MAX(D280,J279)</f>
        <v>269.610755977872</v>
      </c>
      <c r="K280" s="59" t="n">
        <f aca="false">IF((H280=0),J280-D280,0)</f>
        <v>23.0198830015721</v>
      </c>
      <c r="L280" s="59" t="n">
        <f aca="true">IF(($H280=0),0,$D$4+$D$5*(RAND()-0.5))</f>
        <v>0</v>
      </c>
      <c r="M280" s="59" t="n">
        <f aca="false">L280+MAX(D280,M279)</f>
        <v>269.102403651973</v>
      </c>
      <c r="N280" s="59" t="n">
        <f aca="false">IF((H280=1),M280-D280,0)</f>
        <v>0</v>
      </c>
      <c r="O280" s="5" t="n">
        <v>263</v>
      </c>
      <c r="P280" s="62" t="n">
        <f aca="false">IF((Arterial=0),P279+1,P279)</f>
        <v>131</v>
      </c>
      <c r="Q280" s="62" t="n">
        <f aca="false">IF((Arterial=1),Q279+1,Q279)</f>
        <v>132</v>
      </c>
      <c r="R280" s="63" t="e">
        <f aca="false">IF((RESET=1),0,R280+K280)</f>
        <v>#N/A</v>
      </c>
      <c r="S280" s="10" t="n">
        <f aca="false">IF(RESET=1,0,S280+N280)</f>
        <v>388.40317051227</v>
      </c>
      <c r="T280" s="0" t="e">
        <f aca="false">IF(RESET=1,0,T280+IF(H280=0,1,0))</f>
        <v>#N/A</v>
      </c>
      <c r="U280" s="0" t="n">
        <f aca="false">IF(RESET=1,0,U280+H280)</f>
        <v>23</v>
      </c>
      <c r="V280" s="10" t="e">
        <f aca="false">R280/(T280+0.00001)</f>
        <v>#N/A</v>
      </c>
      <c r="W280" s="10" t="n">
        <f aca="false">S280/(U280+0.0001)</f>
        <v>16.8870209482685</v>
      </c>
      <c r="X280" s="60" t="n">
        <f aca="false">IF(Informed=1,K280,0)</f>
        <v>23.0198830015721</v>
      </c>
      <c r="Y280" s="60" t="n">
        <f aca="false">IF(Informed=0,K280,0)</f>
        <v>0</v>
      </c>
      <c r="Z280" s="60" t="n">
        <f aca="false">IF(Informed=1,N280,0)</f>
        <v>0</v>
      </c>
      <c r="AA280" s="60" t="n">
        <f aca="false">IF(Informed=0,N280,0)</f>
        <v>0</v>
      </c>
      <c r="AB280" s="64" t="n">
        <f aca="false">IF(Arterial=0,IF(Informed=1,1,0),0)</f>
        <v>1</v>
      </c>
      <c r="AC280" s="64" t="n">
        <f aca="false">IF(Arterial=0,IF(Informed=0,1,0),0)</f>
        <v>0</v>
      </c>
      <c r="AD280" s="64" t="n">
        <f aca="false">IF(Arterial=1,IF(Informed=1,1,0),0)</f>
        <v>0</v>
      </c>
      <c r="AE280" s="64" t="n">
        <f aca="false">IF(Arterial=1,IF(Informed=0,1,0),0)</f>
        <v>0</v>
      </c>
      <c r="AF280" s="57" t="n">
        <f aca="false">IF(AB280=1,(X280-G$1030)^2,0)</f>
        <v>529.91501340607</v>
      </c>
      <c r="AG280" s="57" t="n">
        <f aca="false">IF(AC280=1,(Y280-H$1030)^2,0)</f>
        <v>0</v>
      </c>
      <c r="AH280" s="57" t="n">
        <f aca="false">IF(AD280=1,(Z280-I$1030)^2,0)</f>
        <v>0</v>
      </c>
      <c r="AI280" s="57" t="n">
        <f aca="false">IF(AE280=1,(AA280-J$1030)^2,0)</f>
        <v>0</v>
      </c>
    </row>
    <row r="281" customFormat="false" ht="12" hidden="false" customHeight="false" outlineLevel="0" collapsed="false">
      <c r="A281" s="5" t="n">
        <v>264</v>
      </c>
      <c r="B281" s="58" t="n">
        <f aca="true">IF(RAND()&lt;$D$8,1,0)</f>
        <v>1</v>
      </c>
      <c r="C281" s="47" t="n">
        <f aca="true">-LN(RAND())/$D$2</f>
        <v>2.0778312534683</v>
      </c>
      <c r="D281" s="59" t="n">
        <f aca="false">D280+C281</f>
        <v>248.668704229768</v>
      </c>
      <c r="E281" s="60" t="n">
        <f aca="false">MAX($D$3,(1+P280-VLOOKUP(VALUE(D281),$J$18:$Q280,7,TRUE()))*$D$3)</f>
        <v>24</v>
      </c>
      <c r="F281" s="60" t="n">
        <f aca="false">MAX($D$4,(1+Q280-VLOOKUP(VALUE(D281),$M$18:$Q280,5,TRUE()))*$D$4)</f>
        <v>24</v>
      </c>
      <c r="G281" s="61" t="n">
        <v>0.5</v>
      </c>
      <c r="H281" s="59" t="n">
        <f aca="true">IF((B281=1),(IF((F281&lt;E281),1,(IF((F281=E281),(IF(RAND()&lt;G281,1,0)),0)))),(IF((RAND()&lt;G281),1,0)))</f>
        <v>1</v>
      </c>
      <c r="I281" s="59" t="n">
        <f aca="true">IF((H281=1),0,$D$3+$D$5*(RAND()-0.5))</f>
        <v>0</v>
      </c>
      <c r="J281" s="59" t="n">
        <f aca="false">I281+MAX(D281,J280)</f>
        <v>269.610755977872</v>
      </c>
      <c r="K281" s="59" t="n">
        <f aca="false">IF((H281=0),J281-D281,0)</f>
        <v>0</v>
      </c>
      <c r="L281" s="59" t="n">
        <f aca="true">IF(($H281=0),0,$D$4+$D$5*(RAND()-0.5))</f>
        <v>1.85218526126874</v>
      </c>
      <c r="M281" s="59" t="n">
        <f aca="false">L281+MAX(D281,M280)</f>
        <v>270.954588913242</v>
      </c>
      <c r="N281" s="59" t="n">
        <f aca="false">IF((H281=1),M281-D281,0)</f>
        <v>22.2858846834735</v>
      </c>
      <c r="O281" s="5" t="n">
        <v>264</v>
      </c>
      <c r="P281" s="62" t="n">
        <f aca="false">IF((Arterial=0),P280+1,P280)</f>
        <v>131</v>
      </c>
      <c r="Q281" s="62" t="n">
        <f aca="false">IF((Arterial=1),Q280+1,Q280)</f>
        <v>133</v>
      </c>
      <c r="R281" s="63" t="n">
        <f aca="false">IF((RESET=1),0,R281+K281)</f>
        <v>376.861873451105</v>
      </c>
      <c r="S281" s="10" t="e">
        <f aca="false">IF(RESET=1,0,S281+N281)</f>
        <v>#N/A</v>
      </c>
      <c r="T281" s="0" t="n">
        <f aca="false">IF(RESET=1,0,T281+IF(H281=0,1,0))</f>
        <v>24</v>
      </c>
      <c r="U281" s="0" t="e">
        <f aca="false">IF(RESET=1,0,U281+H281)</f>
        <v>#N/A</v>
      </c>
      <c r="V281" s="10" t="n">
        <f aca="false">R281/(T281+0.00001)</f>
        <v>15.7025715177246</v>
      </c>
      <c r="W281" s="10" t="e">
        <f aca="false">S281/(U281+0.0001)</f>
        <v>#N/A</v>
      </c>
      <c r="X281" s="60" t="n">
        <f aca="false">IF(Informed=1,K281,0)</f>
        <v>0</v>
      </c>
      <c r="Y281" s="60" t="n">
        <f aca="false">IF(Informed=0,K281,0)</f>
        <v>0</v>
      </c>
      <c r="Z281" s="60" t="n">
        <f aca="false">IF(Informed=1,N281,0)</f>
        <v>22.2858846834735</v>
      </c>
      <c r="AA281" s="60" t="n">
        <f aca="false">IF(Informed=0,N281,0)</f>
        <v>0</v>
      </c>
      <c r="AB281" s="64" t="n">
        <f aca="false">IF(Arterial=0,IF(Informed=1,1,0),0)</f>
        <v>0</v>
      </c>
      <c r="AC281" s="64" t="n">
        <f aca="false">IF(Arterial=0,IF(Informed=0,1,0),0)</f>
        <v>0</v>
      </c>
      <c r="AD281" s="64" t="n">
        <f aca="false">IF(Arterial=1,IF(Informed=1,1,0),0)</f>
        <v>1</v>
      </c>
      <c r="AE281" s="64" t="n">
        <f aca="false">IF(Arterial=1,IF(Informed=0,1,0),0)</f>
        <v>0</v>
      </c>
      <c r="AF281" s="57" t="n">
        <f aca="false">IF(AB281=1,(X281-G$1030)^2,0)</f>
        <v>0</v>
      </c>
      <c r="AG281" s="57" t="n">
        <f aca="false">IF(AC281=1,(Y281-H$1030)^2,0)</f>
        <v>0</v>
      </c>
      <c r="AH281" s="57" t="n">
        <f aca="false">IF(AD281=1,(Z281-I$1030)^2,0)</f>
        <v>496.660656125079</v>
      </c>
      <c r="AI281" s="57" t="n">
        <f aca="false">IF(AE281=1,(AA281-J$1030)^2,0)</f>
        <v>0</v>
      </c>
    </row>
    <row r="282" customFormat="false" ht="12" hidden="false" customHeight="false" outlineLevel="0" collapsed="false">
      <c r="A282" s="5" t="n">
        <v>265</v>
      </c>
      <c r="B282" s="58" t="n">
        <f aca="true">IF(RAND()&lt;$D$8,1,0)</f>
        <v>1</v>
      </c>
      <c r="C282" s="47" t="n">
        <f aca="true">-LN(RAND())/$D$2</f>
        <v>2.16246893593</v>
      </c>
      <c r="D282" s="59" t="n">
        <f aca="false">D281+C282</f>
        <v>250.831173165699</v>
      </c>
      <c r="E282" s="60" t="n">
        <f aca="false">MAX($D$3,(1+P281-VLOOKUP(VALUE(D282),$J$18:$Q281,7,TRUE()))*$D$3)</f>
        <v>22</v>
      </c>
      <c r="F282" s="60" t="n">
        <f aca="false">MAX($D$4,(1+Q281-VLOOKUP(VALUE(D282),$M$18:$Q281,5,TRUE()))*$D$4)</f>
        <v>24</v>
      </c>
      <c r="G282" s="61" t="n">
        <v>0.5</v>
      </c>
      <c r="H282" s="59" t="n">
        <f aca="true">IF((B282=1),(IF((F282&lt;E282),1,(IF((F282=E282),(IF(RAND()&lt;G282,1,0)),0)))),(IF((RAND()&lt;G282),1,0)))</f>
        <v>0</v>
      </c>
      <c r="I282" s="59" t="n">
        <f aca="true">IF((H282=1),0,$D$3+$D$5*(RAND()-0.5))</f>
        <v>2.14482943347766</v>
      </c>
      <c r="J282" s="59" t="n">
        <f aca="false">I282+MAX(D282,J281)</f>
        <v>271.75558541135</v>
      </c>
      <c r="K282" s="59" t="n">
        <f aca="false">IF((H282=0),J282-D282,0)</f>
        <v>20.9244122456515</v>
      </c>
      <c r="L282" s="59" t="n">
        <f aca="true">IF(($H282=0),0,$D$4+$D$5*(RAND()-0.5))</f>
        <v>0</v>
      </c>
      <c r="M282" s="59" t="n">
        <f aca="false">L282+MAX(D282,M281)</f>
        <v>270.954588913242</v>
      </c>
      <c r="N282" s="59" t="n">
        <f aca="false">IF((H282=1),M282-D282,0)</f>
        <v>0</v>
      </c>
      <c r="O282" s="5" t="n">
        <v>265</v>
      </c>
      <c r="P282" s="62" t="n">
        <f aca="false">IF((Arterial=0),P281+1,P281)</f>
        <v>132</v>
      </c>
      <c r="Q282" s="62" t="n">
        <f aca="false">IF((Arterial=1),Q281+1,Q281)</f>
        <v>133</v>
      </c>
      <c r="R282" s="63" t="e">
        <f aca="false">IF((RESET=1),0,R282+K282)</f>
        <v>#N/A</v>
      </c>
      <c r="S282" s="10" t="n">
        <f aca="false">IF(RESET=1,0,S282+N282)</f>
        <v>476.40346894337</v>
      </c>
      <c r="T282" s="0" t="e">
        <f aca="false">IF(RESET=1,0,T282+IF(H282=0,1,0))</f>
        <v>#N/A</v>
      </c>
      <c r="U282" s="0" t="n">
        <f aca="false">IF(RESET=1,0,U282+H282)</f>
        <v>30</v>
      </c>
      <c r="V282" s="10" t="e">
        <f aca="false">R282/(T282+0.00001)</f>
        <v>#N/A</v>
      </c>
      <c r="W282" s="10" t="n">
        <f aca="false">S282/(U282+0.0001)</f>
        <v>15.8800626979033</v>
      </c>
      <c r="X282" s="60" t="n">
        <f aca="false">IF(Informed=1,K282,0)</f>
        <v>20.9244122456515</v>
      </c>
      <c r="Y282" s="60" t="n">
        <f aca="false">IF(Informed=0,K282,0)</f>
        <v>0</v>
      </c>
      <c r="Z282" s="60" t="n">
        <f aca="false">IF(Informed=1,N282,0)</f>
        <v>0</v>
      </c>
      <c r="AA282" s="60" t="n">
        <f aca="false">IF(Informed=0,N282,0)</f>
        <v>0</v>
      </c>
      <c r="AB282" s="64" t="n">
        <f aca="false">IF(Arterial=0,IF(Informed=1,1,0),0)</f>
        <v>1</v>
      </c>
      <c r="AC282" s="64" t="n">
        <f aca="false">IF(Arterial=0,IF(Informed=0,1,0),0)</f>
        <v>0</v>
      </c>
      <c r="AD282" s="64" t="n">
        <f aca="false">IF(Arterial=1,IF(Informed=1,1,0),0)</f>
        <v>0</v>
      </c>
      <c r="AE282" s="64" t="n">
        <f aca="false">IF(Arterial=1,IF(Informed=0,1,0),0)</f>
        <v>0</v>
      </c>
      <c r="AF282" s="57" t="n">
        <f aca="false">IF(AB282=1,(X282-G$1030)^2,0)</f>
        <v>437.831027825969</v>
      </c>
      <c r="AG282" s="57" t="n">
        <f aca="false">IF(AC282=1,(Y282-H$1030)^2,0)</f>
        <v>0</v>
      </c>
      <c r="AH282" s="57" t="n">
        <f aca="false">IF(AD282=1,(Z282-I$1030)^2,0)</f>
        <v>0</v>
      </c>
      <c r="AI282" s="57" t="n">
        <f aca="false">IF(AE282=1,(AA282-J$1030)^2,0)</f>
        <v>0</v>
      </c>
    </row>
    <row r="283" customFormat="false" ht="12" hidden="false" customHeight="false" outlineLevel="0" collapsed="false">
      <c r="A283" s="5" t="n">
        <v>266</v>
      </c>
      <c r="B283" s="58" t="n">
        <f aca="true">IF(RAND()&lt;$D$8,1,0)</f>
        <v>0</v>
      </c>
      <c r="C283" s="47" t="n">
        <f aca="true">-LN(RAND())/$D$2</f>
        <v>0.281454147015682</v>
      </c>
      <c r="D283" s="59" t="n">
        <f aca="false">D282+C283</f>
        <v>251.112627312714</v>
      </c>
      <c r="E283" s="60" t="n">
        <f aca="false">MAX($D$3,(1+P282-VLOOKUP(VALUE(D283),$J$18:$Q282,7,TRUE()))*$D$3)</f>
        <v>24</v>
      </c>
      <c r="F283" s="60" t="n">
        <f aca="false">MAX($D$4,(1+Q282-VLOOKUP(VALUE(D283),$M$18:$Q282,5,TRUE()))*$D$4)</f>
        <v>22</v>
      </c>
      <c r="G283" s="61" t="n">
        <v>0.5</v>
      </c>
      <c r="H283" s="59" t="n">
        <f aca="true">IF((B283=1),(IF((F283&lt;E283),1,(IF((F283=E283),(IF(RAND()&lt;G283,1,0)),0)))),(IF((RAND()&lt;G283),1,0)))</f>
        <v>1</v>
      </c>
      <c r="I283" s="59" t="n">
        <f aca="true">IF((H283=1),0,$D$3+$D$5*(RAND()-0.5))</f>
        <v>0</v>
      </c>
      <c r="J283" s="59" t="n">
        <f aca="false">I283+MAX(D283,J282)</f>
        <v>271.75558541135</v>
      </c>
      <c r="K283" s="59" t="n">
        <f aca="false">IF((H283=0),J283-D283,0)</f>
        <v>0</v>
      </c>
      <c r="L283" s="59" t="n">
        <f aca="true">IF(($H283=0),0,$D$4+$D$5*(RAND()-0.5))</f>
        <v>1.79132285812728</v>
      </c>
      <c r="M283" s="59" t="n">
        <f aca="false">L283+MAX(D283,M282)</f>
        <v>272.745911771369</v>
      </c>
      <c r="N283" s="59" t="n">
        <f aca="false">IF((H283=1),M283-D283,0)</f>
        <v>21.6332844586551</v>
      </c>
      <c r="O283" s="5" t="n">
        <v>266</v>
      </c>
      <c r="P283" s="62" t="n">
        <f aca="false">IF((Arterial=0),P282+1,P282)</f>
        <v>132</v>
      </c>
      <c r="Q283" s="62" t="n">
        <f aca="false">IF((Arterial=1),Q282+1,Q282)</f>
        <v>134</v>
      </c>
      <c r="R283" s="63" t="n">
        <f aca="false">IF((RESET=1),0,R283+K283)</f>
        <v>394.224327621343</v>
      </c>
      <c r="S283" s="10" t="e">
        <f aca="false">IF(RESET=1,0,S283+N283)</f>
        <v>#N/A</v>
      </c>
      <c r="T283" s="0" t="n">
        <f aca="false">IF(RESET=1,0,T283+IF(H283=0,1,0))</f>
        <v>27</v>
      </c>
      <c r="U283" s="0" t="e">
        <f aca="false">IF(RESET=1,0,U283+H283)</f>
        <v>#N/A</v>
      </c>
      <c r="V283" s="10" t="n">
        <f aca="false">R283/(T283+0.00001)</f>
        <v>14.6008956152736</v>
      </c>
      <c r="W283" s="10" t="e">
        <f aca="false">S283/(U283+0.0001)</f>
        <v>#N/A</v>
      </c>
      <c r="X283" s="60" t="n">
        <f aca="false">IF(Informed=1,K283,0)</f>
        <v>0</v>
      </c>
      <c r="Y283" s="60" t="n">
        <f aca="false">IF(Informed=0,K283,0)</f>
        <v>0</v>
      </c>
      <c r="Z283" s="60" t="n">
        <f aca="false">IF(Informed=1,N283,0)</f>
        <v>0</v>
      </c>
      <c r="AA283" s="60" t="n">
        <f aca="false">IF(Informed=0,N283,0)</f>
        <v>21.6332844586551</v>
      </c>
      <c r="AB283" s="64" t="n">
        <f aca="false">IF(Arterial=0,IF(Informed=1,1,0),0)</f>
        <v>0</v>
      </c>
      <c r="AC283" s="64" t="n">
        <f aca="false">IF(Arterial=0,IF(Informed=0,1,0),0)</f>
        <v>0</v>
      </c>
      <c r="AD283" s="64" t="n">
        <f aca="false">IF(Arterial=1,IF(Informed=1,1,0),0)</f>
        <v>0</v>
      </c>
      <c r="AE283" s="64" t="n">
        <f aca="false">IF(Arterial=1,IF(Informed=0,1,0),0)</f>
        <v>1</v>
      </c>
      <c r="AF283" s="57" t="n">
        <f aca="false">IF(AB283=1,(X283-G$1030)^2,0)</f>
        <v>0</v>
      </c>
      <c r="AG283" s="57" t="n">
        <f aca="false">IF(AC283=1,(Y283-H$1030)^2,0)</f>
        <v>0</v>
      </c>
      <c r="AH283" s="57" t="n">
        <f aca="false">IF(AD283=1,(Z283-I$1030)^2,0)</f>
        <v>0</v>
      </c>
      <c r="AI283" s="57" t="n">
        <f aca="false">IF(AE283=1,(AA283-J$1030)^2,0)</f>
        <v>467.998996469088</v>
      </c>
    </row>
    <row r="284" customFormat="false" ht="12" hidden="false" customHeight="false" outlineLevel="0" collapsed="false">
      <c r="A284" s="5" t="n">
        <v>267</v>
      </c>
      <c r="B284" s="58" t="n">
        <f aca="true">IF(RAND()&lt;$D$8,1,0)</f>
        <v>0</v>
      </c>
      <c r="C284" s="47" t="n">
        <f aca="true">-LN(RAND())/$D$2</f>
        <v>0.441712495297758</v>
      </c>
      <c r="D284" s="59" t="n">
        <f aca="false">D283+C284</f>
        <v>251.554339808012</v>
      </c>
      <c r="E284" s="60" t="n">
        <f aca="false">MAX($D$3,(1+P283-VLOOKUP(VALUE(D284),$J$18:$Q283,7,TRUE()))*$D$3)</f>
        <v>24</v>
      </c>
      <c r="F284" s="60" t="n">
        <f aca="false">MAX($D$4,(1+Q283-VLOOKUP(VALUE(D284),$M$18:$Q283,5,TRUE()))*$D$4)</f>
        <v>24</v>
      </c>
      <c r="G284" s="61" t="n">
        <v>0.5</v>
      </c>
      <c r="H284" s="59" t="n">
        <f aca="true">IF((B284=1),(IF((F284&lt;E284),1,(IF((F284=E284),(IF(RAND()&lt;G284,1,0)),0)))),(IF((RAND()&lt;G284),1,0)))</f>
        <v>1</v>
      </c>
      <c r="I284" s="59" t="n">
        <f aca="true">IF((H284=1),0,$D$3+$D$5*(RAND()-0.5))</f>
        <v>0</v>
      </c>
      <c r="J284" s="59" t="n">
        <f aca="false">I284+MAX(D284,J283)</f>
        <v>271.75558541135</v>
      </c>
      <c r="K284" s="59" t="n">
        <f aca="false">IF((H284=0),J284-D284,0)</f>
        <v>0</v>
      </c>
      <c r="L284" s="59" t="n">
        <f aca="true">IF(($H284=0),0,$D$4+$D$5*(RAND()-0.5))</f>
        <v>2.0584672288828</v>
      </c>
      <c r="M284" s="59" t="n">
        <f aca="false">L284+MAX(D284,M283)</f>
        <v>274.804379000252</v>
      </c>
      <c r="N284" s="59" t="n">
        <f aca="false">IF((H284=1),M284-D284,0)</f>
        <v>23.2500391922401</v>
      </c>
      <c r="O284" s="5" t="n">
        <v>267</v>
      </c>
      <c r="P284" s="62" t="n">
        <f aca="false">IF((Arterial=0),P283+1,P283)</f>
        <v>132</v>
      </c>
      <c r="Q284" s="62" t="n">
        <f aca="false">IF((Arterial=1),Q283+1,Q283)</f>
        <v>135</v>
      </c>
      <c r="R284" s="63" t="n">
        <f aca="false">IF((RESET=1),0,R284+K284)</f>
        <v>441.002808327114</v>
      </c>
      <c r="S284" s="10" t="e">
        <f aca="false">IF(RESET=1,0,S284+N284)</f>
        <v>#N/A</v>
      </c>
      <c r="T284" s="0" t="n">
        <f aca="false">IF(RESET=1,0,T284+IF(H284=0,1,0))</f>
        <v>25</v>
      </c>
      <c r="U284" s="0" t="e">
        <f aca="false">IF(RESET=1,0,U284+H284)</f>
        <v>#N/A</v>
      </c>
      <c r="V284" s="10" t="n">
        <f aca="false">R284/(T284+0.00001)</f>
        <v>17.6401052770424</v>
      </c>
      <c r="W284" s="10" t="e">
        <f aca="false">S284/(U284+0.0001)</f>
        <v>#N/A</v>
      </c>
      <c r="X284" s="60" t="n">
        <f aca="false">IF(Informed=1,K284,0)</f>
        <v>0</v>
      </c>
      <c r="Y284" s="60" t="n">
        <f aca="false">IF(Informed=0,K284,0)</f>
        <v>0</v>
      </c>
      <c r="Z284" s="60" t="n">
        <f aca="false">IF(Informed=1,N284,0)</f>
        <v>0</v>
      </c>
      <c r="AA284" s="60" t="n">
        <f aca="false">IF(Informed=0,N284,0)</f>
        <v>23.2500391922401</v>
      </c>
      <c r="AB284" s="64" t="n">
        <f aca="false">IF(Arterial=0,IF(Informed=1,1,0),0)</f>
        <v>0</v>
      </c>
      <c r="AC284" s="64" t="n">
        <f aca="false">IF(Arterial=0,IF(Informed=0,1,0),0)</f>
        <v>0</v>
      </c>
      <c r="AD284" s="64" t="n">
        <f aca="false">IF(Arterial=1,IF(Informed=1,1,0),0)</f>
        <v>0</v>
      </c>
      <c r="AE284" s="64" t="n">
        <f aca="false">IF(Arterial=1,IF(Informed=0,1,0),0)</f>
        <v>1</v>
      </c>
      <c r="AF284" s="57" t="n">
        <f aca="false">IF(AB284=1,(X284-G$1030)^2,0)</f>
        <v>0</v>
      </c>
      <c r="AG284" s="57" t="n">
        <f aca="false">IF(AC284=1,(Y284-H$1030)^2,0)</f>
        <v>0</v>
      </c>
      <c r="AH284" s="57" t="n">
        <f aca="false">IF(AD284=1,(Z284-I$1030)^2,0)</f>
        <v>0</v>
      </c>
      <c r="AI284" s="57" t="n">
        <f aca="false">IF(AE284=1,(AA284-J$1030)^2,0)</f>
        <v>540.564322440702</v>
      </c>
    </row>
    <row r="285" customFormat="false" ht="12" hidden="false" customHeight="false" outlineLevel="0" collapsed="false">
      <c r="A285" s="5" t="n">
        <v>268</v>
      </c>
      <c r="B285" s="58" t="n">
        <f aca="true">IF(RAND()&lt;$D$8,1,0)</f>
        <v>1</v>
      </c>
      <c r="C285" s="47" t="n">
        <f aca="true">-LN(RAND())/$D$2</f>
        <v>0.192471550796562</v>
      </c>
      <c r="D285" s="59" t="n">
        <f aca="false">D284+C285</f>
        <v>251.746811358809</v>
      </c>
      <c r="E285" s="60" t="n">
        <f aca="false">MAX($D$3,(1+P284-VLOOKUP(VALUE(D285),$J$18:$Q284,7,TRUE()))*$D$3)</f>
        <v>24</v>
      </c>
      <c r="F285" s="60" t="n">
        <f aca="false">MAX($D$4,(1+Q284-VLOOKUP(VALUE(D285),$M$18:$Q284,5,TRUE()))*$D$4)</f>
        <v>26</v>
      </c>
      <c r="G285" s="61" t="n">
        <v>0.5</v>
      </c>
      <c r="H285" s="59" t="n">
        <f aca="true">IF((B285=1),(IF((F285&lt;E285),1,(IF((F285=E285),(IF(RAND()&lt;G285,1,0)),0)))),(IF((RAND()&lt;G285),1,0)))</f>
        <v>0</v>
      </c>
      <c r="I285" s="59" t="n">
        <f aca="true">IF((H285=1),0,$D$3+$D$5*(RAND()-0.5))</f>
        <v>1.88943320988498</v>
      </c>
      <c r="J285" s="59" t="n">
        <f aca="false">I285+MAX(D285,J284)</f>
        <v>273.645018621235</v>
      </c>
      <c r="K285" s="59" t="n">
        <f aca="false">IF((H285=0),J285-D285,0)</f>
        <v>21.8982072624264</v>
      </c>
      <c r="L285" s="59" t="n">
        <f aca="true">IF(($H285=0),0,$D$4+$D$5*(RAND()-0.5))</f>
        <v>0</v>
      </c>
      <c r="M285" s="59" t="n">
        <f aca="false">L285+MAX(D285,M284)</f>
        <v>274.804379000252</v>
      </c>
      <c r="N285" s="59" t="n">
        <f aca="false">IF((H285=1),M285-D285,0)</f>
        <v>0</v>
      </c>
      <c r="O285" s="5" t="n">
        <v>268</v>
      </c>
      <c r="P285" s="62" t="n">
        <f aca="false">IF((Arterial=0),P284+1,P284)</f>
        <v>133</v>
      </c>
      <c r="Q285" s="62" t="n">
        <f aca="false">IF((Arterial=1),Q284+1,Q284)</f>
        <v>135</v>
      </c>
      <c r="R285" s="63" t="e">
        <f aca="false">IF((RESET=1),0,R285+K285)</f>
        <v>#N/A</v>
      </c>
      <c r="S285" s="10" t="n">
        <f aca="false">IF(RESET=1,0,S285+N285)</f>
        <v>430.933824530574</v>
      </c>
      <c r="T285" s="0" t="e">
        <f aca="false">IF(RESET=1,0,T285+IF(H285=0,1,0))</f>
        <v>#N/A</v>
      </c>
      <c r="U285" s="0" t="n">
        <f aca="false">IF(RESET=1,0,U285+H285)</f>
        <v>23</v>
      </c>
      <c r="V285" s="10" t="e">
        <f aca="false">R285/(T285+0.00001)</f>
        <v>#N/A</v>
      </c>
      <c r="W285" s="10" t="n">
        <f aca="false">S285/(U285+0.0001)</f>
        <v>18.7361717788433</v>
      </c>
      <c r="X285" s="60" t="n">
        <f aca="false">IF(Informed=1,K285,0)</f>
        <v>21.8982072624264</v>
      </c>
      <c r="Y285" s="60" t="n">
        <f aca="false">IF(Informed=0,K285,0)</f>
        <v>0</v>
      </c>
      <c r="Z285" s="60" t="n">
        <f aca="false">IF(Informed=1,N285,0)</f>
        <v>0</v>
      </c>
      <c r="AA285" s="60" t="n">
        <f aca="false">IF(Informed=0,N285,0)</f>
        <v>0</v>
      </c>
      <c r="AB285" s="64" t="n">
        <f aca="false">IF(Arterial=0,IF(Informed=1,1,0),0)</f>
        <v>1</v>
      </c>
      <c r="AC285" s="64" t="n">
        <f aca="false">IF(Arterial=0,IF(Informed=0,1,0),0)</f>
        <v>0</v>
      </c>
      <c r="AD285" s="64" t="n">
        <f aca="false">IF(Arterial=1,IF(Informed=1,1,0),0)</f>
        <v>0</v>
      </c>
      <c r="AE285" s="64" t="n">
        <f aca="false">IF(Arterial=1,IF(Informed=0,1,0),0)</f>
        <v>0</v>
      </c>
      <c r="AF285" s="57" t="n">
        <f aca="false">IF(AB285=1,(X285-G$1030)^2,0)</f>
        <v>479.531481308186</v>
      </c>
      <c r="AG285" s="57" t="n">
        <f aca="false">IF(AC285=1,(Y285-H$1030)^2,0)</f>
        <v>0</v>
      </c>
      <c r="AH285" s="57" t="n">
        <f aca="false">IF(AD285=1,(Z285-I$1030)^2,0)</f>
        <v>0</v>
      </c>
      <c r="AI285" s="57" t="n">
        <f aca="false">IF(AE285=1,(AA285-J$1030)^2,0)</f>
        <v>0</v>
      </c>
    </row>
    <row r="286" customFormat="false" ht="12" hidden="false" customHeight="false" outlineLevel="0" collapsed="false">
      <c r="A286" s="5" t="n">
        <v>269</v>
      </c>
      <c r="B286" s="58" t="n">
        <f aca="true">IF(RAND()&lt;$D$8,1,0)</f>
        <v>0</v>
      </c>
      <c r="C286" s="47" t="n">
        <f aca="true">-LN(RAND())/$D$2</f>
        <v>2.67015057291683</v>
      </c>
      <c r="D286" s="59" t="n">
        <f aca="false">D285+C286</f>
        <v>254.416961931725</v>
      </c>
      <c r="E286" s="60" t="n">
        <f aca="false">MAX($D$3,(1+P285-VLOOKUP(VALUE(D286),$J$18:$Q285,7,TRUE()))*$D$3)</f>
        <v>22</v>
      </c>
      <c r="F286" s="60" t="n">
        <f aca="false">MAX($D$4,(1+Q285-VLOOKUP(VALUE(D286),$M$18:$Q285,5,TRUE()))*$D$4)</f>
        <v>24</v>
      </c>
      <c r="G286" s="61" t="n">
        <v>0.5</v>
      </c>
      <c r="H286" s="59" t="n">
        <f aca="true">IF((B286=1),(IF((F286&lt;E286),1,(IF((F286=E286),(IF(RAND()&lt;G286,1,0)),0)))),(IF((RAND()&lt;G286),1,0)))</f>
        <v>1</v>
      </c>
      <c r="I286" s="59" t="n">
        <f aca="true">IF((H286=1),0,$D$3+$D$5*(RAND()-0.5))</f>
        <v>0</v>
      </c>
      <c r="J286" s="59" t="n">
        <f aca="false">I286+MAX(D286,J285)</f>
        <v>273.645018621235</v>
      </c>
      <c r="K286" s="59" t="n">
        <f aca="false">IF((H286=0),J286-D286,0)</f>
        <v>0</v>
      </c>
      <c r="L286" s="59" t="n">
        <f aca="true">IF(($H286=0),0,$D$4+$D$5*(RAND()-0.5))</f>
        <v>2.1263209968601</v>
      </c>
      <c r="M286" s="59" t="n">
        <f aca="false">L286+MAX(D286,M285)</f>
        <v>276.930699997112</v>
      </c>
      <c r="N286" s="59" t="n">
        <f aca="false">IF((H286=1),M286-D286,0)</f>
        <v>22.5137380653868</v>
      </c>
      <c r="O286" s="5" t="n">
        <v>269</v>
      </c>
      <c r="P286" s="62" t="n">
        <f aca="false">IF((Arterial=0),P285+1,P285)</f>
        <v>133</v>
      </c>
      <c r="Q286" s="62" t="n">
        <f aca="false">IF((Arterial=1),Q285+1,Q285)</f>
        <v>136</v>
      </c>
      <c r="R286" s="63" t="n">
        <f aca="false">IF((RESET=1),0,R286+K286)</f>
        <v>506.789753880457</v>
      </c>
      <c r="S286" s="10" t="e">
        <f aca="false">IF(RESET=1,0,S286+N286)</f>
        <v>#N/A</v>
      </c>
      <c r="T286" s="0" t="n">
        <f aca="false">IF(RESET=1,0,T286+IF(H286=0,1,0))</f>
        <v>29</v>
      </c>
      <c r="U286" s="0" t="e">
        <f aca="false">IF(RESET=1,0,U286+H286)</f>
        <v>#N/A</v>
      </c>
      <c r="V286" s="10" t="n">
        <f aca="false">R286/(T286+0.00001)</f>
        <v>17.4755027284631</v>
      </c>
      <c r="W286" s="10" t="e">
        <f aca="false">S286/(U286+0.0001)</f>
        <v>#N/A</v>
      </c>
      <c r="X286" s="60" t="n">
        <f aca="false">IF(Informed=1,K286,0)</f>
        <v>0</v>
      </c>
      <c r="Y286" s="60" t="n">
        <f aca="false">IF(Informed=0,K286,0)</f>
        <v>0</v>
      </c>
      <c r="Z286" s="60" t="n">
        <f aca="false">IF(Informed=1,N286,0)</f>
        <v>0</v>
      </c>
      <c r="AA286" s="60" t="n">
        <f aca="false">IF(Informed=0,N286,0)</f>
        <v>22.5137380653868</v>
      </c>
      <c r="AB286" s="64" t="n">
        <f aca="false">IF(Arterial=0,IF(Informed=1,1,0),0)</f>
        <v>0</v>
      </c>
      <c r="AC286" s="64" t="n">
        <f aca="false">IF(Arterial=0,IF(Informed=0,1,0),0)</f>
        <v>0</v>
      </c>
      <c r="AD286" s="64" t="n">
        <f aca="false">IF(Arterial=1,IF(Informed=1,1,0),0)</f>
        <v>0</v>
      </c>
      <c r="AE286" s="64" t="n">
        <f aca="false">IF(Arterial=1,IF(Informed=0,1,0),0)</f>
        <v>1</v>
      </c>
      <c r="AF286" s="57" t="n">
        <f aca="false">IF(AB286=1,(X286-G$1030)^2,0)</f>
        <v>0</v>
      </c>
      <c r="AG286" s="57" t="n">
        <f aca="false">IF(AC286=1,(Y286-H$1030)^2,0)</f>
        <v>0</v>
      </c>
      <c r="AH286" s="57" t="n">
        <f aca="false">IF(AD286=1,(Z286-I$1030)^2,0)</f>
        <v>0</v>
      </c>
      <c r="AI286" s="57" t="n">
        <f aca="false">IF(AE286=1,(AA286-J$1030)^2,0)</f>
        <v>506.868401676848</v>
      </c>
    </row>
    <row r="287" customFormat="false" ht="12" hidden="false" customHeight="false" outlineLevel="0" collapsed="false">
      <c r="A287" s="5" t="n">
        <v>270</v>
      </c>
      <c r="B287" s="58" t="n">
        <f aca="true">IF(RAND()&lt;$D$8,1,0)</f>
        <v>1</v>
      </c>
      <c r="C287" s="47" t="n">
        <f aca="true">-LN(RAND())/$D$2</f>
        <v>1.02359344806474</v>
      </c>
      <c r="D287" s="59" t="n">
        <f aca="false">D286+C287</f>
        <v>255.44055537979</v>
      </c>
      <c r="E287" s="60" t="n">
        <f aca="false">MAX($D$3,(1+P286-VLOOKUP(VALUE(D287),$J$18:$Q286,7,TRUE()))*$D$3)</f>
        <v>22</v>
      </c>
      <c r="F287" s="60" t="n">
        <f aca="false">MAX($D$4,(1+Q286-VLOOKUP(VALUE(D287),$M$18:$Q286,5,TRUE()))*$D$4)</f>
        <v>24</v>
      </c>
      <c r="G287" s="61" t="n">
        <v>0.5</v>
      </c>
      <c r="H287" s="59" t="n">
        <f aca="true">IF((B287=1),(IF((F287&lt;E287),1,(IF((F287=E287),(IF(RAND()&lt;G287,1,0)),0)))),(IF((RAND()&lt;G287),1,0)))</f>
        <v>0</v>
      </c>
      <c r="I287" s="59" t="n">
        <f aca="true">IF((H287=1),0,$D$3+$D$5*(RAND()-0.5))</f>
        <v>1.86583733689214</v>
      </c>
      <c r="J287" s="59" t="n">
        <f aca="false">I287+MAX(D287,J286)</f>
        <v>275.510855958127</v>
      </c>
      <c r="K287" s="59" t="n">
        <f aca="false">IF((H287=0),J287-D287,0)</f>
        <v>20.070300578337</v>
      </c>
      <c r="L287" s="59" t="n">
        <f aca="true">IF(($H287=0),0,$D$4+$D$5*(RAND()-0.5))</f>
        <v>0</v>
      </c>
      <c r="M287" s="59" t="n">
        <f aca="false">L287+MAX(D287,M286)</f>
        <v>276.930699997112</v>
      </c>
      <c r="N287" s="59" t="n">
        <f aca="false">IF((H287=1),M287-D287,0)</f>
        <v>0</v>
      </c>
      <c r="O287" s="5" t="n">
        <v>270</v>
      </c>
      <c r="P287" s="62" t="n">
        <f aca="false">IF((Arterial=0),P286+1,P286)</f>
        <v>134</v>
      </c>
      <c r="Q287" s="62" t="n">
        <f aca="false">IF((Arterial=1),Q286+1,Q286)</f>
        <v>136</v>
      </c>
      <c r="R287" s="63" t="e">
        <f aca="false">IF((RESET=1),0,R287+K287)</f>
        <v>#N/A</v>
      </c>
      <c r="S287" s="10" t="n">
        <f aca="false">IF(RESET=1,0,S287+N287)</f>
        <v>424.312415772273</v>
      </c>
      <c r="T287" s="0" t="e">
        <f aca="false">IF(RESET=1,0,T287+IF(H287=0,1,0))</f>
        <v>#N/A</v>
      </c>
      <c r="U287" s="0" t="n">
        <f aca="false">IF(RESET=1,0,U287+H287)</f>
        <v>26</v>
      </c>
      <c r="V287" s="10" t="e">
        <f aca="false">R287/(T287+0.00001)</f>
        <v>#N/A</v>
      </c>
      <c r="W287" s="10" t="n">
        <f aca="false">S287/(U287+0.0001)</f>
        <v>16.3196455310662</v>
      </c>
      <c r="X287" s="60" t="n">
        <f aca="false">IF(Informed=1,K287,0)</f>
        <v>20.070300578337</v>
      </c>
      <c r="Y287" s="60" t="n">
        <f aca="false">IF(Informed=0,K287,0)</f>
        <v>0</v>
      </c>
      <c r="Z287" s="60" t="n">
        <f aca="false">IF(Informed=1,N287,0)</f>
        <v>0</v>
      </c>
      <c r="AA287" s="60" t="n">
        <f aca="false">IF(Informed=0,N287,0)</f>
        <v>0</v>
      </c>
      <c r="AB287" s="64" t="n">
        <f aca="false">IF(Arterial=0,IF(Informed=1,1,0),0)</f>
        <v>1</v>
      </c>
      <c r="AC287" s="64" t="n">
        <f aca="false">IF(Arterial=0,IF(Informed=0,1,0),0)</f>
        <v>0</v>
      </c>
      <c r="AD287" s="64" t="n">
        <f aca="false">IF(Arterial=1,IF(Informed=1,1,0),0)</f>
        <v>0</v>
      </c>
      <c r="AE287" s="64" t="n">
        <f aca="false">IF(Arterial=1,IF(Informed=0,1,0),0)</f>
        <v>0</v>
      </c>
      <c r="AF287" s="57" t="n">
        <f aca="false">IF(AB287=1,(X287-G$1030)^2,0)</f>
        <v>402.816965304794</v>
      </c>
      <c r="AG287" s="57" t="n">
        <f aca="false">IF(AC287=1,(Y287-H$1030)^2,0)</f>
        <v>0</v>
      </c>
      <c r="AH287" s="57" t="n">
        <f aca="false">IF(AD287=1,(Z287-I$1030)^2,0)</f>
        <v>0</v>
      </c>
      <c r="AI287" s="57" t="n">
        <f aca="false">IF(AE287=1,(AA287-J$1030)^2,0)</f>
        <v>0</v>
      </c>
    </row>
    <row r="288" customFormat="false" ht="12" hidden="false" customHeight="false" outlineLevel="0" collapsed="false">
      <c r="A288" s="5" t="n">
        <v>271</v>
      </c>
      <c r="B288" s="58" t="n">
        <f aca="true">IF(RAND()&lt;$D$8,1,0)</f>
        <v>1</v>
      </c>
      <c r="C288" s="47" t="n">
        <f aca="true">-LN(RAND())/$D$2</f>
        <v>0.29612669351378</v>
      </c>
      <c r="D288" s="59" t="n">
        <f aca="false">D287+C288</f>
        <v>255.736682073304</v>
      </c>
      <c r="E288" s="60" t="n">
        <f aca="false">MAX($D$3,(1+P287-VLOOKUP(VALUE(D288),$J$18:$Q287,7,TRUE()))*$D$3)</f>
        <v>22</v>
      </c>
      <c r="F288" s="60" t="n">
        <f aca="false">MAX($D$4,(1+Q287-VLOOKUP(VALUE(D288),$M$18:$Q287,5,TRUE()))*$D$4)</f>
        <v>24</v>
      </c>
      <c r="G288" s="61" t="n">
        <v>0.5</v>
      </c>
      <c r="H288" s="59" t="n">
        <f aca="true">IF((B288=1),(IF((F288&lt;E288),1,(IF((F288=E288),(IF(RAND()&lt;G288,1,0)),0)))),(IF((RAND()&lt;G288),1,0)))</f>
        <v>0</v>
      </c>
      <c r="I288" s="59" t="n">
        <f aca="true">IF((H288=1),0,$D$3+$D$5*(RAND()-0.5))</f>
        <v>2.23404513982762</v>
      </c>
      <c r="J288" s="59" t="n">
        <f aca="false">I288+MAX(D288,J287)</f>
        <v>277.744901097955</v>
      </c>
      <c r="K288" s="59" t="n">
        <f aca="false">IF((H288=0),J288-D288,0)</f>
        <v>22.0082190246509</v>
      </c>
      <c r="L288" s="59" t="n">
        <f aca="true">IF(($H288=0),0,$D$4+$D$5*(RAND()-0.5))</f>
        <v>0</v>
      </c>
      <c r="M288" s="59" t="n">
        <f aca="false">L288+MAX(D288,M287)</f>
        <v>276.930699997112</v>
      </c>
      <c r="N288" s="59" t="n">
        <f aca="false">IF((H288=1),M288-D288,0)</f>
        <v>0</v>
      </c>
      <c r="O288" s="5" t="n">
        <v>271</v>
      </c>
      <c r="P288" s="62" t="n">
        <f aca="false">IF((Arterial=0),P287+1,P287)</f>
        <v>135</v>
      </c>
      <c r="Q288" s="62" t="n">
        <f aca="false">IF((Arterial=1),Q287+1,Q287)</f>
        <v>136</v>
      </c>
      <c r="R288" s="63" t="e">
        <f aca="false">IF((RESET=1),0,R288+K288)</f>
        <v>#N/A</v>
      </c>
      <c r="S288" s="10" t="n">
        <f aca="false">IF(RESET=1,0,S288+N288)</f>
        <v>452.339015108826</v>
      </c>
      <c r="T288" s="0" t="e">
        <f aca="false">IF(RESET=1,0,T288+IF(H288=0,1,0))</f>
        <v>#N/A</v>
      </c>
      <c r="U288" s="0" t="n">
        <f aca="false">IF(RESET=1,0,U288+H288)</f>
        <v>28</v>
      </c>
      <c r="V288" s="10" t="e">
        <f aca="false">R288/(T288+0.00001)</f>
        <v>#N/A</v>
      </c>
      <c r="W288" s="10" t="n">
        <f aca="false">S288/(U288+0.0001)</f>
        <v>16.1549071292183</v>
      </c>
      <c r="X288" s="60" t="n">
        <f aca="false">IF(Informed=1,K288,0)</f>
        <v>22.0082190246509</v>
      </c>
      <c r="Y288" s="60" t="n">
        <f aca="false">IF(Informed=0,K288,0)</f>
        <v>0</v>
      </c>
      <c r="Z288" s="60" t="n">
        <f aca="false">IF(Informed=1,N288,0)</f>
        <v>0</v>
      </c>
      <c r="AA288" s="60" t="n">
        <f aca="false">IF(Informed=0,N288,0)</f>
        <v>0</v>
      </c>
      <c r="AB288" s="64" t="n">
        <f aca="false">IF(Arterial=0,IF(Informed=1,1,0),0)</f>
        <v>1</v>
      </c>
      <c r="AC288" s="64" t="n">
        <f aca="false">IF(Arterial=0,IF(Informed=0,1,0),0)</f>
        <v>0</v>
      </c>
      <c r="AD288" s="64" t="n">
        <f aca="false">IF(Arterial=1,IF(Informed=1,1,0),0)</f>
        <v>0</v>
      </c>
      <c r="AE288" s="64" t="n">
        <f aca="false">IF(Arterial=1,IF(Informed=0,1,0),0)</f>
        <v>0</v>
      </c>
      <c r="AF288" s="57" t="n">
        <f aca="false">IF(AB288=1,(X288-G$1030)^2,0)</f>
        <v>484.361704637004</v>
      </c>
      <c r="AG288" s="57" t="n">
        <f aca="false">IF(AC288=1,(Y288-H$1030)^2,0)</f>
        <v>0</v>
      </c>
      <c r="AH288" s="57" t="n">
        <f aca="false">IF(AD288=1,(Z288-I$1030)^2,0)</f>
        <v>0</v>
      </c>
      <c r="AI288" s="57" t="n">
        <f aca="false">IF(AE288=1,(AA288-J$1030)^2,0)</f>
        <v>0</v>
      </c>
    </row>
    <row r="289" customFormat="false" ht="12" hidden="false" customHeight="false" outlineLevel="0" collapsed="false">
      <c r="A289" s="5" t="n">
        <v>272</v>
      </c>
      <c r="B289" s="58" t="n">
        <f aca="true">IF(RAND()&lt;$D$8,1,0)</f>
        <v>1</v>
      </c>
      <c r="C289" s="47" t="n">
        <f aca="true">-LN(RAND())/$D$2</f>
        <v>0.76805121410569</v>
      </c>
      <c r="D289" s="59" t="n">
        <f aca="false">D288+C289</f>
        <v>256.50473328741</v>
      </c>
      <c r="E289" s="60" t="n">
        <f aca="false">MAX($D$3,(1+P288-VLOOKUP(VALUE(D289),$J$18:$Q288,7,TRUE()))*$D$3)</f>
        <v>24</v>
      </c>
      <c r="F289" s="60" t="n">
        <f aca="false">MAX($D$4,(1+Q288-VLOOKUP(VALUE(D289),$M$18:$Q288,5,TRUE()))*$D$4)</f>
        <v>24</v>
      </c>
      <c r="G289" s="61" t="n">
        <v>0.5</v>
      </c>
      <c r="H289" s="59" t="n">
        <f aca="true">IF((B289=1),(IF((F289&lt;E289),1,(IF((F289=E289),(IF(RAND()&lt;G289,1,0)),0)))),(IF((RAND()&lt;G289),1,0)))</f>
        <v>0</v>
      </c>
      <c r="I289" s="59" t="n">
        <f aca="true">IF((H289=1),0,$D$3+$D$5*(RAND()-0.5))</f>
        <v>1.9977064228386</v>
      </c>
      <c r="J289" s="59" t="n">
        <f aca="false">I289+MAX(D289,J288)</f>
        <v>279.742607520793</v>
      </c>
      <c r="K289" s="59" t="n">
        <f aca="false">IF((H289=0),J289-D289,0)</f>
        <v>23.2378742333838</v>
      </c>
      <c r="L289" s="59" t="n">
        <f aca="true">IF(($H289=0),0,$D$4+$D$5*(RAND()-0.5))</f>
        <v>0</v>
      </c>
      <c r="M289" s="59" t="n">
        <f aca="false">L289+MAX(D289,M288)</f>
        <v>276.930699997112</v>
      </c>
      <c r="N289" s="59" t="n">
        <f aca="false">IF((H289=1),M289-D289,0)</f>
        <v>0</v>
      </c>
      <c r="O289" s="5" t="n">
        <v>272</v>
      </c>
      <c r="P289" s="62" t="n">
        <f aca="false">IF((Arterial=0),P288+1,P288)</f>
        <v>136</v>
      </c>
      <c r="Q289" s="62" t="n">
        <f aca="false">IF((Arterial=1),Q288+1,Q288)</f>
        <v>136</v>
      </c>
      <c r="R289" s="63" t="e">
        <f aca="false">IF((RESET=1),0,R289+K289)</f>
        <v>#N/A</v>
      </c>
      <c r="S289" s="10" t="n">
        <f aca="false">IF(RESET=1,0,S289+N289)</f>
        <v>444.752543218375</v>
      </c>
      <c r="T289" s="0" t="e">
        <f aca="false">IF(RESET=1,0,T289+IF(H289=0,1,0))</f>
        <v>#N/A</v>
      </c>
      <c r="U289" s="0" t="n">
        <f aca="false">IF(RESET=1,0,U289+H289)</f>
        <v>26</v>
      </c>
      <c r="V289" s="10" t="e">
        <f aca="false">R289/(T289+0.00001)</f>
        <v>#N/A</v>
      </c>
      <c r="W289" s="10" t="n">
        <f aca="false">S289/(U289+0.0001)</f>
        <v>17.1058012553173</v>
      </c>
      <c r="X289" s="60" t="n">
        <f aca="false">IF(Informed=1,K289,0)</f>
        <v>23.2378742333838</v>
      </c>
      <c r="Y289" s="60" t="n">
        <f aca="false">IF(Informed=0,K289,0)</f>
        <v>0</v>
      </c>
      <c r="Z289" s="60" t="n">
        <f aca="false">IF(Informed=1,N289,0)</f>
        <v>0</v>
      </c>
      <c r="AA289" s="60" t="n">
        <f aca="false">IF(Informed=0,N289,0)</f>
        <v>0</v>
      </c>
      <c r="AB289" s="64" t="n">
        <f aca="false">IF(Arterial=0,IF(Informed=1,1,0),0)</f>
        <v>1</v>
      </c>
      <c r="AC289" s="64" t="n">
        <f aca="false">IF(Arterial=0,IF(Informed=0,1,0),0)</f>
        <v>0</v>
      </c>
      <c r="AD289" s="64" t="n">
        <f aca="false">IF(Arterial=1,IF(Informed=1,1,0),0)</f>
        <v>0</v>
      </c>
      <c r="AE289" s="64" t="n">
        <f aca="false">IF(Arterial=1,IF(Informed=0,1,0),0)</f>
        <v>0</v>
      </c>
      <c r="AF289" s="57" t="n">
        <f aca="false">IF(AB289=1,(X289-G$1030)^2,0)</f>
        <v>539.998798886561</v>
      </c>
      <c r="AG289" s="57" t="n">
        <f aca="false">IF(AC289=1,(Y289-H$1030)^2,0)</f>
        <v>0</v>
      </c>
      <c r="AH289" s="57" t="n">
        <f aca="false">IF(AD289=1,(Z289-I$1030)^2,0)</f>
        <v>0</v>
      </c>
      <c r="AI289" s="57" t="n">
        <f aca="false">IF(AE289=1,(AA289-J$1030)^2,0)</f>
        <v>0</v>
      </c>
    </row>
    <row r="290" customFormat="false" ht="12" hidden="false" customHeight="false" outlineLevel="0" collapsed="false">
      <c r="A290" s="5" t="n">
        <v>273</v>
      </c>
      <c r="B290" s="58" t="n">
        <f aca="true">IF(RAND()&lt;$D$8,1,0)</f>
        <v>0</v>
      </c>
      <c r="C290" s="47" t="n">
        <f aca="true">-LN(RAND())/$D$2</f>
        <v>0.6412690023098</v>
      </c>
      <c r="D290" s="59" t="n">
        <f aca="false">D289+C290</f>
        <v>257.146002289719</v>
      </c>
      <c r="E290" s="60" t="n">
        <f aca="false">MAX($D$3,(1+P289-VLOOKUP(VALUE(D290),$J$18:$Q289,7,TRUE()))*$D$3)</f>
        <v>26</v>
      </c>
      <c r="F290" s="60" t="n">
        <f aca="false">MAX($D$4,(1+Q289-VLOOKUP(VALUE(D290),$M$18:$Q289,5,TRUE()))*$D$4)</f>
        <v>22</v>
      </c>
      <c r="G290" s="61" t="n">
        <v>0.5</v>
      </c>
      <c r="H290" s="59" t="n">
        <f aca="true">IF((B290=1),(IF((F290&lt;E290),1,(IF((F290=E290),(IF(RAND()&lt;G290,1,0)),0)))),(IF((RAND()&lt;G290),1,0)))</f>
        <v>1</v>
      </c>
      <c r="I290" s="59" t="n">
        <f aca="true">IF((H290=1),0,$D$3+$D$5*(RAND()-0.5))</f>
        <v>0</v>
      </c>
      <c r="J290" s="59" t="n">
        <f aca="false">I290+MAX(D290,J289)</f>
        <v>279.742607520793</v>
      </c>
      <c r="K290" s="59" t="n">
        <f aca="false">IF((H290=0),J290-D290,0)</f>
        <v>0</v>
      </c>
      <c r="L290" s="59" t="n">
        <f aca="true">IF(($H290=0),0,$D$4+$D$5*(RAND()-0.5))</f>
        <v>1.86624004026406</v>
      </c>
      <c r="M290" s="59" t="n">
        <f aca="false">L290+MAX(D290,M289)</f>
        <v>278.796940037376</v>
      </c>
      <c r="N290" s="59" t="n">
        <f aca="false">IF((H290=1),M290-D290,0)</f>
        <v>21.6509377476569</v>
      </c>
      <c r="O290" s="5" t="n">
        <v>273</v>
      </c>
      <c r="P290" s="62" t="n">
        <f aca="false">IF((Arterial=0),P289+1,P289)</f>
        <v>136</v>
      </c>
      <c r="Q290" s="62" t="n">
        <f aca="false">IF((Arterial=1),Q289+1,Q289)</f>
        <v>137</v>
      </c>
      <c r="R290" s="63" t="n">
        <f aca="false">IF((RESET=1),0,R290+K290)</f>
        <v>435.746678676989</v>
      </c>
      <c r="S290" s="10" t="e">
        <f aca="false">IF(RESET=1,0,S290+N290)</f>
        <v>#N/A</v>
      </c>
      <c r="T290" s="0" t="n">
        <f aca="false">IF(RESET=1,0,T290+IF(H290=0,1,0))</f>
        <v>27</v>
      </c>
      <c r="U290" s="0" t="e">
        <f aca="false">IF(RESET=1,0,U290+H290)</f>
        <v>#N/A</v>
      </c>
      <c r="V290" s="10" t="n">
        <f aca="false">R290/(T290+0.00001)</f>
        <v>16.138759899607</v>
      </c>
      <c r="W290" s="10" t="e">
        <f aca="false">S290/(U290+0.0001)</f>
        <v>#N/A</v>
      </c>
      <c r="X290" s="60" t="n">
        <f aca="false">IF(Informed=1,K290,0)</f>
        <v>0</v>
      </c>
      <c r="Y290" s="60" t="n">
        <f aca="false">IF(Informed=0,K290,0)</f>
        <v>0</v>
      </c>
      <c r="Z290" s="60" t="n">
        <f aca="false">IF(Informed=1,N290,0)</f>
        <v>0</v>
      </c>
      <c r="AA290" s="60" t="n">
        <f aca="false">IF(Informed=0,N290,0)</f>
        <v>21.6509377476569</v>
      </c>
      <c r="AB290" s="64" t="n">
        <f aca="false">IF(Arterial=0,IF(Informed=1,1,0),0)</f>
        <v>0</v>
      </c>
      <c r="AC290" s="64" t="n">
        <f aca="false">IF(Arterial=0,IF(Informed=0,1,0),0)</f>
        <v>0</v>
      </c>
      <c r="AD290" s="64" t="n">
        <f aca="false">IF(Arterial=1,IF(Informed=1,1,0),0)</f>
        <v>0</v>
      </c>
      <c r="AE290" s="64" t="n">
        <f aca="false">IF(Arterial=1,IF(Informed=0,1,0),0)</f>
        <v>1</v>
      </c>
      <c r="AF290" s="57" t="n">
        <f aca="false">IF(AB290=1,(X290-G$1030)^2,0)</f>
        <v>0</v>
      </c>
      <c r="AG290" s="57" t="n">
        <f aca="false">IF(AC290=1,(Y290-H$1030)^2,0)</f>
        <v>0</v>
      </c>
      <c r="AH290" s="57" t="n">
        <f aca="false">IF(AD290=1,(Z290-I$1030)^2,0)</f>
        <v>0</v>
      </c>
      <c r="AI290" s="57" t="n">
        <f aca="false">IF(AE290=1,(AA290-J$1030)^2,0)</f>
        <v>468.763105352916</v>
      </c>
    </row>
    <row r="291" customFormat="false" ht="12" hidden="false" customHeight="false" outlineLevel="0" collapsed="false">
      <c r="A291" s="5" t="n">
        <v>274</v>
      </c>
      <c r="B291" s="58" t="n">
        <f aca="true">IF(RAND()&lt;$D$8,1,0)</f>
        <v>1</v>
      </c>
      <c r="C291" s="47" t="n">
        <f aca="true">-LN(RAND())/$D$2</f>
        <v>0.755098050404996</v>
      </c>
      <c r="D291" s="59" t="n">
        <f aca="false">D290+C291</f>
        <v>257.901100340124</v>
      </c>
      <c r="E291" s="60" t="n">
        <f aca="false">MAX($D$3,(1+P290-VLOOKUP(VALUE(D291),$J$18:$Q290,7,TRUE()))*$D$3)</f>
        <v>24</v>
      </c>
      <c r="F291" s="60" t="n">
        <f aca="false">MAX($D$4,(1+Q290-VLOOKUP(VALUE(D291),$M$18:$Q290,5,TRUE()))*$D$4)</f>
        <v>24</v>
      </c>
      <c r="G291" s="61" t="n">
        <v>0.5</v>
      </c>
      <c r="H291" s="59" t="n">
        <f aca="true">IF((B291=1),(IF((F291&lt;E291),1,(IF((F291=E291),(IF(RAND()&lt;G291,1,0)),0)))),(IF((RAND()&lt;G291),1,0)))</f>
        <v>0</v>
      </c>
      <c r="I291" s="59" t="n">
        <f aca="true">IF((H291=1),0,$D$3+$D$5*(RAND()-0.5))</f>
        <v>1.96860413520405</v>
      </c>
      <c r="J291" s="59" t="n">
        <f aca="false">I291+MAX(D291,J290)</f>
        <v>281.711211655997</v>
      </c>
      <c r="K291" s="59" t="n">
        <f aca="false">IF((H291=0),J291-D291,0)</f>
        <v>23.810111315873</v>
      </c>
      <c r="L291" s="59" t="n">
        <f aca="true">IF(($H291=0),0,$D$4+$D$5*(RAND()-0.5))</f>
        <v>0</v>
      </c>
      <c r="M291" s="59" t="n">
        <f aca="false">L291+MAX(D291,M290)</f>
        <v>278.796940037376</v>
      </c>
      <c r="N291" s="59" t="n">
        <f aca="false">IF((H291=1),M291-D291,0)</f>
        <v>0</v>
      </c>
      <c r="O291" s="5" t="n">
        <v>274</v>
      </c>
      <c r="P291" s="62" t="n">
        <f aca="false">IF((Arterial=0),P290+1,P290)</f>
        <v>137</v>
      </c>
      <c r="Q291" s="62" t="n">
        <f aca="false">IF((Arterial=1),Q290+1,Q290)</f>
        <v>137</v>
      </c>
      <c r="R291" s="63" t="e">
        <f aca="false">IF((RESET=1),0,R291+K291)</f>
        <v>#N/A</v>
      </c>
      <c r="S291" s="10" t="n">
        <f aca="false">IF(RESET=1,0,S291+N291)</f>
        <v>428.476215198673</v>
      </c>
      <c r="T291" s="0" t="e">
        <f aca="false">IF(RESET=1,0,T291+IF(H291=0,1,0))</f>
        <v>#N/A</v>
      </c>
      <c r="U291" s="0" t="n">
        <f aca="false">IF(RESET=1,0,U291+H291)</f>
        <v>24</v>
      </c>
      <c r="V291" s="10" t="e">
        <f aca="false">R291/(T291+0.00001)</f>
        <v>#N/A</v>
      </c>
      <c r="W291" s="10" t="n">
        <f aca="false">S291/(U291+0.0001)</f>
        <v>17.8531012453562</v>
      </c>
      <c r="X291" s="60" t="n">
        <f aca="false">IF(Informed=1,K291,0)</f>
        <v>23.810111315873</v>
      </c>
      <c r="Y291" s="60" t="n">
        <f aca="false">IF(Informed=0,K291,0)</f>
        <v>0</v>
      </c>
      <c r="Z291" s="60" t="n">
        <f aca="false">IF(Informed=1,N291,0)</f>
        <v>0</v>
      </c>
      <c r="AA291" s="60" t="n">
        <f aca="false">IF(Informed=0,N291,0)</f>
        <v>0</v>
      </c>
      <c r="AB291" s="64" t="n">
        <f aca="false">IF(Arterial=0,IF(Informed=1,1,0),0)</f>
        <v>1</v>
      </c>
      <c r="AC291" s="64" t="n">
        <f aca="false">IF(Arterial=0,IF(Informed=0,1,0),0)</f>
        <v>0</v>
      </c>
      <c r="AD291" s="64" t="n">
        <f aca="false">IF(Arterial=1,IF(Informed=1,1,0),0)</f>
        <v>0</v>
      </c>
      <c r="AE291" s="64" t="n">
        <f aca="false">IF(Arterial=1,IF(Informed=0,1,0),0)</f>
        <v>0</v>
      </c>
      <c r="AF291" s="57" t="n">
        <f aca="false">IF(AB291=1,(X291-G$1030)^2,0)</f>
        <v>566.921400874262</v>
      </c>
      <c r="AG291" s="57" t="n">
        <f aca="false">IF(AC291=1,(Y291-H$1030)^2,0)</f>
        <v>0</v>
      </c>
      <c r="AH291" s="57" t="n">
        <f aca="false">IF(AD291=1,(Z291-I$1030)^2,0)</f>
        <v>0</v>
      </c>
      <c r="AI291" s="57" t="n">
        <f aca="false">IF(AE291=1,(AA291-J$1030)^2,0)</f>
        <v>0</v>
      </c>
    </row>
    <row r="292" customFormat="false" ht="12" hidden="false" customHeight="false" outlineLevel="0" collapsed="false">
      <c r="A292" s="5" t="n">
        <v>275</v>
      </c>
      <c r="B292" s="58" t="n">
        <f aca="true">IF(RAND()&lt;$D$8,1,0)</f>
        <v>1</v>
      </c>
      <c r="C292" s="47" t="n">
        <f aca="true">-LN(RAND())/$D$2</f>
        <v>2.9701360767605</v>
      </c>
      <c r="D292" s="59" t="n">
        <f aca="false">D291+C292</f>
        <v>260.871236416885</v>
      </c>
      <c r="E292" s="60" t="n">
        <f aca="false">MAX($D$3,(1+P291-VLOOKUP(VALUE(D292),$J$18:$Q291,7,TRUE()))*$D$3)</f>
        <v>24</v>
      </c>
      <c r="F292" s="60" t="n">
        <f aca="false">MAX($D$4,(1+Q291-VLOOKUP(VALUE(D292),$M$18:$Q291,5,TRUE()))*$D$4)</f>
        <v>22</v>
      </c>
      <c r="G292" s="61" t="n">
        <v>0.5</v>
      </c>
      <c r="H292" s="59" t="n">
        <f aca="true">IF((B292=1),(IF((F292&lt;E292),1,(IF((F292=E292),(IF(RAND()&lt;G292,1,0)),0)))),(IF((RAND()&lt;G292),1,0)))</f>
        <v>1</v>
      </c>
      <c r="I292" s="59" t="n">
        <f aca="true">IF((H292=1),0,$D$3+$D$5*(RAND()-0.5))</f>
        <v>0</v>
      </c>
      <c r="J292" s="59" t="n">
        <f aca="false">I292+MAX(D292,J291)</f>
        <v>281.711211655997</v>
      </c>
      <c r="K292" s="59" t="n">
        <f aca="false">IF((H292=0),J292-D292,0)</f>
        <v>0</v>
      </c>
      <c r="L292" s="59" t="n">
        <f aca="true">IF(($H292=0),0,$D$4+$D$5*(RAND()-0.5))</f>
        <v>2.18688719434931</v>
      </c>
      <c r="M292" s="59" t="n">
        <f aca="false">L292+MAX(D292,M291)</f>
        <v>280.983827231726</v>
      </c>
      <c r="N292" s="59" t="n">
        <f aca="false">IF((H292=1),M292-D292,0)</f>
        <v>20.1125908148407</v>
      </c>
      <c r="O292" s="5" t="n">
        <v>275</v>
      </c>
      <c r="P292" s="62" t="n">
        <f aca="false">IF((Arterial=0),P291+1,P291)</f>
        <v>137</v>
      </c>
      <c r="Q292" s="62" t="n">
        <f aca="false">IF((Arterial=1),Q291+1,Q291)</f>
        <v>138</v>
      </c>
      <c r="R292" s="63" t="n">
        <f aca="false">IF((RESET=1),0,R292+K292)</f>
        <v>294.532959024236</v>
      </c>
      <c r="S292" s="10" t="e">
        <f aca="false">IF(RESET=1,0,S292+N292)</f>
        <v>#N/A</v>
      </c>
      <c r="T292" s="0" t="n">
        <f aca="false">IF(RESET=1,0,T292+IF(H292=0,1,0))</f>
        <v>20</v>
      </c>
      <c r="U292" s="0" t="e">
        <f aca="false">IF(RESET=1,0,U292+H292)</f>
        <v>#N/A</v>
      </c>
      <c r="V292" s="10" t="n">
        <f aca="false">R292/(T292+0.00001)</f>
        <v>14.7266405878915</v>
      </c>
      <c r="W292" s="10" t="e">
        <f aca="false">S292/(U292+0.0001)</f>
        <v>#N/A</v>
      </c>
      <c r="X292" s="60" t="n">
        <f aca="false">IF(Informed=1,K292,0)</f>
        <v>0</v>
      </c>
      <c r="Y292" s="60" t="n">
        <f aca="false">IF(Informed=0,K292,0)</f>
        <v>0</v>
      </c>
      <c r="Z292" s="60" t="n">
        <f aca="false">IF(Informed=1,N292,0)</f>
        <v>20.1125908148407</v>
      </c>
      <c r="AA292" s="60" t="n">
        <f aca="false">IF(Informed=0,N292,0)</f>
        <v>0</v>
      </c>
      <c r="AB292" s="64" t="n">
        <f aca="false">IF(Arterial=0,IF(Informed=1,1,0),0)</f>
        <v>0</v>
      </c>
      <c r="AC292" s="64" t="n">
        <f aca="false">IF(Arterial=0,IF(Informed=0,1,0),0)</f>
        <v>0</v>
      </c>
      <c r="AD292" s="64" t="n">
        <f aca="false">IF(Arterial=1,IF(Informed=1,1,0),0)</f>
        <v>1</v>
      </c>
      <c r="AE292" s="64" t="n">
        <f aca="false">IF(Arterial=1,IF(Informed=0,1,0),0)</f>
        <v>0</v>
      </c>
      <c r="AF292" s="57" t="n">
        <f aca="false">IF(AB292=1,(X292-G$1030)^2,0)</f>
        <v>0</v>
      </c>
      <c r="AG292" s="57" t="n">
        <f aca="false">IF(AC292=1,(Y292-H$1030)^2,0)</f>
        <v>0</v>
      </c>
      <c r="AH292" s="57" t="n">
        <f aca="false">IF(AD292=1,(Z292-I$1030)^2,0)</f>
        <v>404.516309285215</v>
      </c>
      <c r="AI292" s="57" t="n">
        <f aca="false">IF(AE292=1,(AA292-J$1030)^2,0)</f>
        <v>0</v>
      </c>
    </row>
    <row r="293" customFormat="false" ht="12" hidden="false" customHeight="false" outlineLevel="0" collapsed="false">
      <c r="A293" s="5" t="n">
        <v>276</v>
      </c>
      <c r="B293" s="58" t="n">
        <f aca="true">IF(RAND()&lt;$D$8,1,0)</f>
        <v>0</v>
      </c>
      <c r="C293" s="47" t="n">
        <f aca="true">-LN(RAND())/$D$2</f>
        <v>0.573868454968502</v>
      </c>
      <c r="D293" s="59" t="n">
        <f aca="false">D292+C293</f>
        <v>261.445104871853</v>
      </c>
      <c r="E293" s="60" t="n">
        <f aca="false">MAX($D$3,(1+P292-VLOOKUP(VALUE(D293),$J$18:$Q292,7,TRUE()))*$D$3)</f>
        <v>24</v>
      </c>
      <c r="F293" s="60" t="n">
        <f aca="false">MAX($D$4,(1+Q292-VLOOKUP(VALUE(D293),$M$18:$Q292,5,TRUE()))*$D$4)</f>
        <v>22</v>
      </c>
      <c r="G293" s="61" t="n">
        <v>0.5</v>
      </c>
      <c r="H293" s="59" t="n">
        <f aca="true">IF((B293=1),(IF((F293&lt;E293),1,(IF((F293=E293),(IF(RAND()&lt;G293,1,0)),0)))),(IF((RAND()&lt;G293),1,0)))</f>
        <v>0</v>
      </c>
      <c r="I293" s="59" t="n">
        <f aca="true">IF((H293=1),0,$D$3+$D$5*(RAND()-0.5))</f>
        <v>2.12618851662879</v>
      </c>
      <c r="J293" s="59" t="n">
        <f aca="false">I293+MAX(D293,J292)</f>
        <v>283.837400172626</v>
      </c>
      <c r="K293" s="59" t="n">
        <f aca="false">IF((H293=0),J293-D293,0)</f>
        <v>22.3922953007728</v>
      </c>
      <c r="L293" s="59" t="n">
        <f aca="true">IF(($H293=0),0,$D$4+$D$5*(RAND()-0.5))</f>
        <v>0</v>
      </c>
      <c r="M293" s="59" t="n">
        <f aca="false">L293+MAX(D293,M292)</f>
        <v>280.983827231726</v>
      </c>
      <c r="N293" s="59" t="n">
        <f aca="false">IF((H293=1),M293-D293,0)</f>
        <v>0</v>
      </c>
      <c r="O293" s="5" t="n">
        <v>276</v>
      </c>
      <c r="P293" s="62" t="n">
        <f aca="false">IF((Arterial=0),P292+1,P292)</f>
        <v>138</v>
      </c>
      <c r="Q293" s="62" t="n">
        <f aca="false">IF((Arterial=1),Q292+1,Q292)</f>
        <v>138</v>
      </c>
      <c r="R293" s="63" t="e">
        <f aca="false">IF((RESET=1),0,R293+K293)</f>
        <v>#N/A</v>
      </c>
      <c r="S293" s="10" t="n">
        <f aca="false">IF(RESET=1,0,S293+N293)</f>
        <v>359.254332019574</v>
      </c>
      <c r="T293" s="0" t="e">
        <f aca="false">IF(RESET=1,0,T293+IF(H293=0,1,0))</f>
        <v>#N/A</v>
      </c>
      <c r="U293" s="0" t="n">
        <f aca="false">IF(RESET=1,0,U293+H293)</f>
        <v>25</v>
      </c>
      <c r="V293" s="10" t="e">
        <f aca="false">R293/(T293+0.00001)</f>
        <v>#N/A</v>
      </c>
      <c r="W293" s="10" t="n">
        <f aca="false">S293/(U293+0.0001)</f>
        <v>14.3701158003198</v>
      </c>
      <c r="X293" s="60" t="n">
        <f aca="false">IF(Informed=1,K293,0)</f>
        <v>0</v>
      </c>
      <c r="Y293" s="60" t="n">
        <f aca="false">IF(Informed=0,K293,0)</f>
        <v>22.3922953007728</v>
      </c>
      <c r="Z293" s="60" t="n">
        <f aca="false">IF(Informed=1,N293,0)</f>
        <v>0</v>
      </c>
      <c r="AA293" s="60" t="n">
        <f aca="false">IF(Informed=0,N293,0)</f>
        <v>0</v>
      </c>
      <c r="AB293" s="64" t="n">
        <f aca="false">IF(Arterial=0,IF(Informed=1,1,0),0)</f>
        <v>0</v>
      </c>
      <c r="AC293" s="64" t="n">
        <f aca="false">IF(Arterial=0,IF(Informed=0,1,0),0)</f>
        <v>1</v>
      </c>
      <c r="AD293" s="64" t="n">
        <f aca="false">IF(Arterial=1,IF(Informed=1,1,0),0)</f>
        <v>0</v>
      </c>
      <c r="AE293" s="64" t="n">
        <f aca="false">IF(Arterial=1,IF(Informed=0,1,0),0)</f>
        <v>0</v>
      </c>
      <c r="AF293" s="57" t="n">
        <f aca="false">IF(AB293=1,(X293-G$1030)^2,0)</f>
        <v>0</v>
      </c>
      <c r="AG293" s="57" t="n">
        <f aca="false">IF(AC293=1,(Y293-H$1030)^2,0)</f>
        <v>501.414888837011</v>
      </c>
      <c r="AH293" s="57" t="n">
        <f aca="false">IF(AD293=1,(Z293-I$1030)^2,0)</f>
        <v>0</v>
      </c>
      <c r="AI293" s="57" t="n">
        <f aca="false">IF(AE293=1,(AA293-J$1030)^2,0)</f>
        <v>0</v>
      </c>
    </row>
    <row r="294" customFormat="false" ht="12" hidden="false" customHeight="false" outlineLevel="0" collapsed="false">
      <c r="A294" s="5" t="n">
        <v>277</v>
      </c>
      <c r="B294" s="58" t="n">
        <f aca="true">IF(RAND()&lt;$D$8,1,0)</f>
        <v>0</v>
      </c>
      <c r="C294" s="47" t="n">
        <f aca="true">-LN(RAND())/$D$2</f>
        <v>2.04319212184711</v>
      </c>
      <c r="D294" s="59" t="n">
        <f aca="false">D293+C294</f>
        <v>263.4882969937</v>
      </c>
      <c r="E294" s="60" t="n">
        <f aca="false">MAX($D$3,(1+P293-VLOOKUP(VALUE(D294),$J$18:$Q293,7,TRUE()))*$D$3)</f>
        <v>24</v>
      </c>
      <c r="F294" s="60" t="n">
        <f aca="false">MAX($D$4,(1+Q293-VLOOKUP(VALUE(D294),$M$18:$Q293,5,TRUE()))*$D$4)</f>
        <v>20</v>
      </c>
      <c r="G294" s="61" t="n">
        <v>0.5</v>
      </c>
      <c r="H294" s="59" t="n">
        <f aca="true">IF((B294=1),(IF((F294&lt;E294),1,(IF((F294=E294),(IF(RAND()&lt;G294,1,0)),0)))),(IF((RAND()&lt;G294),1,0)))</f>
        <v>0</v>
      </c>
      <c r="I294" s="59" t="n">
        <f aca="true">IF((H294=1),0,$D$3+$D$5*(RAND()-0.5))</f>
        <v>2.201284432073</v>
      </c>
      <c r="J294" s="59" t="n">
        <f aca="false">I294+MAX(D294,J293)</f>
        <v>286.038684604699</v>
      </c>
      <c r="K294" s="59" t="n">
        <f aca="false">IF((H294=0),J294-D294,0)</f>
        <v>22.5503876109987</v>
      </c>
      <c r="L294" s="59" t="n">
        <f aca="true">IF(($H294=0),0,$D$4+$D$5*(RAND()-0.5))</f>
        <v>0</v>
      </c>
      <c r="M294" s="59" t="n">
        <f aca="false">L294+MAX(D294,M293)</f>
        <v>280.983827231726</v>
      </c>
      <c r="N294" s="59" t="n">
        <f aca="false">IF((H294=1),M294-D294,0)</f>
        <v>0</v>
      </c>
      <c r="O294" s="5" t="n">
        <v>277</v>
      </c>
      <c r="P294" s="62" t="n">
        <f aca="false">IF((Arterial=0),P293+1,P293)</f>
        <v>139</v>
      </c>
      <c r="Q294" s="62" t="n">
        <f aca="false">IF((Arterial=1),Q293+1,Q293)</f>
        <v>138</v>
      </c>
      <c r="R294" s="63" t="e">
        <f aca="false">IF((RESET=1),0,R294+K294)</f>
        <v>#N/A</v>
      </c>
      <c r="S294" s="10" t="n">
        <f aca="false">IF(RESET=1,0,S294+N294)</f>
        <v>431.87562722401</v>
      </c>
      <c r="T294" s="0" t="e">
        <f aca="false">IF(RESET=1,0,T294+IF(H294=0,1,0))</f>
        <v>#N/A</v>
      </c>
      <c r="U294" s="0" t="n">
        <f aca="false">IF(RESET=1,0,U294+H294)</f>
        <v>25</v>
      </c>
      <c r="V294" s="10" t="e">
        <f aca="false">R294/(T294+0.00001)</f>
        <v>#N/A</v>
      </c>
      <c r="W294" s="10" t="n">
        <f aca="false">S294/(U294+0.0001)</f>
        <v>17.2749559891364</v>
      </c>
      <c r="X294" s="60" t="n">
        <f aca="false">IF(Informed=1,K294,0)</f>
        <v>0</v>
      </c>
      <c r="Y294" s="60" t="n">
        <f aca="false">IF(Informed=0,K294,0)</f>
        <v>22.5503876109987</v>
      </c>
      <c r="Z294" s="60" t="n">
        <f aca="false">IF(Informed=1,N294,0)</f>
        <v>0</v>
      </c>
      <c r="AA294" s="60" t="n">
        <f aca="false">IF(Informed=0,N294,0)</f>
        <v>0</v>
      </c>
      <c r="AB294" s="64" t="n">
        <f aca="false">IF(Arterial=0,IF(Informed=1,1,0),0)</f>
        <v>0</v>
      </c>
      <c r="AC294" s="64" t="n">
        <f aca="false">IF(Arterial=0,IF(Informed=0,1,0),0)</f>
        <v>1</v>
      </c>
      <c r="AD294" s="64" t="n">
        <f aca="false">IF(Arterial=1,IF(Informed=1,1,0),0)</f>
        <v>0</v>
      </c>
      <c r="AE294" s="64" t="n">
        <f aca="false">IF(Arterial=1,IF(Informed=0,1,0),0)</f>
        <v>0</v>
      </c>
      <c r="AF294" s="57" t="n">
        <f aca="false">IF(AB294=1,(X294-G$1030)^2,0)</f>
        <v>0</v>
      </c>
      <c r="AG294" s="57" t="n">
        <f aca="false">IF(AC294=1,(Y294-H$1030)^2,0)</f>
        <v>508.519981406284</v>
      </c>
      <c r="AH294" s="57" t="n">
        <f aca="false">IF(AD294=1,(Z294-I$1030)^2,0)</f>
        <v>0</v>
      </c>
      <c r="AI294" s="57" t="n">
        <f aca="false">IF(AE294=1,(AA294-J$1030)^2,0)</f>
        <v>0</v>
      </c>
    </row>
    <row r="295" customFormat="false" ht="12" hidden="false" customHeight="false" outlineLevel="0" collapsed="false">
      <c r="A295" s="5" t="n">
        <v>278</v>
      </c>
      <c r="B295" s="58" t="n">
        <f aca="true">IF(RAND()&lt;$D$8,1,0)</f>
        <v>0</v>
      </c>
      <c r="C295" s="47" t="n">
        <f aca="true">-LN(RAND())/$D$2</f>
        <v>0.54213580933352</v>
      </c>
      <c r="D295" s="59" t="n">
        <f aca="false">D294+C295</f>
        <v>264.030432803034</v>
      </c>
      <c r="E295" s="60" t="n">
        <f aca="false">MAX($D$3,(1+P294-VLOOKUP(VALUE(D295),$J$18:$Q294,7,TRUE()))*$D$3)</f>
        <v>24</v>
      </c>
      <c r="F295" s="60" t="n">
        <f aca="false">MAX($D$4,(1+Q294-VLOOKUP(VALUE(D295),$M$18:$Q294,5,TRUE()))*$D$4)</f>
        <v>20</v>
      </c>
      <c r="G295" s="61" t="n">
        <v>0.5</v>
      </c>
      <c r="H295" s="59" t="n">
        <f aca="true">IF((B295=1),(IF((F295&lt;E295),1,(IF((F295=E295),(IF(RAND()&lt;G295,1,0)),0)))),(IF((RAND()&lt;G295),1,0)))</f>
        <v>1</v>
      </c>
      <c r="I295" s="59" t="n">
        <f aca="true">IF((H295=1),0,$D$3+$D$5*(RAND()-0.5))</f>
        <v>0</v>
      </c>
      <c r="J295" s="59" t="n">
        <f aca="false">I295+MAX(D295,J294)</f>
        <v>286.038684604699</v>
      </c>
      <c r="K295" s="59" t="n">
        <f aca="false">IF((H295=0),J295-D295,0)</f>
        <v>0</v>
      </c>
      <c r="L295" s="59" t="n">
        <f aca="true">IF(($H295=0),0,$D$4+$D$5*(RAND()-0.5))</f>
        <v>2.16699686426739</v>
      </c>
      <c r="M295" s="59" t="n">
        <f aca="false">L295+MAX(D295,M294)</f>
        <v>283.150824095993</v>
      </c>
      <c r="N295" s="59" t="n">
        <f aca="false">IF((H295=1),M295-D295,0)</f>
        <v>19.120391292959</v>
      </c>
      <c r="O295" s="5" t="n">
        <v>278</v>
      </c>
      <c r="P295" s="62" t="n">
        <f aca="false">IF((Arterial=0),P294+1,P294)</f>
        <v>139</v>
      </c>
      <c r="Q295" s="62" t="n">
        <f aca="false">IF((Arterial=1),Q294+1,Q294)</f>
        <v>139</v>
      </c>
      <c r="R295" s="63" t="n">
        <f aca="false">IF((RESET=1),0,R295+K295)</f>
        <v>491.950577593633</v>
      </c>
      <c r="S295" s="10" t="e">
        <f aca="false">IF(RESET=1,0,S295+N295)</f>
        <v>#N/A</v>
      </c>
      <c r="T295" s="0" t="n">
        <f aca="false">IF(RESET=1,0,T295+IF(H295=0,1,0))</f>
        <v>27</v>
      </c>
      <c r="U295" s="0" t="e">
        <f aca="false">IF(RESET=1,0,U295+H295)</f>
        <v>#N/A</v>
      </c>
      <c r="V295" s="10" t="n">
        <f aca="false">R295/(T295+0.00001)</f>
        <v>18.2203850144364</v>
      </c>
      <c r="W295" s="10" t="e">
        <f aca="false">S295/(U295+0.0001)</f>
        <v>#N/A</v>
      </c>
      <c r="X295" s="60" t="n">
        <f aca="false">IF(Informed=1,K295,0)</f>
        <v>0</v>
      </c>
      <c r="Y295" s="60" t="n">
        <f aca="false">IF(Informed=0,K295,0)</f>
        <v>0</v>
      </c>
      <c r="Z295" s="60" t="n">
        <f aca="false">IF(Informed=1,N295,0)</f>
        <v>0</v>
      </c>
      <c r="AA295" s="60" t="n">
        <f aca="false">IF(Informed=0,N295,0)</f>
        <v>19.120391292959</v>
      </c>
      <c r="AB295" s="64" t="n">
        <f aca="false">IF(Arterial=0,IF(Informed=1,1,0),0)</f>
        <v>0</v>
      </c>
      <c r="AC295" s="64" t="n">
        <f aca="false">IF(Arterial=0,IF(Informed=0,1,0),0)</f>
        <v>0</v>
      </c>
      <c r="AD295" s="64" t="n">
        <f aca="false">IF(Arterial=1,IF(Informed=1,1,0),0)</f>
        <v>0</v>
      </c>
      <c r="AE295" s="64" t="n">
        <f aca="false">IF(Arterial=1,IF(Informed=0,1,0),0)</f>
        <v>1</v>
      </c>
      <c r="AF295" s="57" t="n">
        <f aca="false">IF(AB295=1,(X295-G$1030)^2,0)</f>
        <v>0</v>
      </c>
      <c r="AG295" s="57" t="n">
        <f aca="false">IF(AC295=1,(Y295-H$1030)^2,0)</f>
        <v>0</v>
      </c>
      <c r="AH295" s="57" t="n">
        <f aca="false">IF(AD295=1,(Z295-I$1030)^2,0)</f>
        <v>0</v>
      </c>
      <c r="AI295" s="57" t="n">
        <f aca="false">IF(AE295=1,(AA295-J$1030)^2,0)</f>
        <v>365.589363195863</v>
      </c>
    </row>
    <row r="296" customFormat="false" ht="12" hidden="false" customHeight="false" outlineLevel="0" collapsed="false">
      <c r="A296" s="5" t="n">
        <v>279</v>
      </c>
      <c r="B296" s="58" t="n">
        <f aca="true">IF(RAND()&lt;$D$8,1,0)</f>
        <v>0</v>
      </c>
      <c r="C296" s="47" t="n">
        <f aca="true">-LN(RAND())/$D$2</f>
        <v>0.178431158607442</v>
      </c>
      <c r="D296" s="59" t="n">
        <f aca="false">D295+C296</f>
        <v>264.208863961641</v>
      </c>
      <c r="E296" s="60" t="n">
        <f aca="false">MAX($D$3,(1+P295-VLOOKUP(VALUE(D296),$J$18:$Q295,7,TRUE()))*$D$3)</f>
        <v>24</v>
      </c>
      <c r="F296" s="60" t="n">
        <f aca="false">MAX($D$4,(1+Q295-VLOOKUP(VALUE(D296),$M$18:$Q295,5,TRUE()))*$D$4)</f>
        <v>22</v>
      </c>
      <c r="G296" s="61" t="n">
        <v>0.5</v>
      </c>
      <c r="H296" s="59" t="n">
        <f aca="true">IF((B296=1),(IF((F296&lt;E296),1,(IF((F296=E296),(IF(RAND()&lt;G296,1,0)),0)))),(IF((RAND()&lt;G296),1,0)))</f>
        <v>1</v>
      </c>
      <c r="I296" s="59" t="n">
        <f aca="true">IF((H296=1),0,$D$3+$D$5*(RAND()-0.5))</f>
        <v>0</v>
      </c>
      <c r="J296" s="59" t="n">
        <f aca="false">I296+MAX(D296,J295)</f>
        <v>286.038684604699</v>
      </c>
      <c r="K296" s="59" t="n">
        <f aca="false">IF((H296=0),J296-D296,0)</f>
        <v>0</v>
      </c>
      <c r="L296" s="59" t="n">
        <f aca="true">IF(($H296=0),0,$D$4+$D$5*(RAND()-0.5))</f>
        <v>2.11936312576334</v>
      </c>
      <c r="M296" s="59" t="n">
        <f aca="false">L296+MAX(D296,M295)</f>
        <v>285.270187221756</v>
      </c>
      <c r="N296" s="59" t="n">
        <f aca="false">IF((H296=1),M296-D296,0)</f>
        <v>21.0613232601149</v>
      </c>
      <c r="O296" s="5" t="n">
        <v>279</v>
      </c>
      <c r="P296" s="62" t="n">
        <f aca="false">IF((Arterial=0),P295+1,P295)</f>
        <v>139</v>
      </c>
      <c r="Q296" s="62" t="n">
        <f aca="false">IF((Arterial=1),Q295+1,Q295)</f>
        <v>140</v>
      </c>
      <c r="R296" s="63" t="n">
        <f aca="false">IF((RESET=1),0,R296+K296)</f>
        <v>486.383625458792</v>
      </c>
      <c r="S296" s="10" t="e">
        <f aca="false">IF(RESET=1,0,S296+N296)</f>
        <v>#N/A</v>
      </c>
      <c r="T296" s="0" t="n">
        <f aca="false">IF(RESET=1,0,T296+IF(H296=0,1,0))</f>
        <v>27</v>
      </c>
      <c r="U296" s="0" t="e">
        <f aca="false">IF(RESET=1,0,U296+H296)</f>
        <v>#N/A</v>
      </c>
      <c r="V296" s="10" t="n">
        <f aca="false">R296/(T296+0.00001)</f>
        <v>18.0142016783991</v>
      </c>
      <c r="W296" s="10" t="e">
        <f aca="false">S296/(U296+0.0001)</f>
        <v>#N/A</v>
      </c>
      <c r="X296" s="60" t="n">
        <f aca="false">IF(Informed=1,K296,0)</f>
        <v>0</v>
      </c>
      <c r="Y296" s="60" t="n">
        <f aca="false">IF(Informed=0,K296,0)</f>
        <v>0</v>
      </c>
      <c r="Z296" s="60" t="n">
        <f aca="false">IF(Informed=1,N296,0)</f>
        <v>0</v>
      </c>
      <c r="AA296" s="60" t="n">
        <f aca="false">IF(Informed=0,N296,0)</f>
        <v>21.0613232601149</v>
      </c>
      <c r="AB296" s="64" t="n">
        <f aca="false">IF(Arterial=0,IF(Informed=1,1,0),0)</f>
        <v>0</v>
      </c>
      <c r="AC296" s="64" t="n">
        <f aca="false">IF(Arterial=0,IF(Informed=0,1,0),0)</f>
        <v>0</v>
      </c>
      <c r="AD296" s="64" t="n">
        <f aca="false">IF(Arterial=1,IF(Informed=1,1,0),0)</f>
        <v>0</v>
      </c>
      <c r="AE296" s="64" t="n">
        <f aca="false">IF(Arterial=1,IF(Informed=0,1,0),0)</f>
        <v>1</v>
      </c>
      <c r="AF296" s="57" t="n">
        <f aca="false">IF(AB296=1,(X296-G$1030)^2,0)</f>
        <v>0</v>
      </c>
      <c r="AG296" s="57" t="n">
        <f aca="false">IF(AC296=1,(Y296-H$1030)^2,0)</f>
        <v>0</v>
      </c>
      <c r="AH296" s="57" t="n">
        <f aca="false">IF(AD296=1,(Z296-I$1030)^2,0)</f>
        <v>0</v>
      </c>
      <c r="AI296" s="57" t="n">
        <f aca="false">IF(AE296=1,(AA296-J$1030)^2,0)</f>
        <v>443.579337467058</v>
      </c>
    </row>
    <row r="297" customFormat="false" ht="12" hidden="false" customHeight="false" outlineLevel="0" collapsed="false">
      <c r="A297" s="5" t="n">
        <v>280</v>
      </c>
      <c r="B297" s="58" t="n">
        <f aca="true">IF(RAND()&lt;$D$8,1,0)</f>
        <v>1</v>
      </c>
      <c r="C297" s="47" t="n">
        <f aca="true">-LN(RAND())/$D$2</f>
        <v>0.082526912913238</v>
      </c>
      <c r="D297" s="59" t="n">
        <f aca="false">D296+C297</f>
        <v>264.291390874555</v>
      </c>
      <c r="E297" s="60" t="n">
        <f aca="false">MAX($D$3,(1+P296-VLOOKUP(VALUE(D297),$J$18:$Q296,7,TRUE()))*$D$3)</f>
        <v>24</v>
      </c>
      <c r="F297" s="60" t="n">
        <f aca="false">MAX($D$4,(1+Q296-VLOOKUP(VALUE(D297),$M$18:$Q296,5,TRUE()))*$D$4)</f>
        <v>24</v>
      </c>
      <c r="G297" s="61" t="n">
        <v>0.5</v>
      </c>
      <c r="H297" s="59" t="n">
        <f aca="true">IF((B297=1),(IF((F297&lt;E297),1,(IF((F297=E297),(IF(RAND()&lt;G297,1,0)),0)))),(IF((RAND()&lt;G297),1,0)))</f>
        <v>1</v>
      </c>
      <c r="I297" s="59" t="n">
        <f aca="true">IF((H297=1),0,$D$3+$D$5*(RAND()-0.5))</f>
        <v>0</v>
      </c>
      <c r="J297" s="59" t="n">
        <f aca="false">I297+MAX(D297,J296)</f>
        <v>286.038684604699</v>
      </c>
      <c r="K297" s="59" t="n">
        <f aca="false">IF((H297=0),J297-D297,0)</f>
        <v>0</v>
      </c>
      <c r="L297" s="59" t="n">
        <f aca="true">IF(($H297=0),0,$D$4+$D$5*(RAND()-0.5))</f>
        <v>2.15482809112904</v>
      </c>
      <c r="M297" s="59" t="n">
        <f aca="false">L297+MAX(D297,M296)</f>
        <v>287.425015312885</v>
      </c>
      <c r="N297" s="59" t="n">
        <f aca="false">IF((H297=1),M297-D297,0)</f>
        <v>23.1336244383307</v>
      </c>
      <c r="O297" s="5" t="n">
        <v>280</v>
      </c>
      <c r="P297" s="62" t="n">
        <f aca="false">IF((Arterial=0),P296+1,P296)</f>
        <v>139</v>
      </c>
      <c r="Q297" s="62" t="n">
        <f aca="false">IF((Arterial=1),Q296+1,Q296)</f>
        <v>141</v>
      </c>
      <c r="R297" s="63" t="n">
        <f aca="false">IF((RESET=1),0,R297+K297)</f>
        <v>500.166868685728</v>
      </c>
      <c r="S297" s="10" t="e">
        <f aca="false">IF(RESET=1,0,S297+N297)</f>
        <v>#N/A</v>
      </c>
      <c r="T297" s="0" t="n">
        <f aca="false">IF(RESET=1,0,T297+IF(H297=0,1,0))</f>
        <v>30</v>
      </c>
      <c r="U297" s="0" t="e">
        <f aca="false">IF(RESET=1,0,U297+H297)</f>
        <v>#N/A</v>
      </c>
      <c r="V297" s="10" t="n">
        <f aca="false">R297/(T297+0.00001)</f>
        <v>16.6722233987831</v>
      </c>
      <c r="W297" s="10" t="e">
        <f aca="false">S297/(U297+0.0001)</f>
        <v>#N/A</v>
      </c>
      <c r="X297" s="60" t="n">
        <f aca="false">IF(Informed=1,K297,0)</f>
        <v>0</v>
      </c>
      <c r="Y297" s="60" t="n">
        <f aca="false">IF(Informed=0,K297,0)</f>
        <v>0</v>
      </c>
      <c r="Z297" s="60" t="n">
        <f aca="false">IF(Informed=1,N297,0)</f>
        <v>23.1336244383307</v>
      </c>
      <c r="AA297" s="60" t="n">
        <f aca="false">IF(Informed=0,N297,0)</f>
        <v>0</v>
      </c>
      <c r="AB297" s="64" t="n">
        <f aca="false">IF(Arterial=0,IF(Informed=1,1,0),0)</f>
        <v>0</v>
      </c>
      <c r="AC297" s="64" t="n">
        <f aca="false">IF(Arterial=0,IF(Informed=0,1,0),0)</f>
        <v>0</v>
      </c>
      <c r="AD297" s="64" t="n">
        <f aca="false">IF(Arterial=1,IF(Informed=1,1,0),0)</f>
        <v>1</v>
      </c>
      <c r="AE297" s="64" t="n">
        <f aca="false">IF(Arterial=1,IF(Informed=0,1,0),0)</f>
        <v>0</v>
      </c>
      <c r="AF297" s="57" t="n">
        <f aca="false">IF(AB297=1,(X297-G$1030)^2,0)</f>
        <v>0</v>
      </c>
      <c r="AG297" s="57" t="n">
        <f aca="false">IF(AC297=1,(Y297-H$1030)^2,0)</f>
        <v>0</v>
      </c>
      <c r="AH297" s="57" t="n">
        <f aca="false">IF(AD297=1,(Z297-I$1030)^2,0)</f>
        <v>535.164579653733</v>
      </c>
      <c r="AI297" s="57" t="n">
        <f aca="false">IF(AE297=1,(AA297-J$1030)^2,0)</f>
        <v>0</v>
      </c>
    </row>
    <row r="298" customFormat="false" ht="12" hidden="false" customHeight="false" outlineLevel="0" collapsed="false">
      <c r="A298" s="5" t="n">
        <v>281</v>
      </c>
      <c r="B298" s="58" t="n">
        <f aca="true">IF(RAND()&lt;$D$8,1,0)</f>
        <v>1</v>
      </c>
      <c r="C298" s="47" t="n">
        <f aca="true">-LN(RAND())/$D$2</f>
        <v>0.95466466502051</v>
      </c>
      <c r="D298" s="59" t="n">
        <f aca="false">D297+C298</f>
        <v>265.246055539575</v>
      </c>
      <c r="E298" s="60" t="n">
        <f aca="false">MAX($D$3,(1+P297-VLOOKUP(VALUE(D298),$J$18:$Q297,7,TRUE()))*$D$3)</f>
        <v>24</v>
      </c>
      <c r="F298" s="60" t="n">
        <f aca="false">MAX($D$4,(1+Q297-VLOOKUP(VALUE(D298),$M$18:$Q297,5,TRUE()))*$D$4)</f>
        <v>24</v>
      </c>
      <c r="G298" s="61" t="n">
        <v>0.5</v>
      </c>
      <c r="H298" s="59" t="n">
        <f aca="true">IF((B298=1),(IF((F298&lt;E298),1,(IF((F298=E298),(IF(RAND()&lt;G298,1,0)),0)))),(IF((RAND()&lt;G298),1,0)))</f>
        <v>0</v>
      </c>
      <c r="I298" s="59" t="n">
        <f aca="true">IF((H298=1),0,$D$3+$D$5*(RAND()-0.5))</f>
        <v>2.02240219702344</v>
      </c>
      <c r="J298" s="59" t="n">
        <f aca="false">I298+MAX(D298,J297)</f>
        <v>288.061086801723</v>
      </c>
      <c r="K298" s="59" t="n">
        <f aca="false">IF((H298=0),J298-D298,0)</f>
        <v>22.8150312621474</v>
      </c>
      <c r="L298" s="59" t="n">
        <f aca="true">IF(($H298=0),0,$D$4+$D$5*(RAND()-0.5))</f>
        <v>0</v>
      </c>
      <c r="M298" s="59" t="n">
        <f aca="false">L298+MAX(D298,M297)</f>
        <v>287.425015312885</v>
      </c>
      <c r="N298" s="59" t="n">
        <f aca="false">IF((H298=1),M298-D298,0)</f>
        <v>0</v>
      </c>
      <c r="O298" s="5" t="n">
        <v>281</v>
      </c>
      <c r="P298" s="62" t="n">
        <f aca="false">IF((Arterial=0),P297+1,P297)</f>
        <v>140</v>
      </c>
      <c r="Q298" s="62" t="n">
        <f aca="false">IF((Arterial=1),Q297+1,Q297)</f>
        <v>141</v>
      </c>
      <c r="R298" s="63" t="e">
        <f aca="false">IF((RESET=1),0,R298+K298)</f>
        <v>#N/A</v>
      </c>
      <c r="S298" s="10" t="n">
        <f aca="false">IF(RESET=1,0,S298+N298)</f>
        <v>382.649502988873</v>
      </c>
      <c r="T298" s="0" t="e">
        <f aca="false">IF(RESET=1,0,T298+IF(H298=0,1,0))</f>
        <v>#N/A</v>
      </c>
      <c r="U298" s="0" t="n">
        <f aca="false">IF(RESET=1,0,U298+H298)</f>
        <v>23</v>
      </c>
      <c r="V298" s="10" t="e">
        <f aca="false">R298/(T298+0.00001)</f>
        <v>#N/A</v>
      </c>
      <c r="W298" s="10" t="n">
        <f aca="false">S298/(U298+0.0001)</f>
        <v>16.6368625783746</v>
      </c>
      <c r="X298" s="60" t="n">
        <f aca="false">IF(Informed=1,K298,0)</f>
        <v>22.8150312621474</v>
      </c>
      <c r="Y298" s="60" t="n">
        <f aca="false">IF(Informed=0,K298,0)</f>
        <v>0</v>
      </c>
      <c r="Z298" s="60" t="n">
        <f aca="false">IF(Informed=1,N298,0)</f>
        <v>0</v>
      </c>
      <c r="AA298" s="60" t="n">
        <f aca="false">IF(Informed=0,N298,0)</f>
        <v>0</v>
      </c>
      <c r="AB298" s="64" t="n">
        <f aca="false">IF(Arterial=0,IF(Informed=1,1,0),0)</f>
        <v>1</v>
      </c>
      <c r="AC298" s="64" t="n">
        <f aca="false">IF(Arterial=0,IF(Informed=0,1,0),0)</f>
        <v>0</v>
      </c>
      <c r="AD298" s="64" t="n">
        <f aca="false">IF(Arterial=1,IF(Informed=1,1,0),0)</f>
        <v>0</v>
      </c>
      <c r="AE298" s="64" t="n">
        <f aca="false">IF(Arterial=1,IF(Informed=0,1,0),0)</f>
        <v>0</v>
      </c>
      <c r="AF298" s="57" t="n">
        <f aca="false">IF(AB298=1,(X298-G$1030)^2,0)</f>
        <v>520.525651492765</v>
      </c>
      <c r="AG298" s="57" t="n">
        <f aca="false">IF(AC298=1,(Y298-H$1030)^2,0)</f>
        <v>0</v>
      </c>
      <c r="AH298" s="57" t="n">
        <f aca="false">IF(AD298=1,(Z298-I$1030)^2,0)</f>
        <v>0</v>
      </c>
      <c r="AI298" s="57" t="n">
        <f aca="false">IF(AE298=1,(AA298-J$1030)^2,0)</f>
        <v>0</v>
      </c>
    </row>
    <row r="299" customFormat="false" ht="12" hidden="false" customHeight="false" outlineLevel="0" collapsed="false">
      <c r="A299" s="5" t="n">
        <v>282</v>
      </c>
      <c r="B299" s="58" t="n">
        <f aca="true">IF(RAND()&lt;$D$8,1,0)</f>
        <v>1</v>
      </c>
      <c r="C299" s="47" t="n">
        <f aca="true">-LN(RAND())/$D$2</f>
        <v>0.487372434900003</v>
      </c>
      <c r="D299" s="59" t="n">
        <f aca="false">D298+C299</f>
        <v>265.733427974475</v>
      </c>
      <c r="E299" s="60" t="n">
        <f aca="false">MAX($D$3,(1+P298-VLOOKUP(VALUE(D299),$J$18:$Q298,7,TRUE()))*$D$3)</f>
        <v>24</v>
      </c>
      <c r="F299" s="60" t="n">
        <f aca="false">MAX($D$4,(1+Q298-VLOOKUP(VALUE(D299),$M$18:$Q298,5,TRUE()))*$D$4)</f>
        <v>24</v>
      </c>
      <c r="G299" s="61" t="n">
        <v>0.5</v>
      </c>
      <c r="H299" s="59" t="n">
        <f aca="true">IF((B299=1),(IF((F299&lt;E299),1,(IF((F299=E299),(IF(RAND()&lt;G299,1,0)),0)))),(IF((RAND()&lt;G299),1,0)))</f>
        <v>1</v>
      </c>
      <c r="I299" s="59" t="n">
        <f aca="true">IF((H299=1),0,$D$3+$D$5*(RAND()-0.5))</f>
        <v>0</v>
      </c>
      <c r="J299" s="59" t="n">
        <f aca="false">I299+MAX(D299,J298)</f>
        <v>288.061086801723</v>
      </c>
      <c r="K299" s="59" t="n">
        <f aca="false">IF((H299=0),J299-D299,0)</f>
        <v>0</v>
      </c>
      <c r="L299" s="59" t="n">
        <f aca="true">IF(($H299=0),0,$D$4+$D$5*(RAND()-0.5))</f>
        <v>2.22020412958171</v>
      </c>
      <c r="M299" s="59" t="n">
        <f aca="false">L299+MAX(D299,M298)</f>
        <v>289.645219442467</v>
      </c>
      <c r="N299" s="59" t="n">
        <f aca="false">IF((H299=1),M299-D299,0)</f>
        <v>23.9117914679919</v>
      </c>
      <c r="O299" s="5" t="n">
        <v>282</v>
      </c>
      <c r="P299" s="62" t="n">
        <f aca="false">IF((Arterial=0),P298+1,P298)</f>
        <v>140</v>
      </c>
      <c r="Q299" s="62" t="n">
        <f aca="false">IF((Arterial=1),Q298+1,Q298)</f>
        <v>142</v>
      </c>
      <c r="R299" s="63" t="n">
        <f aca="false">IF((RESET=1),0,R299+K299)</f>
        <v>402.143485177605</v>
      </c>
      <c r="S299" s="10" t="e">
        <f aca="false">IF(RESET=1,0,S299+N299)</f>
        <v>#N/A</v>
      </c>
      <c r="T299" s="0" t="n">
        <f aca="false">IF(RESET=1,0,T299+IF(H299=0,1,0))</f>
        <v>26</v>
      </c>
      <c r="U299" s="0" t="e">
        <f aca="false">IF(RESET=1,0,U299+H299)</f>
        <v>#N/A</v>
      </c>
      <c r="V299" s="10" t="n">
        <f aca="false">R299/(T299+0.00001)</f>
        <v>15.4670511733497</v>
      </c>
      <c r="W299" s="10" t="e">
        <f aca="false">S299/(U299+0.0001)</f>
        <v>#N/A</v>
      </c>
      <c r="X299" s="60" t="n">
        <f aca="false">IF(Informed=1,K299,0)</f>
        <v>0</v>
      </c>
      <c r="Y299" s="60" t="n">
        <f aca="false">IF(Informed=0,K299,0)</f>
        <v>0</v>
      </c>
      <c r="Z299" s="60" t="n">
        <f aca="false">IF(Informed=1,N299,0)</f>
        <v>23.9117914679919</v>
      </c>
      <c r="AA299" s="60" t="n">
        <f aca="false">IF(Informed=0,N299,0)</f>
        <v>0</v>
      </c>
      <c r="AB299" s="64" t="n">
        <f aca="false">IF(Arterial=0,IF(Informed=1,1,0),0)</f>
        <v>0</v>
      </c>
      <c r="AC299" s="64" t="n">
        <f aca="false">IF(Arterial=0,IF(Informed=0,1,0),0)</f>
        <v>0</v>
      </c>
      <c r="AD299" s="64" t="n">
        <f aca="false">IF(Arterial=1,IF(Informed=1,1,0),0)</f>
        <v>1</v>
      </c>
      <c r="AE299" s="64" t="n">
        <f aca="false">IF(Arterial=1,IF(Informed=0,1,0),0)</f>
        <v>0</v>
      </c>
      <c r="AF299" s="57" t="n">
        <f aca="false">IF(AB299=1,(X299-G$1030)^2,0)</f>
        <v>0</v>
      </c>
      <c r="AG299" s="57" t="n">
        <f aca="false">IF(AC299=1,(Y299-H$1030)^2,0)</f>
        <v>0</v>
      </c>
      <c r="AH299" s="57" t="n">
        <f aca="false">IF(AD299=1,(Z299-I$1030)^2,0)</f>
        <v>571.773771208731</v>
      </c>
      <c r="AI299" s="57" t="n">
        <f aca="false">IF(AE299=1,(AA299-J$1030)^2,0)</f>
        <v>0</v>
      </c>
    </row>
    <row r="300" customFormat="false" ht="12" hidden="false" customHeight="false" outlineLevel="0" collapsed="false">
      <c r="A300" s="5" t="n">
        <v>283</v>
      </c>
      <c r="B300" s="58" t="n">
        <f aca="true">IF(RAND()&lt;$D$8,1,0)</f>
        <v>1</v>
      </c>
      <c r="C300" s="47" t="n">
        <f aca="true">-LN(RAND())/$D$2</f>
        <v>0.437534002321878</v>
      </c>
      <c r="D300" s="59" t="n">
        <f aca="false">D299+C300</f>
        <v>266.170961976797</v>
      </c>
      <c r="E300" s="60" t="n">
        <f aca="false">MAX($D$3,(1+P299-VLOOKUP(VALUE(D300),$J$18:$Q299,7,TRUE()))*$D$3)</f>
        <v>24</v>
      </c>
      <c r="F300" s="60" t="n">
        <f aca="false">MAX($D$4,(1+Q299-VLOOKUP(VALUE(D300),$M$18:$Q299,5,TRUE()))*$D$4)</f>
        <v>26</v>
      </c>
      <c r="G300" s="61" t="n">
        <v>0.5</v>
      </c>
      <c r="H300" s="59" t="n">
        <f aca="true">IF((B300=1),(IF((F300&lt;E300),1,(IF((F300=E300),(IF(RAND()&lt;G300,1,0)),0)))),(IF((RAND()&lt;G300),1,0)))</f>
        <v>0</v>
      </c>
      <c r="I300" s="59" t="n">
        <f aca="true">IF((H300=1),0,$D$3+$D$5*(RAND()-0.5))</f>
        <v>2.02797860036024</v>
      </c>
      <c r="J300" s="59" t="n">
        <f aca="false">I300+MAX(D300,J299)</f>
        <v>290.089065402083</v>
      </c>
      <c r="K300" s="59" t="n">
        <f aca="false">IF((H300=0),J300-D300,0)</f>
        <v>23.9181034252858</v>
      </c>
      <c r="L300" s="59" t="n">
        <f aca="true">IF(($H300=0),0,$D$4+$D$5*(RAND()-0.5))</f>
        <v>0</v>
      </c>
      <c r="M300" s="59" t="n">
        <f aca="false">L300+MAX(D300,M299)</f>
        <v>289.645219442467</v>
      </c>
      <c r="N300" s="59" t="n">
        <f aca="false">IF((H300=1),M300-D300,0)</f>
        <v>0</v>
      </c>
      <c r="O300" s="5" t="n">
        <v>283</v>
      </c>
      <c r="P300" s="62" t="n">
        <f aca="false">IF((Arterial=0),P299+1,P299)</f>
        <v>141</v>
      </c>
      <c r="Q300" s="62" t="n">
        <f aca="false">IF((Arterial=1),Q299+1,Q299)</f>
        <v>142</v>
      </c>
      <c r="R300" s="63" t="e">
        <f aca="false">IF((RESET=1),0,R300+K300)</f>
        <v>#N/A</v>
      </c>
      <c r="S300" s="10" t="n">
        <f aca="false">IF(RESET=1,0,S300+N300)</f>
        <v>436.279345610557</v>
      </c>
      <c r="T300" s="0" t="e">
        <f aca="false">IF(RESET=1,0,T300+IF(H300=0,1,0))</f>
        <v>#N/A</v>
      </c>
      <c r="U300" s="0" t="n">
        <f aca="false">IF(RESET=1,0,U300+H300)</f>
        <v>31</v>
      </c>
      <c r="V300" s="10" t="e">
        <f aca="false">R300/(T300+0.00001)</f>
        <v>#N/A</v>
      </c>
      <c r="W300" s="10" t="n">
        <f aca="false">S300/(U300+0.0001)</f>
        <v>14.0734818794313</v>
      </c>
      <c r="X300" s="60" t="n">
        <f aca="false">IF(Informed=1,K300,0)</f>
        <v>23.9181034252858</v>
      </c>
      <c r="Y300" s="60" t="n">
        <f aca="false">IF(Informed=0,K300,0)</f>
        <v>0</v>
      </c>
      <c r="Z300" s="60" t="n">
        <f aca="false">IF(Informed=1,N300,0)</f>
        <v>0</v>
      </c>
      <c r="AA300" s="60" t="n">
        <f aca="false">IF(Informed=0,N300,0)</f>
        <v>0</v>
      </c>
      <c r="AB300" s="64" t="n">
        <f aca="false">IF(Arterial=0,IF(Informed=1,1,0),0)</f>
        <v>1</v>
      </c>
      <c r="AC300" s="64" t="n">
        <f aca="false">IF(Arterial=0,IF(Informed=0,1,0),0)</f>
        <v>0</v>
      </c>
      <c r="AD300" s="64" t="n">
        <f aca="false">IF(Arterial=1,IF(Informed=1,1,0),0)</f>
        <v>0</v>
      </c>
      <c r="AE300" s="64" t="n">
        <f aca="false">IF(Arterial=1,IF(Informed=0,1,0),0)</f>
        <v>0</v>
      </c>
      <c r="AF300" s="57" t="n">
        <f aca="false">IF(AB300=1,(X300-G$1030)^2,0)</f>
        <v>572.07567146267</v>
      </c>
      <c r="AG300" s="57" t="n">
        <f aca="false">IF(AC300=1,(Y300-H$1030)^2,0)</f>
        <v>0</v>
      </c>
      <c r="AH300" s="57" t="n">
        <f aca="false">IF(AD300=1,(Z300-I$1030)^2,0)</f>
        <v>0</v>
      </c>
      <c r="AI300" s="57" t="n">
        <f aca="false">IF(AE300=1,(AA300-J$1030)^2,0)</f>
        <v>0</v>
      </c>
    </row>
    <row r="301" customFormat="false" ht="12" hidden="false" customHeight="false" outlineLevel="0" collapsed="false">
      <c r="A301" s="5" t="n">
        <v>284</v>
      </c>
      <c r="B301" s="58" t="n">
        <f aca="true">IF(RAND()&lt;$D$8,1,0)</f>
        <v>0</v>
      </c>
      <c r="C301" s="47" t="n">
        <f aca="true">-LN(RAND())/$D$2</f>
        <v>0.376428340765542</v>
      </c>
      <c r="D301" s="59" t="n">
        <f aca="false">D300+C301</f>
        <v>266.547390317563</v>
      </c>
      <c r="E301" s="60" t="n">
        <f aca="false">MAX($D$3,(1+P300-VLOOKUP(VALUE(D301),$J$18:$Q300,7,TRUE()))*$D$3)</f>
        <v>26</v>
      </c>
      <c r="F301" s="60" t="n">
        <f aca="false">MAX($D$4,(1+Q300-VLOOKUP(VALUE(D301),$M$18:$Q300,5,TRUE()))*$D$4)</f>
        <v>26</v>
      </c>
      <c r="G301" s="61" t="n">
        <v>0.5</v>
      </c>
      <c r="H301" s="59" t="n">
        <f aca="true">IF((B301=1),(IF((F301&lt;E301),1,(IF((F301=E301),(IF(RAND()&lt;G301,1,0)),0)))),(IF((RAND()&lt;G301),1,0)))</f>
        <v>0</v>
      </c>
      <c r="I301" s="59" t="n">
        <f aca="true">IF((H301=1),0,$D$3+$D$5*(RAND()-0.5))</f>
        <v>2.02938989267931</v>
      </c>
      <c r="J301" s="59" t="n">
        <f aca="false">I301+MAX(D301,J300)</f>
        <v>292.118455294762</v>
      </c>
      <c r="K301" s="59" t="n">
        <f aca="false">IF((H301=0),J301-D301,0)</f>
        <v>25.5710649771996</v>
      </c>
      <c r="L301" s="59" t="n">
        <f aca="true">IF(($H301=0),0,$D$4+$D$5*(RAND()-0.5))</f>
        <v>0</v>
      </c>
      <c r="M301" s="59" t="n">
        <f aca="false">L301+MAX(D301,M300)</f>
        <v>289.645219442467</v>
      </c>
      <c r="N301" s="59" t="n">
        <f aca="false">IF((H301=1),M301-D301,0)</f>
        <v>0</v>
      </c>
      <c r="O301" s="5" t="n">
        <v>284</v>
      </c>
      <c r="P301" s="62" t="n">
        <f aca="false">IF((Arterial=0),P300+1,P300)</f>
        <v>142</v>
      </c>
      <c r="Q301" s="62" t="n">
        <f aca="false">IF((Arterial=1),Q300+1,Q300)</f>
        <v>142</v>
      </c>
      <c r="R301" s="63" t="e">
        <f aca="false">IF((RESET=1),0,R301+K301)</f>
        <v>#N/A</v>
      </c>
      <c r="S301" s="10" t="n">
        <f aca="false">IF(RESET=1,0,S301+N301)</f>
        <v>563.305063064046</v>
      </c>
      <c r="T301" s="0" t="e">
        <f aca="false">IF(RESET=1,0,T301+IF(H301=0,1,0))</f>
        <v>#N/A</v>
      </c>
      <c r="U301" s="0" t="n">
        <f aca="false">IF(RESET=1,0,U301+H301)</f>
        <v>28</v>
      </c>
      <c r="V301" s="10" t="e">
        <f aca="false">R301/(T301+0.00001)</f>
        <v>#N/A</v>
      </c>
      <c r="W301" s="10" t="n">
        <f aca="false">S301/(U301+0.0001)</f>
        <v>20.1179661166941</v>
      </c>
      <c r="X301" s="60" t="n">
        <f aca="false">IF(Informed=1,K301,0)</f>
        <v>0</v>
      </c>
      <c r="Y301" s="60" t="n">
        <f aca="false">IF(Informed=0,K301,0)</f>
        <v>25.5710649771996</v>
      </c>
      <c r="Z301" s="60" t="n">
        <f aca="false">IF(Informed=1,N301,0)</f>
        <v>0</v>
      </c>
      <c r="AA301" s="60" t="n">
        <f aca="false">IF(Informed=0,N301,0)</f>
        <v>0</v>
      </c>
      <c r="AB301" s="64" t="n">
        <f aca="false">IF(Arterial=0,IF(Informed=1,1,0),0)</f>
        <v>0</v>
      </c>
      <c r="AC301" s="64" t="n">
        <f aca="false">IF(Arterial=0,IF(Informed=0,1,0),0)</f>
        <v>1</v>
      </c>
      <c r="AD301" s="64" t="n">
        <f aca="false">IF(Arterial=1,IF(Informed=1,1,0),0)</f>
        <v>0</v>
      </c>
      <c r="AE301" s="64" t="n">
        <f aca="false">IF(Arterial=1,IF(Informed=0,1,0),0)</f>
        <v>0</v>
      </c>
      <c r="AF301" s="57" t="n">
        <f aca="false">IF(AB301=1,(X301-G$1030)^2,0)</f>
        <v>0</v>
      </c>
      <c r="AG301" s="57" t="n">
        <f aca="false">IF(AC301=1,(Y301-H$1030)^2,0)</f>
        <v>653.879364068165</v>
      </c>
      <c r="AH301" s="57" t="n">
        <f aca="false">IF(AD301=1,(Z301-I$1030)^2,0)</f>
        <v>0</v>
      </c>
      <c r="AI301" s="57" t="n">
        <f aca="false">IF(AE301=1,(AA301-J$1030)^2,0)</f>
        <v>0</v>
      </c>
    </row>
    <row r="302" customFormat="false" ht="12" hidden="false" customHeight="false" outlineLevel="0" collapsed="false">
      <c r="A302" s="5" t="n">
        <v>285</v>
      </c>
      <c r="B302" s="58" t="n">
        <f aca="true">IF(RAND()&lt;$D$8,1,0)</f>
        <v>0</v>
      </c>
      <c r="C302" s="47" t="n">
        <f aca="true">-LN(RAND())/$D$2</f>
        <v>1.46741309930313</v>
      </c>
      <c r="D302" s="59" t="n">
        <f aca="false">D301+C302</f>
        <v>268.014803416866</v>
      </c>
      <c r="E302" s="60" t="n">
        <f aca="false">MAX($D$3,(1+P301-VLOOKUP(VALUE(D302),$J$18:$Q301,7,TRUE()))*$D$3)</f>
        <v>26</v>
      </c>
      <c r="F302" s="60" t="n">
        <f aca="false">MAX($D$4,(1+Q301-VLOOKUP(VALUE(D302),$M$18:$Q301,5,TRUE()))*$D$4)</f>
        <v>24</v>
      </c>
      <c r="G302" s="61" t="n">
        <v>0.5</v>
      </c>
      <c r="H302" s="59" t="n">
        <f aca="true">IF((B302=1),(IF((F302&lt;E302),1,(IF((F302=E302),(IF(RAND()&lt;G302,1,0)),0)))),(IF((RAND()&lt;G302),1,0)))</f>
        <v>0</v>
      </c>
      <c r="I302" s="59" t="n">
        <f aca="true">IF((H302=1),0,$D$3+$D$5*(RAND()-0.5))</f>
        <v>1.83472240683732</v>
      </c>
      <c r="J302" s="59" t="n">
        <f aca="false">I302+MAX(D302,J301)</f>
        <v>293.9531777016</v>
      </c>
      <c r="K302" s="59" t="n">
        <f aca="false">IF((H302=0),J302-D302,0)</f>
        <v>25.9383742847338</v>
      </c>
      <c r="L302" s="59" t="n">
        <f aca="true">IF(($H302=0),0,$D$4+$D$5*(RAND()-0.5))</f>
        <v>0</v>
      </c>
      <c r="M302" s="59" t="n">
        <f aca="false">L302+MAX(D302,M301)</f>
        <v>289.645219442467</v>
      </c>
      <c r="N302" s="59" t="n">
        <f aca="false">IF((H302=1),M302-D302,0)</f>
        <v>0</v>
      </c>
      <c r="O302" s="5" t="n">
        <v>285</v>
      </c>
      <c r="P302" s="62" t="n">
        <f aca="false">IF((Arterial=0),P301+1,P301)</f>
        <v>143</v>
      </c>
      <c r="Q302" s="62" t="n">
        <f aca="false">IF((Arterial=1),Q301+1,Q301)</f>
        <v>142</v>
      </c>
      <c r="R302" s="63" t="e">
        <f aca="false">IF((RESET=1),0,R302+K302)</f>
        <v>#N/A</v>
      </c>
      <c r="S302" s="10" t="n">
        <f aca="false">IF(RESET=1,0,S302+N302)</f>
        <v>416.437224904801</v>
      </c>
      <c r="T302" s="0" t="e">
        <f aca="false">IF(RESET=1,0,T302+IF(H302=0,1,0))</f>
        <v>#N/A</v>
      </c>
      <c r="U302" s="0" t="n">
        <f aca="false">IF(RESET=1,0,U302+H302)</f>
        <v>28</v>
      </c>
      <c r="V302" s="10" t="e">
        <f aca="false">R302/(T302+0.00001)</f>
        <v>#N/A</v>
      </c>
      <c r="W302" s="10" t="n">
        <f aca="false">S302/(U302+0.0001)</f>
        <v>14.872704915511</v>
      </c>
      <c r="X302" s="60" t="n">
        <f aca="false">IF(Informed=1,K302,0)</f>
        <v>0</v>
      </c>
      <c r="Y302" s="60" t="n">
        <f aca="false">IF(Informed=0,K302,0)</f>
        <v>25.9383742847338</v>
      </c>
      <c r="Z302" s="60" t="n">
        <f aca="false">IF(Informed=1,N302,0)</f>
        <v>0</v>
      </c>
      <c r="AA302" s="60" t="n">
        <f aca="false">IF(Informed=0,N302,0)</f>
        <v>0</v>
      </c>
      <c r="AB302" s="64" t="n">
        <f aca="false">IF(Arterial=0,IF(Informed=1,1,0),0)</f>
        <v>0</v>
      </c>
      <c r="AC302" s="64" t="n">
        <f aca="false">IF(Arterial=0,IF(Informed=0,1,0),0)</f>
        <v>1</v>
      </c>
      <c r="AD302" s="64" t="n">
        <f aca="false">IF(Arterial=1,IF(Informed=1,1,0),0)</f>
        <v>0</v>
      </c>
      <c r="AE302" s="64" t="n">
        <f aca="false">IF(Arterial=1,IF(Informed=0,1,0),0)</f>
        <v>0</v>
      </c>
      <c r="AF302" s="57" t="n">
        <f aca="false">IF(AB302=1,(X302-G$1030)^2,0)</f>
        <v>0</v>
      </c>
      <c r="AG302" s="57" t="n">
        <f aca="false">IF(AC302=1,(Y302-H$1030)^2,0)</f>
        <v>672.79926053494</v>
      </c>
      <c r="AH302" s="57" t="n">
        <f aca="false">IF(AD302=1,(Z302-I$1030)^2,0)</f>
        <v>0</v>
      </c>
      <c r="AI302" s="57" t="n">
        <f aca="false">IF(AE302=1,(AA302-J$1030)^2,0)</f>
        <v>0</v>
      </c>
    </row>
    <row r="303" customFormat="false" ht="12" hidden="false" customHeight="false" outlineLevel="0" collapsed="false">
      <c r="A303" s="5" t="n">
        <v>286</v>
      </c>
      <c r="B303" s="58" t="n">
        <f aca="true">IF(RAND()&lt;$D$8,1,0)</f>
        <v>1</v>
      </c>
      <c r="C303" s="47" t="n">
        <f aca="true">-LN(RAND())/$D$2</f>
        <v>0.560683154464411</v>
      </c>
      <c r="D303" s="59" t="n">
        <f aca="false">D302+C303</f>
        <v>268.57548657133</v>
      </c>
      <c r="E303" s="60" t="n">
        <f aca="false">MAX($D$3,(1+P302-VLOOKUP(VALUE(D303),$J$18:$Q302,7,TRUE()))*$D$3)</f>
        <v>28</v>
      </c>
      <c r="F303" s="60" t="n">
        <f aca="false">MAX($D$4,(1+Q302-VLOOKUP(VALUE(D303),$M$18:$Q302,5,TRUE()))*$D$4)</f>
        <v>24</v>
      </c>
      <c r="G303" s="61" t="n">
        <v>0.5</v>
      </c>
      <c r="H303" s="59" t="n">
        <f aca="true">IF((B303=1),(IF((F303&lt;E303),1,(IF((F303=E303),(IF(RAND()&lt;G303,1,0)),0)))),(IF((RAND()&lt;G303),1,0)))</f>
        <v>1</v>
      </c>
      <c r="I303" s="59" t="n">
        <f aca="true">IF((H303=1),0,$D$3+$D$5*(RAND()-0.5))</f>
        <v>0</v>
      </c>
      <c r="J303" s="59" t="n">
        <f aca="false">I303+MAX(D303,J302)</f>
        <v>293.9531777016</v>
      </c>
      <c r="K303" s="59" t="n">
        <f aca="false">IF((H303=0),J303-D303,0)</f>
        <v>0</v>
      </c>
      <c r="L303" s="59" t="n">
        <f aca="true">IF(($H303=0),0,$D$4+$D$5*(RAND()-0.5))</f>
        <v>2.06013460853494</v>
      </c>
      <c r="M303" s="59" t="n">
        <f aca="false">L303+MAX(D303,M302)</f>
        <v>291.705354051002</v>
      </c>
      <c r="N303" s="59" t="n">
        <f aca="false">IF((H303=1),M303-D303,0)</f>
        <v>23.1298674796719</v>
      </c>
      <c r="O303" s="5" t="n">
        <v>286</v>
      </c>
      <c r="P303" s="62" t="n">
        <f aca="false">IF((Arterial=0),P302+1,P302)</f>
        <v>143</v>
      </c>
      <c r="Q303" s="62" t="n">
        <f aca="false">IF((Arterial=1),Q302+1,Q302)</f>
        <v>143</v>
      </c>
      <c r="R303" s="63" t="n">
        <f aca="false">IF((RESET=1),0,R303+K303)</f>
        <v>346.529210500234</v>
      </c>
      <c r="S303" s="10" t="e">
        <f aca="false">IF(RESET=1,0,S303+N303)</f>
        <v>#N/A</v>
      </c>
      <c r="T303" s="0" t="n">
        <f aca="false">IF(RESET=1,0,T303+IF(H303=0,1,0))</f>
        <v>21</v>
      </c>
      <c r="U303" s="0" t="e">
        <f aca="false">IF(RESET=1,0,U303+H303)</f>
        <v>#N/A</v>
      </c>
      <c r="V303" s="10" t="n">
        <f aca="false">R303/(T303+0.00001)</f>
        <v>16.5013831184001</v>
      </c>
      <c r="W303" s="10" t="e">
        <f aca="false">S303/(U303+0.0001)</f>
        <v>#N/A</v>
      </c>
      <c r="X303" s="60" t="n">
        <f aca="false">IF(Informed=1,K303,0)</f>
        <v>0</v>
      </c>
      <c r="Y303" s="60" t="n">
        <f aca="false">IF(Informed=0,K303,0)</f>
        <v>0</v>
      </c>
      <c r="Z303" s="60" t="n">
        <f aca="false">IF(Informed=1,N303,0)</f>
        <v>23.1298674796719</v>
      </c>
      <c r="AA303" s="60" t="n">
        <f aca="false">IF(Informed=0,N303,0)</f>
        <v>0</v>
      </c>
      <c r="AB303" s="64" t="n">
        <f aca="false">IF(Arterial=0,IF(Informed=1,1,0),0)</f>
        <v>0</v>
      </c>
      <c r="AC303" s="64" t="n">
        <f aca="false">IF(Arterial=0,IF(Informed=0,1,0),0)</f>
        <v>0</v>
      </c>
      <c r="AD303" s="64" t="n">
        <f aca="false">IF(Arterial=1,IF(Informed=1,1,0),0)</f>
        <v>1</v>
      </c>
      <c r="AE303" s="64" t="n">
        <f aca="false">IF(Arterial=1,IF(Informed=0,1,0),0)</f>
        <v>0</v>
      </c>
      <c r="AF303" s="57" t="n">
        <f aca="false">IF(AB303=1,(X303-G$1030)^2,0)</f>
        <v>0</v>
      </c>
      <c r="AG303" s="57" t="n">
        <f aca="false">IF(AC303=1,(Y303-H$1030)^2,0)</f>
        <v>0</v>
      </c>
      <c r="AH303" s="57" t="n">
        <f aca="false">IF(AD303=1,(Z303-I$1030)^2,0)</f>
        <v>534.990769627185</v>
      </c>
      <c r="AI303" s="57" t="n">
        <f aca="false">IF(AE303=1,(AA303-J$1030)^2,0)</f>
        <v>0</v>
      </c>
    </row>
    <row r="304" customFormat="false" ht="12" hidden="false" customHeight="false" outlineLevel="0" collapsed="false">
      <c r="A304" s="5" t="n">
        <v>287</v>
      </c>
      <c r="B304" s="58" t="n">
        <f aca="true">IF(RAND()&lt;$D$8,1,0)</f>
        <v>0</v>
      </c>
      <c r="C304" s="47" t="n">
        <f aca="true">-LN(RAND())/$D$2</f>
        <v>1.0777771049364</v>
      </c>
      <c r="D304" s="59" t="n">
        <f aca="false">D303+C304</f>
        <v>269.653263676267</v>
      </c>
      <c r="E304" s="60" t="n">
        <f aca="false">MAX($D$3,(1+P303-VLOOKUP(VALUE(D304),$J$18:$Q303,7,TRUE()))*$D$3)</f>
        <v>26</v>
      </c>
      <c r="F304" s="60" t="n">
        <f aca="false">MAX($D$4,(1+Q303-VLOOKUP(VALUE(D304),$M$18:$Q303,5,TRUE()))*$D$4)</f>
        <v>24</v>
      </c>
      <c r="G304" s="61" t="n">
        <v>0.5</v>
      </c>
      <c r="H304" s="59" t="n">
        <f aca="true">IF((B304=1),(IF((F304&lt;E304),1,(IF((F304=E304),(IF(RAND()&lt;G304,1,0)),0)))),(IF((RAND()&lt;G304),1,0)))</f>
        <v>1</v>
      </c>
      <c r="I304" s="59" t="n">
        <f aca="true">IF((H304=1),0,$D$3+$D$5*(RAND()-0.5))</f>
        <v>0</v>
      </c>
      <c r="J304" s="59" t="n">
        <f aca="false">I304+MAX(D304,J303)</f>
        <v>293.9531777016</v>
      </c>
      <c r="K304" s="59" t="n">
        <f aca="false">IF((H304=0),J304-D304,0)</f>
        <v>0</v>
      </c>
      <c r="L304" s="59" t="n">
        <f aca="true">IF(($H304=0),0,$D$4+$D$5*(RAND()-0.5))</f>
        <v>1.83072644078636</v>
      </c>
      <c r="M304" s="59" t="n">
        <f aca="false">L304+MAX(D304,M303)</f>
        <v>293.536080491788</v>
      </c>
      <c r="N304" s="59" t="n">
        <f aca="false">IF((H304=1),M304-D304,0)</f>
        <v>23.8828168155219</v>
      </c>
      <c r="O304" s="5" t="n">
        <v>287</v>
      </c>
      <c r="P304" s="62" t="n">
        <f aca="false">IF((Arterial=0),P303+1,P303)</f>
        <v>143</v>
      </c>
      <c r="Q304" s="62" t="n">
        <f aca="false">IF((Arterial=1),Q303+1,Q303)</f>
        <v>144</v>
      </c>
      <c r="R304" s="63" t="n">
        <f aca="false">IF((RESET=1),0,R304+K304)</f>
        <v>535.199904873008</v>
      </c>
      <c r="S304" s="10" t="e">
        <f aca="false">IF(RESET=1,0,S304+N304)</f>
        <v>#N/A</v>
      </c>
      <c r="T304" s="0" t="n">
        <f aca="false">IF(RESET=1,0,T304+IF(H304=0,1,0))</f>
        <v>29</v>
      </c>
      <c r="U304" s="0" t="e">
        <f aca="false">IF(RESET=1,0,U304+H304)</f>
        <v>#N/A</v>
      </c>
      <c r="V304" s="10" t="n">
        <f aca="false">R304/(T304+0.00001)</f>
        <v>18.4551627697028</v>
      </c>
      <c r="W304" s="10" t="e">
        <f aca="false">S304/(U304+0.0001)</f>
        <v>#N/A</v>
      </c>
      <c r="X304" s="60" t="n">
        <f aca="false">IF(Informed=1,K304,0)</f>
        <v>0</v>
      </c>
      <c r="Y304" s="60" t="n">
        <f aca="false">IF(Informed=0,K304,0)</f>
        <v>0</v>
      </c>
      <c r="Z304" s="60" t="n">
        <f aca="false">IF(Informed=1,N304,0)</f>
        <v>0</v>
      </c>
      <c r="AA304" s="60" t="n">
        <f aca="false">IF(Informed=0,N304,0)</f>
        <v>23.8828168155219</v>
      </c>
      <c r="AB304" s="64" t="n">
        <f aca="false">IF(Arterial=0,IF(Informed=1,1,0),0)</f>
        <v>0</v>
      </c>
      <c r="AC304" s="64" t="n">
        <f aca="false">IF(Arterial=0,IF(Informed=0,1,0),0)</f>
        <v>0</v>
      </c>
      <c r="AD304" s="64" t="n">
        <f aca="false">IF(Arterial=1,IF(Informed=1,1,0),0)</f>
        <v>0</v>
      </c>
      <c r="AE304" s="64" t="n">
        <f aca="false">IF(Arterial=1,IF(Informed=0,1,0),0)</f>
        <v>1</v>
      </c>
      <c r="AF304" s="57" t="n">
        <f aca="false">IF(AB304=1,(X304-G$1030)^2,0)</f>
        <v>0</v>
      </c>
      <c r="AG304" s="57" t="n">
        <f aca="false">IF(AC304=1,(Y304-H$1030)^2,0)</f>
        <v>0</v>
      </c>
      <c r="AH304" s="57" t="n">
        <f aca="false">IF(AD304=1,(Z304-I$1030)^2,0)</f>
        <v>0</v>
      </c>
      <c r="AI304" s="57" t="n">
        <f aca="false">IF(AE304=1,(AA304-J$1030)^2,0)</f>
        <v>570.388939043775</v>
      </c>
    </row>
    <row r="305" customFormat="false" ht="12" hidden="false" customHeight="false" outlineLevel="0" collapsed="false">
      <c r="A305" s="5" t="n">
        <v>288</v>
      </c>
      <c r="B305" s="58" t="n">
        <f aca="true">IF(RAND()&lt;$D$8,1,0)</f>
        <v>0</v>
      </c>
      <c r="C305" s="47" t="n">
        <f aca="true">-LN(RAND())/$D$2</f>
        <v>0.445655778555779</v>
      </c>
      <c r="D305" s="59" t="n">
        <f aca="false">D304+C305</f>
        <v>270.098919454822</v>
      </c>
      <c r="E305" s="60" t="n">
        <f aca="false">MAX($D$3,(1+P304-VLOOKUP(VALUE(D305),$J$18:$Q304,7,TRUE()))*$D$3)</f>
        <v>26</v>
      </c>
      <c r="F305" s="60" t="n">
        <f aca="false">MAX($D$4,(1+Q304-VLOOKUP(VALUE(D305),$M$18:$Q304,5,TRUE()))*$D$4)</f>
        <v>26</v>
      </c>
      <c r="G305" s="61" t="n">
        <v>0.5</v>
      </c>
      <c r="H305" s="59" t="n">
        <f aca="true">IF((B305=1),(IF((F305&lt;E305),1,(IF((F305=E305),(IF(RAND()&lt;G305,1,0)),0)))),(IF((RAND()&lt;G305),1,0)))</f>
        <v>0</v>
      </c>
      <c r="I305" s="59" t="n">
        <f aca="true">IF((H305=1),0,$D$3+$D$5*(RAND()-0.5))</f>
        <v>1.84544057824155</v>
      </c>
      <c r="J305" s="59" t="n">
        <f aca="false">I305+MAX(D305,J304)</f>
        <v>295.798618279841</v>
      </c>
      <c r="K305" s="59" t="n">
        <f aca="false">IF((H305=0),J305-D305,0)</f>
        <v>25.6996988250188</v>
      </c>
      <c r="L305" s="59" t="n">
        <f aca="true">IF(($H305=0),0,$D$4+$D$5*(RAND()-0.5))</f>
        <v>0</v>
      </c>
      <c r="M305" s="59" t="n">
        <f aca="false">L305+MAX(D305,M304)</f>
        <v>293.536080491788</v>
      </c>
      <c r="N305" s="59" t="n">
        <f aca="false">IF((H305=1),M305-D305,0)</f>
        <v>0</v>
      </c>
      <c r="O305" s="5" t="n">
        <v>288</v>
      </c>
      <c r="P305" s="62" t="n">
        <f aca="false">IF((Arterial=0),P304+1,P304)</f>
        <v>144</v>
      </c>
      <c r="Q305" s="62" t="n">
        <f aca="false">IF((Arterial=1),Q304+1,Q304)</f>
        <v>144</v>
      </c>
      <c r="R305" s="63" t="e">
        <f aca="false">IF((RESET=1),0,R305+K305)</f>
        <v>#N/A</v>
      </c>
      <c r="S305" s="10" t="n">
        <f aca="false">IF(RESET=1,0,S305+N305)</f>
        <v>444.156702062292</v>
      </c>
      <c r="T305" s="0" t="e">
        <f aca="false">IF(RESET=1,0,T305+IF(H305=0,1,0))</f>
        <v>#N/A</v>
      </c>
      <c r="U305" s="0" t="n">
        <f aca="false">IF(RESET=1,0,U305+H305)</f>
        <v>21</v>
      </c>
      <c r="V305" s="10" t="e">
        <f aca="false">R305/(T305+0.00001)</f>
        <v>#N/A</v>
      </c>
      <c r="W305" s="10" t="n">
        <f aca="false">S305/(U305+0.0001)</f>
        <v>21.1502184304976</v>
      </c>
      <c r="X305" s="60" t="n">
        <f aca="false">IF(Informed=1,K305,0)</f>
        <v>0</v>
      </c>
      <c r="Y305" s="60" t="n">
        <f aca="false">IF(Informed=0,K305,0)</f>
        <v>25.6996988250188</v>
      </c>
      <c r="Z305" s="60" t="n">
        <f aca="false">IF(Informed=1,N305,0)</f>
        <v>0</v>
      </c>
      <c r="AA305" s="60" t="n">
        <f aca="false">IF(Informed=0,N305,0)</f>
        <v>0</v>
      </c>
      <c r="AB305" s="64" t="n">
        <f aca="false">IF(Arterial=0,IF(Informed=1,1,0),0)</f>
        <v>0</v>
      </c>
      <c r="AC305" s="64" t="n">
        <f aca="false">IF(Arterial=0,IF(Informed=0,1,0),0)</f>
        <v>1</v>
      </c>
      <c r="AD305" s="64" t="n">
        <f aca="false">IF(Arterial=1,IF(Informed=1,1,0),0)</f>
        <v>0</v>
      </c>
      <c r="AE305" s="64" t="n">
        <f aca="false">IF(Arterial=1,IF(Informed=0,1,0),0)</f>
        <v>0</v>
      </c>
      <c r="AF305" s="57" t="n">
        <f aca="false">IF(AB305=1,(X305-G$1030)^2,0)</f>
        <v>0</v>
      </c>
      <c r="AG305" s="57" t="n">
        <f aca="false">IF(AC305=1,(Y305-H$1030)^2,0)</f>
        <v>660.474519696673</v>
      </c>
      <c r="AH305" s="57" t="n">
        <f aca="false">IF(AD305=1,(Z305-I$1030)^2,0)</f>
        <v>0</v>
      </c>
      <c r="AI305" s="57" t="n">
        <f aca="false">IF(AE305=1,(AA305-J$1030)^2,0)</f>
        <v>0</v>
      </c>
    </row>
    <row r="306" customFormat="false" ht="12" hidden="false" customHeight="false" outlineLevel="0" collapsed="false">
      <c r="A306" s="5" t="n">
        <v>289</v>
      </c>
      <c r="B306" s="58" t="n">
        <f aca="true">IF(RAND()&lt;$D$8,1,0)</f>
        <v>0</v>
      </c>
      <c r="C306" s="47" t="n">
        <f aca="true">-LN(RAND())/$D$2</f>
        <v>1.6109082822674</v>
      </c>
      <c r="D306" s="59" t="n">
        <f aca="false">D305+C306</f>
        <v>271.70982773709</v>
      </c>
      <c r="E306" s="60" t="n">
        <f aca="false">MAX($D$3,(1+P305-VLOOKUP(VALUE(D306),$J$18:$Q305,7,TRUE()))*$D$3)</f>
        <v>28</v>
      </c>
      <c r="F306" s="60" t="n">
        <f aca="false">MAX($D$4,(1+Q305-VLOOKUP(VALUE(D306),$M$18:$Q305,5,TRUE()))*$D$4)</f>
        <v>24</v>
      </c>
      <c r="G306" s="61" t="n">
        <v>0.5</v>
      </c>
      <c r="H306" s="59" t="n">
        <f aca="true">IF((B306=1),(IF((F306&lt;E306),1,(IF((F306=E306),(IF(RAND()&lt;G306,1,0)),0)))),(IF((RAND()&lt;G306),1,0)))</f>
        <v>1</v>
      </c>
      <c r="I306" s="59" t="n">
        <f aca="true">IF((H306=1),0,$D$3+$D$5*(RAND()-0.5))</f>
        <v>0</v>
      </c>
      <c r="J306" s="59" t="n">
        <f aca="false">I306+MAX(D306,J305)</f>
        <v>295.798618279841</v>
      </c>
      <c r="K306" s="59" t="n">
        <f aca="false">IF((H306=0),J306-D306,0)</f>
        <v>0</v>
      </c>
      <c r="L306" s="59" t="n">
        <f aca="true">IF(($H306=0),0,$D$4+$D$5*(RAND()-0.5))</f>
        <v>2.16051485185765</v>
      </c>
      <c r="M306" s="59" t="n">
        <f aca="false">L306+MAX(D306,M305)</f>
        <v>295.696595343646</v>
      </c>
      <c r="N306" s="59" t="n">
        <f aca="false">IF((H306=1),M306-D306,0)</f>
        <v>23.9867676065564</v>
      </c>
      <c r="O306" s="5" t="n">
        <v>289</v>
      </c>
      <c r="P306" s="62" t="n">
        <f aca="false">IF((Arterial=0),P305+1,P305)</f>
        <v>144</v>
      </c>
      <c r="Q306" s="62" t="n">
        <f aca="false">IF((Arterial=1),Q305+1,Q305)</f>
        <v>145</v>
      </c>
      <c r="R306" s="63" t="n">
        <f aca="false">IF((RESET=1),0,R306+K306)</f>
        <v>497.599974250676</v>
      </c>
      <c r="S306" s="10" t="e">
        <f aca="false">IF(RESET=1,0,S306+N306)</f>
        <v>#N/A</v>
      </c>
      <c r="T306" s="0" t="n">
        <f aca="false">IF(RESET=1,0,T306+IF(H306=0,1,0))</f>
        <v>28</v>
      </c>
      <c r="U306" s="0" t="e">
        <f aca="false">IF(RESET=1,0,U306+H306)</f>
        <v>#N/A</v>
      </c>
      <c r="V306" s="10" t="n">
        <f aca="false">R306/(T306+0.00001)</f>
        <v>17.7714213048737</v>
      </c>
      <c r="W306" s="10" t="e">
        <f aca="false">S306/(U306+0.0001)</f>
        <v>#N/A</v>
      </c>
      <c r="X306" s="60" t="n">
        <f aca="false">IF(Informed=1,K306,0)</f>
        <v>0</v>
      </c>
      <c r="Y306" s="60" t="n">
        <f aca="false">IF(Informed=0,K306,0)</f>
        <v>0</v>
      </c>
      <c r="Z306" s="60" t="n">
        <f aca="false">IF(Informed=1,N306,0)</f>
        <v>0</v>
      </c>
      <c r="AA306" s="60" t="n">
        <f aca="false">IF(Informed=0,N306,0)</f>
        <v>23.9867676065564</v>
      </c>
      <c r="AB306" s="64" t="n">
        <f aca="false">IF(Arterial=0,IF(Informed=1,1,0),0)</f>
        <v>0</v>
      </c>
      <c r="AC306" s="64" t="n">
        <f aca="false">IF(Arterial=0,IF(Informed=0,1,0),0)</f>
        <v>0</v>
      </c>
      <c r="AD306" s="64" t="n">
        <f aca="false">IF(Arterial=1,IF(Informed=1,1,0),0)</f>
        <v>0</v>
      </c>
      <c r="AE306" s="64" t="n">
        <f aca="false">IF(Arterial=1,IF(Informed=0,1,0),0)</f>
        <v>1</v>
      </c>
      <c r="AF306" s="57" t="n">
        <f aca="false">IF(AB306=1,(X306-G$1030)^2,0)</f>
        <v>0</v>
      </c>
      <c r="AG306" s="57" t="n">
        <f aca="false">IF(AC306=1,(Y306-H$1030)^2,0)</f>
        <v>0</v>
      </c>
      <c r="AH306" s="57" t="n">
        <f aca="false">IF(AD306=1,(Z306-I$1030)^2,0)</f>
        <v>0</v>
      </c>
      <c r="AI306" s="57" t="n">
        <f aca="false">IF(AE306=1,(AA306-J$1030)^2,0)</f>
        <v>575.365020210943</v>
      </c>
    </row>
    <row r="307" customFormat="false" ht="12" hidden="false" customHeight="false" outlineLevel="0" collapsed="false">
      <c r="A307" s="5" t="n">
        <v>290</v>
      </c>
      <c r="B307" s="58" t="n">
        <f aca="true">IF(RAND()&lt;$D$8,1,0)</f>
        <v>1</v>
      </c>
      <c r="C307" s="47" t="n">
        <f aca="true">-LN(RAND())/$D$2</f>
        <v>0.104056057500102</v>
      </c>
      <c r="D307" s="59" t="n">
        <f aca="false">D306+C307</f>
        <v>271.81388379459</v>
      </c>
      <c r="E307" s="60" t="n">
        <f aca="false">MAX($D$3,(1+P306-VLOOKUP(VALUE(D307),$J$18:$Q306,7,TRUE()))*$D$3)</f>
        <v>26</v>
      </c>
      <c r="F307" s="60" t="n">
        <f aca="false">MAX($D$4,(1+Q306-VLOOKUP(VALUE(D307),$M$18:$Q306,5,TRUE()))*$D$4)</f>
        <v>26</v>
      </c>
      <c r="G307" s="61" t="n">
        <v>0.5</v>
      </c>
      <c r="H307" s="59" t="n">
        <f aca="true">IF((B307=1),(IF((F307&lt;E307),1,(IF((F307=E307),(IF(RAND()&lt;G307,1,0)),0)))),(IF((RAND()&lt;G307),1,0)))</f>
        <v>1</v>
      </c>
      <c r="I307" s="59" t="n">
        <f aca="true">IF((H307=1),0,$D$3+$D$5*(RAND()-0.5))</f>
        <v>0</v>
      </c>
      <c r="J307" s="59" t="n">
        <f aca="false">I307+MAX(D307,J306)</f>
        <v>295.798618279841</v>
      </c>
      <c r="K307" s="59" t="n">
        <f aca="false">IF((H307=0),J307-D307,0)</f>
        <v>0</v>
      </c>
      <c r="L307" s="59" t="n">
        <f aca="true">IF(($H307=0),0,$D$4+$D$5*(RAND()-0.5))</f>
        <v>2.08356545870579</v>
      </c>
      <c r="M307" s="59" t="n">
        <f aca="false">L307+MAX(D307,M306)</f>
        <v>297.780160802352</v>
      </c>
      <c r="N307" s="59" t="n">
        <f aca="false">IF((H307=1),M307-D307,0)</f>
        <v>25.9662770077621</v>
      </c>
      <c r="O307" s="5" t="n">
        <v>290</v>
      </c>
      <c r="P307" s="62" t="n">
        <f aca="false">IF((Arterial=0),P306+1,P306)</f>
        <v>144</v>
      </c>
      <c r="Q307" s="62" t="n">
        <f aca="false">IF((Arterial=1),Q306+1,Q306)</f>
        <v>146</v>
      </c>
      <c r="R307" s="63" t="n">
        <f aca="false">IF((RESET=1),0,R307+K307)</f>
        <v>444.958288070943</v>
      </c>
      <c r="S307" s="10" t="e">
        <f aca="false">IF(RESET=1,0,S307+N307)</f>
        <v>#N/A</v>
      </c>
      <c r="T307" s="0" t="n">
        <f aca="false">IF(RESET=1,0,T307+IF(H307=0,1,0))</f>
        <v>26</v>
      </c>
      <c r="U307" s="0" t="e">
        <f aca="false">IF(RESET=1,0,U307+H307)</f>
        <v>#N/A</v>
      </c>
      <c r="V307" s="10" t="n">
        <f aca="false">R307/(T307+0.00001)</f>
        <v>17.1137737282002</v>
      </c>
      <c r="W307" s="10" t="e">
        <f aca="false">S307/(U307+0.0001)</f>
        <v>#N/A</v>
      </c>
      <c r="X307" s="60" t="n">
        <f aca="false">IF(Informed=1,K307,0)</f>
        <v>0</v>
      </c>
      <c r="Y307" s="60" t="n">
        <f aca="false">IF(Informed=0,K307,0)</f>
        <v>0</v>
      </c>
      <c r="Z307" s="60" t="n">
        <f aca="false">IF(Informed=1,N307,0)</f>
        <v>25.9662770077621</v>
      </c>
      <c r="AA307" s="60" t="n">
        <f aca="false">IF(Informed=0,N307,0)</f>
        <v>0</v>
      </c>
      <c r="AB307" s="64" t="n">
        <f aca="false">IF(Arterial=0,IF(Informed=1,1,0),0)</f>
        <v>0</v>
      </c>
      <c r="AC307" s="64" t="n">
        <f aca="false">IF(Arterial=0,IF(Informed=0,1,0),0)</f>
        <v>0</v>
      </c>
      <c r="AD307" s="64" t="n">
        <f aca="false">IF(Arterial=1,IF(Informed=1,1,0),0)</f>
        <v>1</v>
      </c>
      <c r="AE307" s="64" t="n">
        <f aca="false">IF(Arterial=1,IF(Informed=0,1,0),0)</f>
        <v>0</v>
      </c>
      <c r="AF307" s="57" t="n">
        <f aca="false">IF(AB307=1,(X307-G$1030)^2,0)</f>
        <v>0</v>
      </c>
      <c r="AG307" s="57" t="n">
        <f aca="false">IF(AC307=1,(Y307-H$1030)^2,0)</f>
        <v>0</v>
      </c>
      <c r="AH307" s="57" t="n">
        <f aca="false">IF(AD307=1,(Z307-I$1030)^2,0)</f>
        <v>674.247541643833</v>
      </c>
      <c r="AI307" s="57" t="n">
        <f aca="false">IF(AE307=1,(AA307-J$1030)^2,0)</f>
        <v>0</v>
      </c>
    </row>
    <row r="308" customFormat="false" ht="12" hidden="false" customHeight="false" outlineLevel="0" collapsed="false">
      <c r="A308" s="5" t="n">
        <v>291</v>
      </c>
      <c r="B308" s="58" t="n">
        <f aca="true">IF(RAND()&lt;$D$8,1,0)</f>
        <v>1</v>
      </c>
      <c r="C308" s="47" t="n">
        <f aca="true">-LN(RAND())/$D$2</f>
        <v>0.599162512944367</v>
      </c>
      <c r="D308" s="59" t="n">
        <f aca="false">D307+C308</f>
        <v>272.413046307534</v>
      </c>
      <c r="E308" s="60" t="n">
        <f aca="false">MAX($D$3,(1+P307-VLOOKUP(VALUE(D308),$J$18:$Q307,7,TRUE()))*$D$3)</f>
        <v>26</v>
      </c>
      <c r="F308" s="60" t="n">
        <f aca="false">MAX($D$4,(1+Q307-VLOOKUP(VALUE(D308),$M$18:$Q307,5,TRUE()))*$D$4)</f>
        <v>28</v>
      </c>
      <c r="G308" s="61" t="n">
        <v>0.5</v>
      </c>
      <c r="H308" s="59" t="n">
        <f aca="true">IF((B308=1),(IF((F308&lt;E308),1,(IF((F308=E308),(IF(RAND()&lt;G308,1,0)),0)))),(IF((RAND()&lt;G308),1,0)))</f>
        <v>0</v>
      </c>
      <c r="I308" s="59" t="n">
        <f aca="true">IF((H308=1),0,$D$3+$D$5*(RAND()-0.5))</f>
        <v>1.76143335666868</v>
      </c>
      <c r="J308" s="59" t="n">
        <f aca="false">I308+MAX(D308,J307)</f>
        <v>297.56005163651</v>
      </c>
      <c r="K308" s="59" t="n">
        <f aca="false">IF((H308=0),J308-D308,0)</f>
        <v>25.1470053289756</v>
      </c>
      <c r="L308" s="59" t="n">
        <f aca="true">IF(($H308=0),0,$D$4+$D$5*(RAND()-0.5))</f>
        <v>0</v>
      </c>
      <c r="M308" s="59" t="n">
        <f aca="false">L308+MAX(D308,M307)</f>
        <v>297.780160802352</v>
      </c>
      <c r="N308" s="59" t="n">
        <f aca="false">IF((H308=1),M308-D308,0)</f>
        <v>0</v>
      </c>
      <c r="O308" s="5" t="n">
        <v>291</v>
      </c>
      <c r="P308" s="62" t="n">
        <f aca="false">IF((Arterial=0),P307+1,P307)</f>
        <v>145</v>
      </c>
      <c r="Q308" s="62" t="n">
        <f aca="false">IF((Arterial=1),Q307+1,Q307)</f>
        <v>146</v>
      </c>
      <c r="R308" s="63" t="e">
        <f aca="false">IF((RESET=1),0,R308+K308)</f>
        <v>#N/A</v>
      </c>
      <c r="S308" s="10" t="n">
        <f aca="false">IF(RESET=1,0,S308+N308)</f>
        <v>483.092045592228</v>
      </c>
      <c r="T308" s="0" t="e">
        <f aca="false">IF(RESET=1,0,T308+IF(H308=0,1,0))</f>
        <v>#N/A</v>
      </c>
      <c r="U308" s="0" t="n">
        <f aca="false">IF(RESET=1,0,U308+H308)</f>
        <v>25</v>
      </c>
      <c r="V308" s="10" t="e">
        <f aca="false">R308/(T308+0.00001)</f>
        <v>#N/A</v>
      </c>
      <c r="W308" s="10" t="n">
        <f aca="false">S308/(U308+0.0001)</f>
        <v>19.323604529271</v>
      </c>
      <c r="X308" s="60" t="n">
        <f aca="false">IF(Informed=1,K308,0)</f>
        <v>25.1470053289756</v>
      </c>
      <c r="Y308" s="60" t="n">
        <f aca="false">IF(Informed=0,K308,0)</f>
        <v>0</v>
      </c>
      <c r="Z308" s="60" t="n">
        <f aca="false">IF(Informed=1,N308,0)</f>
        <v>0</v>
      </c>
      <c r="AA308" s="60" t="n">
        <f aca="false">IF(Informed=0,N308,0)</f>
        <v>0</v>
      </c>
      <c r="AB308" s="64" t="n">
        <f aca="false">IF(Arterial=0,IF(Informed=1,1,0),0)</f>
        <v>1</v>
      </c>
      <c r="AC308" s="64" t="n">
        <f aca="false">IF(Arterial=0,IF(Informed=0,1,0),0)</f>
        <v>0</v>
      </c>
      <c r="AD308" s="64" t="n">
        <f aca="false">IF(Arterial=1,IF(Informed=1,1,0),0)</f>
        <v>0</v>
      </c>
      <c r="AE308" s="64" t="n">
        <f aca="false">IF(Arterial=1,IF(Informed=0,1,0),0)</f>
        <v>0</v>
      </c>
      <c r="AF308" s="57" t="n">
        <f aca="false">IF(AB308=1,(X308-G$1030)^2,0)</f>
        <v>632.371877015529</v>
      </c>
      <c r="AG308" s="57" t="n">
        <f aca="false">IF(AC308=1,(Y308-H$1030)^2,0)</f>
        <v>0</v>
      </c>
      <c r="AH308" s="57" t="n">
        <f aca="false">IF(AD308=1,(Z308-I$1030)^2,0)</f>
        <v>0</v>
      </c>
      <c r="AI308" s="57" t="n">
        <f aca="false">IF(AE308=1,(AA308-J$1030)^2,0)</f>
        <v>0</v>
      </c>
    </row>
    <row r="309" customFormat="false" ht="12" hidden="false" customHeight="false" outlineLevel="0" collapsed="false">
      <c r="A309" s="5" t="n">
        <v>292</v>
      </c>
      <c r="B309" s="58" t="n">
        <f aca="true">IF(RAND()&lt;$D$8,1,0)</f>
        <v>0</v>
      </c>
      <c r="C309" s="47" t="n">
        <f aca="true">-LN(RAND())/$D$2</f>
        <v>0.168073816105225</v>
      </c>
      <c r="D309" s="59" t="n">
        <f aca="false">D308+C309</f>
        <v>272.581120123639</v>
      </c>
      <c r="E309" s="60" t="n">
        <f aca="false">MAX($D$3,(1+P308-VLOOKUP(VALUE(D309),$J$18:$Q308,7,TRUE()))*$D$3)</f>
        <v>28</v>
      </c>
      <c r="F309" s="60" t="n">
        <f aca="false">MAX($D$4,(1+Q308-VLOOKUP(VALUE(D309),$M$18:$Q308,5,TRUE()))*$D$4)</f>
        <v>28</v>
      </c>
      <c r="G309" s="61" t="n">
        <v>0.5</v>
      </c>
      <c r="H309" s="59" t="n">
        <f aca="true">IF((B309=1),(IF((F309&lt;E309),1,(IF((F309=E309),(IF(RAND()&lt;G309,1,0)),0)))),(IF((RAND()&lt;G309),1,0)))</f>
        <v>1</v>
      </c>
      <c r="I309" s="59" t="n">
        <f aca="true">IF((H309=1),0,$D$3+$D$5*(RAND()-0.5))</f>
        <v>0</v>
      </c>
      <c r="J309" s="59" t="n">
        <f aca="false">I309+MAX(D309,J308)</f>
        <v>297.56005163651</v>
      </c>
      <c r="K309" s="59" t="n">
        <f aca="false">IF((H309=0),J309-D309,0)</f>
        <v>0</v>
      </c>
      <c r="L309" s="59" t="n">
        <f aca="true">IF(($H309=0),0,$D$4+$D$5*(RAND()-0.5))</f>
        <v>1.90099500827473</v>
      </c>
      <c r="M309" s="59" t="n">
        <f aca="false">L309+MAX(D309,M308)</f>
        <v>299.681155810627</v>
      </c>
      <c r="N309" s="59" t="n">
        <f aca="false">IF((H309=1),M309-D309,0)</f>
        <v>27.1000356869872</v>
      </c>
      <c r="O309" s="5" t="n">
        <v>292</v>
      </c>
      <c r="P309" s="62" t="n">
        <f aca="false">IF((Arterial=0),P308+1,P308)</f>
        <v>145</v>
      </c>
      <c r="Q309" s="62" t="n">
        <f aca="false">IF((Arterial=1),Q308+1,Q308)</f>
        <v>147</v>
      </c>
      <c r="R309" s="63" t="n">
        <f aca="false">IF((RESET=1),0,R309+K309)</f>
        <v>396.48776053759</v>
      </c>
      <c r="S309" s="10" t="e">
        <f aca="false">IF(RESET=1,0,S309+N309)</f>
        <v>#N/A</v>
      </c>
      <c r="T309" s="0" t="n">
        <f aca="false">IF(RESET=1,0,T309+IF(H309=0,1,0))</f>
        <v>20</v>
      </c>
      <c r="U309" s="0" t="e">
        <f aca="false">IF(RESET=1,0,U309+H309)</f>
        <v>#N/A</v>
      </c>
      <c r="V309" s="10" t="n">
        <f aca="false">R309/(T309+0.00001)</f>
        <v>19.8243781146904</v>
      </c>
      <c r="W309" s="10" t="e">
        <f aca="false">S309/(U309+0.0001)</f>
        <v>#N/A</v>
      </c>
      <c r="X309" s="60" t="n">
        <f aca="false">IF(Informed=1,K309,0)</f>
        <v>0</v>
      </c>
      <c r="Y309" s="60" t="n">
        <f aca="false">IF(Informed=0,K309,0)</f>
        <v>0</v>
      </c>
      <c r="Z309" s="60" t="n">
        <f aca="false">IF(Informed=1,N309,0)</f>
        <v>0</v>
      </c>
      <c r="AA309" s="60" t="n">
        <f aca="false">IF(Informed=0,N309,0)</f>
        <v>27.1000356869872</v>
      </c>
      <c r="AB309" s="64" t="n">
        <f aca="false">IF(Arterial=0,IF(Informed=1,1,0),0)</f>
        <v>0</v>
      </c>
      <c r="AC309" s="64" t="n">
        <f aca="false">IF(Arterial=0,IF(Informed=0,1,0),0)</f>
        <v>0</v>
      </c>
      <c r="AD309" s="64" t="n">
        <f aca="false">IF(Arterial=1,IF(Informed=1,1,0),0)</f>
        <v>0</v>
      </c>
      <c r="AE309" s="64" t="n">
        <f aca="false">IF(Arterial=1,IF(Informed=0,1,0),0)</f>
        <v>1</v>
      </c>
      <c r="AF309" s="57" t="n">
        <f aca="false">IF(AB309=1,(X309-G$1030)^2,0)</f>
        <v>0</v>
      </c>
      <c r="AG309" s="57" t="n">
        <f aca="false">IF(AC309=1,(Y309-H$1030)^2,0)</f>
        <v>0</v>
      </c>
      <c r="AH309" s="57" t="n">
        <f aca="false">IF(AD309=1,(Z309-I$1030)^2,0)</f>
        <v>0</v>
      </c>
      <c r="AI309" s="57" t="n">
        <f aca="false">IF(AE309=1,(AA309-J$1030)^2,0)</f>
        <v>734.41193423598</v>
      </c>
    </row>
    <row r="310" customFormat="false" ht="12" hidden="false" customHeight="false" outlineLevel="0" collapsed="false">
      <c r="A310" s="5" t="n">
        <v>293</v>
      </c>
      <c r="B310" s="58" t="n">
        <f aca="true">IF(RAND()&lt;$D$8,1,0)</f>
        <v>1</v>
      </c>
      <c r="C310" s="47" t="n">
        <f aca="true">-LN(RAND())/$D$2</f>
        <v>0.303088340396282</v>
      </c>
      <c r="D310" s="59" t="n">
        <f aca="false">D309+C310</f>
        <v>272.884208464036</v>
      </c>
      <c r="E310" s="60" t="n">
        <f aca="false">MAX($D$3,(1+P309-VLOOKUP(VALUE(D310),$J$18:$Q309,7,TRUE()))*$D$3)</f>
        <v>28</v>
      </c>
      <c r="F310" s="60" t="n">
        <f aca="false">MAX($D$4,(1+Q309-VLOOKUP(VALUE(D310),$M$18:$Q309,5,TRUE()))*$D$4)</f>
        <v>28</v>
      </c>
      <c r="G310" s="61" t="n">
        <v>0.5</v>
      </c>
      <c r="H310" s="59" t="n">
        <f aca="true">IF((B310=1),(IF((F310&lt;E310),1,(IF((F310=E310),(IF(RAND()&lt;G310,1,0)),0)))),(IF((RAND()&lt;G310),1,0)))</f>
        <v>1</v>
      </c>
      <c r="I310" s="59" t="n">
        <f aca="true">IF((H310=1),0,$D$3+$D$5*(RAND()-0.5))</f>
        <v>0</v>
      </c>
      <c r="J310" s="59" t="n">
        <f aca="false">I310+MAX(D310,J309)</f>
        <v>297.56005163651</v>
      </c>
      <c r="K310" s="59" t="n">
        <f aca="false">IF((H310=0),J310-D310,0)</f>
        <v>0</v>
      </c>
      <c r="L310" s="59" t="n">
        <f aca="true">IF(($H310=0),0,$D$4+$D$5*(RAND()-0.5))</f>
        <v>1.95708171028895</v>
      </c>
      <c r="M310" s="59" t="n">
        <f aca="false">L310+MAX(D310,M309)</f>
        <v>301.638237520916</v>
      </c>
      <c r="N310" s="59" t="n">
        <f aca="false">IF((H310=1),M310-D310,0)</f>
        <v>28.7540290568799</v>
      </c>
      <c r="O310" s="5" t="n">
        <v>293</v>
      </c>
      <c r="P310" s="62" t="n">
        <f aca="false">IF((Arterial=0),P309+1,P309)</f>
        <v>145</v>
      </c>
      <c r="Q310" s="62" t="n">
        <f aca="false">IF((Arterial=1),Q309+1,Q309)</f>
        <v>148</v>
      </c>
      <c r="R310" s="63" t="n">
        <f aca="false">IF((RESET=1),0,R310+K310)</f>
        <v>563.525362551713</v>
      </c>
      <c r="S310" s="10" t="e">
        <f aca="false">IF(RESET=1,0,S310+N310)</f>
        <v>#N/A</v>
      </c>
      <c r="T310" s="0" t="n">
        <f aca="false">IF(RESET=1,0,T310+IF(H310=0,1,0))</f>
        <v>33</v>
      </c>
      <c r="U310" s="0" t="e">
        <f aca="false">IF(RESET=1,0,U310+H310)</f>
        <v>#N/A</v>
      </c>
      <c r="V310" s="10" t="n">
        <f aca="false">R310/(T310+0.00001)</f>
        <v>17.0765209632274</v>
      </c>
      <c r="W310" s="10" t="e">
        <f aca="false">S310/(U310+0.0001)</f>
        <v>#N/A</v>
      </c>
      <c r="X310" s="60" t="n">
        <f aca="false">IF(Informed=1,K310,0)</f>
        <v>0</v>
      </c>
      <c r="Y310" s="60" t="n">
        <f aca="false">IF(Informed=0,K310,0)</f>
        <v>0</v>
      </c>
      <c r="Z310" s="60" t="n">
        <f aca="false">IF(Informed=1,N310,0)</f>
        <v>28.7540290568799</v>
      </c>
      <c r="AA310" s="60" t="n">
        <f aca="false">IF(Informed=0,N310,0)</f>
        <v>0</v>
      </c>
      <c r="AB310" s="64" t="n">
        <f aca="false">IF(Arterial=0,IF(Informed=1,1,0),0)</f>
        <v>0</v>
      </c>
      <c r="AC310" s="64" t="n">
        <f aca="false">IF(Arterial=0,IF(Informed=0,1,0),0)</f>
        <v>0</v>
      </c>
      <c r="AD310" s="64" t="n">
        <f aca="false">IF(Arterial=1,IF(Informed=1,1,0),0)</f>
        <v>1</v>
      </c>
      <c r="AE310" s="64" t="n">
        <f aca="false">IF(Arterial=1,IF(Informed=0,1,0),0)</f>
        <v>0</v>
      </c>
      <c r="AF310" s="57" t="n">
        <f aca="false">IF(AB310=1,(X310-G$1030)^2,0)</f>
        <v>0</v>
      </c>
      <c r="AG310" s="57" t="n">
        <f aca="false">IF(AC310=1,(Y310-H$1030)^2,0)</f>
        <v>0</v>
      </c>
      <c r="AH310" s="57" t="n">
        <f aca="false">IF(AD310=1,(Z310-I$1030)^2,0)</f>
        <v>826.794187003891</v>
      </c>
      <c r="AI310" s="57" t="n">
        <f aca="false">IF(AE310=1,(AA310-J$1030)^2,0)</f>
        <v>0</v>
      </c>
    </row>
    <row r="311" customFormat="false" ht="12" hidden="false" customHeight="false" outlineLevel="0" collapsed="false">
      <c r="A311" s="5" t="n">
        <v>294</v>
      </c>
      <c r="B311" s="58" t="n">
        <f aca="true">IF(RAND()&lt;$D$8,1,0)</f>
        <v>0</v>
      </c>
      <c r="C311" s="47" t="n">
        <f aca="true">-LN(RAND())/$D$2</f>
        <v>0.175012933579515</v>
      </c>
      <c r="D311" s="59" t="n">
        <f aca="false">D310+C311</f>
        <v>273.059221397615</v>
      </c>
      <c r="E311" s="60" t="n">
        <f aca="false">MAX($D$3,(1+P310-VLOOKUP(VALUE(D311),$J$18:$Q310,7,TRUE()))*$D$3)</f>
        <v>28</v>
      </c>
      <c r="F311" s="60" t="n">
        <f aca="false">MAX($D$4,(1+Q310-VLOOKUP(VALUE(D311),$M$18:$Q310,5,TRUE()))*$D$4)</f>
        <v>30</v>
      </c>
      <c r="G311" s="61" t="n">
        <v>0.5</v>
      </c>
      <c r="H311" s="59" t="n">
        <f aca="true">IF((B311=1),(IF((F311&lt;E311),1,(IF((F311=E311),(IF(RAND()&lt;G311,1,0)),0)))),(IF((RAND()&lt;G311),1,0)))</f>
        <v>0</v>
      </c>
      <c r="I311" s="59" t="n">
        <f aca="true">IF((H311=1),0,$D$3+$D$5*(RAND()-0.5))</f>
        <v>1.82869022072631</v>
      </c>
      <c r="J311" s="59" t="n">
        <f aca="false">I311+MAX(D311,J310)</f>
        <v>299.388741857236</v>
      </c>
      <c r="K311" s="59" t="n">
        <f aca="false">IF((H311=0),J311-D311,0)</f>
        <v>26.3295204596209</v>
      </c>
      <c r="L311" s="59" t="n">
        <f aca="true">IF(($H311=0),0,$D$4+$D$5*(RAND()-0.5))</f>
        <v>0</v>
      </c>
      <c r="M311" s="59" t="n">
        <f aca="false">L311+MAX(D311,M310)</f>
        <v>301.638237520916</v>
      </c>
      <c r="N311" s="59" t="n">
        <f aca="false">IF((H311=1),M311-D311,0)</f>
        <v>0</v>
      </c>
      <c r="O311" s="5" t="n">
        <v>294</v>
      </c>
      <c r="P311" s="62" t="n">
        <f aca="false">IF((Arterial=0),P310+1,P310)</f>
        <v>146</v>
      </c>
      <c r="Q311" s="62" t="n">
        <f aca="false">IF((Arterial=1),Q310+1,Q310)</f>
        <v>148</v>
      </c>
      <c r="R311" s="63" t="e">
        <f aca="false">IF((RESET=1),0,R311+K311)</f>
        <v>#N/A</v>
      </c>
      <c r="S311" s="10" t="n">
        <f aca="false">IF(RESET=1,0,S311+N311)</f>
        <v>456.819480879182</v>
      </c>
      <c r="T311" s="0" t="e">
        <f aca="false">IF(RESET=1,0,T311+IF(H311=0,1,0))</f>
        <v>#N/A</v>
      </c>
      <c r="U311" s="0" t="n">
        <f aca="false">IF(RESET=1,0,U311+H311)</f>
        <v>30</v>
      </c>
      <c r="V311" s="10" t="e">
        <f aca="false">R311/(T311+0.00001)</f>
        <v>#N/A</v>
      </c>
      <c r="W311" s="10" t="n">
        <f aca="false">S311/(U311+0.0001)</f>
        <v>15.2272652717552</v>
      </c>
      <c r="X311" s="60" t="n">
        <f aca="false">IF(Informed=1,K311,0)</f>
        <v>0</v>
      </c>
      <c r="Y311" s="60" t="n">
        <f aca="false">IF(Informed=0,K311,0)</f>
        <v>26.3295204596209</v>
      </c>
      <c r="Z311" s="60" t="n">
        <f aca="false">IF(Informed=1,N311,0)</f>
        <v>0</v>
      </c>
      <c r="AA311" s="60" t="n">
        <f aca="false">IF(Informed=0,N311,0)</f>
        <v>0</v>
      </c>
      <c r="AB311" s="64" t="n">
        <f aca="false">IF(Arterial=0,IF(Informed=1,1,0),0)</f>
        <v>0</v>
      </c>
      <c r="AC311" s="64" t="n">
        <f aca="false">IF(Arterial=0,IF(Informed=0,1,0),0)</f>
        <v>1</v>
      </c>
      <c r="AD311" s="64" t="n">
        <f aca="false">IF(Arterial=1,IF(Informed=1,1,0),0)</f>
        <v>0</v>
      </c>
      <c r="AE311" s="64" t="n">
        <f aca="false">IF(Arterial=1,IF(Informed=0,1,0),0)</f>
        <v>0</v>
      </c>
      <c r="AF311" s="57" t="n">
        <f aca="false">IF(AB311=1,(X311-G$1030)^2,0)</f>
        <v>0</v>
      </c>
      <c r="AG311" s="57" t="n">
        <f aca="false">IF(AC311=1,(Y311-H$1030)^2,0)</f>
        <v>693.243647633595</v>
      </c>
      <c r="AH311" s="57" t="n">
        <f aca="false">IF(AD311=1,(Z311-I$1030)^2,0)</f>
        <v>0</v>
      </c>
      <c r="AI311" s="57" t="n">
        <f aca="false">IF(AE311=1,(AA311-J$1030)^2,0)</f>
        <v>0</v>
      </c>
    </row>
    <row r="312" customFormat="false" ht="12" hidden="false" customHeight="false" outlineLevel="0" collapsed="false">
      <c r="A312" s="5" t="n">
        <v>295</v>
      </c>
      <c r="B312" s="58" t="n">
        <f aca="true">IF(RAND()&lt;$D$8,1,0)</f>
        <v>1</v>
      </c>
      <c r="C312" s="47" t="n">
        <f aca="true">-LN(RAND())/$D$2</f>
        <v>5.45487235163256</v>
      </c>
      <c r="D312" s="59" t="n">
        <f aca="false">D311+C312</f>
        <v>278.514093749248</v>
      </c>
      <c r="E312" s="60" t="n">
        <f aca="false">MAX($D$3,(1+P311-VLOOKUP(VALUE(D312),$J$18:$Q311,7,TRUE()))*$D$3)</f>
        <v>24</v>
      </c>
      <c r="F312" s="60" t="n">
        <f aca="false">MAX($D$4,(1+Q311-VLOOKUP(VALUE(D312),$M$18:$Q311,5,TRUE()))*$D$4)</f>
        <v>26</v>
      </c>
      <c r="G312" s="61" t="n">
        <v>0.5</v>
      </c>
      <c r="H312" s="59" t="n">
        <f aca="true">IF((B312=1),(IF((F312&lt;E312),1,(IF((F312=E312),(IF(RAND()&lt;G312,1,0)),0)))),(IF((RAND()&lt;G312),1,0)))</f>
        <v>0</v>
      </c>
      <c r="I312" s="59" t="n">
        <f aca="true">IF((H312=1),0,$D$3+$D$5*(RAND()-0.5))</f>
        <v>2.06308843070366</v>
      </c>
      <c r="J312" s="59" t="n">
        <f aca="false">I312+MAX(D312,J311)</f>
        <v>301.45183028794</v>
      </c>
      <c r="K312" s="59" t="n">
        <f aca="false">IF((H312=0),J312-D312,0)</f>
        <v>22.937736538692</v>
      </c>
      <c r="L312" s="59" t="n">
        <f aca="true">IF(($H312=0),0,$D$4+$D$5*(RAND()-0.5))</f>
        <v>0</v>
      </c>
      <c r="M312" s="59" t="n">
        <f aca="false">L312+MAX(D312,M311)</f>
        <v>301.638237520916</v>
      </c>
      <c r="N312" s="59" t="n">
        <f aca="false">IF((H312=1),M312-D312,0)</f>
        <v>0</v>
      </c>
      <c r="O312" s="5" t="n">
        <v>295</v>
      </c>
      <c r="P312" s="62" t="n">
        <f aca="false">IF((Arterial=0),P311+1,P311)</f>
        <v>147</v>
      </c>
      <c r="Q312" s="62" t="n">
        <f aca="false">IF((Arterial=1),Q311+1,Q311)</f>
        <v>148</v>
      </c>
      <c r="R312" s="63" t="e">
        <f aca="false">IF((RESET=1),0,R312+K312)</f>
        <v>#N/A</v>
      </c>
      <c r="S312" s="10" t="n">
        <f aca="false">IF(RESET=1,0,S312+N312)</f>
        <v>371.738277140408</v>
      </c>
      <c r="T312" s="0" t="e">
        <f aca="false">IF(RESET=1,0,T312+IF(H312=0,1,0))</f>
        <v>#N/A</v>
      </c>
      <c r="U312" s="0" t="n">
        <f aca="false">IF(RESET=1,0,U312+H312)</f>
        <v>18</v>
      </c>
      <c r="V312" s="10" t="e">
        <f aca="false">R312/(T312+0.00001)</f>
        <v>#N/A</v>
      </c>
      <c r="W312" s="10" t="n">
        <f aca="false">S312/(U312+0.0001)</f>
        <v>20.6520117744017</v>
      </c>
      <c r="X312" s="60" t="n">
        <f aca="false">IF(Informed=1,K312,0)</f>
        <v>22.937736538692</v>
      </c>
      <c r="Y312" s="60" t="n">
        <f aca="false">IF(Informed=0,K312,0)</f>
        <v>0</v>
      </c>
      <c r="Z312" s="60" t="n">
        <f aca="false">IF(Informed=1,N312,0)</f>
        <v>0</v>
      </c>
      <c r="AA312" s="60" t="n">
        <f aca="false">IF(Informed=0,N312,0)</f>
        <v>0</v>
      </c>
      <c r="AB312" s="64" t="n">
        <f aca="false">IF(Arterial=0,IF(Informed=1,1,0),0)</f>
        <v>1</v>
      </c>
      <c r="AC312" s="64" t="n">
        <f aca="false">IF(Arterial=0,IF(Informed=0,1,0),0)</f>
        <v>0</v>
      </c>
      <c r="AD312" s="64" t="n">
        <f aca="false">IF(Arterial=1,IF(Informed=1,1,0),0)</f>
        <v>0</v>
      </c>
      <c r="AE312" s="64" t="n">
        <f aca="false">IF(Arterial=1,IF(Informed=0,1,0),0)</f>
        <v>0</v>
      </c>
      <c r="AF312" s="57" t="n">
        <f aca="false">IF(AB312=1,(X312-G$1030)^2,0)</f>
        <v>526.139757518445</v>
      </c>
      <c r="AG312" s="57" t="n">
        <f aca="false">IF(AC312=1,(Y312-H$1030)^2,0)</f>
        <v>0</v>
      </c>
      <c r="AH312" s="57" t="n">
        <f aca="false">IF(AD312=1,(Z312-I$1030)^2,0)</f>
        <v>0</v>
      </c>
      <c r="AI312" s="57" t="n">
        <f aca="false">IF(AE312=1,(AA312-J$1030)^2,0)</f>
        <v>0</v>
      </c>
    </row>
    <row r="313" customFormat="false" ht="12" hidden="false" customHeight="false" outlineLevel="0" collapsed="false">
      <c r="A313" s="5" t="n">
        <v>296</v>
      </c>
      <c r="B313" s="58" t="n">
        <f aca="true">IF(RAND()&lt;$D$8,1,0)</f>
        <v>1</v>
      </c>
      <c r="C313" s="47" t="n">
        <f aca="true">-LN(RAND())/$D$2</f>
        <v>1.19337548693354</v>
      </c>
      <c r="D313" s="59" t="n">
        <f aca="false">D312+C313</f>
        <v>279.707469236181</v>
      </c>
      <c r="E313" s="60" t="n">
        <f aca="false">MAX($D$3,(1+P312-VLOOKUP(VALUE(D313),$J$18:$Q312,7,TRUE()))*$D$3)</f>
        <v>26</v>
      </c>
      <c r="F313" s="60" t="n">
        <f aca="false">MAX($D$4,(1+Q312-VLOOKUP(VALUE(D313),$M$18:$Q312,5,TRUE()))*$D$4)</f>
        <v>24</v>
      </c>
      <c r="G313" s="61" t="n">
        <v>0.5</v>
      </c>
      <c r="H313" s="59" t="n">
        <f aca="true">IF((B313=1),(IF((F313&lt;E313),1,(IF((F313=E313),(IF(RAND()&lt;G313,1,0)),0)))),(IF((RAND()&lt;G313),1,0)))</f>
        <v>1</v>
      </c>
      <c r="I313" s="59" t="n">
        <f aca="true">IF((H313=1),0,$D$3+$D$5*(RAND()-0.5))</f>
        <v>0</v>
      </c>
      <c r="J313" s="59" t="n">
        <f aca="false">I313+MAX(D313,J312)</f>
        <v>301.45183028794</v>
      </c>
      <c r="K313" s="59" t="n">
        <f aca="false">IF((H313=0),J313-D313,0)</f>
        <v>0</v>
      </c>
      <c r="L313" s="59" t="n">
        <f aca="true">IF(($H313=0),0,$D$4+$D$5*(RAND()-0.5))</f>
        <v>2.22297961711057</v>
      </c>
      <c r="M313" s="59" t="n">
        <f aca="false">L313+MAX(D313,M312)</f>
        <v>303.861217138026</v>
      </c>
      <c r="N313" s="59" t="n">
        <f aca="false">IF((H313=1),M313-D313,0)</f>
        <v>24.1537479018448</v>
      </c>
      <c r="O313" s="5" t="n">
        <v>296</v>
      </c>
      <c r="P313" s="62" t="n">
        <f aca="false">IF((Arterial=0),P312+1,P312)</f>
        <v>147</v>
      </c>
      <c r="Q313" s="62" t="n">
        <f aca="false">IF((Arterial=1),Q312+1,Q312)</f>
        <v>149</v>
      </c>
      <c r="R313" s="63" t="n">
        <f aca="false">IF((RESET=1),0,R313+K313)</f>
        <v>471.606231195643</v>
      </c>
      <c r="S313" s="10" t="e">
        <f aca="false">IF(RESET=1,0,S313+N313)</f>
        <v>#N/A</v>
      </c>
      <c r="T313" s="0" t="n">
        <f aca="false">IF(RESET=1,0,T313+IF(H313=0,1,0))</f>
        <v>23</v>
      </c>
      <c r="U313" s="0" t="e">
        <f aca="false">IF(RESET=1,0,U313+H313)</f>
        <v>#N/A</v>
      </c>
      <c r="V313" s="10" t="n">
        <f aca="false">R313/(T313+0.00001)</f>
        <v>20.5046098325889</v>
      </c>
      <c r="W313" s="10" t="e">
        <f aca="false">S313/(U313+0.0001)</f>
        <v>#N/A</v>
      </c>
      <c r="X313" s="60" t="n">
        <f aca="false">IF(Informed=1,K313,0)</f>
        <v>0</v>
      </c>
      <c r="Y313" s="60" t="n">
        <f aca="false">IF(Informed=0,K313,0)</f>
        <v>0</v>
      </c>
      <c r="Z313" s="60" t="n">
        <f aca="false">IF(Informed=1,N313,0)</f>
        <v>24.1537479018448</v>
      </c>
      <c r="AA313" s="60" t="n">
        <f aca="false">IF(Informed=0,N313,0)</f>
        <v>0</v>
      </c>
      <c r="AB313" s="64" t="n">
        <f aca="false">IF(Arterial=0,IF(Informed=1,1,0),0)</f>
        <v>0</v>
      </c>
      <c r="AC313" s="64" t="n">
        <f aca="false">IF(Arterial=0,IF(Informed=0,1,0),0)</f>
        <v>0</v>
      </c>
      <c r="AD313" s="64" t="n">
        <f aca="false">IF(Arterial=1,IF(Informed=1,1,0),0)</f>
        <v>1</v>
      </c>
      <c r="AE313" s="64" t="n">
        <f aca="false">IF(Arterial=1,IF(Informed=0,1,0),0)</f>
        <v>0</v>
      </c>
      <c r="AF313" s="57" t="n">
        <f aca="false">IF(AB313=1,(X313-G$1030)^2,0)</f>
        <v>0</v>
      </c>
      <c r="AG313" s="57" t="n">
        <f aca="false">IF(AC313=1,(Y313-H$1030)^2,0)</f>
        <v>0</v>
      </c>
      <c r="AH313" s="57" t="n">
        <f aca="false">IF(AD313=1,(Z313-I$1030)^2,0)</f>
        <v>583.403537705874</v>
      </c>
      <c r="AI313" s="57" t="n">
        <f aca="false">IF(AE313=1,(AA313-J$1030)^2,0)</f>
        <v>0</v>
      </c>
    </row>
    <row r="314" customFormat="false" ht="12" hidden="false" customHeight="false" outlineLevel="0" collapsed="false">
      <c r="A314" s="5" t="n">
        <v>297</v>
      </c>
      <c r="B314" s="58" t="n">
        <f aca="true">IF(RAND()&lt;$D$8,1,0)</f>
        <v>0</v>
      </c>
      <c r="C314" s="47" t="n">
        <f aca="true">-LN(RAND())/$D$2</f>
        <v>1.28287150004074</v>
      </c>
      <c r="D314" s="59" t="n">
        <f aca="false">D313+C314</f>
        <v>280.990340736222</v>
      </c>
      <c r="E314" s="60" t="n">
        <f aca="false">MAX($D$3,(1+P313-VLOOKUP(VALUE(D314),$J$18:$Q313,7,TRUE()))*$D$3)</f>
        <v>24</v>
      </c>
      <c r="F314" s="60" t="n">
        <f aca="false">MAX($D$4,(1+Q313-VLOOKUP(VALUE(D314),$M$18:$Q313,5,TRUE()))*$D$4)</f>
        <v>24</v>
      </c>
      <c r="G314" s="61" t="n">
        <v>0.5</v>
      </c>
      <c r="H314" s="59" t="n">
        <f aca="true">IF((B314=1),(IF((F314&lt;E314),1,(IF((F314=E314),(IF(RAND()&lt;G314,1,0)),0)))),(IF((RAND()&lt;G314),1,0)))</f>
        <v>1</v>
      </c>
      <c r="I314" s="59" t="n">
        <f aca="true">IF((H314=1),0,$D$3+$D$5*(RAND()-0.5))</f>
        <v>0</v>
      </c>
      <c r="J314" s="59" t="n">
        <f aca="false">I314+MAX(D314,J313)</f>
        <v>301.45183028794</v>
      </c>
      <c r="K314" s="59" t="n">
        <f aca="false">IF((H314=0),J314-D314,0)</f>
        <v>0</v>
      </c>
      <c r="L314" s="59" t="n">
        <f aca="true">IF(($H314=0),0,$D$4+$D$5*(RAND()-0.5))</f>
        <v>1.78730561320353</v>
      </c>
      <c r="M314" s="59" t="n">
        <f aca="false">L314+MAX(D314,M313)</f>
        <v>305.64852275123</v>
      </c>
      <c r="N314" s="59" t="n">
        <f aca="false">IF((H314=1),M314-D314,0)</f>
        <v>24.6581820150076</v>
      </c>
      <c r="O314" s="5" t="n">
        <v>297</v>
      </c>
      <c r="P314" s="62" t="n">
        <f aca="false">IF((Arterial=0),P313+1,P313)</f>
        <v>147</v>
      </c>
      <c r="Q314" s="62" t="n">
        <f aca="false">IF((Arterial=1),Q313+1,Q313)</f>
        <v>150</v>
      </c>
      <c r="R314" s="63" t="n">
        <f aca="false">IF((RESET=1),0,R314+K314)</f>
        <v>384.356130260026</v>
      </c>
      <c r="S314" s="10" t="e">
        <f aca="false">IF(RESET=1,0,S314+N314)</f>
        <v>#N/A</v>
      </c>
      <c r="T314" s="0" t="n">
        <f aca="false">IF(RESET=1,0,T314+IF(H314=0,1,0))</f>
        <v>24</v>
      </c>
      <c r="U314" s="0" t="e">
        <f aca="false">IF(RESET=1,0,U314+H314)</f>
        <v>#N/A</v>
      </c>
      <c r="V314" s="10" t="n">
        <f aca="false">R314/(T314+0.00001)</f>
        <v>16.0148320879877</v>
      </c>
      <c r="W314" s="10" t="e">
        <f aca="false">S314/(U314+0.0001)</f>
        <v>#N/A</v>
      </c>
      <c r="X314" s="60" t="n">
        <f aca="false">IF(Informed=1,K314,0)</f>
        <v>0</v>
      </c>
      <c r="Y314" s="60" t="n">
        <f aca="false">IF(Informed=0,K314,0)</f>
        <v>0</v>
      </c>
      <c r="Z314" s="60" t="n">
        <f aca="false">IF(Informed=1,N314,0)</f>
        <v>0</v>
      </c>
      <c r="AA314" s="60" t="n">
        <f aca="false">IF(Informed=0,N314,0)</f>
        <v>24.6581820150076</v>
      </c>
      <c r="AB314" s="64" t="n">
        <f aca="false">IF(Arterial=0,IF(Informed=1,1,0),0)</f>
        <v>0</v>
      </c>
      <c r="AC314" s="64" t="n">
        <f aca="false">IF(Arterial=0,IF(Informed=0,1,0),0)</f>
        <v>0</v>
      </c>
      <c r="AD314" s="64" t="n">
        <f aca="false">IF(Arterial=1,IF(Informed=1,1,0),0)</f>
        <v>0</v>
      </c>
      <c r="AE314" s="64" t="n">
        <f aca="false">IF(Arterial=1,IF(Informed=0,1,0),0)</f>
        <v>1</v>
      </c>
      <c r="AF314" s="57" t="n">
        <f aca="false">IF(AB314=1,(X314-G$1030)^2,0)</f>
        <v>0</v>
      </c>
      <c r="AG314" s="57" t="n">
        <f aca="false">IF(AC314=1,(Y314-H$1030)^2,0)</f>
        <v>0</v>
      </c>
      <c r="AH314" s="57" t="n">
        <f aca="false">IF(AD314=1,(Z314-I$1030)^2,0)</f>
        <v>0</v>
      </c>
      <c r="AI314" s="57" t="n">
        <f aca="false">IF(AE314=1,(AA314-J$1030)^2,0)</f>
        <v>608.025940285246</v>
      </c>
    </row>
    <row r="315" customFormat="false" ht="12" hidden="false" customHeight="false" outlineLevel="0" collapsed="false">
      <c r="A315" s="5" t="n">
        <v>298</v>
      </c>
      <c r="B315" s="58" t="n">
        <f aca="true">IF(RAND()&lt;$D$8,1,0)</f>
        <v>1</v>
      </c>
      <c r="C315" s="47" t="n">
        <f aca="true">-LN(RAND())/$D$2</f>
        <v>0.109793989894327</v>
      </c>
      <c r="D315" s="59" t="n">
        <f aca="false">D314+C315</f>
        <v>281.100134726116</v>
      </c>
      <c r="E315" s="60" t="n">
        <f aca="false">MAX($D$3,(1+P314-VLOOKUP(VALUE(D315),$J$18:$Q314,7,TRUE()))*$D$3)</f>
        <v>24</v>
      </c>
      <c r="F315" s="60" t="n">
        <f aca="false">MAX($D$4,(1+Q314-VLOOKUP(VALUE(D315),$M$18:$Q314,5,TRUE()))*$D$4)</f>
        <v>26</v>
      </c>
      <c r="G315" s="61" t="n">
        <v>0.5</v>
      </c>
      <c r="H315" s="59" t="n">
        <f aca="true">IF((B315=1),(IF((F315&lt;E315),1,(IF((F315=E315),(IF(RAND()&lt;G315,1,0)),0)))),(IF((RAND()&lt;G315),1,0)))</f>
        <v>0</v>
      </c>
      <c r="I315" s="59" t="n">
        <f aca="true">IF((H315=1),0,$D$3+$D$5*(RAND()-0.5))</f>
        <v>2.10965837594624</v>
      </c>
      <c r="J315" s="59" t="n">
        <f aca="false">I315+MAX(D315,J314)</f>
        <v>303.561488663886</v>
      </c>
      <c r="K315" s="59" t="n">
        <f aca="false">IF((H315=0),J315-D315,0)</f>
        <v>22.4613539377696</v>
      </c>
      <c r="L315" s="59" t="n">
        <f aca="true">IF(($H315=0),0,$D$4+$D$5*(RAND()-0.5))</f>
        <v>0</v>
      </c>
      <c r="M315" s="59" t="n">
        <f aca="false">L315+MAX(D315,M314)</f>
        <v>305.64852275123</v>
      </c>
      <c r="N315" s="59" t="n">
        <f aca="false">IF((H315=1),M315-D315,0)</f>
        <v>0</v>
      </c>
      <c r="O315" s="5" t="n">
        <v>298</v>
      </c>
      <c r="P315" s="62" t="n">
        <f aca="false">IF((Arterial=0),P314+1,P314)</f>
        <v>148</v>
      </c>
      <c r="Q315" s="62" t="n">
        <f aca="false">IF((Arterial=1),Q314+1,Q314)</f>
        <v>150</v>
      </c>
      <c r="R315" s="63" t="e">
        <f aca="false">IF((RESET=1),0,R315+K315)</f>
        <v>#N/A</v>
      </c>
      <c r="S315" s="10" t="n">
        <f aca="false">IF(RESET=1,0,S315+N315)</f>
        <v>528.50362437786</v>
      </c>
      <c r="T315" s="0" t="e">
        <f aca="false">IF(RESET=1,0,T315+IF(H315=0,1,0))</f>
        <v>#N/A</v>
      </c>
      <c r="U315" s="0" t="n">
        <f aca="false">IF(RESET=1,0,U315+H315)</f>
        <v>29</v>
      </c>
      <c r="V315" s="10" t="e">
        <f aca="false">R315/(T315+0.00001)</f>
        <v>#N/A</v>
      </c>
      <c r="W315" s="10" t="n">
        <f aca="false">S315/(U315+0.0001)</f>
        <v>18.2242000675122</v>
      </c>
      <c r="X315" s="60" t="n">
        <f aca="false">IF(Informed=1,K315,0)</f>
        <v>22.4613539377696</v>
      </c>
      <c r="Y315" s="60" t="n">
        <f aca="false">IF(Informed=0,K315,0)</f>
        <v>0</v>
      </c>
      <c r="Z315" s="60" t="n">
        <f aca="false">IF(Informed=1,N315,0)</f>
        <v>0</v>
      </c>
      <c r="AA315" s="60" t="n">
        <f aca="false">IF(Informed=0,N315,0)</f>
        <v>0</v>
      </c>
      <c r="AB315" s="64" t="n">
        <f aca="false">IF(Arterial=0,IF(Informed=1,1,0),0)</f>
        <v>1</v>
      </c>
      <c r="AC315" s="64" t="n">
        <f aca="false">IF(Arterial=0,IF(Informed=0,1,0),0)</f>
        <v>0</v>
      </c>
      <c r="AD315" s="64" t="n">
        <f aca="false">IF(Arterial=1,IF(Informed=1,1,0),0)</f>
        <v>0</v>
      </c>
      <c r="AE315" s="64" t="n">
        <f aca="false">IF(Arterial=1,IF(Informed=0,1,0),0)</f>
        <v>0</v>
      </c>
      <c r="AF315" s="57" t="n">
        <f aca="false">IF(AB315=1,(X315-G$1030)^2,0)</f>
        <v>504.512420717759</v>
      </c>
      <c r="AG315" s="57" t="n">
        <f aca="false">IF(AC315=1,(Y315-H$1030)^2,0)</f>
        <v>0</v>
      </c>
      <c r="AH315" s="57" t="n">
        <f aca="false">IF(AD315=1,(Z315-I$1030)^2,0)</f>
        <v>0</v>
      </c>
      <c r="AI315" s="57" t="n">
        <f aca="false">IF(AE315=1,(AA315-J$1030)^2,0)</f>
        <v>0</v>
      </c>
    </row>
    <row r="316" customFormat="false" ht="12" hidden="false" customHeight="false" outlineLevel="0" collapsed="false">
      <c r="A316" s="5" t="n">
        <v>299</v>
      </c>
      <c r="B316" s="58" t="n">
        <f aca="true">IF(RAND()&lt;$D$8,1,0)</f>
        <v>1</v>
      </c>
      <c r="C316" s="47" t="n">
        <f aca="true">-LN(RAND())/$D$2</f>
        <v>0.0142891990221944</v>
      </c>
      <c r="D316" s="59" t="n">
        <f aca="false">D315+C316</f>
        <v>281.114423925139</v>
      </c>
      <c r="E316" s="60" t="n">
        <f aca="false">MAX($D$3,(1+P315-VLOOKUP(VALUE(D316),$J$18:$Q315,7,TRUE()))*$D$3)</f>
        <v>26</v>
      </c>
      <c r="F316" s="60" t="n">
        <f aca="false">MAX($D$4,(1+Q315-VLOOKUP(VALUE(D316),$M$18:$Q315,5,TRUE()))*$D$4)</f>
        <v>26</v>
      </c>
      <c r="G316" s="61" t="n">
        <v>0.5</v>
      </c>
      <c r="H316" s="59" t="n">
        <f aca="true">IF((B316=1),(IF((F316&lt;E316),1,(IF((F316=E316),(IF(RAND()&lt;G316,1,0)),0)))),(IF((RAND()&lt;G316),1,0)))</f>
        <v>0</v>
      </c>
      <c r="I316" s="59" t="n">
        <f aca="true">IF((H316=1),0,$D$3+$D$5*(RAND()-0.5))</f>
        <v>2.12271520363012</v>
      </c>
      <c r="J316" s="59" t="n">
        <f aca="false">I316+MAX(D316,J315)</f>
        <v>305.684203867516</v>
      </c>
      <c r="K316" s="59" t="n">
        <f aca="false">IF((H316=0),J316-D316,0)</f>
        <v>24.5697799423775</v>
      </c>
      <c r="L316" s="59" t="n">
        <f aca="true">IF(($H316=0),0,$D$4+$D$5*(RAND()-0.5))</f>
        <v>0</v>
      </c>
      <c r="M316" s="59" t="n">
        <f aca="false">L316+MAX(D316,M315)</f>
        <v>305.64852275123</v>
      </c>
      <c r="N316" s="59" t="n">
        <f aca="false">IF((H316=1),M316-D316,0)</f>
        <v>0</v>
      </c>
      <c r="O316" s="5" t="n">
        <v>299</v>
      </c>
      <c r="P316" s="62" t="n">
        <f aca="false">IF((Arterial=0),P315+1,P315)</f>
        <v>149</v>
      </c>
      <c r="Q316" s="62" t="n">
        <f aca="false">IF((Arterial=1),Q315+1,Q315)</f>
        <v>150</v>
      </c>
      <c r="R316" s="63" t="e">
        <f aca="false">IF((RESET=1),0,R316+K316)</f>
        <v>#N/A</v>
      </c>
      <c r="S316" s="10" t="n">
        <f aca="false">IF(RESET=1,0,S316+N316)</f>
        <v>499.942817906153</v>
      </c>
      <c r="T316" s="0" t="e">
        <f aca="false">IF(RESET=1,0,T316+IF(H316=0,1,0))</f>
        <v>#N/A</v>
      </c>
      <c r="U316" s="0" t="n">
        <f aca="false">IF(RESET=1,0,U316+H316)</f>
        <v>28</v>
      </c>
      <c r="V316" s="10" t="e">
        <f aca="false">R316/(T316+0.00001)</f>
        <v>#N/A</v>
      </c>
      <c r="W316" s="10" t="n">
        <f aca="false">S316/(U316+0.0001)</f>
        <v>17.8550368715166</v>
      </c>
      <c r="X316" s="60" t="n">
        <f aca="false">IF(Informed=1,K316,0)</f>
        <v>24.5697799423775</v>
      </c>
      <c r="Y316" s="60" t="n">
        <f aca="false">IF(Informed=0,K316,0)</f>
        <v>0</v>
      </c>
      <c r="Z316" s="60" t="n">
        <f aca="false">IF(Informed=1,N316,0)</f>
        <v>0</v>
      </c>
      <c r="AA316" s="60" t="n">
        <f aca="false">IF(Informed=0,N316,0)</f>
        <v>0</v>
      </c>
      <c r="AB316" s="64" t="n">
        <f aca="false">IF(Arterial=0,IF(Informed=1,1,0),0)</f>
        <v>1</v>
      </c>
      <c r="AC316" s="64" t="n">
        <f aca="false">IF(Arterial=0,IF(Informed=0,1,0),0)</f>
        <v>0</v>
      </c>
      <c r="AD316" s="64" t="n">
        <f aca="false">IF(Arterial=1,IF(Informed=1,1,0),0)</f>
        <v>0</v>
      </c>
      <c r="AE316" s="64" t="n">
        <f aca="false">IF(Arterial=1,IF(Informed=0,1,0),0)</f>
        <v>0</v>
      </c>
      <c r="AF316" s="57" t="n">
        <f aca="false">IF(AB316=1,(X316-G$1030)^2,0)</f>
        <v>603.674086416857</v>
      </c>
      <c r="AG316" s="57" t="n">
        <f aca="false">IF(AC316=1,(Y316-H$1030)^2,0)</f>
        <v>0</v>
      </c>
      <c r="AH316" s="57" t="n">
        <f aca="false">IF(AD316=1,(Z316-I$1030)^2,0)</f>
        <v>0</v>
      </c>
      <c r="AI316" s="57" t="n">
        <f aca="false">IF(AE316=1,(AA316-J$1030)^2,0)</f>
        <v>0</v>
      </c>
    </row>
    <row r="317" customFormat="false" ht="12" hidden="false" customHeight="false" outlineLevel="0" collapsed="false">
      <c r="A317" s="5" t="n">
        <v>300</v>
      </c>
      <c r="B317" s="58" t="n">
        <f aca="true">IF(RAND()&lt;$D$8,1,0)</f>
        <v>0</v>
      </c>
      <c r="C317" s="47" t="n">
        <f aca="true">-LN(RAND())/$D$2</f>
        <v>0.20144954768882</v>
      </c>
      <c r="D317" s="59" t="n">
        <f aca="false">D316+C317</f>
        <v>281.315873472827</v>
      </c>
      <c r="E317" s="60" t="n">
        <f aca="false">MAX($D$3,(1+P316-VLOOKUP(VALUE(D317),$J$18:$Q316,7,TRUE()))*$D$3)</f>
        <v>28</v>
      </c>
      <c r="F317" s="60" t="n">
        <f aca="false">MAX($D$4,(1+Q316-VLOOKUP(VALUE(D317),$M$18:$Q316,5,TRUE()))*$D$4)</f>
        <v>26</v>
      </c>
      <c r="G317" s="61" t="n">
        <v>0.5</v>
      </c>
      <c r="H317" s="59" t="n">
        <f aca="true">IF((B317=1),(IF((F317&lt;E317),1,(IF((F317=E317),(IF(RAND()&lt;G317,1,0)),0)))),(IF((RAND()&lt;G317),1,0)))</f>
        <v>0</v>
      </c>
      <c r="I317" s="59" t="n">
        <f aca="true">IF((H317=1),0,$D$3+$D$5*(RAND()-0.5))</f>
        <v>1.84911683971393</v>
      </c>
      <c r="J317" s="59" t="n">
        <f aca="false">I317+MAX(D317,J316)</f>
        <v>307.53332070723</v>
      </c>
      <c r="K317" s="59" t="n">
        <f aca="false">IF((H317=0),J317-D317,0)</f>
        <v>26.2174472344026</v>
      </c>
      <c r="L317" s="59" t="n">
        <f aca="true">IF(($H317=0),0,$D$4+$D$5*(RAND()-0.5))</f>
        <v>0</v>
      </c>
      <c r="M317" s="59" t="n">
        <f aca="false">L317+MAX(D317,M316)</f>
        <v>305.64852275123</v>
      </c>
      <c r="N317" s="59" t="n">
        <f aca="false">IF((H317=1),M317-D317,0)</f>
        <v>0</v>
      </c>
      <c r="O317" s="5" t="n">
        <v>300</v>
      </c>
      <c r="P317" s="62" t="n">
        <f aca="false">IF((Arterial=0),P316+1,P316)</f>
        <v>150</v>
      </c>
      <c r="Q317" s="62" t="n">
        <f aca="false">IF((Arterial=1),Q316+1,Q316)</f>
        <v>150</v>
      </c>
      <c r="R317" s="63" t="e">
        <f aca="false">IF((RESET=1),0,R317+K317)</f>
        <v>#N/A</v>
      </c>
      <c r="S317" s="10" t="n">
        <f aca="false">IF(RESET=1,0,S317+N317)</f>
        <v>552.951669322874</v>
      </c>
      <c r="T317" s="0" t="e">
        <f aca="false">IF(RESET=1,0,T317+IF(H317=0,1,0))</f>
        <v>#N/A</v>
      </c>
      <c r="U317" s="0" t="n">
        <f aca="false">IF(RESET=1,0,U317+H317)</f>
        <v>30</v>
      </c>
      <c r="V317" s="10" t="e">
        <f aca="false">R317/(T317+0.00001)</f>
        <v>#N/A</v>
      </c>
      <c r="W317" s="10" t="n">
        <f aca="false">S317/(U317+0.0001)</f>
        <v>18.4316608718929</v>
      </c>
      <c r="X317" s="60" t="n">
        <f aca="false">IF(Informed=1,K317,0)</f>
        <v>0</v>
      </c>
      <c r="Y317" s="60" t="n">
        <f aca="false">IF(Informed=0,K317,0)</f>
        <v>26.2174472344026</v>
      </c>
      <c r="Z317" s="60" t="n">
        <f aca="false">IF(Informed=1,N317,0)</f>
        <v>0</v>
      </c>
      <c r="AA317" s="60" t="n">
        <f aca="false">IF(Informed=0,N317,0)</f>
        <v>0</v>
      </c>
      <c r="AB317" s="64" t="n">
        <f aca="false">IF(Arterial=0,IF(Informed=1,1,0),0)</f>
        <v>0</v>
      </c>
      <c r="AC317" s="64" t="n">
        <f aca="false">IF(Arterial=0,IF(Informed=0,1,0),0)</f>
        <v>1</v>
      </c>
      <c r="AD317" s="64" t="n">
        <f aca="false">IF(Arterial=1,IF(Informed=1,1,0),0)</f>
        <v>0</v>
      </c>
      <c r="AE317" s="64" t="n">
        <f aca="false">IF(Arterial=1,IF(Informed=0,1,0),0)</f>
        <v>0</v>
      </c>
      <c r="AF317" s="57" t="n">
        <f aca="false">IF(AB317=1,(X317-G$1030)^2,0)</f>
        <v>0</v>
      </c>
      <c r="AG317" s="57" t="n">
        <f aca="false">IF(AC317=1,(Y317-H$1030)^2,0)</f>
        <v>687.354539488687</v>
      </c>
      <c r="AH317" s="57" t="n">
        <f aca="false">IF(AD317=1,(Z317-I$1030)^2,0)</f>
        <v>0</v>
      </c>
      <c r="AI317" s="57" t="n">
        <f aca="false">IF(AE317=1,(AA317-J$1030)^2,0)</f>
        <v>0</v>
      </c>
    </row>
    <row r="318" customFormat="false" ht="12" hidden="false" customHeight="false" outlineLevel="0" collapsed="false">
      <c r="A318" s="5" t="n">
        <v>301</v>
      </c>
      <c r="B318" s="58" t="n">
        <f aca="true">IF(RAND()&lt;$D$8,1,0)</f>
        <v>0</v>
      </c>
      <c r="C318" s="47" t="n">
        <f aca="true">-LN(RAND())/$D$2</f>
        <v>1.19222669195207</v>
      </c>
      <c r="D318" s="59" t="n">
        <f aca="false">D317+C318</f>
        <v>282.508100164779</v>
      </c>
      <c r="E318" s="60" t="n">
        <f aca="false">MAX($D$3,(1+P317-VLOOKUP(VALUE(D318),$J$18:$Q317,7,TRUE()))*$D$3)</f>
        <v>28</v>
      </c>
      <c r="F318" s="60" t="n">
        <f aca="false">MAX($D$4,(1+Q317-VLOOKUP(VALUE(D318),$M$18:$Q317,5,TRUE()))*$D$4)</f>
        <v>26</v>
      </c>
      <c r="G318" s="61" t="n">
        <v>0.5</v>
      </c>
      <c r="H318" s="59" t="n">
        <f aca="true">IF((B318=1),(IF((F318&lt;E318),1,(IF((F318=E318),(IF(RAND()&lt;G318,1,0)),0)))),(IF((RAND()&lt;G318),1,0)))</f>
        <v>0</v>
      </c>
      <c r="I318" s="59" t="n">
        <f aca="true">IF((H318=1),0,$D$3+$D$5*(RAND()-0.5))</f>
        <v>2.13958576296153</v>
      </c>
      <c r="J318" s="59" t="n">
        <f aca="false">I318+MAX(D318,J317)</f>
        <v>309.672906470192</v>
      </c>
      <c r="K318" s="59" t="n">
        <f aca="false">IF((H318=0),J318-D318,0)</f>
        <v>27.1648063054121</v>
      </c>
      <c r="L318" s="59" t="n">
        <f aca="true">IF(($H318=0),0,$D$4+$D$5*(RAND()-0.5))</f>
        <v>0</v>
      </c>
      <c r="M318" s="59" t="n">
        <f aca="false">L318+MAX(D318,M317)</f>
        <v>305.64852275123</v>
      </c>
      <c r="N318" s="59" t="n">
        <f aca="false">IF((H318=1),M318-D318,0)</f>
        <v>0</v>
      </c>
      <c r="O318" s="5" t="n">
        <v>301</v>
      </c>
      <c r="P318" s="62" t="n">
        <f aca="false">IF((Arterial=0),P317+1,P317)</f>
        <v>151</v>
      </c>
      <c r="Q318" s="62" t="n">
        <f aca="false">IF((Arterial=1),Q317+1,Q317)</f>
        <v>150</v>
      </c>
      <c r="R318" s="63" t="e">
        <f aca="false">IF((RESET=1),0,R318+K318)</f>
        <v>#N/A</v>
      </c>
      <c r="S318" s="10" t="n">
        <f aca="false">IF(RESET=1,0,S318+N318)</f>
        <v>330.560126362154</v>
      </c>
      <c r="T318" s="0" t="e">
        <f aca="false">IF(RESET=1,0,T318+IF(H318=0,1,0))</f>
        <v>#N/A</v>
      </c>
      <c r="U318" s="0" t="n">
        <f aca="false">IF(RESET=1,0,U318+H318)</f>
        <v>23</v>
      </c>
      <c r="V318" s="10" t="e">
        <f aca="false">R318/(T318+0.00001)</f>
        <v>#N/A</v>
      </c>
      <c r="W318" s="10" t="n">
        <f aca="false">S318/(U318+0.0001)</f>
        <v>14.3721169195853</v>
      </c>
      <c r="X318" s="60" t="n">
        <f aca="false">IF(Informed=1,K318,0)</f>
        <v>0</v>
      </c>
      <c r="Y318" s="60" t="n">
        <f aca="false">IF(Informed=0,K318,0)</f>
        <v>27.1648063054121</v>
      </c>
      <c r="Z318" s="60" t="n">
        <f aca="false">IF(Informed=1,N318,0)</f>
        <v>0</v>
      </c>
      <c r="AA318" s="60" t="n">
        <f aca="false">IF(Informed=0,N318,0)</f>
        <v>0</v>
      </c>
      <c r="AB318" s="64" t="n">
        <f aca="false">IF(Arterial=0,IF(Informed=1,1,0),0)</f>
        <v>0</v>
      </c>
      <c r="AC318" s="64" t="n">
        <f aca="false">IF(Arterial=0,IF(Informed=0,1,0),0)</f>
        <v>1</v>
      </c>
      <c r="AD318" s="64" t="n">
        <f aca="false">IF(Arterial=1,IF(Informed=1,1,0),0)</f>
        <v>0</v>
      </c>
      <c r="AE318" s="64" t="n">
        <f aca="false">IF(Arterial=1,IF(Informed=0,1,0),0)</f>
        <v>0</v>
      </c>
      <c r="AF318" s="57" t="n">
        <f aca="false">IF(AB318=1,(X318-G$1030)^2,0)</f>
        <v>0</v>
      </c>
      <c r="AG318" s="57" t="n">
        <f aca="false">IF(AC318=1,(Y318-H$1030)^2,0)</f>
        <v>737.926701610559</v>
      </c>
      <c r="AH318" s="57" t="n">
        <f aca="false">IF(AD318=1,(Z318-I$1030)^2,0)</f>
        <v>0</v>
      </c>
      <c r="AI318" s="57" t="n">
        <f aca="false">IF(AE318=1,(AA318-J$1030)^2,0)</f>
        <v>0</v>
      </c>
    </row>
    <row r="319" customFormat="false" ht="12" hidden="false" customHeight="false" outlineLevel="0" collapsed="false">
      <c r="A319" s="5" t="n">
        <v>302</v>
      </c>
      <c r="B319" s="58" t="n">
        <f aca="true">IF(RAND()&lt;$D$8,1,0)</f>
        <v>0</v>
      </c>
      <c r="C319" s="47" t="n">
        <f aca="true">-LN(RAND())/$D$2</f>
        <v>0.305411982587804</v>
      </c>
      <c r="D319" s="59" t="n">
        <f aca="false">D318+C319</f>
        <v>282.813512147367</v>
      </c>
      <c r="E319" s="60" t="n">
        <f aca="false">MAX($D$3,(1+P318-VLOOKUP(VALUE(D319),$J$18:$Q318,7,TRUE()))*$D$3)</f>
        <v>30</v>
      </c>
      <c r="F319" s="60" t="n">
        <f aca="false">MAX($D$4,(1+Q318-VLOOKUP(VALUE(D319),$M$18:$Q318,5,TRUE()))*$D$4)</f>
        <v>26</v>
      </c>
      <c r="G319" s="61" t="n">
        <v>0.5</v>
      </c>
      <c r="H319" s="59" t="n">
        <f aca="true">IF((B319=1),(IF((F319&lt;E319),1,(IF((F319=E319),(IF(RAND()&lt;G319,1,0)),0)))),(IF((RAND()&lt;G319),1,0)))</f>
        <v>1</v>
      </c>
      <c r="I319" s="59" t="n">
        <f aca="true">IF((H319=1),0,$D$3+$D$5*(RAND()-0.5))</f>
        <v>0</v>
      </c>
      <c r="J319" s="59" t="n">
        <f aca="false">I319+MAX(D319,J318)</f>
        <v>309.672906470192</v>
      </c>
      <c r="K319" s="59" t="n">
        <f aca="false">IF((H319=0),J319-D319,0)</f>
        <v>0</v>
      </c>
      <c r="L319" s="59" t="n">
        <f aca="true">IF(($H319=0),0,$D$4+$D$5*(RAND()-0.5))</f>
        <v>1.99371866408751</v>
      </c>
      <c r="M319" s="59" t="n">
        <f aca="false">L319+MAX(D319,M318)</f>
        <v>307.642241415317</v>
      </c>
      <c r="N319" s="59" t="n">
        <f aca="false">IF((H319=1),M319-D319,0)</f>
        <v>24.8287292679499</v>
      </c>
      <c r="O319" s="5" t="n">
        <v>302</v>
      </c>
      <c r="P319" s="62" t="n">
        <f aca="false">IF((Arterial=0),P318+1,P318)</f>
        <v>151</v>
      </c>
      <c r="Q319" s="62" t="n">
        <f aca="false">IF((Arterial=1),Q318+1,Q318)</f>
        <v>151</v>
      </c>
      <c r="R319" s="63" t="n">
        <f aca="false">IF((RESET=1),0,R319+K319)</f>
        <v>579.121557582497</v>
      </c>
      <c r="S319" s="10" t="e">
        <f aca="false">IF(RESET=1,0,S319+N319)</f>
        <v>#N/A</v>
      </c>
      <c r="T319" s="0" t="n">
        <f aca="false">IF(RESET=1,0,T319+IF(H319=0,1,0))</f>
        <v>34</v>
      </c>
      <c r="U319" s="0" t="e">
        <f aca="false">IF(RESET=1,0,U319+H319)</f>
        <v>#N/A</v>
      </c>
      <c r="V319" s="10" t="n">
        <f aca="false">R319/(T319+0.00001)</f>
        <v>17.0329819780199</v>
      </c>
      <c r="W319" s="10" t="e">
        <f aca="false">S319/(U319+0.0001)</f>
        <v>#N/A</v>
      </c>
      <c r="X319" s="60" t="n">
        <f aca="false">IF(Informed=1,K319,0)</f>
        <v>0</v>
      </c>
      <c r="Y319" s="60" t="n">
        <f aca="false">IF(Informed=0,K319,0)</f>
        <v>0</v>
      </c>
      <c r="Z319" s="60" t="n">
        <f aca="false">IF(Informed=1,N319,0)</f>
        <v>0</v>
      </c>
      <c r="AA319" s="60" t="n">
        <f aca="false">IF(Informed=0,N319,0)</f>
        <v>24.8287292679499</v>
      </c>
      <c r="AB319" s="64" t="n">
        <f aca="false">IF(Arterial=0,IF(Informed=1,1,0),0)</f>
        <v>0</v>
      </c>
      <c r="AC319" s="64" t="n">
        <f aca="false">IF(Arterial=0,IF(Informed=0,1,0),0)</f>
        <v>0</v>
      </c>
      <c r="AD319" s="64" t="n">
        <f aca="false">IF(Arterial=1,IF(Informed=1,1,0),0)</f>
        <v>0</v>
      </c>
      <c r="AE319" s="64" t="n">
        <f aca="false">IF(Arterial=1,IF(Informed=0,1,0),0)</f>
        <v>1</v>
      </c>
      <c r="AF319" s="57" t="n">
        <f aca="false">IF(AB319=1,(X319-G$1030)^2,0)</f>
        <v>0</v>
      </c>
      <c r="AG319" s="57" t="n">
        <f aca="false">IF(AC319=1,(Y319-H$1030)^2,0)</f>
        <v>0</v>
      </c>
      <c r="AH319" s="57" t="n">
        <f aca="false">IF(AD319=1,(Z319-I$1030)^2,0)</f>
        <v>0</v>
      </c>
      <c r="AI319" s="57" t="n">
        <f aca="false">IF(AE319=1,(AA319-J$1030)^2,0)</f>
        <v>616.465797061154</v>
      </c>
    </row>
    <row r="320" customFormat="false" ht="12" hidden="false" customHeight="false" outlineLevel="0" collapsed="false">
      <c r="A320" s="5" t="n">
        <v>303</v>
      </c>
      <c r="B320" s="58" t="n">
        <f aca="true">IF(RAND()&lt;$D$8,1,0)</f>
        <v>1</v>
      </c>
      <c r="C320" s="47" t="n">
        <f aca="true">-LN(RAND())/$D$2</f>
        <v>2.07374331984799</v>
      </c>
      <c r="D320" s="59" t="n">
        <f aca="false">D319+C320</f>
        <v>284.887255467215</v>
      </c>
      <c r="E320" s="60" t="n">
        <f aca="false">MAX($D$3,(1+P319-VLOOKUP(VALUE(D320),$J$18:$Q319,7,TRUE()))*$D$3)</f>
        <v>28</v>
      </c>
      <c r="F320" s="60" t="n">
        <f aca="false">MAX($D$4,(1+Q319-VLOOKUP(VALUE(D320),$M$18:$Q319,5,TRUE()))*$D$4)</f>
        <v>26</v>
      </c>
      <c r="G320" s="61" t="n">
        <v>0.5</v>
      </c>
      <c r="H320" s="59" t="n">
        <f aca="true">IF((B320=1),(IF((F320&lt;E320),1,(IF((F320=E320),(IF(RAND()&lt;G320,1,0)),0)))),(IF((RAND()&lt;G320),1,0)))</f>
        <v>1</v>
      </c>
      <c r="I320" s="59" t="n">
        <f aca="true">IF((H320=1),0,$D$3+$D$5*(RAND()-0.5))</f>
        <v>0</v>
      </c>
      <c r="J320" s="59" t="n">
        <f aca="false">I320+MAX(D320,J319)</f>
        <v>309.672906470192</v>
      </c>
      <c r="K320" s="59" t="n">
        <f aca="false">IF((H320=0),J320-D320,0)</f>
        <v>0</v>
      </c>
      <c r="L320" s="59" t="n">
        <f aca="true">IF(($H320=0),0,$D$4+$D$5*(RAND()-0.5))</f>
        <v>1.97808847787519</v>
      </c>
      <c r="M320" s="59" t="n">
        <f aca="false">L320+MAX(D320,M319)</f>
        <v>309.620329893192</v>
      </c>
      <c r="N320" s="59" t="n">
        <f aca="false">IF((H320=1),M320-D320,0)</f>
        <v>24.7330744259771</v>
      </c>
      <c r="O320" s="5" t="n">
        <v>303</v>
      </c>
      <c r="P320" s="62" t="n">
        <f aca="false">IF((Arterial=0),P319+1,P319)</f>
        <v>151</v>
      </c>
      <c r="Q320" s="62" t="n">
        <f aca="false">IF((Arterial=1),Q319+1,Q319)</f>
        <v>152</v>
      </c>
      <c r="R320" s="63" t="n">
        <f aca="false">IF((RESET=1),0,R320+K320)</f>
        <v>400.223001801822</v>
      </c>
      <c r="S320" s="10" t="e">
        <f aca="false">IF(RESET=1,0,S320+N320)</f>
        <v>#N/A</v>
      </c>
      <c r="T320" s="0" t="n">
        <f aca="false">IF(RESET=1,0,T320+IF(H320=0,1,0))</f>
        <v>22</v>
      </c>
      <c r="U320" s="0" t="e">
        <f aca="false">IF(RESET=1,0,U320+H320)</f>
        <v>#N/A</v>
      </c>
      <c r="V320" s="10" t="n">
        <f aca="false">R320/(T320+0.00001)</f>
        <v>18.191946358289</v>
      </c>
      <c r="W320" s="10" t="e">
        <f aca="false">S320/(U320+0.0001)</f>
        <v>#N/A</v>
      </c>
      <c r="X320" s="60" t="n">
        <f aca="false">IF(Informed=1,K320,0)</f>
        <v>0</v>
      </c>
      <c r="Y320" s="60" t="n">
        <f aca="false">IF(Informed=0,K320,0)</f>
        <v>0</v>
      </c>
      <c r="Z320" s="60" t="n">
        <f aca="false">IF(Informed=1,N320,0)</f>
        <v>24.7330744259771</v>
      </c>
      <c r="AA320" s="60" t="n">
        <f aca="false">IF(Informed=0,N320,0)</f>
        <v>0</v>
      </c>
      <c r="AB320" s="64" t="n">
        <f aca="false">IF(Arterial=0,IF(Informed=1,1,0),0)</f>
        <v>0</v>
      </c>
      <c r="AC320" s="64" t="n">
        <f aca="false">IF(Arterial=0,IF(Informed=0,1,0),0)</f>
        <v>0</v>
      </c>
      <c r="AD320" s="64" t="n">
        <f aca="false">IF(Arterial=1,IF(Informed=1,1,0),0)</f>
        <v>1</v>
      </c>
      <c r="AE320" s="64" t="n">
        <f aca="false">IF(Arterial=1,IF(Informed=0,1,0),0)</f>
        <v>0</v>
      </c>
      <c r="AF320" s="57" t="n">
        <f aca="false">IF(AB320=1,(X320-G$1030)^2,0)</f>
        <v>0</v>
      </c>
      <c r="AG320" s="57" t="n">
        <f aca="false">IF(AC320=1,(Y320-H$1030)^2,0)</f>
        <v>0</v>
      </c>
      <c r="AH320" s="57" t="n">
        <f aca="false">IF(AD320=1,(Z320-I$1030)^2,0)</f>
        <v>611.724970560924</v>
      </c>
      <c r="AI320" s="57" t="n">
        <f aca="false">IF(AE320=1,(AA320-J$1030)^2,0)</f>
        <v>0</v>
      </c>
    </row>
    <row r="321" customFormat="false" ht="12" hidden="false" customHeight="false" outlineLevel="0" collapsed="false">
      <c r="A321" s="5" t="n">
        <v>304</v>
      </c>
      <c r="B321" s="58" t="n">
        <f aca="true">IF(RAND()&lt;$D$8,1,0)</f>
        <v>1</v>
      </c>
      <c r="C321" s="47" t="n">
        <f aca="true">-LN(RAND())/$D$2</f>
        <v>0.201962885575677</v>
      </c>
      <c r="D321" s="59" t="n">
        <f aca="false">D320+C321</f>
        <v>285.089218352791</v>
      </c>
      <c r="E321" s="60" t="n">
        <f aca="false">MAX($D$3,(1+P320-VLOOKUP(VALUE(D321),$J$18:$Q320,7,TRUE()))*$D$3)</f>
        <v>28</v>
      </c>
      <c r="F321" s="60" t="n">
        <f aca="false">MAX($D$4,(1+Q320-VLOOKUP(VALUE(D321),$M$18:$Q320,5,TRUE()))*$D$4)</f>
        <v>28</v>
      </c>
      <c r="G321" s="61" t="n">
        <v>0.5</v>
      </c>
      <c r="H321" s="59" t="n">
        <f aca="true">IF((B321=1),(IF((F321&lt;E321),1,(IF((F321=E321),(IF(RAND()&lt;G321,1,0)),0)))),(IF((RAND()&lt;G321),1,0)))</f>
        <v>0</v>
      </c>
      <c r="I321" s="59" t="n">
        <f aca="true">IF((H321=1),0,$D$3+$D$5*(RAND()-0.5))</f>
        <v>1.99946474936984</v>
      </c>
      <c r="J321" s="59" t="n">
        <f aca="false">I321+MAX(D321,J320)</f>
        <v>311.672371219561</v>
      </c>
      <c r="K321" s="59" t="n">
        <f aca="false">IF((H321=0),J321-D321,0)</f>
        <v>26.5831528667705</v>
      </c>
      <c r="L321" s="59" t="n">
        <f aca="true">IF(($H321=0),0,$D$4+$D$5*(RAND()-0.5))</f>
        <v>0</v>
      </c>
      <c r="M321" s="59" t="n">
        <f aca="false">L321+MAX(D321,M320)</f>
        <v>309.620329893192</v>
      </c>
      <c r="N321" s="59" t="n">
        <f aca="false">IF((H321=1),M321-D321,0)</f>
        <v>0</v>
      </c>
      <c r="O321" s="5" t="n">
        <v>304</v>
      </c>
      <c r="P321" s="62" t="n">
        <f aca="false">IF((Arterial=0),P320+1,P320)</f>
        <v>152</v>
      </c>
      <c r="Q321" s="62" t="n">
        <f aca="false">IF((Arterial=1),Q320+1,Q320)</f>
        <v>152</v>
      </c>
      <c r="R321" s="63" t="e">
        <f aca="false">IF((RESET=1),0,R321+K321)</f>
        <v>#N/A</v>
      </c>
      <c r="S321" s="10" t="n">
        <f aca="false">IF(RESET=1,0,S321+N321)</f>
        <v>598.234933687415</v>
      </c>
      <c r="T321" s="0" t="e">
        <f aca="false">IF(RESET=1,0,T321+IF(H321=0,1,0))</f>
        <v>#N/A</v>
      </c>
      <c r="U321" s="0" t="n">
        <f aca="false">IF(RESET=1,0,U321+H321)</f>
        <v>31</v>
      </c>
      <c r="V321" s="10" t="e">
        <f aca="false">R321/(T321+0.00001)</f>
        <v>#N/A</v>
      </c>
      <c r="W321" s="10" t="n">
        <f aca="false">S321/(U321+0.0001)</f>
        <v>19.2978388355978</v>
      </c>
      <c r="X321" s="60" t="n">
        <f aca="false">IF(Informed=1,K321,0)</f>
        <v>26.5831528667705</v>
      </c>
      <c r="Y321" s="60" t="n">
        <f aca="false">IF(Informed=0,K321,0)</f>
        <v>0</v>
      </c>
      <c r="Z321" s="60" t="n">
        <f aca="false">IF(Informed=1,N321,0)</f>
        <v>0</v>
      </c>
      <c r="AA321" s="60" t="n">
        <f aca="false">IF(Informed=0,N321,0)</f>
        <v>0</v>
      </c>
      <c r="AB321" s="64" t="n">
        <f aca="false">IF(Arterial=0,IF(Informed=1,1,0),0)</f>
        <v>1</v>
      </c>
      <c r="AC321" s="64" t="n">
        <f aca="false">IF(Arterial=0,IF(Informed=0,1,0),0)</f>
        <v>0</v>
      </c>
      <c r="AD321" s="64" t="n">
        <f aca="false">IF(Arterial=1,IF(Informed=1,1,0),0)</f>
        <v>0</v>
      </c>
      <c r="AE321" s="64" t="n">
        <f aca="false">IF(Arterial=1,IF(Informed=0,1,0),0)</f>
        <v>0</v>
      </c>
      <c r="AF321" s="57" t="n">
        <f aca="false">IF(AB321=1,(X321-G$1030)^2,0)</f>
        <v>706.664016338088</v>
      </c>
      <c r="AG321" s="57" t="n">
        <f aca="false">IF(AC321=1,(Y321-H$1030)^2,0)</f>
        <v>0</v>
      </c>
      <c r="AH321" s="57" t="n">
        <f aca="false">IF(AD321=1,(Z321-I$1030)^2,0)</f>
        <v>0</v>
      </c>
      <c r="AI321" s="57" t="n">
        <f aca="false">IF(AE321=1,(AA321-J$1030)^2,0)</f>
        <v>0</v>
      </c>
    </row>
    <row r="322" customFormat="false" ht="12" hidden="false" customHeight="false" outlineLevel="0" collapsed="false">
      <c r="A322" s="5" t="n">
        <v>305</v>
      </c>
      <c r="B322" s="58" t="n">
        <f aca="true">IF(RAND()&lt;$D$8,1,0)</f>
        <v>1</v>
      </c>
      <c r="C322" s="47" t="n">
        <f aca="true">-LN(RAND())/$D$2</f>
        <v>0.0844490365197797</v>
      </c>
      <c r="D322" s="59" t="n">
        <f aca="false">D321+C322</f>
        <v>285.173667389311</v>
      </c>
      <c r="E322" s="60" t="n">
        <f aca="false">MAX($D$3,(1+P321-VLOOKUP(VALUE(D322),$J$18:$Q321,7,TRUE()))*$D$3)</f>
        <v>30</v>
      </c>
      <c r="F322" s="60" t="n">
        <f aca="false">MAX($D$4,(1+Q321-VLOOKUP(VALUE(D322),$M$18:$Q321,5,TRUE()))*$D$4)</f>
        <v>28</v>
      </c>
      <c r="G322" s="61" t="n">
        <v>0.5</v>
      </c>
      <c r="H322" s="59" t="n">
        <f aca="true">IF((B322=1),(IF((F322&lt;E322),1,(IF((F322=E322),(IF(RAND()&lt;G322,1,0)),0)))),(IF((RAND()&lt;G322),1,0)))</f>
        <v>1</v>
      </c>
      <c r="I322" s="59" t="n">
        <f aca="true">IF((H322=1),0,$D$3+$D$5*(RAND()-0.5))</f>
        <v>0</v>
      </c>
      <c r="J322" s="59" t="n">
        <f aca="false">I322+MAX(D322,J321)</f>
        <v>311.672371219561</v>
      </c>
      <c r="K322" s="59" t="n">
        <f aca="false">IF((H322=0),J322-D322,0)</f>
        <v>0</v>
      </c>
      <c r="L322" s="59" t="n">
        <f aca="true">IF(($H322=0),0,$D$4+$D$5*(RAND()-0.5))</f>
        <v>1.96063364461651</v>
      </c>
      <c r="M322" s="59" t="n">
        <f aca="false">L322+MAX(D322,M321)</f>
        <v>311.580963537809</v>
      </c>
      <c r="N322" s="59" t="n">
        <f aca="false">IF((H322=1),M322-D322,0)</f>
        <v>26.4072961484982</v>
      </c>
      <c r="O322" s="5" t="n">
        <v>305</v>
      </c>
      <c r="P322" s="62" t="n">
        <f aca="false">IF((Arterial=0),P321+1,P321)</f>
        <v>152</v>
      </c>
      <c r="Q322" s="62" t="n">
        <f aca="false">IF((Arterial=1),Q321+1,Q321)</f>
        <v>153</v>
      </c>
      <c r="R322" s="63" t="n">
        <f aca="false">IF((RESET=1),0,R322+K322)</f>
        <v>490.014527340885</v>
      </c>
      <c r="S322" s="10" t="e">
        <f aca="false">IF(RESET=1,0,S322+N322)</f>
        <v>#N/A</v>
      </c>
      <c r="T322" s="0" t="n">
        <f aca="false">IF(RESET=1,0,T322+IF(H322=0,1,0))</f>
        <v>28</v>
      </c>
      <c r="U322" s="0" t="e">
        <f aca="false">IF(RESET=1,0,U322+H322)</f>
        <v>#N/A</v>
      </c>
      <c r="V322" s="10" t="n">
        <f aca="false">R322/(T322+0.00001)</f>
        <v>17.50051258342</v>
      </c>
      <c r="W322" s="10" t="e">
        <f aca="false">S322/(U322+0.0001)</f>
        <v>#N/A</v>
      </c>
      <c r="X322" s="60" t="n">
        <f aca="false">IF(Informed=1,K322,0)</f>
        <v>0</v>
      </c>
      <c r="Y322" s="60" t="n">
        <f aca="false">IF(Informed=0,K322,0)</f>
        <v>0</v>
      </c>
      <c r="Z322" s="60" t="n">
        <f aca="false">IF(Informed=1,N322,0)</f>
        <v>26.4072961484982</v>
      </c>
      <c r="AA322" s="60" t="n">
        <f aca="false">IF(Informed=0,N322,0)</f>
        <v>0</v>
      </c>
      <c r="AB322" s="64" t="n">
        <f aca="false">IF(Arterial=0,IF(Informed=1,1,0),0)</f>
        <v>0</v>
      </c>
      <c r="AC322" s="64" t="n">
        <f aca="false">IF(Arterial=0,IF(Informed=0,1,0),0)</f>
        <v>0</v>
      </c>
      <c r="AD322" s="64" t="n">
        <f aca="false">IF(Arterial=1,IF(Informed=1,1,0),0)</f>
        <v>1</v>
      </c>
      <c r="AE322" s="64" t="n">
        <f aca="false">IF(Arterial=1,IF(Informed=0,1,0),0)</f>
        <v>0</v>
      </c>
      <c r="AF322" s="57" t="n">
        <f aca="false">IF(AB322=1,(X322-G$1030)^2,0)</f>
        <v>0</v>
      </c>
      <c r="AG322" s="57" t="n">
        <f aca="false">IF(AC322=1,(Y322-H$1030)^2,0)</f>
        <v>0</v>
      </c>
      <c r="AH322" s="57" t="n">
        <f aca="false">IF(AD322=1,(Z322-I$1030)^2,0)</f>
        <v>697.345289874487</v>
      </c>
      <c r="AI322" s="57" t="n">
        <f aca="false">IF(AE322=1,(AA322-J$1030)^2,0)</f>
        <v>0</v>
      </c>
    </row>
    <row r="323" customFormat="false" ht="12" hidden="false" customHeight="false" outlineLevel="0" collapsed="false">
      <c r="A323" s="5" t="n">
        <v>306</v>
      </c>
      <c r="B323" s="58" t="n">
        <f aca="true">IF(RAND()&lt;$D$8,1,0)</f>
        <v>0</v>
      </c>
      <c r="C323" s="47" t="n">
        <f aca="true">-LN(RAND())/$D$2</f>
        <v>0.880123572549327</v>
      </c>
      <c r="D323" s="59" t="n">
        <f aca="false">D322+C323</f>
        <v>286.05379096186</v>
      </c>
      <c r="E323" s="60" t="n">
        <f aca="false">MAX($D$3,(1+P322-VLOOKUP(VALUE(D323),$J$18:$Q322,7,TRUE()))*$D$3)</f>
        <v>28</v>
      </c>
      <c r="F323" s="60" t="n">
        <f aca="false">MAX($D$4,(1+Q322-VLOOKUP(VALUE(D323),$M$18:$Q322,5,TRUE()))*$D$4)</f>
        <v>28</v>
      </c>
      <c r="G323" s="61" t="n">
        <v>0.5</v>
      </c>
      <c r="H323" s="59" t="n">
        <f aca="true">IF((B323=1),(IF((F323&lt;E323),1,(IF((F323=E323),(IF(RAND()&lt;G323,1,0)),0)))),(IF((RAND()&lt;G323),1,0)))</f>
        <v>1</v>
      </c>
      <c r="I323" s="59" t="n">
        <f aca="true">IF((H323=1),0,$D$3+$D$5*(RAND()-0.5))</f>
        <v>0</v>
      </c>
      <c r="J323" s="59" t="n">
        <f aca="false">I323+MAX(D323,J322)</f>
        <v>311.672371219561</v>
      </c>
      <c r="K323" s="59" t="n">
        <f aca="false">IF((H323=0),J323-D323,0)</f>
        <v>0</v>
      </c>
      <c r="L323" s="59" t="n">
        <f aca="true">IF(($H323=0),0,$D$4+$D$5*(RAND()-0.5))</f>
        <v>2.17634498770684</v>
      </c>
      <c r="M323" s="59" t="n">
        <f aca="false">L323+MAX(D323,M322)</f>
        <v>313.757308525516</v>
      </c>
      <c r="N323" s="59" t="n">
        <f aca="false">IF((H323=1),M323-D323,0)</f>
        <v>27.7035175636557</v>
      </c>
      <c r="O323" s="5" t="n">
        <v>306</v>
      </c>
      <c r="P323" s="62" t="n">
        <f aca="false">IF((Arterial=0),P322+1,P322)</f>
        <v>152</v>
      </c>
      <c r="Q323" s="62" t="n">
        <f aca="false">IF((Arterial=1),Q322+1,Q322)</f>
        <v>154</v>
      </c>
      <c r="R323" s="63" t="n">
        <f aca="false">IF((RESET=1),0,R323+K323)</f>
        <v>453.03095878171</v>
      </c>
      <c r="S323" s="10" t="e">
        <f aca="false">IF(RESET=1,0,S323+N323)</f>
        <v>#N/A</v>
      </c>
      <c r="T323" s="0" t="n">
        <f aca="false">IF(RESET=1,0,T323+IF(H323=0,1,0))</f>
        <v>28</v>
      </c>
      <c r="U323" s="0" t="e">
        <f aca="false">IF(RESET=1,0,U323+H323)</f>
        <v>#N/A</v>
      </c>
      <c r="V323" s="10" t="n">
        <f aca="false">R323/(T323+0.00001)</f>
        <v>16.1796713208927</v>
      </c>
      <c r="W323" s="10" t="e">
        <f aca="false">S323/(U323+0.0001)</f>
        <v>#N/A</v>
      </c>
      <c r="X323" s="60" t="n">
        <f aca="false">IF(Informed=1,K323,0)</f>
        <v>0</v>
      </c>
      <c r="Y323" s="60" t="n">
        <f aca="false">IF(Informed=0,K323,0)</f>
        <v>0</v>
      </c>
      <c r="Z323" s="60" t="n">
        <f aca="false">IF(Informed=1,N323,0)</f>
        <v>0</v>
      </c>
      <c r="AA323" s="60" t="n">
        <f aca="false">IF(Informed=0,N323,0)</f>
        <v>27.7035175636557</v>
      </c>
      <c r="AB323" s="64" t="n">
        <f aca="false">IF(Arterial=0,IF(Informed=1,1,0),0)</f>
        <v>0</v>
      </c>
      <c r="AC323" s="64" t="n">
        <f aca="false">IF(Arterial=0,IF(Informed=0,1,0),0)</f>
        <v>0</v>
      </c>
      <c r="AD323" s="64" t="n">
        <f aca="false">IF(Arterial=1,IF(Informed=1,1,0),0)</f>
        <v>0</v>
      </c>
      <c r="AE323" s="64" t="n">
        <f aca="false">IF(Arterial=1,IF(Informed=0,1,0),0)</f>
        <v>1</v>
      </c>
      <c r="AF323" s="57" t="n">
        <f aca="false">IF(AB323=1,(X323-G$1030)^2,0)</f>
        <v>0</v>
      </c>
      <c r="AG323" s="57" t="n">
        <f aca="false">IF(AC323=1,(Y323-H$1030)^2,0)</f>
        <v>0</v>
      </c>
      <c r="AH323" s="57" t="n">
        <f aca="false">IF(AD323=1,(Z323-I$1030)^2,0)</f>
        <v>0</v>
      </c>
      <c r="AI323" s="57" t="n">
        <f aca="false">IF(AE323=1,(AA323-J$1030)^2,0)</f>
        <v>767.484885399779</v>
      </c>
    </row>
    <row r="324" customFormat="false" ht="12" hidden="false" customHeight="false" outlineLevel="0" collapsed="false">
      <c r="A324" s="5" t="n">
        <v>307</v>
      </c>
      <c r="B324" s="58" t="n">
        <f aca="true">IF(RAND()&lt;$D$8,1,0)</f>
        <v>1</v>
      </c>
      <c r="C324" s="47" t="n">
        <f aca="true">-LN(RAND())/$D$2</f>
        <v>2.92919737205933</v>
      </c>
      <c r="D324" s="59" t="n">
        <f aca="false">D323+C324</f>
        <v>288.982988333919</v>
      </c>
      <c r="E324" s="60" t="n">
        <f aca="false">MAX($D$3,(1+P323-VLOOKUP(VALUE(D324),$J$18:$Q323,7,TRUE()))*$D$3)</f>
        <v>26</v>
      </c>
      <c r="F324" s="60" t="n">
        <f aca="false">MAX($D$4,(1+Q323-VLOOKUP(VALUE(D324),$M$18:$Q323,5,TRUE()))*$D$4)</f>
        <v>28</v>
      </c>
      <c r="G324" s="61" t="n">
        <v>0.5</v>
      </c>
      <c r="H324" s="59" t="n">
        <f aca="true">IF((B324=1),(IF((F324&lt;E324),1,(IF((F324=E324),(IF(RAND()&lt;G324,1,0)),0)))),(IF((RAND()&lt;G324),1,0)))</f>
        <v>0</v>
      </c>
      <c r="I324" s="59" t="n">
        <f aca="true">IF((H324=1),0,$D$3+$D$5*(RAND()-0.5))</f>
        <v>2.14856538382297</v>
      </c>
      <c r="J324" s="59" t="n">
        <f aca="false">I324+MAX(D324,J323)</f>
        <v>313.820936603384</v>
      </c>
      <c r="K324" s="59" t="n">
        <f aca="false">IF((H324=0),J324-D324,0)</f>
        <v>24.837948269465</v>
      </c>
      <c r="L324" s="59" t="n">
        <f aca="true">IF(($H324=0),0,$D$4+$D$5*(RAND()-0.5))</f>
        <v>0</v>
      </c>
      <c r="M324" s="59" t="n">
        <f aca="false">L324+MAX(D324,M323)</f>
        <v>313.757308525516</v>
      </c>
      <c r="N324" s="59" t="n">
        <f aca="false">IF((H324=1),M324-D324,0)</f>
        <v>0</v>
      </c>
      <c r="O324" s="5" t="n">
        <v>307</v>
      </c>
      <c r="P324" s="62" t="n">
        <f aca="false">IF((Arterial=0),P323+1,P323)</f>
        <v>153</v>
      </c>
      <c r="Q324" s="62" t="n">
        <f aca="false">IF((Arterial=1),Q323+1,Q323)</f>
        <v>154</v>
      </c>
      <c r="R324" s="63" t="e">
        <f aca="false">IF((RESET=1),0,R324+K324)</f>
        <v>#N/A</v>
      </c>
      <c r="S324" s="10" t="n">
        <f aca="false">IF(RESET=1,0,S324+N324)</f>
        <v>515.900538930831</v>
      </c>
      <c r="T324" s="0" t="e">
        <f aca="false">IF(RESET=1,0,T324+IF(H324=0,1,0))</f>
        <v>#N/A</v>
      </c>
      <c r="U324" s="0" t="n">
        <f aca="false">IF(RESET=1,0,U324+H324)</f>
        <v>30</v>
      </c>
      <c r="V324" s="10" t="e">
        <f aca="false">R324/(T324+0.00001)</f>
        <v>#N/A</v>
      </c>
      <c r="W324" s="10" t="n">
        <f aca="false">S324/(U324+0.0001)</f>
        <v>17.1966273089367</v>
      </c>
      <c r="X324" s="60" t="n">
        <f aca="false">IF(Informed=1,K324,0)</f>
        <v>24.837948269465</v>
      </c>
      <c r="Y324" s="60" t="n">
        <f aca="false">IF(Informed=0,K324,0)</f>
        <v>0</v>
      </c>
      <c r="Z324" s="60" t="n">
        <f aca="false">IF(Informed=1,N324,0)</f>
        <v>0</v>
      </c>
      <c r="AA324" s="60" t="n">
        <f aca="false">IF(Informed=0,N324,0)</f>
        <v>0</v>
      </c>
      <c r="AB324" s="64" t="n">
        <f aca="false">IF(Arterial=0,IF(Informed=1,1,0),0)</f>
        <v>1</v>
      </c>
      <c r="AC324" s="64" t="n">
        <f aca="false">IF(Arterial=0,IF(Informed=0,1,0),0)</f>
        <v>0</v>
      </c>
      <c r="AD324" s="64" t="n">
        <f aca="false">IF(Arterial=1,IF(Informed=1,1,0),0)</f>
        <v>0</v>
      </c>
      <c r="AE324" s="64" t="n">
        <f aca="false">IF(Arterial=1,IF(Informed=0,1,0),0)</f>
        <v>0</v>
      </c>
      <c r="AF324" s="57" t="n">
        <f aca="false">IF(AB324=1,(X324-G$1030)^2,0)</f>
        <v>616.92367423662</v>
      </c>
      <c r="AG324" s="57" t="n">
        <f aca="false">IF(AC324=1,(Y324-H$1030)^2,0)</f>
        <v>0</v>
      </c>
      <c r="AH324" s="57" t="n">
        <f aca="false">IF(AD324=1,(Z324-I$1030)^2,0)</f>
        <v>0</v>
      </c>
      <c r="AI324" s="57" t="n">
        <f aca="false">IF(AE324=1,(AA324-J$1030)^2,0)</f>
        <v>0</v>
      </c>
    </row>
    <row r="325" customFormat="false" ht="12" hidden="false" customHeight="false" outlineLevel="0" collapsed="false">
      <c r="A325" s="5" t="n">
        <v>308</v>
      </c>
      <c r="B325" s="58" t="n">
        <f aca="true">IF(RAND()&lt;$D$8,1,0)</f>
        <v>0</v>
      </c>
      <c r="C325" s="47" t="n">
        <f aca="true">-LN(RAND())/$D$2</f>
        <v>0.439380272478687</v>
      </c>
      <c r="D325" s="59" t="n">
        <f aca="false">D324+C325</f>
        <v>289.422368606398</v>
      </c>
      <c r="E325" s="60" t="n">
        <f aca="false">MAX($D$3,(1+P324-VLOOKUP(VALUE(D325),$J$18:$Q324,7,TRUE()))*$D$3)</f>
        <v>28</v>
      </c>
      <c r="F325" s="60" t="n">
        <f aca="false">MAX($D$4,(1+Q324-VLOOKUP(VALUE(D325),$M$18:$Q324,5,TRUE()))*$D$4)</f>
        <v>28</v>
      </c>
      <c r="G325" s="61" t="n">
        <v>0.5</v>
      </c>
      <c r="H325" s="59" t="n">
        <f aca="true">IF((B325=1),(IF((F325&lt;E325),1,(IF((F325=E325),(IF(RAND()&lt;G325,1,0)),0)))),(IF((RAND()&lt;G325),1,0)))</f>
        <v>1</v>
      </c>
      <c r="I325" s="59" t="n">
        <f aca="true">IF((H325=1),0,$D$3+$D$5*(RAND()-0.5))</f>
        <v>0</v>
      </c>
      <c r="J325" s="59" t="n">
        <f aca="false">I325+MAX(D325,J324)</f>
        <v>313.820936603384</v>
      </c>
      <c r="K325" s="59" t="n">
        <f aca="false">IF((H325=0),J325-D325,0)</f>
        <v>0</v>
      </c>
      <c r="L325" s="59" t="n">
        <f aca="true">IF(($H325=0),0,$D$4+$D$5*(RAND()-0.5))</f>
        <v>1.85924569684816</v>
      </c>
      <c r="M325" s="59" t="n">
        <f aca="false">L325+MAX(D325,M324)</f>
        <v>315.616554222364</v>
      </c>
      <c r="N325" s="59" t="n">
        <f aca="false">IF((H325=1),M325-D325,0)</f>
        <v>26.1941856159659</v>
      </c>
      <c r="O325" s="5" t="n">
        <v>308</v>
      </c>
      <c r="P325" s="62" t="n">
        <f aca="false">IF((Arterial=0),P324+1,P324)</f>
        <v>153</v>
      </c>
      <c r="Q325" s="62" t="n">
        <f aca="false">IF((Arterial=1),Q324+1,Q324)</f>
        <v>155</v>
      </c>
      <c r="R325" s="63" t="n">
        <f aca="false">IF((RESET=1),0,R325+K325)</f>
        <v>513.167357490755</v>
      </c>
      <c r="S325" s="10" t="e">
        <f aca="false">IF(RESET=1,0,S325+N325)</f>
        <v>#N/A</v>
      </c>
      <c r="T325" s="0" t="n">
        <f aca="false">IF(RESET=1,0,T325+IF(H325=0,1,0))</f>
        <v>30</v>
      </c>
      <c r="U325" s="0" t="e">
        <f aca="false">IF(RESET=1,0,U325+H325)</f>
        <v>#N/A</v>
      </c>
      <c r="V325" s="10" t="n">
        <f aca="false">R325/(T325+0.00001)</f>
        <v>17.1055728811675</v>
      </c>
      <c r="W325" s="10" t="e">
        <f aca="false">S325/(U325+0.0001)</f>
        <v>#N/A</v>
      </c>
      <c r="X325" s="60" t="n">
        <f aca="false">IF(Informed=1,K325,0)</f>
        <v>0</v>
      </c>
      <c r="Y325" s="60" t="n">
        <f aca="false">IF(Informed=0,K325,0)</f>
        <v>0</v>
      </c>
      <c r="Z325" s="60" t="n">
        <f aca="false">IF(Informed=1,N325,0)</f>
        <v>0</v>
      </c>
      <c r="AA325" s="60" t="n">
        <f aca="false">IF(Informed=0,N325,0)</f>
        <v>26.1941856159659</v>
      </c>
      <c r="AB325" s="64" t="n">
        <f aca="false">IF(Arterial=0,IF(Informed=1,1,0),0)</f>
        <v>0</v>
      </c>
      <c r="AC325" s="64" t="n">
        <f aca="false">IF(Arterial=0,IF(Informed=0,1,0),0)</f>
        <v>0</v>
      </c>
      <c r="AD325" s="64" t="n">
        <f aca="false">IF(Arterial=1,IF(Informed=1,1,0),0)</f>
        <v>0</v>
      </c>
      <c r="AE325" s="64" t="n">
        <f aca="false">IF(Arterial=1,IF(Informed=0,1,0),0)</f>
        <v>1</v>
      </c>
      <c r="AF325" s="57" t="n">
        <f aca="false">IF(AB325=1,(X325-G$1030)^2,0)</f>
        <v>0</v>
      </c>
      <c r="AG325" s="57" t="n">
        <f aca="false">IF(AC325=1,(Y325-H$1030)^2,0)</f>
        <v>0</v>
      </c>
      <c r="AH325" s="57" t="n">
        <f aca="false">IF(AD325=1,(Z325-I$1030)^2,0)</f>
        <v>0</v>
      </c>
      <c r="AI325" s="57" t="n">
        <f aca="false">IF(AE325=1,(AA325-J$1030)^2,0)</f>
        <v>686.135360083673</v>
      </c>
    </row>
    <row r="326" customFormat="false" ht="12" hidden="false" customHeight="false" outlineLevel="0" collapsed="false">
      <c r="A326" s="5" t="n">
        <v>309</v>
      </c>
      <c r="B326" s="58" t="n">
        <f aca="true">IF(RAND()&lt;$D$8,1,0)</f>
        <v>1</v>
      </c>
      <c r="C326" s="47" t="n">
        <f aca="true">-LN(RAND())/$D$2</f>
        <v>0.778793430679705</v>
      </c>
      <c r="D326" s="59" t="n">
        <f aca="false">D325+C326</f>
        <v>290.201162037078</v>
      </c>
      <c r="E326" s="60" t="n">
        <f aca="false">MAX($D$3,(1+P325-VLOOKUP(VALUE(D326),$J$18:$Q325,7,TRUE()))*$D$3)</f>
        <v>26</v>
      </c>
      <c r="F326" s="60" t="n">
        <f aca="false">MAX($D$4,(1+Q325-VLOOKUP(VALUE(D326),$M$18:$Q325,5,TRUE()))*$D$4)</f>
        <v>28</v>
      </c>
      <c r="G326" s="61" t="n">
        <v>0.5</v>
      </c>
      <c r="H326" s="59" t="n">
        <f aca="true">IF((B326=1),(IF((F326&lt;E326),1,(IF((F326=E326),(IF(RAND()&lt;G326,1,0)),0)))),(IF((RAND()&lt;G326),1,0)))</f>
        <v>0</v>
      </c>
      <c r="I326" s="59" t="n">
        <f aca="true">IF((H326=1),0,$D$3+$D$5*(RAND()-0.5))</f>
        <v>1.97441126969553</v>
      </c>
      <c r="J326" s="59" t="n">
        <f aca="false">I326+MAX(D326,J325)</f>
        <v>315.79534787308</v>
      </c>
      <c r="K326" s="59" t="n">
        <f aca="false">IF((H326=0),J326-D326,0)</f>
        <v>25.5941858360022</v>
      </c>
      <c r="L326" s="59" t="n">
        <f aca="true">IF(($H326=0),0,$D$4+$D$5*(RAND()-0.5))</f>
        <v>0</v>
      </c>
      <c r="M326" s="59" t="n">
        <f aca="false">L326+MAX(D326,M325)</f>
        <v>315.616554222364</v>
      </c>
      <c r="N326" s="59" t="n">
        <f aca="false">IF((H326=1),M326-D326,0)</f>
        <v>0</v>
      </c>
      <c r="O326" s="5" t="n">
        <v>309</v>
      </c>
      <c r="P326" s="62" t="n">
        <f aca="false">IF((Arterial=0),P325+1,P325)</f>
        <v>154</v>
      </c>
      <c r="Q326" s="62" t="n">
        <f aca="false">IF((Arterial=1),Q325+1,Q325)</f>
        <v>155</v>
      </c>
      <c r="R326" s="63" t="e">
        <f aca="false">IF((RESET=1),0,R326+K326)</f>
        <v>#N/A</v>
      </c>
      <c r="S326" s="10" t="n">
        <f aca="false">IF(RESET=1,0,S326+N326)</f>
        <v>442.544422390296</v>
      </c>
      <c r="T326" s="0" t="e">
        <f aca="false">IF(RESET=1,0,T326+IF(H326=0,1,0))</f>
        <v>#N/A</v>
      </c>
      <c r="U326" s="0" t="n">
        <f aca="false">IF(RESET=1,0,U326+H326)</f>
        <v>27</v>
      </c>
      <c r="V326" s="10" t="e">
        <f aca="false">R326/(T326+0.00001)</f>
        <v>#N/A</v>
      </c>
      <c r="W326" s="10" t="n">
        <f aca="false">S326/(U326+0.0001)</f>
        <v>16.3904734571463</v>
      </c>
      <c r="X326" s="60" t="n">
        <f aca="false">IF(Informed=1,K326,0)</f>
        <v>25.5941858360022</v>
      </c>
      <c r="Y326" s="60" t="n">
        <f aca="false">IF(Informed=0,K326,0)</f>
        <v>0</v>
      </c>
      <c r="Z326" s="60" t="n">
        <f aca="false">IF(Informed=1,N326,0)</f>
        <v>0</v>
      </c>
      <c r="AA326" s="60" t="n">
        <f aca="false">IF(Informed=0,N326,0)</f>
        <v>0</v>
      </c>
      <c r="AB326" s="64" t="n">
        <f aca="false">IF(Arterial=0,IF(Informed=1,1,0),0)</f>
        <v>1</v>
      </c>
      <c r="AC326" s="64" t="n">
        <f aca="false">IF(Arterial=0,IF(Informed=0,1,0),0)</f>
        <v>0</v>
      </c>
      <c r="AD326" s="64" t="n">
        <f aca="false">IF(Arterial=1,IF(Informed=1,1,0),0)</f>
        <v>0</v>
      </c>
      <c r="AE326" s="64" t="n">
        <f aca="false">IF(Arterial=1,IF(Informed=0,1,0),0)</f>
        <v>0</v>
      </c>
      <c r="AF326" s="57" t="n">
        <f aca="false">IF(AB326=1,(X326-G$1030)^2,0)</f>
        <v>655.062348607814</v>
      </c>
      <c r="AG326" s="57" t="n">
        <f aca="false">IF(AC326=1,(Y326-H$1030)^2,0)</f>
        <v>0</v>
      </c>
      <c r="AH326" s="57" t="n">
        <f aca="false">IF(AD326=1,(Z326-I$1030)^2,0)</f>
        <v>0</v>
      </c>
      <c r="AI326" s="57" t="n">
        <f aca="false">IF(AE326=1,(AA326-J$1030)^2,0)</f>
        <v>0</v>
      </c>
    </row>
    <row r="327" customFormat="false" ht="12" hidden="false" customHeight="false" outlineLevel="0" collapsed="false">
      <c r="A327" s="5" t="n">
        <v>310</v>
      </c>
      <c r="B327" s="58" t="n">
        <f aca="true">IF(RAND()&lt;$D$8,1,0)</f>
        <v>1</v>
      </c>
      <c r="C327" s="47" t="n">
        <f aca="true">-LN(RAND())/$D$2</f>
        <v>0.717216257424692</v>
      </c>
      <c r="D327" s="59" t="n">
        <f aca="false">D326+C327</f>
        <v>290.918378294502</v>
      </c>
      <c r="E327" s="60" t="n">
        <f aca="false">MAX($D$3,(1+P326-VLOOKUP(VALUE(D327),$J$18:$Q326,7,TRUE()))*$D$3)</f>
        <v>28</v>
      </c>
      <c r="F327" s="60" t="n">
        <f aca="false">MAX($D$4,(1+Q326-VLOOKUP(VALUE(D327),$M$18:$Q326,5,TRUE()))*$D$4)</f>
        <v>28</v>
      </c>
      <c r="G327" s="61" t="n">
        <v>0.5</v>
      </c>
      <c r="H327" s="59" t="n">
        <f aca="true">IF((B327=1),(IF((F327&lt;E327),1,(IF((F327=E327),(IF(RAND()&lt;G327,1,0)),0)))),(IF((RAND()&lt;G327),1,0)))</f>
        <v>0</v>
      </c>
      <c r="I327" s="59" t="n">
        <f aca="true">IF((H327=1),0,$D$3+$D$5*(RAND()-0.5))</f>
        <v>1.93072031069935</v>
      </c>
      <c r="J327" s="59" t="n">
        <f aca="false">I327+MAX(D327,J326)</f>
        <v>317.726068183779</v>
      </c>
      <c r="K327" s="59" t="n">
        <f aca="false">IF((H327=0),J327-D327,0)</f>
        <v>26.8076898892768</v>
      </c>
      <c r="L327" s="59" t="n">
        <f aca="true">IF(($H327=0),0,$D$4+$D$5*(RAND()-0.5))</f>
        <v>0</v>
      </c>
      <c r="M327" s="59" t="n">
        <f aca="false">L327+MAX(D327,M326)</f>
        <v>315.616554222364</v>
      </c>
      <c r="N327" s="59" t="n">
        <f aca="false">IF((H327=1),M327-D327,0)</f>
        <v>0</v>
      </c>
      <c r="O327" s="5" t="n">
        <v>310</v>
      </c>
      <c r="P327" s="62" t="n">
        <f aca="false">IF((Arterial=0),P326+1,P326)</f>
        <v>155</v>
      </c>
      <c r="Q327" s="62" t="n">
        <f aca="false">IF((Arterial=1),Q326+1,Q326)</f>
        <v>155</v>
      </c>
      <c r="R327" s="63" t="e">
        <f aca="false">IF((RESET=1),0,R327+K327)</f>
        <v>#N/A</v>
      </c>
      <c r="S327" s="10" t="n">
        <f aca="false">IF(RESET=1,0,S327+N327)</f>
        <v>559.55632194227</v>
      </c>
      <c r="T327" s="0" t="e">
        <f aca="false">IF(RESET=1,0,T327+IF(H327=0,1,0))</f>
        <v>#N/A</v>
      </c>
      <c r="U327" s="0" t="n">
        <f aca="false">IF(RESET=1,0,U327+H327)</f>
        <v>28</v>
      </c>
      <c r="V327" s="10" t="e">
        <f aca="false">R327/(T327+0.00001)</f>
        <v>#N/A</v>
      </c>
      <c r="W327" s="10" t="n">
        <f aca="false">S327/(U327+0.0001)</f>
        <v>19.9840829833561</v>
      </c>
      <c r="X327" s="60" t="n">
        <f aca="false">IF(Informed=1,K327,0)</f>
        <v>26.8076898892768</v>
      </c>
      <c r="Y327" s="60" t="n">
        <f aca="false">IF(Informed=0,K327,0)</f>
        <v>0</v>
      </c>
      <c r="Z327" s="60" t="n">
        <f aca="false">IF(Informed=1,N327,0)</f>
        <v>0</v>
      </c>
      <c r="AA327" s="60" t="n">
        <f aca="false">IF(Informed=0,N327,0)</f>
        <v>0</v>
      </c>
      <c r="AB327" s="64" t="n">
        <f aca="false">IF(Arterial=0,IF(Informed=1,1,0),0)</f>
        <v>1</v>
      </c>
      <c r="AC327" s="64" t="n">
        <f aca="false">IF(Arterial=0,IF(Informed=0,1,0),0)</f>
        <v>0</v>
      </c>
      <c r="AD327" s="64" t="n">
        <f aca="false">IF(Arterial=1,IF(Informed=1,1,0),0)</f>
        <v>0</v>
      </c>
      <c r="AE327" s="64" t="n">
        <f aca="false">IF(Arterial=1,IF(Informed=0,1,0),0)</f>
        <v>0</v>
      </c>
      <c r="AF327" s="57" t="n">
        <f aca="false">IF(AB327=1,(X327-G$1030)^2,0)</f>
        <v>718.652237199636</v>
      </c>
      <c r="AG327" s="57" t="n">
        <f aca="false">IF(AC327=1,(Y327-H$1030)^2,0)</f>
        <v>0</v>
      </c>
      <c r="AH327" s="57" t="n">
        <f aca="false">IF(AD327=1,(Z327-I$1030)^2,0)</f>
        <v>0</v>
      </c>
      <c r="AI327" s="57" t="n">
        <f aca="false">IF(AE327=1,(AA327-J$1030)^2,0)</f>
        <v>0</v>
      </c>
    </row>
    <row r="328" customFormat="false" ht="12" hidden="false" customHeight="false" outlineLevel="0" collapsed="false">
      <c r="A328" s="5" t="n">
        <v>311</v>
      </c>
      <c r="B328" s="58" t="n">
        <f aca="true">IF(RAND()&lt;$D$8,1,0)</f>
        <v>1</v>
      </c>
      <c r="C328" s="47" t="n">
        <f aca="true">-LN(RAND())/$D$2</f>
        <v>0.364639218546453</v>
      </c>
      <c r="D328" s="59" t="n">
        <f aca="false">D327+C328</f>
        <v>291.283017513049</v>
      </c>
      <c r="E328" s="60" t="n">
        <f aca="false">MAX($D$3,(1+P327-VLOOKUP(VALUE(D328),$J$18:$Q327,7,TRUE()))*$D$3)</f>
        <v>30</v>
      </c>
      <c r="F328" s="60" t="n">
        <f aca="false">MAX($D$4,(1+Q327-VLOOKUP(VALUE(D328),$M$18:$Q327,5,TRUE()))*$D$4)</f>
        <v>28</v>
      </c>
      <c r="G328" s="61" t="n">
        <v>0.5</v>
      </c>
      <c r="H328" s="59" t="n">
        <f aca="true">IF((B328=1),(IF((F328&lt;E328),1,(IF((F328=E328),(IF(RAND()&lt;G328,1,0)),0)))),(IF((RAND()&lt;G328),1,0)))</f>
        <v>1</v>
      </c>
      <c r="I328" s="59" t="n">
        <f aca="true">IF((H328=1),0,$D$3+$D$5*(RAND()-0.5))</f>
        <v>0</v>
      </c>
      <c r="J328" s="59" t="n">
        <f aca="false">I328+MAX(D328,J327)</f>
        <v>317.726068183779</v>
      </c>
      <c r="K328" s="59" t="n">
        <f aca="false">IF((H328=0),J328-D328,0)</f>
        <v>0</v>
      </c>
      <c r="L328" s="59" t="n">
        <f aca="true">IF(($H328=0),0,$D$4+$D$5*(RAND()-0.5))</f>
        <v>1.92890356015704</v>
      </c>
      <c r="M328" s="59" t="n">
        <f aca="false">L328+MAX(D328,M327)</f>
        <v>317.545457782521</v>
      </c>
      <c r="N328" s="59" t="n">
        <f aca="false">IF((H328=1),M328-D328,0)</f>
        <v>26.2624402694721</v>
      </c>
      <c r="O328" s="5" t="n">
        <v>311</v>
      </c>
      <c r="P328" s="62" t="n">
        <f aca="false">IF((Arterial=0),P327+1,P327)</f>
        <v>155</v>
      </c>
      <c r="Q328" s="62" t="n">
        <f aca="false">IF((Arterial=1),Q327+1,Q327)</f>
        <v>156</v>
      </c>
      <c r="R328" s="63" t="n">
        <f aca="false">IF((RESET=1),0,R328+K328)</f>
        <v>568.9005146571</v>
      </c>
      <c r="S328" s="10" t="e">
        <f aca="false">IF(RESET=1,0,S328+N328)</f>
        <v>#N/A</v>
      </c>
      <c r="T328" s="0" t="n">
        <f aca="false">IF(RESET=1,0,T328+IF(H328=0,1,0))</f>
        <v>28</v>
      </c>
      <c r="U328" s="0" t="e">
        <f aca="false">IF(RESET=1,0,U328+H328)</f>
        <v>#N/A</v>
      </c>
      <c r="V328" s="10" t="n">
        <f aca="false">R328/(T328+0.00001)</f>
        <v>20.3178682670863</v>
      </c>
      <c r="W328" s="10" t="e">
        <f aca="false">S328/(U328+0.0001)</f>
        <v>#N/A</v>
      </c>
      <c r="X328" s="60" t="n">
        <f aca="false">IF(Informed=1,K328,0)</f>
        <v>0</v>
      </c>
      <c r="Y328" s="60" t="n">
        <f aca="false">IF(Informed=0,K328,0)</f>
        <v>0</v>
      </c>
      <c r="Z328" s="60" t="n">
        <f aca="false">IF(Informed=1,N328,0)</f>
        <v>26.2624402694721</v>
      </c>
      <c r="AA328" s="60" t="n">
        <f aca="false">IF(Informed=0,N328,0)</f>
        <v>0</v>
      </c>
      <c r="AB328" s="64" t="n">
        <f aca="false">IF(Arterial=0,IF(Informed=1,1,0),0)</f>
        <v>0</v>
      </c>
      <c r="AC328" s="64" t="n">
        <f aca="false">IF(Arterial=0,IF(Informed=0,1,0),0)</f>
        <v>0</v>
      </c>
      <c r="AD328" s="64" t="n">
        <f aca="false">IF(Arterial=1,IF(Informed=1,1,0),0)</f>
        <v>1</v>
      </c>
      <c r="AE328" s="64" t="n">
        <f aca="false">IF(Arterial=1,IF(Informed=0,1,0),0)</f>
        <v>0</v>
      </c>
      <c r="AF328" s="57" t="n">
        <f aca="false">IF(AB328=1,(X328-G$1030)^2,0)</f>
        <v>0</v>
      </c>
      <c r="AG328" s="57" t="n">
        <f aca="false">IF(AC328=1,(Y328-H$1030)^2,0)</f>
        <v>0</v>
      </c>
      <c r="AH328" s="57" t="n">
        <f aca="false">IF(AD328=1,(Z328-I$1030)^2,0)</f>
        <v>689.715768907587</v>
      </c>
      <c r="AI328" s="57" t="n">
        <f aca="false">IF(AE328=1,(AA328-J$1030)^2,0)</f>
        <v>0</v>
      </c>
    </row>
    <row r="329" customFormat="false" ht="12" hidden="false" customHeight="false" outlineLevel="0" collapsed="false">
      <c r="A329" s="5" t="n">
        <v>312</v>
      </c>
      <c r="B329" s="58" t="n">
        <f aca="true">IF(RAND()&lt;$D$8,1,0)</f>
        <v>1</v>
      </c>
      <c r="C329" s="47" t="n">
        <f aca="true">-LN(RAND())/$D$2</f>
        <v>0.191935894341601</v>
      </c>
      <c r="D329" s="59" t="n">
        <f aca="false">D328+C329</f>
        <v>291.47495340739</v>
      </c>
      <c r="E329" s="60" t="n">
        <f aca="false">MAX($D$3,(1+P328-VLOOKUP(VALUE(D329),$J$18:$Q328,7,TRUE()))*$D$3)</f>
        <v>30</v>
      </c>
      <c r="F329" s="60" t="n">
        <f aca="false">MAX($D$4,(1+Q328-VLOOKUP(VALUE(D329),$M$18:$Q328,5,TRUE()))*$D$4)</f>
        <v>30</v>
      </c>
      <c r="G329" s="61" t="n">
        <v>0.5</v>
      </c>
      <c r="H329" s="59" t="n">
        <f aca="true">IF((B329=1),(IF((F329&lt;E329),1,(IF((F329=E329),(IF(RAND()&lt;G329,1,0)),0)))),(IF((RAND()&lt;G329),1,0)))</f>
        <v>0</v>
      </c>
      <c r="I329" s="59" t="n">
        <f aca="true">IF((H329=1),0,$D$3+$D$5*(RAND()-0.5))</f>
        <v>2.21108316255313</v>
      </c>
      <c r="J329" s="59" t="n">
        <f aca="false">I329+MAX(D329,J328)</f>
        <v>319.937151346332</v>
      </c>
      <c r="K329" s="59" t="n">
        <f aca="false">IF((H329=0),J329-D329,0)</f>
        <v>28.4621979389419</v>
      </c>
      <c r="L329" s="59" t="n">
        <f aca="true">IF(($H329=0),0,$D$4+$D$5*(RAND()-0.5))</f>
        <v>0</v>
      </c>
      <c r="M329" s="59" t="n">
        <f aca="false">L329+MAX(D329,M328)</f>
        <v>317.545457782521</v>
      </c>
      <c r="N329" s="59" t="n">
        <f aca="false">IF((H329=1),M329-D329,0)</f>
        <v>0</v>
      </c>
      <c r="O329" s="5" t="n">
        <v>312</v>
      </c>
      <c r="P329" s="62" t="n">
        <f aca="false">IF((Arterial=0),P328+1,P328)</f>
        <v>156</v>
      </c>
      <c r="Q329" s="62" t="n">
        <f aca="false">IF((Arterial=1),Q328+1,Q328)</f>
        <v>156</v>
      </c>
      <c r="R329" s="63" t="e">
        <f aca="false">IF((RESET=1),0,R329+K329)</f>
        <v>#N/A</v>
      </c>
      <c r="S329" s="10" t="n">
        <f aca="false">IF(RESET=1,0,S329+N329)</f>
        <v>506.395131364128</v>
      </c>
      <c r="T329" s="0" t="e">
        <f aca="false">IF(RESET=1,0,T329+IF(H329=0,1,0))</f>
        <v>#N/A</v>
      </c>
      <c r="U329" s="0" t="n">
        <f aca="false">IF(RESET=1,0,U329+H329)</f>
        <v>27</v>
      </c>
      <c r="V329" s="10" t="e">
        <f aca="false">R329/(T329+0.00001)</f>
        <v>#N/A</v>
      </c>
      <c r="W329" s="10" t="n">
        <f aca="false">S329/(U329+0.0001)</f>
        <v>18.755305771613</v>
      </c>
      <c r="X329" s="60" t="n">
        <f aca="false">IF(Informed=1,K329,0)</f>
        <v>28.4621979389419</v>
      </c>
      <c r="Y329" s="60" t="n">
        <f aca="false">IF(Informed=0,K329,0)</f>
        <v>0</v>
      </c>
      <c r="Z329" s="60" t="n">
        <f aca="false">IF(Informed=1,N329,0)</f>
        <v>0</v>
      </c>
      <c r="AA329" s="60" t="n">
        <f aca="false">IF(Informed=0,N329,0)</f>
        <v>0</v>
      </c>
      <c r="AB329" s="64" t="n">
        <f aca="false">IF(Arterial=0,IF(Informed=1,1,0),0)</f>
        <v>1</v>
      </c>
      <c r="AC329" s="64" t="n">
        <f aca="false">IF(Arterial=0,IF(Informed=0,1,0),0)</f>
        <v>0</v>
      </c>
      <c r="AD329" s="64" t="n">
        <f aca="false">IF(Arterial=1,IF(Informed=1,1,0),0)</f>
        <v>0</v>
      </c>
      <c r="AE329" s="64" t="n">
        <f aca="false">IF(Arterial=1,IF(Informed=0,1,0),0)</f>
        <v>0</v>
      </c>
      <c r="AF329" s="57" t="n">
        <f aca="false">IF(AB329=1,(X329-G$1030)^2,0)</f>
        <v>810.096711515507</v>
      </c>
      <c r="AG329" s="57" t="n">
        <f aca="false">IF(AC329=1,(Y329-H$1030)^2,0)</f>
        <v>0</v>
      </c>
      <c r="AH329" s="57" t="n">
        <f aca="false">IF(AD329=1,(Z329-I$1030)^2,0)</f>
        <v>0</v>
      </c>
      <c r="AI329" s="57" t="n">
        <f aca="false">IF(AE329=1,(AA329-J$1030)^2,0)</f>
        <v>0</v>
      </c>
    </row>
    <row r="330" customFormat="false" ht="12" hidden="false" customHeight="false" outlineLevel="0" collapsed="false">
      <c r="A330" s="5" t="n">
        <v>313</v>
      </c>
      <c r="B330" s="58" t="n">
        <f aca="true">IF(RAND()&lt;$D$8,1,0)</f>
        <v>1</v>
      </c>
      <c r="C330" s="47" t="n">
        <f aca="true">-LN(RAND())/$D$2</f>
        <v>0.264578883018716</v>
      </c>
      <c r="D330" s="59" t="n">
        <f aca="false">D329+C330</f>
        <v>291.739532290409</v>
      </c>
      <c r="E330" s="60" t="n">
        <f aca="false">MAX($D$3,(1+P329-VLOOKUP(VALUE(D330),$J$18:$Q329,7,TRUE()))*$D$3)</f>
        <v>32</v>
      </c>
      <c r="F330" s="60" t="n">
        <f aca="false">MAX($D$4,(1+Q329-VLOOKUP(VALUE(D330),$M$18:$Q329,5,TRUE()))*$D$4)</f>
        <v>28</v>
      </c>
      <c r="G330" s="61" t="n">
        <v>0.5</v>
      </c>
      <c r="H330" s="59" t="n">
        <f aca="true">IF((B330=1),(IF((F330&lt;E330),1,(IF((F330=E330),(IF(RAND()&lt;G330,1,0)),0)))),(IF((RAND()&lt;G330),1,0)))</f>
        <v>1</v>
      </c>
      <c r="I330" s="59" t="n">
        <f aca="true">IF((H330=1),0,$D$3+$D$5*(RAND()-0.5))</f>
        <v>0</v>
      </c>
      <c r="J330" s="59" t="n">
        <f aca="false">I330+MAX(D330,J329)</f>
        <v>319.937151346332</v>
      </c>
      <c r="K330" s="59" t="n">
        <f aca="false">IF((H330=0),J330-D330,0)</f>
        <v>0</v>
      </c>
      <c r="L330" s="59" t="n">
        <f aca="true">IF(($H330=0),0,$D$4+$D$5*(RAND()-0.5))</f>
        <v>2.24192074706367</v>
      </c>
      <c r="M330" s="59" t="n">
        <f aca="false">L330+MAX(D330,M329)</f>
        <v>319.787378529585</v>
      </c>
      <c r="N330" s="59" t="n">
        <f aca="false">IF((H330=1),M330-D330,0)</f>
        <v>28.0478462391754</v>
      </c>
      <c r="O330" s="5" t="n">
        <v>313</v>
      </c>
      <c r="P330" s="62" t="n">
        <f aca="false">IF((Arterial=0),P329+1,P329)</f>
        <v>156</v>
      </c>
      <c r="Q330" s="62" t="n">
        <f aca="false">IF((Arterial=1),Q329+1,Q329)</f>
        <v>157</v>
      </c>
      <c r="R330" s="63" t="n">
        <f aca="false">IF((RESET=1),0,R330+K330)</f>
        <v>528.794220083359</v>
      </c>
      <c r="S330" s="10" t="e">
        <f aca="false">IF(RESET=1,0,S330+N330)</f>
        <v>#N/A</v>
      </c>
      <c r="T330" s="0" t="n">
        <f aca="false">IF(RESET=1,0,T330+IF(H330=0,1,0))</f>
        <v>29</v>
      </c>
      <c r="U330" s="0" t="e">
        <f aca="false">IF(RESET=1,0,U330+H330)</f>
        <v>#N/A</v>
      </c>
      <c r="V330" s="10" t="n">
        <f aca="false">R330/(T330+0.00001)</f>
        <v>18.2342771634685</v>
      </c>
      <c r="W330" s="10" t="e">
        <f aca="false">S330/(U330+0.0001)</f>
        <v>#N/A</v>
      </c>
      <c r="X330" s="60" t="n">
        <f aca="false">IF(Informed=1,K330,0)</f>
        <v>0</v>
      </c>
      <c r="Y330" s="60" t="n">
        <f aca="false">IF(Informed=0,K330,0)</f>
        <v>0</v>
      </c>
      <c r="Z330" s="60" t="n">
        <f aca="false">IF(Informed=1,N330,0)</f>
        <v>28.0478462391754</v>
      </c>
      <c r="AA330" s="60" t="n">
        <f aca="false">IF(Informed=0,N330,0)</f>
        <v>0</v>
      </c>
      <c r="AB330" s="64" t="n">
        <f aca="false">IF(Arterial=0,IF(Informed=1,1,0),0)</f>
        <v>0</v>
      </c>
      <c r="AC330" s="64" t="n">
        <f aca="false">IF(Arterial=0,IF(Informed=0,1,0),0)</f>
        <v>0</v>
      </c>
      <c r="AD330" s="64" t="n">
        <f aca="false">IF(Arterial=1,IF(Informed=1,1,0),0)</f>
        <v>1</v>
      </c>
      <c r="AE330" s="64" t="n">
        <f aca="false">IF(Arterial=1,IF(Informed=0,1,0),0)</f>
        <v>0</v>
      </c>
      <c r="AF330" s="57" t="n">
        <f aca="false">IF(AB330=1,(X330-G$1030)^2,0)</f>
        <v>0</v>
      </c>
      <c r="AG330" s="57" t="n">
        <f aca="false">IF(AC330=1,(Y330-H$1030)^2,0)</f>
        <v>0</v>
      </c>
      <c r="AH330" s="57" t="n">
        <f aca="false">IF(AD330=1,(Z330-I$1030)^2,0)</f>
        <v>786.681678656425</v>
      </c>
      <c r="AI330" s="57" t="n">
        <f aca="false">IF(AE330=1,(AA330-J$1030)^2,0)</f>
        <v>0</v>
      </c>
    </row>
    <row r="331" customFormat="false" ht="12" hidden="false" customHeight="false" outlineLevel="0" collapsed="false">
      <c r="A331" s="5" t="n">
        <v>314</v>
      </c>
      <c r="B331" s="58" t="n">
        <f aca="true">IF(RAND()&lt;$D$8,1,0)</f>
        <v>1</v>
      </c>
      <c r="C331" s="47" t="n">
        <f aca="true">-LN(RAND())/$D$2</f>
        <v>1.74712776627067</v>
      </c>
      <c r="D331" s="59" t="n">
        <f aca="false">D330+C331</f>
        <v>293.48666005668</v>
      </c>
      <c r="E331" s="60" t="n">
        <f aca="false">MAX($D$3,(1+P330-VLOOKUP(VALUE(D331),$J$18:$Q330,7,TRUE()))*$D$3)</f>
        <v>30</v>
      </c>
      <c r="F331" s="60" t="n">
        <f aca="false">MAX($D$4,(1+Q330-VLOOKUP(VALUE(D331),$M$18:$Q330,5,TRUE()))*$D$4)</f>
        <v>30</v>
      </c>
      <c r="G331" s="61" t="n">
        <v>0.5</v>
      </c>
      <c r="H331" s="59" t="n">
        <f aca="true">IF((B331=1),(IF((F331&lt;E331),1,(IF((F331=E331),(IF(RAND()&lt;G331,1,0)),0)))),(IF((RAND()&lt;G331),1,0)))</f>
        <v>1</v>
      </c>
      <c r="I331" s="59" t="n">
        <f aca="true">IF((H331=1),0,$D$3+$D$5*(RAND()-0.5))</f>
        <v>0</v>
      </c>
      <c r="J331" s="59" t="n">
        <f aca="false">I331+MAX(D331,J330)</f>
        <v>319.937151346332</v>
      </c>
      <c r="K331" s="59" t="n">
        <f aca="false">IF((H331=0),J331-D331,0)</f>
        <v>0</v>
      </c>
      <c r="L331" s="59" t="n">
        <f aca="true">IF(($H331=0),0,$D$4+$D$5*(RAND()-0.5))</f>
        <v>1.81769486727869</v>
      </c>
      <c r="M331" s="59" t="n">
        <f aca="false">L331+MAX(D331,M330)</f>
        <v>321.605073396863</v>
      </c>
      <c r="N331" s="59" t="n">
        <f aca="false">IF((H331=1),M331-D331,0)</f>
        <v>28.1184133401834</v>
      </c>
      <c r="O331" s="5" t="n">
        <v>314</v>
      </c>
      <c r="P331" s="62" t="n">
        <f aca="false">IF((Arterial=0),P330+1,P330)</f>
        <v>156</v>
      </c>
      <c r="Q331" s="62" t="n">
        <f aca="false">IF((Arterial=1),Q330+1,Q330)</f>
        <v>158</v>
      </c>
      <c r="R331" s="63" t="n">
        <f aca="false">IF((RESET=1),0,R331+K331)</f>
        <v>474.489730854612</v>
      </c>
      <c r="S331" s="10" t="e">
        <f aca="false">IF(RESET=1,0,S331+N331)</f>
        <v>#N/A</v>
      </c>
      <c r="T331" s="0" t="n">
        <f aca="false">IF(RESET=1,0,T331+IF(H331=0,1,0))</f>
        <v>27</v>
      </c>
      <c r="U331" s="0" t="e">
        <f aca="false">IF(RESET=1,0,U331+H331)</f>
        <v>#N/A</v>
      </c>
      <c r="V331" s="10" t="n">
        <f aca="false">R331/(T331+0.00001)</f>
        <v>17.5736872265829</v>
      </c>
      <c r="W331" s="10" t="e">
        <f aca="false">S331/(U331+0.0001)</f>
        <v>#N/A</v>
      </c>
      <c r="X331" s="60" t="n">
        <f aca="false">IF(Informed=1,K331,0)</f>
        <v>0</v>
      </c>
      <c r="Y331" s="60" t="n">
        <f aca="false">IF(Informed=0,K331,0)</f>
        <v>0</v>
      </c>
      <c r="Z331" s="60" t="n">
        <f aca="false">IF(Informed=1,N331,0)</f>
        <v>28.1184133401834</v>
      </c>
      <c r="AA331" s="60" t="n">
        <f aca="false">IF(Informed=0,N331,0)</f>
        <v>0</v>
      </c>
      <c r="AB331" s="64" t="n">
        <f aca="false">IF(Arterial=0,IF(Informed=1,1,0),0)</f>
        <v>0</v>
      </c>
      <c r="AC331" s="64" t="n">
        <f aca="false">IF(Arterial=0,IF(Informed=0,1,0),0)</f>
        <v>0</v>
      </c>
      <c r="AD331" s="64" t="n">
        <f aca="false">IF(Arterial=1,IF(Informed=1,1,0),0)</f>
        <v>1</v>
      </c>
      <c r="AE331" s="64" t="n">
        <f aca="false">IF(Arterial=1,IF(Informed=0,1,0),0)</f>
        <v>0</v>
      </c>
      <c r="AF331" s="57" t="n">
        <f aca="false">IF(AB331=1,(X331-G$1030)^2,0)</f>
        <v>0</v>
      </c>
      <c r="AG331" s="57" t="n">
        <f aca="false">IF(AC331=1,(Y331-H$1030)^2,0)</f>
        <v>0</v>
      </c>
      <c r="AH331" s="57" t="n">
        <f aca="false">IF(AD331=1,(Z331-I$1030)^2,0)</f>
        <v>790.645168769404</v>
      </c>
      <c r="AI331" s="57" t="n">
        <f aca="false">IF(AE331=1,(AA331-J$1030)^2,0)</f>
        <v>0</v>
      </c>
    </row>
    <row r="332" customFormat="false" ht="12" hidden="false" customHeight="false" outlineLevel="0" collapsed="false">
      <c r="A332" s="5" t="n">
        <v>315</v>
      </c>
      <c r="B332" s="58" t="n">
        <f aca="true">IF(RAND()&lt;$D$8,1,0)</f>
        <v>0</v>
      </c>
      <c r="C332" s="47" t="n">
        <f aca="true">-LN(RAND())/$D$2</f>
        <v>0.14956025420254</v>
      </c>
      <c r="D332" s="59" t="n">
        <f aca="false">D331+C332</f>
        <v>293.636220310882</v>
      </c>
      <c r="E332" s="60" t="n">
        <f aca="false">MAX($D$3,(1+P331-VLOOKUP(VALUE(D332),$J$18:$Q331,7,TRUE()))*$D$3)</f>
        <v>30</v>
      </c>
      <c r="F332" s="60" t="n">
        <f aca="false">MAX($D$4,(1+Q331-VLOOKUP(VALUE(D332),$M$18:$Q331,5,TRUE()))*$D$4)</f>
        <v>30</v>
      </c>
      <c r="G332" s="61" t="n">
        <v>0.5</v>
      </c>
      <c r="H332" s="59" t="n">
        <f aca="true">IF((B332=1),(IF((F332&lt;E332),1,(IF((F332=E332),(IF(RAND()&lt;G332,1,0)),0)))),(IF((RAND()&lt;G332),1,0)))</f>
        <v>1</v>
      </c>
      <c r="I332" s="59" t="n">
        <f aca="true">IF((H332=1),0,$D$3+$D$5*(RAND()-0.5))</f>
        <v>0</v>
      </c>
      <c r="J332" s="59" t="n">
        <f aca="false">I332+MAX(D332,J331)</f>
        <v>319.937151346332</v>
      </c>
      <c r="K332" s="59" t="n">
        <f aca="false">IF((H332=0),J332-D332,0)</f>
        <v>0</v>
      </c>
      <c r="L332" s="59" t="n">
        <f aca="true">IF(($H332=0),0,$D$4+$D$5*(RAND()-0.5))</f>
        <v>2.13673000476103</v>
      </c>
      <c r="M332" s="59" t="n">
        <f aca="false">L332+MAX(D332,M331)</f>
        <v>323.741803401624</v>
      </c>
      <c r="N332" s="59" t="n">
        <f aca="false">IF((H332=1),M332-D332,0)</f>
        <v>30.1055830907419</v>
      </c>
      <c r="O332" s="5" t="n">
        <v>315</v>
      </c>
      <c r="P332" s="62" t="n">
        <f aca="false">IF((Arterial=0),P331+1,P331)</f>
        <v>156</v>
      </c>
      <c r="Q332" s="62" t="n">
        <f aca="false">IF((Arterial=1),Q331+1,Q331)</f>
        <v>159</v>
      </c>
      <c r="R332" s="63" t="n">
        <f aca="false">IF((RESET=1),0,R332+K332)</f>
        <v>521.126028557499</v>
      </c>
      <c r="S332" s="10" t="e">
        <f aca="false">IF(RESET=1,0,S332+N332)</f>
        <v>#N/A</v>
      </c>
      <c r="T332" s="0" t="n">
        <f aca="false">IF(RESET=1,0,T332+IF(H332=0,1,0))</f>
        <v>28</v>
      </c>
      <c r="U332" s="0" t="e">
        <f aca="false">IF(RESET=1,0,U332+H332)</f>
        <v>#N/A</v>
      </c>
      <c r="V332" s="10" t="n">
        <f aca="false">R332/(T332+0.00001)</f>
        <v>18.6116372300403</v>
      </c>
      <c r="W332" s="10" t="e">
        <f aca="false">S332/(U332+0.0001)</f>
        <v>#N/A</v>
      </c>
      <c r="X332" s="60" t="n">
        <f aca="false">IF(Informed=1,K332,0)</f>
        <v>0</v>
      </c>
      <c r="Y332" s="60" t="n">
        <f aca="false">IF(Informed=0,K332,0)</f>
        <v>0</v>
      </c>
      <c r="Z332" s="60" t="n">
        <f aca="false">IF(Informed=1,N332,0)</f>
        <v>0</v>
      </c>
      <c r="AA332" s="60" t="n">
        <f aca="false">IF(Informed=0,N332,0)</f>
        <v>30.1055830907419</v>
      </c>
      <c r="AB332" s="64" t="n">
        <f aca="false">IF(Arterial=0,IF(Informed=1,1,0),0)</f>
        <v>0</v>
      </c>
      <c r="AC332" s="64" t="n">
        <f aca="false">IF(Arterial=0,IF(Informed=0,1,0),0)</f>
        <v>0</v>
      </c>
      <c r="AD332" s="64" t="n">
        <f aca="false">IF(Arterial=1,IF(Informed=1,1,0),0)</f>
        <v>0</v>
      </c>
      <c r="AE332" s="64" t="n">
        <f aca="false">IF(Arterial=1,IF(Informed=0,1,0),0)</f>
        <v>1</v>
      </c>
      <c r="AF332" s="57" t="n">
        <f aca="false">IF(AB332=1,(X332-G$1030)^2,0)</f>
        <v>0</v>
      </c>
      <c r="AG332" s="57" t="n">
        <f aca="false">IF(AC332=1,(Y332-H$1030)^2,0)</f>
        <v>0</v>
      </c>
      <c r="AH332" s="57" t="n">
        <f aca="false">IF(AD332=1,(Z332-I$1030)^2,0)</f>
        <v>0</v>
      </c>
      <c r="AI332" s="57" t="n">
        <f aca="false">IF(AE332=1,(AA332-J$1030)^2,0)</f>
        <v>906.346133233565</v>
      </c>
    </row>
    <row r="333" customFormat="false" ht="12" hidden="false" customHeight="false" outlineLevel="0" collapsed="false">
      <c r="A333" s="5" t="n">
        <v>316</v>
      </c>
      <c r="B333" s="58" t="n">
        <f aca="true">IF(RAND()&lt;$D$8,1,0)</f>
        <v>1</v>
      </c>
      <c r="C333" s="47" t="n">
        <f aca="true">-LN(RAND())/$D$2</f>
        <v>0.0984980820986393</v>
      </c>
      <c r="D333" s="59" t="n">
        <f aca="false">D332+C333</f>
        <v>293.734718392981</v>
      </c>
      <c r="E333" s="60" t="n">
        <f aca="false">MAX($D$3,(1+P332-VLOOKUP(VALUE(D333),$J$18:$Q332,7,TRUE()))*$D$3)</f>
        <v>30</v>
      </c>
      <c r="F333" s="60" t="n">
        <f aca="false">MAX($D$4,(1+Q332-VLOOKUP(VALUE(D333),$M$18:$Q332,5,TRUE()))*$D$4)</f>
        <v>32</v>
      </c>
      <c r="G333" s="61" t="n">
        <v>0.5</v>
      </c>
      <c r="H333" s="59" t="n">
        <f aca="true">IF((B333=1),(IF((F333&lt;E333),1,(IF((F333=E333),(IF(RAND()&lt;G333,1,0)),0)))),(IF((RAND()&lt;G333),1,0)))</f>
        <v>0</v>
      </c>
      <c r="I333" s="59" t="n">
        <f aca="true">IF((H333=1),0,$D$3+$D$5*(RAND()-0.5))</f>
        <v>1.97086012805978</v>
      </c>
      <c r="J333" s="59" t="n">
        <f aca="false">I333+MAX(D333,J332)</f>
        <v>321.908011474392</v>
      </c>
      <c r="K333" s="59" t="n">
        <f aca="false">IF((H333=0),J333-D333,0)</f>
        <v>28.1732930814111</v>
      </c>
      <c r="L333" s="59" t="n">
        <f aca="true">IF(($H333=0),0,$D$4+$D$5*(RAND()-0.5))</f>
        <v>0</v>
      </c>
      <c r="M333" s="59" t="n">
        <f aca="false">L333+MAX(D333,M332)</f>
        <v>323.741803401624</v>
      </c>
      <c r="N333" s="59" t="n">
        <f aca="false">IF((H333=1),M333-D333,0)</f>
        <v>0</v>
      </c>
      <c r="O333" s="5" t="n">
        <v>316</v>
      </c>
      <c r="P333" s="62" t="n">
        <f aca="false">IF((Arterial=0),P332+1,P332)</f>
        <v>157</v>
      </c>
      <c r="Q333" s="62" t="n">
        <f aca="false">IF((Arterial=1),Q332+1,Q332)</f>
        <v>159</v>
      </c>
      <c r="R333" s="63" t="e">
        <f aca="false">IF((RESET=1),0,R333+K333)</f>
        <v>#N/A</v>
      </c>
      <c r="S333" s="10" t="n">
        <f aca="false">IF(RESET=1,0,S333+N333)</f>
        <v>510.625844820687</v>
      </c>
      <c r="T333" s="0" t="e">
        <f aca="false">IF(RESET=1,0,T333+IF(H333=0,1,0))</f>
        <v>#N/A</v>
      </c>
      <c r="U333" s="0" t="n">
        <f aca="false">IF(RESET=1,0,U333+H333)</f>
        <v>26</v>
      </c>
      <c r="V333" s="10" t="e">
        <f aca="false">R333/(T333+0.00001)</f>
        <v>#N/A</v>
      </c>
      <c r="W333" s="10" t="n">
        <f aca="false">S333/(U333+0.0001)</f>
        <v>19.6393800339494</v>
      </c>
      <c r="X333" s="60" t="n">
        <f aca="false">IF(Informed=1,K333,0)</f>
        <v>28.1732930814111</v>
      </c>
      <c r="Y333" s="60" t="n">
        <f aca="false">IF(Informed=0,K333,0)</f>
        <v>0</v>
      </c>
      <c r="Z333" s="60" t="n">
        <f aca="false">IF(Informed=1,N333,0)</f>
        <v>0</v>
      </c>
      <c r="AA333" s="60" t="n">
        <f aca="false">IF(Informed=0,N333,0)</f>
        <v>0</v>
      </c>
      <c r="AB333" s="64" t="n">
        <f aca="false">IF(Arterial=0,IF(Informed=1,1,0),0)</f>
        <v>1</v>
      </c>
      <c r="AC333" s="64" t="n">
        <f aca="false">IF(Arterial=0,IF(Informed=0,1,0),0)</f>
        <v>0</v>
      </c>
      <c r="AD333" s="64" t="n">
        <f aca="false">IF(Arterial=1,IF(Informed=1,1,0),0)</f>
        <v>0</v>
      </c>
      <c r="AE333" s="64" t="n">
        <f aca="false">IF(Arterial=1,IF(Informed=0,1,0),0)</f>
        <v>0</v>
      </c>
      <c r="AF333" s="57" t="n">
        <f aca="false">IF(AB333=1,(X333-G$1030)^2,0)</f>
        <v>793.734443051086</v>
      </c>
      <c r="AG333" s="57" t="n">
        <f aca="false">IF(AC333=1,(Y333-H$1030)^2,0)</f>
        <v>0</v>
      </c>
      <c r="AH333" s="57" t="n">
        <f aca="false">IF(AD333=1,(Z333-I$1030)^2,0)</f>
        <v>0</v>
      </c>
      <c r="AI333" s="57" t="n">
        <f aca="false">IF(AE333=1,(AA333-J$1030)^2,0)</f>
        <v>0</v>
      </c>
    </row>
    <row r="334" customFormat="false" ht="12" hidden="false" customHeight="false" outlineLevel="0" collapsed="false">
      <c r="A334" s="5" t="n">
        <v>317</v>
      </c>
      <c r="B334" s="58" t="n">
        <f aca="true">IF(RAND()&lt;$D$8,1,0)</f>
        <v>1</v>
      </c>
      <c r="C334" s="47" t="n">
        <f aca="true">-LN(RAND())/$D$2</f>
        <v>1.50555293540243</v>
      </c>
      <c r="D334" s="59" t="n">
        <f aca="false">D333+C334</f>
        <v>295.240271328383</v>
      </c>
      <c r="E334" s="60" t="n">
        <f aca="false">MAX($D$3,(1+P333-VLOOKUP(VALUE(D334),$J$18:$Q333,7,TRUE()))*$D$3)</f>
        <v>30</v>
      </c>
      <c r="F334" s="60" t="n">
        <f aca="false">MAX($D$4,(1+Q333-VLOOKUP(VALUE(D334),$M$18:$Q333,5,TRUE()))*$D$4)</f>
        <v>32</v>
      </c>
      <c r="G334" s="61" t="n">
        <v>0.5</v>
      </c>
      <c r="H334" s="59" t="n">
        <f aca="true">IF((B334=1),(IF((F334&lt;E334),1,(IF((F334=E334),(IF(RAND()&lt;G334,1,0)),0)))),(IF((RAND()&lt;G334),1,0)))</f>
        <v>0</v>
      </c>
      <c r="I334" s="59" t="n">
        <f aca="true">IF((H334=1),0,$D$3+$D$5*(RAND()-0.5))</f>
        <v>1.83303188361815</v>
      </c>
      <c r="J334" s="59" t="n">
        <f aca="false">I334+MAX(D334,J333)</f>
        <v>323.74104335801</v>
      </c>
      <c r="K334" s="59" t="n">
        <f aca="false">IF((H334=0),J334-D334,0)</f>
        <v>28.5007720296268</v>
      </c>
      <c r="L334" s="59" t="n">
        <f aca="true">IF(($H334=0),0,$D$4+$D$5*(RAND()-0.5))</f>
        <v>0</v>
      </c>
      <c r="M334" s="59" t="n">
        <f aca="false">L334+MAX(D334,M333)</f>
        <v>323.741803401624</v>
      </c>
      <c r="N334" s="59" t="n">
        <f aca="false">IF((H334=1),M334-D334,0)</f>
        <v>0</v>
      </c>
      <c r="O334" s="5" t="n">
        <v>317</v>
      </c>
      <c r="P334" s="62" t="n">
        <f aca="false">IF((Arterial=0),P333+1,P333)</f>
        <v>158</v>
      </c>
      <c r="Q334" s="62" t="n">
        <f aca="false">IF((Arterial=1),Q333+1,Q333)</f>
        <v>159</v>
      </c>
      <c r="R334" s="63" t="e">
        <f aca="false">IF((RESET=1),0,R334+K334)</f>
        <v>#N/A</v>
      </c>
      <c r="S334" s="10" t="n">
        <f aca="false">IF(RESET=1,0,S334+N334)</f>
        <v>475.575613968847</v>
      </c>
      <c r="T334" s="0" t="e">
        <f aca="false">IF(RESET=1,0,T334+IF(H334=0,1,0))</f>
        <v>#N/A</v>
      </c>
      <c r="U334" s="0" t="n">
        <f aca="false">IF(RESET=1,0,U334+H334)</f>
        <v>30</v>
      </c>
      <c r="V334" s="10" t="e">
        <f aca="false">R334/(T334+0.00001)</f>
        <v>#N/A</v>
      </c>
      <c r="W334" s="10" t="n">
        <f aca="false">S334/(U334+0.0001)</f>
        <v>15.8524676240695</v>
      </c>
      <c r="X334" s="60" t="n">
        <f aca="false">IF(Informed=1,K334,0)</f>
        <v>28.5007720296268</v>
      </c>
      <c r="Y334" s="60" t="n">
        <f aca="false">IF(Informed=0,K334,0)</f>
        <v>0</v>
      </c>
      <c r="Z334" s="60" t="n">
        <f aca="false">IF(Informed=1,N334,0)</f>
        <v>0</v>
      </c>
      <c r="AA334" s="60" t="n">
        <f aca="false">IF(Informed=0,N334,0)</f>
        <v>0</v>
      </c>
      <c r="AB334" s="64" t="n">
        <f aca="false">IF(Arterial=0,IF(Informed=1,1,0),0)</f>
        <v>1</v>
      </c>
      <c r="AC334" s="64" t="n">
        <f aca="false">IF(Arterial=0,IF(Informed=0,1,0),0)</f>
        <v>0</v>
      </c>
      <c r="AD334" s="64" t="n">
        <f aca="false">IF(Arterial=1,IF(Informed=1,1,0),0)</f>
        <v>0</v>
      </c>
      <c r="AE334" s="64" t="n">
        <f aca="false">IF(Arterial=1,IF(Informed=0,1,0),0)</f>
        <v>0</v>
      </c>
      <c r="AF334" s="57" t="n">
        <f aca="false">IF(AB334=1,(X334-G$1030)^2,0)</f>
        <v>812.294006284759</v>
      </c>
      <c r="AG334" s="57" t="n">
        <f aca="false">IF(AC334=1,(Y334-H$1030)^2,0)</f>
        <v>0</v>
      </c>
      <c r="AH334" s="57" t="n">
        <f aca="false">IF(AD334=1,(Z334-I$1030)^2,0)</f>
        <v>0</v>
      </c>
      <c r="AI334" s="57" t="n">
        <f aca="false">IF(AE334=1,(AA334-J$1030)^2,0)</f>
        <v>0</v>
      </c>
    </row>
    <row r="335" customFormat="false" ht="12" hidden="false" customHeight="false" outlineLevel="0" collapsed="false">
      <c r="A335" s="5" t="n">
        <v>318</v>
      </c>
      <c r="B335" s="58" t="n">
        <f aca="true">IF(RAND()&lt;$D$8,1,0)</f>
        <v>0</v>
      </c>
      <c r="C335" s="47" t="n">
        <f aca="true">-LN(RAND())/$D$2</f>
        <v>2.37808606106004</v>
      </c>
      <c r="D335" s="59" t="n">
        <f aca="false">D334+C335</f>
        <v>297.618357389444</v>
      </c>
      <c r="E335" s="60" t="n">
        <f aca="false">MAX($D$3,(1+P334-VLOOKUP(VALUE(D335),$J$18:$Q334,7,TRUE()))*$D$3)</f>
        <v>28</v>
      </c>
      <c r="F335" s="60" t="n">
        <f aca="false">MAX($D$4,(1+Q334-VLOOKUP(VALUE(D335),$M$18:$Q334,5,TRUE()))*$D$4)</f>
        <v>30</v>
      </c>
      <c r="G335" s="61" t="n">
        <v>0.5</v>
      </c>
      <c r="H335" s="59" t="n">
        <f aca="true">IF((B335=1),(IF((F335&lt;E335),1,(IF((F335=E335),(IF(RAND()&lt;G335,1,0)),0)))),(IF((RAND()&lt;G335),1,0)))</f>
        <v>0</v>
      </c>
      <c r="I335" s="59" t="n">
        <f aca="true">IF((H335=1),0,$D$3+$D$5*(RAND()-0.5))</f>
        <v>2.18778387308686</v>
      </c>
      <c r="J335" s="59" t="n">
        <f aca="false">I335+MAX(D335,J334)</f>
        <v>325.928827231097</v>
      </c>
      <c r="K335" s="59" t="n">
        <f aca="false">IF((H335=0),J335-D335,0)</f>
        <v>28.3104698416536</v>
      </c>
      <c r="L335" s="59" t="n">
        <f aca="true">IF(($H335=0),0,$D$4+$D$5*(RAND()-0.5))</f>
        <v>0</v>
      </c>
      <c r="M335" s="59" t="n">
        <f aca="false">L335+MAX(D335,M334)</f>
        <v>323.741803401624</v>
      </c>
      <c r="N335" s="59" t="n">
        <f aca="false">IF((H335=1),M335-D335,0)</f>
        <v>0</v>
      </c>
      <c r="O335" s="5" t="n">
        <v>318</v>
      </c>
      <c r="P335" s="62" t="n">
        <f aca="false">IF((Arterial=0),P334+1,P334)</f>
        <v>159</v>
      </c>
      <c r="Q335" s="62" t="n">
        <f aca="false">IF((Arterial=1),Q334+1,Q334)</f>
        <v>159</v>
      </c>
      <c r="R335" s="63" t="e">
        <f aca="false">IF((RESET=1),0,R335+K335)</f>
        <v>#N/A</v>
      </c>
      <c r="S335" s="10" t="n">
        <f aca="false">IF(RESET=1,0,S335+N335)</f>
        <v>536.419653318877</v>
      </c>
      <c r="T335" s="0" t="e">
        <f aca="false">IF(RESET=1,0,T335+IF(H335=0,1,0))</f>
        <v>#N/A</v>
      </c>
      <c r="U335" s="0" t="n">
        <f aca="false">IF(RESET=1,0,U335+H335)</f>
        <v>26</v>
      </c>
      <c r="V335" s="10" t="e">
        <f aca="false">R335/(T335+0.00001)</f>
        <v>#N/A</v>
      </c>
      <c r="W335" s="10" t="n">
        <f aca="false">S335/(U335+0.0001)</f>
        <v>20.6314457759346</v>
      </c>
      <c r="X335" s="60" t="n">
        <f aca="false">IF(Informed=1,K335,0)</f>
        <v>0</v>
      </c>
      <c r="Y335" s="60" t="n">
        <f aca="false">IF(Informed=0,K335,0)</f>
        <v>28.3104698416536</v>
      </c>
      <c r="Z335" s="60" t="n">
        <f aca="false">IF(Informed=1,N335,0)</f>
        <v>0</v>
      </c>
      <c r="AA335" s="60" t="n">
        <f aca="false">IF(Informed=0,N335,0)</f>
        <v>0</v>
      </c>
      <c r="AB335" s="64" t="n">
        <f aca="false">IF(Arterial=0,IF(Informed=1,1,0),0)</f>
        <v>0</v>
      </c>
      <c r="AC335" s="64" t="n">
        <f aca="false">IF(Arterial=0,IF(Informed=0,1,0),0)</f>
        <v>1</v>
      </c>
      <c r="AD335" s="64" t="n">
        <f aca="false">IF(Arterial=1,IF(Informed=1,1,0),0)</f>
        <v>0</v>
      </c>
      <c r="AE335" s="64" t="n">
        <f aca="false">IF(Arterial=1,IF(Informed=0,1,0),0)</f>
        <v>0</v>
      </c>
      <c r="AF335" s="57" t="n">
        <f aca="false">IF(AB335=1,(X335-G$1030)^2,0)</f>
        <v>0</v>
      </c>
      <c r="AG335" s="57" t="n">
        <f aca="false">IF(AC335=1,(Y335-H$1030)^2,0)</f>
        <v>801.48270265518</v>
      </c>
      <c r="AH335" s="57" t="n">
        <f aca="false">IF(AD335=1,(Z335-I$1030)^2,0)</f>
        <v>0</v>
      </c>
      <c r="AI335" s="57" t="n">
        <f aca="false">IF(AE335=1,(AA335-J$1030)^2,0)</f>
        <v>0</v>
      </c>
    </row>
    <row r="336" customFormat="false" ht="12" hidden="false" customHeight="false" outlineLevel="0" collapsed="false">
      <c r="A336" s="5" t="n">
        <v>319</v>
      </c>
      <c r="B336" s="58" t="n">
        <f aca="true">IF(RAND()&lt;$D$8,1,0)</f>
        <v>0</v>
      </c>
      <c r="C336" s="47" t="n">
        <f aca="true">-LN(RAND())/$D$2</f>
        <v>0.87516557901795</v>
      </c>
      <c r="D336" s="59" t="n">
        <f aca="false">D335+C336</f>
        <v>298.493522968461</v>
      </c>
      <c r="E336" s="60" t="n">
        <f aca="false">MAX($D$3,(1+P335-VLOOKUP(VALUE(D336),$J$18:$Q335,7,TRUE()))*$D$3)</f>
        <v>30</v>
      </c>
      <c r="F336" s="60" t="n">
        <f aca="false">MAX($D$4,(1+Q335-VLOOKUP(VALUE(D336),$M$18:$Q335,5,TRUE()))*$D$4)</f>
        <v>28</v>
      </c>
      <c r="G336" s="61" t="n">
        <v>0.5</v>
      </c>
      <c r="H336" s="59" t="n">
        <f aca="true">IF((B336=1),(IF((F336&lt;E336),1,(IF((F336=E336),(IF(RAND()&lt;G336,1,0)),0)))),(IF((RAND()&lt;G336),1,0)))</f>
        <v>1</v>
      </c>
      <c r="I336" s="59" t="n">
        <f aca="true">IF((H336=1),0,$D$3+$D$5*(RAND()-0.5))</f>
        <v>0</v>
      </c>
      <c r="J336" s="59" t="n">
        <f aca="false">I336+MAX(D336,J335)</f>
        <v>325.928827231097</v>
      </c>
      <c r="K336" s="59" t="n">
        <f aca="false">IF((H336=0),J336-D336,0)</f>
        <v>0</v>
      </c>
      <c r="L336" s="59" t="n">
        <f aca="true">IF(($H336=0),0,$D$4+$D$5*(RAND()-0.5))</f>
        <v>2.05842811637551</v>
      </c>
      <c r="M336" s="59" t="n">
        <f aca="false">L336+MAX(D336,M335)</f>
        <v>325.800231518</v>
      </c>
      <c r="N336" s="59" t="n">
        <f aca="false">IF((H336=1),M336-D336,0)</f>
        <v>27.3067085495384</v>
      </c>
      <c r="O336" s="5" t="n">
        <v>319</v>
      </c>
      <c r="P336" s="62" t="n">
        <f aca="false">IF((Arterial=0),P335+1,P335)</f>
        <v>159</v>
      </c>
      <c r="Q336" s="62" t="n">
        <f aca="false">IF((Arterial=1),Q335+1,Q335)</f>
        <v>160</v>
      </c>
      <c r="R336" s="63" t="n">
        <f aca="false">IF((RESET=1),0,R336+K336)</f>
        <v>515.19220643027</v>
      </c>
      <c r="S336" s="10" t="e">
        <f aca="false">IF(RESET=1,0,S336+N336)</f>
        <v>#N/A</v>
      </c>
      <c r="T336" s="0" t="n">
        <f aca="false">IF(RESET=1,0,T336+IF(H336=0,1,0))</f>
        <v>29</v>
      </c>
      <c r="U336" s="0" t="e">
        <f aca="false">IF(RESET=1,0,U336+H336)</f>
        <v>#N/A</v>
      </c>
      <c r="V336" s="10" t="n">
        <f aca="false">R336/(T336+0.00001)</f>
        <v>17.7652423716499</v>
      </c>
      <c r="W336" s="10" t="e">
        <f aca="false">S336/(U336+0.0001)</f>
        <v>#N/A</v>
      </c>
      <c r="X336" s="60" t="n">
        <f aca="false">IF(Informed=1,K336,0)</f>
        <v>0</v>
      </c>
      <c r="Y336" s="60" t="n">
        <f aca="false">IF(Informed=0,K336,0)</f>
        <v>0</v>
      </c>
      <c r="Z336" s="60" t="n">
        <f aca="false">IF(Informed=1,N336,0)</f>
        <v>0</v>
      </c>
      <c r="AA336" s="60" t="n">
        <f aca="false">IF(Informed=0,N336,0)</f>
        <v>27.3067085495384</v>
      </c>
      <c r="AB336" s="64" t="n">
        <f aca="false">IF(Arterial=0,IF(Informed=1,1,0),0)</f>
        <v>0</v>
      </c>
      <c r="AC336" s="64" t="n">
        <f aca="false">IF(Arterial=0,IF(Informed=0,1,0),0)</f>
        <v>0</v>
      </c>
      <c r="AD336" s="64" t="n">
        <f aca="false">IF(Arterial=1,IF(Informed=1,1,0),0)</f>
        <v>0</v>
      </c>
      <c r="AE336" s="64" t="n">
        <f aca="false">IF(Arterial=1,IF(Informed=0,1,0),0)</f>
        <v>1</v>
      </c>
      <c r="AF336" s="57" t="n">
        <f aca="false">IF(AB336=1,(X336-G$1030)^2,0)</f>
        <v>0</v>
      </c>
      <c r="AG336" s="57" t="n">
        <f aca="false">IF(AC336=1,(Y336-H$1030)^2,0)</f>
        <v>0</v>
      </c>
      <c r="AH336" s="57" t="n">
        <f aca="false">IF(AD336=1,(Z336-I$1030)^2,0)</f>
        <v>0</v>
      </c>
      <c r="AI336" s="57" t="n">
        <f aca="false">IF(AE336=1,(AA336-J$1030)^2,0)</f>
        <v>745.656331809432</v>
      </c>
    </row>
    <row r="337" customFormat="false" ht="12" hidden="false" customHeight="false" outlineLevel="0" collapsed="false">
      <c r="A337" s="5" t="n">
        <v>320</v>
      </c>
      <c r="B337" s="58" t="n">
        <f aca="true">IF(RAND()&lt;$D$8,1,0)</f>
        <v>1</v>
      </c>
      <c r="C337" s="47" t="n">
        <f aca="true">-LN(RAND())/$D$2</f>
        <v>0.866285443572226</v>
      </c>
      <c r="D337" s="59" t="n">
        <f aca="false">D336+C337</f>
        <v>299.359808412034</v>
      </c>
      <c r="E337" s="60" t="n">
        <f aca="false">MAX($D$3,(1+P336-VLOOKUP(VALUE(D337),$J$18:$Q336,7,TRUE()))*$D$3)</f>
        <v>30</v>
      </c>
      <c r="F337" s="60" t="n">
        <f aca="false">MAX($D$4,(1+Q336-VLOOKUP(VALUE(D337),$M$18:$Q336,5,TRUE()))*$D$4)</f>
        <v>30</v>
      </c>
      <c r="G337" s="61" t="n">
        <v>0.5</v>
      </c>
      <c r="H337" s="59" t="n">
        <f aca="true">IF((B337=1),(IF((F337&lt;E337),1,(IF((F337=E337),(IF(RAND()&lt;G337,1,0)),0)))),(IF((RAND()&lt;G337),1,0)))</f>
        <v>1</v>
      </c>
      <c r="I337" s="59" t="n">
        <f aca="true">IF((H337=1),0,$D$3+$D$5*(RAND()-0.5))</f>
        <v>0</v>
      </c>
      <c r="J337" s="59" t="n">
        <f aca="false">I337+MAX(D337,J336)</f>
        <v>325.928827231097</v>
      </c>
      <c r="K337" s="59" t="n">
        <f aca="false">IF((H337=0),J337-D337,0)</f>
        <v>0</v>
      </c>
      <c r="L337" s="59" t="n">
        <f aca="true">IF(($H337=0),0,$D$4+$D$5*(RAND()-0.5))</f>
        <v>2.2435999798122</v>
      </c>
      <c r="M337" s="59" t="n">
        <f aca="false">L337+MAX(D337,M336)</f>
        <v>328.043831497812</v>
      </c>
      <c r="N337" s="59" t="n">
        <f aca="false">IF((H337=1),M337-D337,0)</f>
        <v>28.6840230857783</v>
      </c>
      <c r="O337" s="5" t="n">
        <v>320</v>
      </c>
      <c r="P337" s="62" t="n">
        <f aca="false">IF((Arterial=0),P336+1,P336)</f>
        <v>159</v>
      </c>
      <c r="Q337" s="62" t="n">
        <f aca="false">IF((Arterial=1),Q336+1,Q336)</f>
        <v>161</v>
      </c>
      <c r="R337" s="63" t="n">
        <f aca="false">IF((RESET=1),0,R337+K337)</f>
        <v>426.822170943568</v>
      </c>
      <c r="S337" s="10" t="e">
        <f aca="false">IF(RESET=1,0,S337+N337)</f>
        <v>#N/A</v>
      </c>
      <c r="T337" s="0" t="n">
        <f aca="false">IF(RESET=1,0,T337+IF(H337=0,1,0))</f>
        <v>25</v>
      </c>
      <c r="U337" s="0" t="e">
        <f aca="false">IF(RESET=1,0,U337+H337)</f>
        <v>#N/A</v>
      </c>
      <c r="V337" s="10" t="n">
        <f aca="false">R337/(T337+0.00001)</f>
        <v>17.0728800085907</v>
      </c>
      <c r="W337" s="10" t="e">
        <f aca="false">S337/(U337+0.0001)</f>
        <v>#N/A</v>
      </c>
      <c r="X337" s="60" t="n">
        <f aca="false">IF(Informed=1,K337,0)</f>
        <v>0</v>
      </c>
      <c r="Y337" s="60" t="n">
        <f aca="false">IF(Informed=0,K337,0)</f>
        <v>0</v>
      </c>
      <c r="Z337" s="60" t="n">
        <f aca="false">IF(Informed=1,N337,0)</f>
        <v>28.6840230857783</v>
      </c>
      <c r="AA337" s="60" t="n">
        <f aca="false">IF(Informed=0,N337,0)</f>
        <v>0</v>
      </c>
      <c r="AB337" s="64" t="n">
        <f aca="false">IF(Arterial=0,IF(Informed=1,1,0),0)</f>
        <v>0</v>
      </c>
      <c r="AC337" s="64" t="n">
        <f aca="false">IF(Arterial=0,IF(Informed=0,1,0),0)</f>
        <v>0</v>
      </c>
      <c r="AD337" s="64" t="n">
        <f aca="false">IF(Arterial=1,IF(Informed=1,1,0),0)</f>
        <v>1</v>
      </c>
      <c r="AE337" s="64" t="n">
        <f aca="false">IF(Arterial=1,IF(Informed=0,1,0),0)</f>
        <v>0</v>
      </c>
      <c r="AF337" s="57" t="n">
        <f aca="false">IF(AB337=1,(X337-G$1030)^2,0)</f>
        <v>0</v>
      </c>
      <c r="AG337" s="57" t="n">
        <f aca="false">IF(AC337=1,(Y337-H$1030)^2,0)</f>
        <v>0</v>
      </c>
      <c r="AH337" s="57" t="n">
        <f aca="false">IF(AD337=1,(Z337-I$1030)^2,0)</f>
        <v>822.773180385465</v>
      </c>
      <c r="AI337" s="57" t="n">
        <f aca="false">IF(AE337=1,(AA337-J$1030)^2,0)</f>
        <v>0</v>
      </c>
    </row>
    <row r="338" customFormat="false" ht="12" hidden="false" customHeight="false" outlineLevel="0" collapsed="false">
      <c r="A338" s="5" t="n">
        <v>321</v>
      </c>
      <c r="B338" s="58" t="n">
        <f aca="true">IF(RAND()&lt;$D$8,1,0)</f>
        <v>1</v>
      </c>
      <c r="C338" s="47" t="n">
        <f aca="true">-LN(RAND())/$D$2</f>
        <v>3.97173268914932</v>
      </c>
      <c r="D338" s="59" t="n">
        <f aca="false">D337+C338</f>
        <v>303.331541101183</v>
      </c>
      <c r="E338" s="60" t="n">
        <f aca="false">MAX($D$3,(1+P337-VLOOKUP(VALUE(D338),$J$18:$Q337,7,TRUE()))*$D$3)</f>
        <v>26</v>
      </c>
      <c r="F338" s="60" t="n">
        <f aca="false">MAX($D$4,(1+Q337-VLOOKUP(VALUE(D338),$M$18:$Q337,5,TRUE()))*$D$4)</f>
        <v>28</v>
      </c>
      <c r="G338" s="61" t="n">
        <v>0.5</v>
      </c>
      <c r="H338" s="59" t="n">
        <f aca="true">IF((B338=1),(IF((F338&lt;E338),1,(IF((F338=E338),(IF(RAND()&lt;G338,1,0)),0)))),(IF((RAND()&lt;G338),1,0)))</f>
        <v>0</v>
      </c>
      <c r="I338" s="59" t="n">
        <f aca="true">IF((H338=1),0,$D$3+$D$5*(RAND()-0.5))</f>
        <v>1.87757305293093</v>
      </c>
      <c r="J338" s="59" t="n">
        <f aca="false">I338+MAX(D338,J337)</f>
        <v>327.806400284028</v>
      </c>
      <c r="K338" s="59" t="n">
        <f aca="false">IF((H338=0),J338-D338,0)</f>
        <v>24.474859182845</v>
      </c>
      <c r="L338" s="59" t="n">
        <f aca="true">IF(($H338=0),0,$D$4+$D$5*(RAND()-0.5))</f>
        <v>0</v>
      </c>
      <c r="M338" s="59" t="n">
        <f aca="false">L338+MAX(D338,M337)</f>
        <v>328.043831497812</v>
      </c>
      <c r="N338" s="59" t="n">
        <f aca="false">IF((H338=1),M338-D338,0)</f>
        <v>0</v>
      </c>
      <c r="O338" s="5" t="n">
        <v>321</v>
      </c>
      <c r="P338" s="62" t="n">
        <f aca="false">IF((Arterial=0),P337+1,P337)</f>
        <v>160</v>
      </c>
      <c r="Q338" s="62" t="n">
        <f aca="false">IF((Arterial=1),Q337+1,Q337)</f>
        <v>161</v>
      </c>
      <c r="R338" s="63" t="e">
        <f aca="false">IF((RESET=1),0,R338+K338)</f>
        <v>#N/A</v>
      </c>
      <c r="S338" s="10" t="n">
        <f aca="false">IF(RESET=1,0,S338+N338)</f>
        <v>462.456869722627</v>
      </c>
      <c r="T338" s="0" t="e">
        <f aca="false">IF(RESET=1,0,T338+IF(H338=0,1,0))</f>
        <v>#N/A</v>
      </c>
      <c r="U338" s="0" t="n">
        <f aca="false">IF(RESET=1,0,U338+H338)</f>
        <v>26</v>
      </c>
      <c r="V338" s="10" t="e">
        <f aca="false">R338/(T338+0.00001)</f>
        <v>#N/A</v>
      </c>
      <c r="W338" s="10" t="n">
        <f aca="false">S338/(U338+0.0001)</f>
        <v>17.7867342711231</v>
      </c>
      <c r="X338" s="60" t="n">
        <f aca="false">IF(Informed=1,K338,0)</f>
        <v>24.474859182845</v>
      </c>
      <c r="Y338" s="60" t="n">
        <f aca="false">IF(Informed=0,K338,0)</f>
        <v>0</v>
      </c>
      <c r="Z338" s="60" t="n">
        <f aca="false">IF(Informed=1,N338,0)</f>
        <v>0</v>
      </c>
      <c r="AA338" s="60" t="n">
        <f aca="false">IF(Informed=0,N338,0)</f>
        <v>0</v>
      </c>
      <c r="AB338" s="64" t="n">
        <f aca="false">IF(Arterial=0,IF(Informed=1,1,0),0)</f>
        <v>1</v>
      </c>
      <c r="AC338" s="64" t="n">
        <f aca="false">IF(Arterial=0,IF(Informed=0,1,0),0)</f>
        <v>0</v>
      </c>
      <c r="AD338" s="64" t="n">
        <f aca="false">IF(Arterial=1,IF(Informed=1,1,0),0)</f>
        <v>0</v>
      </c>
      <c r="AE338" s="64" t="n">
        <f aca="false">IF(Arterial=1,IF(Informed=0,1,0),0)</f>
        <v>0</v>
      </c>
      <c r="AF338" s="57" t="n">
        <f aca="false">IF(AB338=1,(X338-G$1030)^2,0)</f>
        <v>599.018732020093</v>
      </c>
      <c r="AG338" s="57" t="n">
        <f aca="false">IF(AC338=1,(Y338-H$1030)^2,0)</f>
        <v>0</v>
      </c>
      <c r="AH338" s="57" t="n">
        <f aca="false">IF(AD338=1,(Z338-I$1030)^2,0)</f>
        <v>0</v>
      </c>
      <c r="AI338" s="57" t="n">
        <f aca="false">IF(AE338=1,(AA338-J$1030)^2,0)</f>
        <v>0</v>
      </c>
    </row>
    <row r="339" customFormat="false" ht="12" hidden="false" customHeight="false" outlineLevel="0" collapsed="false">
      <c r="A339" s="5" t="n">
        <v>322</v>
      </c>
      <c r="B339" s="58" t="n">
        <f aca="true">IF(RAND()&lt;$D$8,1,0)</f>
        <v>1</v>
      </c>
      <c r="C339" s="47" t="n">
        <f aca="true">-LN(RAND())/$D$2</f>
        <v>1.3771874517746</v>
      </c>
      <c r="D339" s="59" t="n">
        <f aca="false">D338+C339</f>
        <v>304.708728552958</v>
      </c>
      <c r="E339" s="60" t="n">
        <f aca="false">MAX($D$3,(1+P338-VLOOKUP(VALUE(D339),$J$18:$Q338,7,TRUE()))*$D$3)</f>
        <v>26</v>
      </c>
      <c r="F339" s="60" t="n">
        <f aca="false">MAX($D$4,(1+Q338-VLOOKUP(VALUE(D339),$M$18:$Q338,5,TRUE()))*$D$4)</f>
        <v>26</v>
      </c>
      <c r="G339" s="61" t="n">
        <v>0.5</v>
      </c>
      <c r="H339" s="59" t="n">
        <f aca="true">IF((B339=1),(IF((F339&lt;E339),1,(IF((F339=E339),(IF(RAND()&lt;G339,1,0)),0)))),(IF((RAND()&lt;G339),1,0)))</f>
        <v>0</v>
      </c>
      <c r="I339" s="59" t="n">
        <f aca="true">IF((H339=1),0,$D$3+$D$5*(RAND()-0.5))</f>
        <v>1.75034093853916</v>
      </c>
      <c r="J339" s="59" t="n">
        <f aca="false">I339+MAX(D339,J338)</f>
        <v>329.556741222567</v>
      </c>
      <c r="K339" s="59" t="n">
        <f aca="false">IF((H339=0),J339-D339,0)</f>
        <v>24.8480126696096</v>
      </c>
      <c r="L339" s="59" t="n">
        <f aca="true">IF(($H339=0),0,$D$4+$D$5*(RAND()-0.5))</f>
        <v>0</v>
      </c>
      <c r="M339" s="59" t="n">
        <f aca="false">L339+MAX(D339,M338)</f>
        <v>328.043831497812</v>
      </c>
      <c r="N339" s="59" t="n">
        <f aca="false">IF((H339=1),M339-D339,0)</f>
        <v>0</v>
      </c>
      <c r="O339" s="5" t="n">
        <v>322</v>
      </c>
      <c r="P339" s="62" t="n">
        <f aca="false">IF((Arterial=0),P338+1,P338)</f>
        <v>161</v>
      </c>
      <c r="Q339" s="62" t="n">
        <f aca="false">IF((Arterial=1),Q338+1,Q338)</f>
        <v>161</v>
      </c>
      <c r="R339" s="63" t="e">
        <f aca="false">IF((RESET=1),0,R339+K339)</f>
        <v>#N/A</v>
      </c>
      <c r="S339" s="10" t="n">
        <f aca="false">IF(RESET=1,0,S339+N339)</f>
        <v>571.461340858372</v>
      </c>
      <c r="T339" s="0" t="e">
        <f aca="false">IF(RESET=1,0,T339+IF(H339=0,1,0))</f>
        <v>#N/A</v>
      </c>
      <c r="U339" s="0" t="n">
        <f aca="false">IF(RESET=1,0,U339+H339)</f>
        <v>30</v>
      </c>
      <c r="V339" s="10" t="e">
        <f aca="false">R339/(T339+0.00001)</f>
        <v>#N/A</v>
      </c>
      <c r="W339" s="10" t="n">
        <f aca="false">S339/(U339+0.0001)</f>
        <v>19.0486478664529</v>
      </c>
      <c r="X339" s="60" t="n">
        <f aca="false">IF(Informed=1,K339,0)</f>
        <v>24.8480126696096</v>
      </c>
      <c r="Y339" s="60" t="n">
        <f aca="false">IF(Informed=0,K339,0)</f>
        <v>0</v>
      </c>
      <c r="Z339" s="60" t="n">
        <f aca="false">IF(Informed=1,N339,0)</f>
        <v>0</v>
      </c>
      <c r="AA339" s="60" t="n">
        <f aca="false">IF(Informed=0,N339,0)</f>
        <v>0</v>
      </c>
      <c r="AB339" s="64" t="n">
        <f aca="false">IF(Arterial=0,IF(Informed=1,1,0),0)</f>
        <v>1</v>
      </c>
      <c r="AC339" s="64" t="n">
        <f aca="false">IF(Arterial=0,IF(Informed=0,1,0),0)</f>
        <v>0</v>
      </c>
      <c r="AD339" s="64" t="n">
        <f aca="false">IF(Arterial=1,IF(Informed=1,1,0),0)</f>
        <v>0</v>
      </c>
      <c r="AE339" s="64" t="n">
        <f aca="false">IF(Arterial=1,IF(Informed=0,1,0),0)</f>
        <v>0</v>
      </c>
      <c r="AF339" s="57" t="n">
        <f aca="false">IF(AB339=1,(X339-G$1030)^2,0)</f>
        <v>617.423733629079</v>
      </c>
      <c r="AG339" s="57" t="n">
        <f aca="false">IF(AC339=1,(Y339-H$1030)^2,0)</f>
        <v>0</v>
      </c>
      <c r="AH339" s="57" t="n">
        <f aca="false">IF(AD339=1,(Z339-I$1030)^2,0)</f>
        <v>0</v>
      </c>
      <c r="AI339" s="57" t="n">
        <f aca="false">IF(AE339=1,(AA339-J$1030)^2,0)</f>
        <v>0</v>
      </c>
    </row>
    <row r="340" customFormat="false" ht="12" hidden="false" customHeight="false" outlineLevel="0" collapsed="false">
      <c r="A340" s="5" t="n">
        <v>323</v>
      </c>
      <c r="B340" s="58" t="n">
        <f aca="true">IF(RAND()&lt;$D$8,1,0)</f>
        <v>1</v>
      </c>
      <c r="C340" s="47" t="n">
        <f aca="true">-LN(RAND())/$D$2</f>
        <v>0.681665912254783</v>
      </c>
      <c r="D340" s="59" t="n">
        <f aca="false">D339+C340</f>
        <v>305.390394465212</v>
      </c>
      <c r="E340" s="60" t="n">
        <f aca="false">MAX($D$3,(1+P339-VLOOKUP(VALUE(D340),$J$18:$Q339,7,TRUE()))*$D$3)</f>
        <v>28</v>
      </c>
      <c r="F340" s="60" t="n">
        <f aca="false">MAX($D$4,(1+Q339-VLOOKUP(VALUE(D340),$M$18:$Q339,5,TRUE()))*$D$4)</f>
        <v>26</v>
      </c>
      <c r="G340" s="61" t="n">
        <v>0.5</v>
      </c>
      <c r="H340" s="59" t="n">
        <f aca="true">IF((B340=1),(IF((F340&lt;E340),1,(IF((F340=E340),(IF(RAND()&lt;G340,1,0)),0)))),(IF((RAND()&lt;G340),1,0)))</f>
        <v>1</v>
      </c>
      <c r="I340" s="59" t="n">
        <f aca="true">IF((H340=1),0,$D$3+$D$5*(RAND()-0.5))</f>
        <v>0</v>
      </c>
      <c r="J340" s="59" t="n">
        <f aca="false">I340+MAX(D340,J339)</f>
        <v>329.556741222567</v>
      </c>
      <c r="K340" s="59" t="n">
        <f aca="false">IF((H340=0),J340-D340,0)</f>
        <v>0</v>
      </c>
      <c r="L340" s="59" t="n">
        <f aca="true">IF(($H340=0),0,$D$4+$D$5*(RAND()-0.5))</f>
        <v>2.16396792557759</v>
      </c>
      <c r="M340" s="59" t="n">
        <f aca="false">L340+MAX(D340,M339)</f>
        <v>330.20779942339</v>
      </c>
      <c r="N340" s="59" t="n">
        <f aca="false">IF((H340=1),M340-D340,0)</f>
        <v>24.8174049581772</v>
      </c>
      <c r="O340" s="5" t="n">
        <v>323</v>
      </c>
      <c r="P340" s="62" t="n">
        <f aca="false">IF((Arterial=0),P339+1,P339)</f>
        <v>161</v>
      </c>
      <c r="Q340" s="62" t="n">
        <f aca="false">IF((Arterial=1),Q339+1,Q339)</f>
        <v>162</v>
      </c>
      <c r="R340" s="63" t="n">
        <f aca="false">IF((RESET=1),0,R340+K340)</f>
        <v>564.612145438616</v>
      </c>
      <c r="S340" s="10" t="e">
        <f aca="false">IF(RESET=1,0,S340+N340)</f>
        <v>#N/A</v>
      </c>
      <c r="T340" s="0" t="n">
        <f aca="false">IF(RESET=1,0,T340+IF(H340=0,1,0))</f>
        <v>29</v>
      </c>
      <c r="U340" s="0" t="e">
        <f aca="false">IF(RESET=1,0,U340+H340)</f>
        <v>#N/A</v>
      </c>
      <c r="V340" s="10" t="n">
        <f aca="false">R340/(T340+0.00001)</f>
        <v>19.469377611891</v>
      </c>
      <c r="W340" s="10" t="e">
        <f aca="false">S340/(U340+0.0001)</f>
        <v>#N/A</v>
      </c>
      <c r="X340" s="60" t="n">
        <f aca="false">IF(Informed=1,K340,0)</f>
        <v>0</v>
      </c>
      <c r="Y340" s="60" t="n">
        <f aca="false">IF(Informed=0,K340,0)</f>
        <v>0</v>
      </c>
      <c r="Z340" s="60" t="n">
        <f aca="false">IF(Informed=1,N340,0)</f>
        <v>24.8174049581772</v>
      </c>
      <c r="AA340" s="60" t="n">
        <f aca="false">IF(Informed=0,N340,0)</f>
        <v>0</v>
      </c>
      <c r="AB340" s="64" t="n">
        <f aca="false">IF(Arterial=0,IF(Informed=1,1,0),0)</f>
        <v>0</v>
      </c>
      <c r="AC340" s="64" t="n">
        <f aca="false">IF(Arterial=0,IF(Informed=0,1,0),0)</f>
        <v>0</v>
      </c>
      <c r="AD340" s="64" t="n">
        <f aca="false">IF(Arterial=1,IF(Informed=1,1,0),0)</f>
        <v>1</v>
      </c>
      <c r="AE340" s="64" t="n">
        <f aca="false">IF(Arterial=1,IF(Informed=0,1,0),0)</f>
        <v>0</v>
      </c>
      <c r="AF340" s="57" t="n">
        <f aca="false">IF(AB340=1,(X340-G$1030)^2,0)</f>
        <v>0</v>
      </c>
      <c r="AG340" s="57" t="n">
        <f aca="false">IF(AC340=1,(Y340-H$1030)^2,0)</f>
        <v>0</v>
      </c>
      <c r="AH340" s="57" t="n">
        <f aca="false">IF(AD340=1,(Z340-I$1030)^2,0)</f>
        <v>615.903588858157</v>
      </c>
      <c r="AI340" s="57" t="n">
        <f aca="false">IF(AE340=1,(AA340-J$1030)^2,0)</f>
        <v>0</v>
      </c>
    </row>
    <row r="341" customFormat="false" ht="12" hidden="false" customHeight="false" outlineLevel="0" collapsed="false">
      <c r="A341" s="5" t="n">
        <v>324</v>
      </c>
      <c r="B341" s="58" t="n">
        <f aca="true">IF(RAND()&lt;$D$8,1,0)</f>
        <v>1</v>
      </c>
      <c r="C341" s="47" t="n">
        <f aca="true">-LN(RAND())/$D$2</f>
        <v>0.542504541440822</v>
      </c>
      <c r="D341" s="59" t="n">
        <f aca="false">D340+C341</f>
        <v>305.932899006653</v>
      </c>
      <c r="E341" s="60" t="n">
        <f aca="false">MAX($D$3,(1+P340-VLOOKUP(VALUE(D341),$J$18:$Q340,7,TRUE()))*$D$3)</f>
        <v>26</v>
      </c>
      <c r="F341" s="60" t="n">
        <f aca="false">MAX($D$4,(1+Q340-VLOOKUP(VALUE(D341),$M$18:$Q340,5,TRUE()))*$D$4)</f>
        <v>26</v>
      </c>
      <c r="G341" s="61" t="n">
        <v>0.5</v>
      </c>
      <c r="H341" s="59" t="n">
        <f aca="true">IF((B341=1),(IF((F341&lt;E341),1,(IF((F341=E341),(IF(RAND()&lt;G341,1,0)),0)))),(IF((RAND()&lt;G341),1,0)))</f>
        <v>1</v>
      </c>
      <c r="I341" s="59" t="n">
        <f aca="true">IF((H341=1),0,$D$3+$D$5*(RAND()-0.5))</f>
        <v>0</v>
      </c>
      <c r="J341" s="59" t="n">
        <f aca="false">I341+MAX(D341,J340)</f>
        <v>329.556741222567</v>
      </c>
      <c r="K341" s="59" t="n">
        <f aca="false">IF((H341=0),J341-D341,0)</f>
        <v>0</v>
      </c>
      <c r="L341" s="59" t="n">
        <f aca="true">IF(($H341=0),0,$D$4+$D$5*(RAND()-0.5))</f>
        <v>1.75845131144241</v>
      </c>
      <c r="M341" s="59" t="n">
        <f aca="false">L341+MAX(D341,M340)</f>
        <v>331.966250734832</v>
      </c>
      <c r="N341" s="59" t="n">
        <f aca="false">IF((H341=1),M341-D341,0)</f>
        <v>26.0333517281787</v>
      </c>
      <c r="O341" s="5" t="n">
        <v>324</v>
      </c>
      <c r="P341" s="62" t="n">
        <f aca="false">IF((Arterial=0),P340+1,P340)</f>
        <v>161</v>
      </c>
      <c r="Q341" s="62" t="n">
        <f aca="false">IF((Arterial=1),Q340+1,Q340)</f>
        <v>163</v>
      </c>
      <c r="R341" s="63" t="n">
        <f aca="false">IF((RESET=1),0,R341+K341)</f>
        <v>544.945737312456</v>
      </c>
      <c r="S341" s="10" t="e">
        <f aca="false">IF(RESET=1,0,S341+N341)</f>
        <v>#N/A</v>
      </c>
      <c r="T341" s="0" t="n">
        <f aca="false">IF(RESET=1,0,T341+IF(H341=0,1,0))</f>
        <v>30</v>
      </c>
      <c r="U341" s="0" t="e">
        <f aca="false">IF(RESET=1,0,U341+H341)</f>
        <v>#N/A</v>
      </c>
      <c r="V341" s="10" t="n">
        <f aca="false">R341/(T341+0.00001)</f>
        <v>18.1648518554646</v>
      </c>
      <c r="W341" s="10" t="e">
        <f aca="false">S341/(U341+0.0001)</f>
        <v>#N/A</v>
      </c>
      <c r="X341" s="60" t="n">
        <f aca="false">IF(Informed=1,K341,0)</f>
        <v>0</v>
      </c>
      <c r="Y341" s="60" t="n">
        <f aca="false">IF(Informed=0,K341,0)</f>
        <v>0</v>
      </c>
      <c r="Z341" s="60" t="n">
        <f aca="false">IF(Informed=1,N341,0)</f>
        <v>26.0333517281787</v>
      </c>
      <c r="AA341" s="60" t="n">
        <f aca="false">IF(Informed=0,N341,0)</f>
        <v>0</v>
      </c>
      <c r="AB341" s="64" t="n">
        <f aca="false">IF(Arterial=0,IF(Informed=1,1,0),0)</f>
        <v>0</v>
      </c>
      <c r="AC341" s="64" t="n">
        <f aca="false">IF(Arterial=0,IF(Informed=0,1,0),0)</f>
        <v>0</v>
      </c>
      <c r="AD341" s="64" t="n">
        <f aca="false">IF(Arterial=1,IF(Informed=1,1,0),0)</f>
        <v>1</v>
      </c>
      <c r="AE341" s="64" t="n">
        <f aca="false">IF(Arterial=1,IF(Informed=0,1,0),0)</f>
        <v>0</v>
      </c>
      <c r="AF341" s="57" t="n">
        <f aca="false">IF(AB341=1,(X341-G$1030)^2,0)</f>
        <v>0</v>
      </c>
      <c r="AG341" s="57" t="n">
        <f aca="false">IF(AC341=1,(Y341-H$1030)^2,0)</f>
        <v>0</v>
      </c>
      <c r="AH341" s="57" t="n">
        <f aca="false">IF(AD341=1,(Z341-I$1030)^2,0)</f>
        <v>677.735402203066</v>
      </c>
      <c r="AI341" s="57" t="n">
        <f aca="false">IF(AE341=1,(AA341-J$1030)^2,0)</f>
        <v>0</v>
      </c>
    </row>
    <row r="342" customFormat="false" ht="12" hidden="false" customHeight="false" outlineLevel="0" collapsed="false">
      <c r="A342" s="5" t="n">
        <v>325</v>
      </c>
      <c r="B342" s="58" t="n">
        <f aca="true">IF(RAND()&lt;$D$8,1,0)</f>
        <v>1</v>
      </c>
      <c r="C342" s="47" t="n">
        <f aca="true">-LN(RAND())/$D$2</f>
        <v>2.69258566770163</v>
      </c>
      <c r="D342" s="59" t="n">
        <f aca="false">D341+C342</f>
        <v>308.625484674355</v>
      </c>
      <c r="E342" s="60" t="n">
        <f aca="false">MAX($D$3,(1+P341-VLOOKUP(VALUE(D342),$J$18:$Q341,7,TRUE()))*$D$3)</f>
        <v>24</v>
      </c>
      <c r="F342" s="60" t="n">
        <f aca="false">MAX($D$4,(1+Q341-VLOOKUP(VALUE(D342),$M$18:$Q341,5,TRUE()))*$D$4)</f>
        <v>26</v>
      </c>
      <c r="G342" s="61" t="n">
        <v>0.5</v>
      </c>
      <c r="H342" s="59" t="n">
        <f aca="true">IF((B342=1),(IF((F342&lt;E342),1,(IF((F342=E342),(IF(RAND()&lt;G342,1,0)),0)))),(IF((RAND()&lt;G342),1,0)))</f>
        <v>0</v>
      </c>
      <c r="I342" s="59" t="n">
        <f aca="true">IF((H342=1),0,$D$3+$D$5*(RAND()-0.5))</f>
        <v>2.06936904756552</v>
      </c>
      <c r="J342" s="59" t="n">
        <f aca="false">I342+MAX(D342,J341)</f>
        <v>331.626110270133</v>
      </c>
      <c r="K342" s="59" t="n">
        <f aca="false">IF((H342=0),J342-D342,0)</f>
        <v>23.0006255957779</v>
      </c>
      <c r="L342" s="59" t="n">
        <f aca="true">IF(($H342=0),0,$D$4+$D$5*(RAND()-0.5))</f>
        <v>0</v>
      </c>
      <c r="M342" s="59" t="n">
        <f aca="false">L342+MAX(D342,M341)</f>
        <v>331.966250734832</v>
      </c>
      <c r="N342" s="59" t="n">
        <f aca="false">IF((H342=1),M342-D342,0)</f>
        <v>0</v>
      </c>
      <c r="O342" s="5" t="n">
        <v>325</v>
      </c>
      <c r="P342" s="62" t="n">
        <f aca="false">IF((Arterial=0),P341+1,P341)</f>
        <v>162</v>
      </c>
      <c r="Q342" s="62" t="n">
        <f aca="false">IF((Arterial=1),Q341+1,Q341)</f>
        <v>163</v>
      </c>
      <c r="R342" s="63" t="e">
        <f aca="false">IF((RESET=1),0,R342+K342)</f>
        <v>#N/A</v>
      </c>
      <c r="S342" s="10" t="n">
        <f aca="false">IF(RESET=1,0,S342+N342)</f>
        <v>583.590084402414</v>
      </c>
      <c r="T342" s="0" t="e">
        <f aca="false">IF(RESET=1,0,T342+IF(H342=0,1,0))</f>
        <v>#N/A</v>
      </c>
      <c r="U342" s="0" t="n">
        <f aca="false">IF(RESET=1,0,U342+H342)</f>
        <v>29</v>
      </c>
      <c r="V342" s="10" t="e">
        <f aca="false">R342/(T342+0.00001)</f>
        <v>#N/A</v>
      </c>
      <c r="W342" s="10" t="n">
        <f aca="false">S342/(U342+0.0001)</f>
        <v>20.1237266217156</v>
      </c>
      <c r="X342" s="60" t="n">
        <f aca="false">IF(Informed=1,K342,0)</f>
        <v>23.0006255957779</v>
      </c>
      <c r="Y342" s="60" t="n">
        <f aca="false">IF(Informed=0,K342,0)</f>
        <v>0</v>
      </c>
      <c r="Z342" s="60" t="n">
        <f aca="false">IF(Informed=1,N342,0)</f>
        <v>0</v>
      </c>
      <c r="AA342" s="60" t="n">
        <f aca="false">IF(Informed=0,N342,0)</f>
        <v>0</v>
      </c>
      <c r="AB342" s="64" t="n">
        <f aca="false">IF(Arterial=0,IF(Informed=1,1,0),0)</f>
        <v>1</v>
      </c>
      <c r="AC342" s="64" t="n">
        <f aca="false">IF(Arterial=0,IF(Informed=0,1,0),0)</f>
        <v>0</v>
      </c>
      <c r="AD342" s="64" t="n">
        <f aca="false">IF(Arterial=1,IF(Informed=1,1,0),0)</f>
        <v>0</v>
      </c>
      <c r="AE342" s="64" t="n">
        <f aca="false">IF(Arterial=1,IF(Informed=0,1,0),0)</f>
        <v>0</v>
      </c>
      <c r="AF342" s="57" t="n">
        <f aca="false">IF(AB342=1,(X342-G$1030)^2,0)</f>
        <v>529.028777797152</v>
      </c>
      <c r="AG342" s="57" t="n">
        <f aca="false">IF(AC342=1,(Y342-H$1030)^2,0)</f>
        <v>0</v>
      </c>
      <c r="AH342" s="57" t="n">
        <f aca="false">IF(AD342=1,(Z342-I$1030)^2,0)</f>
        <v>0</v>
      </c>
      <c r="AI342" s="57" t="n">
        <f aca="false">IF(AE342=1,(AA342-J$1030)^2,0)</f>
        <v>0</v>
      </c>
    </row>
    <row r="343" customFormat="false" ht="12" hidden="false" customHeight="false" outlineLevel="0" collapsed="false">
      <c r="A343" s="5" t="n">
        <v>326</v>
      </c>
      <c r="B343" s="58" t="n">
        <f aca="true">IF(RAND()&lt;$D$8,1,0)</f>
        <v>1</v>
      </c>
      <c r="C343" s="47" t="n">
        <f aca="true">-LN(RAND())/$D$2</f>
        <v>3.94788004382779</v>
      </c>
      <c r="D343" s="59" t="n">
        <f aca="false">D342+C343</f>
        <v>312.573364718183</v>
      </c>
      <c r="E343" s="60" t="n">
        <f aca="false">MAX($D$3,(1+P342-VLOOKUP(VALUE(D343),$J$18:$Q342,7,TRUE()))*$D$3)</f>
        <v>22</v>
      </c>
      <c r="F343" s="60" t="n">
        <f aca="false">MAX($D$4,(1+Q342-VLOOKUP(VALUE(D343),$M$18:$Q342,5,TRUE()))*$D$4)</f>
        <v>22</v>
      </c>
      <c r="G343" s="61" t="n">
        <v>0.5</v>
      </c>
      <c r="H343" s="59" t="n">
        <f aca="true">IF((B343=1),(IF((F343&lt;E343),1,(IF((F343=E343),(IF(RAND()&lt;G343,1,0)),0)))),(IF((RAND()&lt;G343),1,0)))</f>
        <v>1</v>
      </c>
      <c r="I343" s="59" t="n">
        <f aca="true">IF((H343=1),0,$D$3+$D$5*(RAND()-0.5))</f>
        <v>0</v>
      </c>
      <c r="J343" s="59" t="n">
        <f aca="false">I343+MAX(D343,J342)</f>
        <v>331.626110270133</v>
      </c>
      <c r="K343" s="59" t="n">
        <f aca="false">IF((H343=0),J343-D343,0)</f>
        <v>0</v>
      </c>
      <c r="L343" s="59" t="n">
        <f aca="true">IF(($H343=0),0,$D$4+$D$5*(RAND()-0.5))</f>
        <v>2.23001641385874</v>
      </c>
      <c r="M343" s="59" t="n">
        <f aca="false">L343+MAX(D343,M342)</f>
        <v>334.196267148691</v>
      </c>
      <c r="N343" s="59" t="n">
        <f aca="false">IF((H343=1),M343-D343,0)</f>
        <v>21.622902430508</v>
      </c>
      <c r="O343" s="5" t="n">
        <v>326</v>
      </c>
      <c r="P343" s="62" t="n">
        <f aca="false">IF((Arterial=0),P342+1,P342)</f>
        <v>162</v>
      </c>
      <c r="Q343" s="62" t="n">
        <f aca="false">IF((Arterial=1),Q342+1,Q342)</f>
        <v>164</v>
      </c>
      <c r="R343" s="63" t="n">
        <f aca="false">IF((RESET=1),0,R343+K343)</f>
        <v>539.268807220508</v>
      </c>
      <c r="S343" s="10" t="e">
        <f aca="false">IF(RESET=1,0,S343+N343)</f>
        <v>#N/A</v>
      </c>
      <c r="T343" s="0" t="n">
        <f aca="false">IF(RESET=1,0,T343+IF(H343=0,1,0))</f>
        <v>27</v>
      </c>
      <c r="U343" s="0" t="e">
        <f aca="false">IF(RESET=1,0,U343+H343)</f>
        <v>#N/A</v>
      </c>
      <c r="V343" s="10" t="n">
        <f aca="false">R343/(T343+0.00001)</f>
        <v>19.9729113885701</v>
      </c>
      <c r="W343" s="10" t="e">
        <f aca="false">S343/(U343+0.0001)</f>
        <v>#N/A</v>
      </c>
      <c r="X343" s="60" t="n">
        <f aca="false">IF(Informed=1,K343,0)</f>
        <v>0</v>
      </c>
      <c r="Y343" s="60" t="n">
        <f aca="false">IF(Informed=0,K343,0)</f>
        <v>0</v>
      </c>
      <c r="Z343" s="60" t="n">
        <f aca="false">IF(Informed=1,N343,0)</f>
        <v>21.622902430508</v>
      </c>
      <c r="AA343" s="60" t="n">
        <f aca="false">IF(Informed=0,N343,0)</f>
        <v>0</v>
      </c>
      <c r="AB343" s="64" t="n">
        <f aca="false">IF(Arterial=0,IF(Informed=1,1,0),0)</f>
        <v>0</v>
      </c>
      <c r="AC343" s="64" t="n">
        <f aca="false">IF(Arterial=0,IF(Informed=0,1,0),0)</f>
        <v>0</v>
      </c>
      <c r="AD343" s="64" t="n">
        <f aca="false">IF(Arterial=1,IF(Informed=1,1,0),0)</f>
        <v>1</v>
      </c>
      <c r="AE343" s="64" t="n">
        <f aca="false">IF(Arterial=1,IF(Informed=0,1,0),0)</f>
        <v>0</v>
      </c>
      <c r="AF343" s="57" t="n">
        <f aca="false">IF(AB343=1,(X343-G$1030)^2,0)</f>
        <v>0</v>
      </c>
      <c r="AG343" s="57" t="n">
        <f aca="false">IF(AC343=1,(Y343-H$1030)^2,0)</f>
        <v>0</v>
      </c>
      <c r="AH343" s="57" t="n">
        <f aca="false">IF(AD343=1,(Z343-I$1030)^2,0)</f>
        <v>467.54990951927</v>
      </c>
      <c r="AI343" s="57" t="n">
        <f aca="false">IF(AE343=1,(AA343-J$1030)^2,0)</f>
        <v>0</v>
      </c>
    </row>
    <row r="344" customFormat="false" ht="12" hidden="false" customHeight="false" outlineLevel="0" collapsed="false">
      <c r="A344" s="5" t="n">
        <v>327</v>
      </c>
      <c r="B344" s="58" t="n">
        <f aca="true">IF(RAND()&lt;$D$8,1,0)</f>
        <v>1</v>
      </c>
      <c r="C344" s="47" t="n">
        <f aca="true">-LN(RAND())/$D$2</f>
        <v>0.12716042428864</v>
      </c>
      <c r="D344" s="59" t="n">
        <f aca="false">D343+C344</f>
        <v>312.700525142471</v>
      </c>
      <c r="E344" s="60" t="n">
        <f aca="false">MAX($D$3,(1+P343-VLOOKUP(VALUE(D344),$J$18:$Q343,7,TRUE()))*$D$3)</f>
        <v>22</v>
      </c>
      <c r="F344" s="60" t="n">
        <f aca="false">MAX($D$4,(1+Q343-VLOOKUP(VALUE(D344),$M$18:$Q343,5,TRUE()))*$D$4)</f>
        <v>24</v>
      </c>
      <c r="G344" s="61" t="n">
        <v>0.5</v>
      </c>
      <c r="H344" s="59" t="n">
        <f aca="true">IF((B344=1),(IF((F344&lt;E344),1,(IF((F344=E344),(IF(RAND()&lt;G344,1,0)),0)))),(IF((RAND()&lt;G344),1,0)))</f>
        <v>0</v>
      </c>
      <c r="I344" s="59" t="n">
        <f aca="true">IF((H344=1),0,$D$3+$D$5*(RAND()-0.5))</f>
        <v>1.99094175054842</v>
      </c>
      <c r="J344" s="59" t="n">
        <f aca="false">I344+MAX(D344,J343)</f>
        <v>333.617052020681</v>
      </c>
      <c r="K344" s="59" t="n">
        <f aca="false">IF((H344=0),J344-D344,0)</f>
        <v>20.9165268782098</v>
      </c>
      <c r="L344" s="59" t="n">
        <f aca="true">IF(($H344=0),0,$D$4+$D$5*(RAND()-0.5))</f>
        <v>0</v>
      </c>
      <c r="M344" s="59" t="n">
        <f aca="false">L344+MAX(D344,M343)</f>
        <v>334.196267148691</v>
      </c>
      <c r="N344" s="59" t="n">
        <f aca="false">IF((H344=1),M344-D344,0)</f>
        <v>0</v>
      </c>
      <c r="O344" s="5" t="n">
        <v>327</v>
      </c>
      <c r="P344" s="62" t="n">
        <f aca="false">IF((Arterial=0),P343+1,P343)</f>
        <v>163</v>
      </c>
      <c r="Q344" s="62" t="n">
        <f aca="false">IF((Arterial=1),Q343+1,Q343)</f>
        <v>164</v>
      </c>
      <c r="R344" s="63" t="e">
        <f aca="false">IF((RESET=1),0,R344+K344)</f>
        <v>#N/A</v>
      </c>
      <c r="S344" s="10" t="n">
        <f aca="false">IF(RESET=1,0,S344+N344)</f>
        <v>577.275115698147</v>
      </c>
      <c r="T344" s="0" t="e">
        <f aca="false">IF(RESET=1,0,T344+IF(H344=0,1,0))</f>
        <v>#N/A</v>
      </c>
      <c r="U344" s="0" t="n">
        <f aca="false">IF(RESET=1,0,U344+H344)</f>
        <v>32</v>
      </c>
      <c r="V344" s="10" t="e">
        <f aca="false">R344/(T344+0.00001)</f>
        <v>#N/A</v>
      </c>
      <c r="W344" s="10" t="n">
        <f aca="false">S344/(U344+0.0001)</f>
        <v>18.0397909912202</v>
      </c>
      <c r="X344" s="60" t="n">
        <f aca="false">IF(Informed=1,K344,0)</f>
        <v>20.9165268782098</v>
      </c>
      <c r="Y344" s="60" t="n">
        <f aca="false">IF(Informed=0,K344,0)</f>
        <v>0</v>
      </c>
      <c r="Z344" s="60" t="n">
        <f aca="false">IF(Informed=1,N344,0)</f>
        <v>0</v>
      </c>
      <c r="AA344" s="60" t="n">
        <f aca="false">IF(Informed=0,N344,0)</f>
        <v>0</v>
      </c>
      <c r="AB344" s="64" t="n">
        <f aca="false">IF(Arterial=0,IF(Informed=1,1,0),0)</f>
        <v>1</v>
      </c>
      <c r="AC344" s="64" t="n">
        <f aca="false">IF(Arterial=0,IF(Informed=0,1,0),0)</f>
        <v>0</v>
      </c>
      <c r="AD344" s="64" t="n">
        <f aca="false">IF(Arterial=1,IF(Informed=1,1,0),0)</f>
        <v>0</v>
      </c>
      <c r="AE344" s="64" t="n">
        <f aca="false">IF(Arterial=1,IF(Informed=0,1,0),0)</f>
        <v>0</v>
      </c>
      <c r="AF344" s="57" t="n">
        <f aca="false">IF(AB344=1,(X344-G$1030)^2,0)</f>
        <v>437.501096646874</v>
      </c>
      <c r="AG344" s="57" t="n">
        <f aca="false">IF(AC344=1,(Y344-H$1030)^2,0)</f>
        <v>0</v>
      </c>
      <c r="AH344" s="57" t="n">
        <f aca="false">IF(AD344=1,(Z344-I$1030)^2,0)</f>
        <v>0</v>
      </c>
      <c r="AI344" s="57" t="n">
        <f aca="false">IF(AE344=1,(AA344-J$1030)^2,0)</f>
        <v>0</v>
      </c>
    </row>
    <row r="345" customFormat="false" ht="12" hidden="false" customHeight="false" outlineLevel="0" collapsed="false">
      <c r="A345" s="5" t="n">
        <v>328</v>
      </c>
      <c r="B345" s="58" t="n">
        <f aca="true">IF(RAND()&lt;$D$8,1,0)</f>
        <v>1</v>
      </c>
      <c r="C345" s="47" t="n">
        <f aca="true">-LN(RAND())/$D$2</f>
        <v>1.50385886908423</v>
      </c>
      <c r="D345" s="59" t="n">
        <f aca="false">D344+C345</f>
        <v>314.204384011556</v>
      </c>
      <c r="E345" s="60" t="n">
        <f aca="false">MAX($D$3,(1+P344-VLOOKUP(VALUE(D345),$J$18:$Q344,7,TRUE()))*$D$3)</f>
        <v>22</v>
      </c>
      <c r="F345" s="60" t="n">
        <f aca="false">MAX($D$4,(1+Q344-VLOOKUP(VALUE(D345),$M$18:$Q344,5,TRUE()))*$D$4)</f>
        <v>22</v>
      </c>
      <c r="G345" s="61" t="n">
        <v>0.5</v>
      </c>
      <c r="H345" s="59" t="n">
        <f aca="true">IF((B345=1),(IF((F345&lt;E345),1,(IF((F345=E345),(IF(RAND()&lt;G345,1,0)),0)))),(IF((RAND()&lt;G345),1,0)))</f>
        <v>1</v>
      </c>
      <c r="I345" s="59" t="n">
        <f aca="true">IF((H345=1),0,$D$3+$D$5*(RAND()-0.5))</f>
        <v>0</v>
      </c>
      <c r="J345" s="59" t="n">
        <f aca="false">I345+MAX(D345,J344)</f>
        <v>333.617052020681</v>
      </c>
      <c r="K345" s="59" t="n">
        <f aca="false">IF((H345=0),J345-D345,0)</f>
        <v>0</v>
      </c>
      <c r="L345" s="59" t="n">
        <f aca="true">IF(($H345=0),0,$D$4+$D$5*(RAND()-0.5))</f>
        <v>1.83700728964985</v>
      </c>
      <c r="M345" s="59" t="n">
        <f aca="false">L345+MAX(D345,M344)</f>
        <v>336.033274438341</v>
      </c>
      <c r="N345" s="59" t="n">
        <f aca="false">IF((H345=1),M345-D345,0)</f>
        <v>21.828890426785</v>
      </c>
      <c r="O345" s="5" t="n">
        <v>328</v>
      </c>
      <c r="P345" s="62" t="n">
        <f aca="false">IF((Arterial=0),P344+1,P344)</f>
        <v>163</v>
      </c>
      <c r="Q345" s="62" t="n">
        <f aca="false">IF((Arterial=1),Q344+1,Q344)</f>
        <v>165</v>
      </c>
      <c r="R345" s="63" t="n">
        <f aca="false">IF((RESET=1),0,R345+K345)</f>
        <v>409.109458617592</v>
      </c>
      <c r="S345" s="10" t="e">
        <f aca="false">IF(RESET=1,0,S345+N345)</f>
        <v>#N/A</v>
      </c>
      <c r="T345" s="0" t="n">
        <f aca="false">IF(RESET=1,0,T345+IF(H345=0,1,0))</f>
        <v>22</v>
      </c>
      <c r="U345" s="0" t="e">
        <f aca="false">IF(RESET=1,0,U345+H345)</f>
        <v>#N/A</v>
      </c>
      <c r="V345" s="10" t="n">
        <f aca="false">R345/(T345+0.00001)</f>
        <v>18.5958760299469</v>
      </c>
      <c r="W345" s="10" t="e">
        <f aca="false">S345/(U345+0.0001)</f>
        <v>#N/A</v>
      </c>
      <c r="X345" s="60" t="n">
        <f aca="false">IF(Informed=1,K345,0)</f>
        <v>0</v>
      </c>
      <c r="Y345" s="60" t="n">
        <f aca="false">IF(Informed=0,K345,0)</f>
        <v>0</v>
      </c>
      <c r="Z345" s="60" t="n">
        <f aca="false">IF(Informed=1,N345,0)</f>
        <v>21.828890426785</v>
      </c>
      <c r="AA345" s="60" t="n">
        <f aca="false">IF(Informed=0,N345,0)</f>
        <v>0</v>
      </c>
      <c r="AB345" s="64" t="n">
        <f aca="false">IF(Arterial=0,IF(Informed=1,1,0),0)</f>
        <v>0</v>
      </c>
      <c r="AC345" s="64" t="n">
        <f aca="false">IF(Arterial=0,IF(Informed=0,1,0),0)</f>
        <v>0</v>
      </c>
      <c r="AD345" s="64" t="n">
        <f aca="false">IF(Arterial=1,IF(Informed=1,1,0),0)</f>
        <v>1</v>
      </c>
      <c r="AE345" s="64" t="n">
        <f aca="false">IF(Arterial=1,IF(Informed=0,1,0),0)</f>
        <v>0</v>
      </c>
      <c r="AF345" s="57" t="n">
        <f aca="false">IF(AB345=1,(X345-G$1030)^2,0)</f>
        <v>0</v>
      </c>
      <c r="AG345" s="57" t="n">
        <f aca="false">IF(AC345=1,(Y345-H$1030)^2,0)</f>
        <v>0</v>
      </c>
      <c r="AH345" s="57" t="n">
        <f aca="false">IF(AD345=1,(Z345-I$1030)^2,0)</f>
        <v>476.500457264586</v>
      </c>
      <c r="AI345" s="57" t="n">
        <f aca="false">IF(AE345=1,(AA345-J$1030)^2,0)</f>
        <v>0</v>
      </c>
    </row>
    <row r="346" customFormat="false" ht="12" hidden="false" customHeight="false" outlineLevel="0" collapsed="false">
      <c r="A346" s="5" t="n">
        <v>329</v>
      </c>
      <c r="B346" s="58" t="n">
        <f aca="true">IF(RAND()&lt;$D$8,1,0)</f>
        <v>0</v>
      </c>
      <c r="C346" s="47" t="n">
        <f aca="true">-LN(RAND())/$D$2</f>
        <v>0.111424538319205</v>
      </c>
      <c r="D346" s="59" t="n">
        <f aca="false">D345+C346</f>
        <v>314.315808549875</v>
      </c>
      <c r="E346" s="60" t="n">
        <f aca="false">MAX($D$3,(1+P345-VLOOKUP(VALUE(D346),$J$18:$Q345,7,TRUE()))*$D$3)</f>
        <v>22</v>
      </c>
      <c r="F346" s="60" t="n">
        <f aca="false">MAX($D$4,(1+Q345-VLOOKUP(VALUE(D346),$M$18:$Q345,5,TRUE()))*$D$4)</f>
        <v>24</v>
      </c>
      <c r="G346" s="61" t="n">
        <v>0.5</v>
      </c>
      <c r="H346" s="59" t="n">
        <f aca="true">IF((B346=1),(IF((F346&lt;E346),1,(IF((F346=E346),(IF(RAND()&lt;G346,1,0)),0)))),(IF((RAND()&lt;G346),1,0)))</f>
        <v>0</v>
      </c>
      <c r="I346" s="59" t="n">
        <f aca="true">IF((H346=1),0,$D$3+$D$5*(RAND()-0.5))</f>
        <v>2.14163581557047</v>
      </c>
      <c r="J346" s="59" t="n">
        <f aca="false">I346+MAX(D346,J345)</f>
        <v>335.758687836252</v>
      </c>
      <c r="K346" s="59" t="n">
        <f aca="false">IF((H346=0),J346-D346,0)</f>
        <v>21.4428792863768</v>
      </c>
      <c r="L346" s="59" t="n">
        <f aca="true">IF(($H346=0),0,$D$4+$D$5*(RAND()-0.5))</f>
        <v>0</v>
      </c>
      <c r="M346" s="59" t="n">
        <f aca="false">L346+MAX(D346,M345)</f>
        <v>336.033274438341</v>
      </c>
      <c r="N346" s="59" t="n">
        <f aca="false">IF((H346=1),M346-D346,0)</f>
        <v>0</v>
      </c>
      <c r="O346" s="5" t="n">
        <v>329</v>
      </c>
      <c r="P346" s="62" t="n">
        <f aca="false">IF((Arterial=0),P345+1,P345)</f>
        <v>164</v>
      </c>
      <c r="Q346" s="62" t="n">
        <f aca="false">IF((Arterial=1),Q345+1,Q345)</f>
        <v>165</v>
      </c>
      <c r="R346" s="63" t="e">
        <f aca="false">IF((RESET=1),0,R346+K346)</f>
        <v>#N/A</v>
      </c>
      <c r="S346" s="10" t="n">
        <f aca="false">IF(RESET=1,0,S346+N346)</f>
        <v>411.117872168418</v>
      </c>
      <c r="T346" s="0" t="e">
        <f aca="false">IF(RESET=1,0,T346+IF(H346=0,1,0))</f>
        <v>#N/A</v>
      </c>
      <c r="U346" s="0" t="n">
        <f aca="false">IF(RESET=1,0,U346+H346)</f>
        <v>24</v>
      </c>
      <c r="V346" s="10" t="e">
        <f aca="false">R346/(T346+0.00001)</f>
        <v>#N/A</v>
      </c>
      <c r="W346" s="10" t="n">
        <f aca="false">S346/(U346+0.0001)</f>
        <v>17.1298399660176</v>
      </c>
      <c r="X346" s="60" t="n">
        <f aca="false">IF(Informed=1,K346,0)</f>
        <v>0</v>
      </c>
      <c r="Y346" s="60" t="n">
        <f aca="false">IF(Informed=0,K346,0)</f>
        <v>21.4428792863768</v>
      </c>
      <c r="Z346" s="60" t="n">
        <f aca="false">IF(Informed=1,N346,0)</f>
        <v>0</v>
      </c>
      <c r="AA346" s="60" t="n">
        <f aca="false">IF(Informed=0,N346,0)</f>
        <v>0</v>
      </c>
      <c r="AB346" s="64" t="n">
        <f aca="false">IF(Arterial=0,IF(Informed=1,1,0),0)</f>
        <v>0</v>
      </c>
      <c r="AC346" s="64" t="n">
        <f aca="false">IF(Arterial=0,IF(Informed=0,1,0),0)</f>
        <v>1</v>
      </c>
      <c r="AD346" s="64" t="n">
        <f aca="false">IF(Arterial=1,IF(Informed=1,1,0),0)</f>
        <v>0</v>
      </c>
      <c r="AE346" s="64" t="n">
        <f aca="false">IF(Arterial=1,IF(Informed=0,1,0),0)</f>
        <v>0</v>
      </c>
      <c r="AF346" s="57" t="n">
        <f aca="false">IF(AB346=1,(X346-G$1030)^2,0)</f>
        <v>0</v>
      </c>
      <c r="AG346" s="57" t="n">
        <f aca="false">IF(AC346=1,(Y346-H$1030)^2,0)</f>
        <v>459.797072090128</v>
      </c>
      <c r="AH346" s="57" t="n">
        <f aca="false">IF(AD346=1,(Z346-I$1030)^2,0)</f>
        <v>0</v>
      </c>
      <c r="AI346" s="57" t="n">
        <f aca="false">IF(AE346=1,(AA346-J$1030)^2,0)</f>
        <v>0</v>
      </c>
    </row>
    <row r="347" customFormat="false" ht="12" hidden="false" customHeight="false" outlineLevel="0" collapsed="false">
      <c r="A347" s="5" t="n">
        <v>330</v>
      </c>
      <c r="B347" s="58" t="n">
        <f aca="true">IF(RAND()&lt;$D$8,1,0)</f>
        <v>0</v>
      </c>
      <c r="C347" s="47" t="n">
        <f aca="true">-LN(RAND())/$D$2</f>
        <v>0.0193082601940937</v>
      </c>
      <c r="D347" s="59" t="n">
        <f aca="false">D346+C347</f>
        <v>314.335116810069</v>
      </c>
      <c r="E347" s="60" t="n">
        <f aca="false">MAX($D$3,(1+P346-VLOOKUP(VALUE(D347),$J$18:$Q346,7,TRUE()))*$D$3)</f>
        <v>24</v>
      </c>
      <c r="F347" s="60" t="n">
        <f aca="false">MAX($D$4,(1+Q346-VLOOKUP(VALUE(D347),$M$18:$Q346,5,TRUE()))*$D$4)</f>
        <v>24</v>
      </c>
      <c r="G347" s="61" t="n">
        <v>0.5</v>
      </c>
      <c r="H347" s="59" t="n">
        <f aca="true">IF((B347=1),(IF((F347&lt;E347),1,(IF((F347=E347),(IF(RAND()&lt;G347,1,0)),0)))),(IF((RAND()&lt;G347),1,0)))</f>
        <v>0</v>
      </c>
      <c r="I347" s="59" t="n">
        <f aca="true">IF((H347=1),0,$D$3+$D$5*(RAND()-0.5))</f>
        <v>2.14939816726665</v>
      </c>
      <c r="J347" s="59" t="n">
        <f aca="false">I347+MAX(D347,J346)</f>
        <v>337.908086003518</v>
      </c>
      <c r="K347" s="59" t="n">
        <f aca="false">IF((H347=0),J347-D347,0)</f>
        <v>23.5729691934494</v>
      </c>
      <c r="L347" s="59" t="n">
        <f aca="true">IF(($H347=0),0,$D$4+$D$5*(RAND()-0.5))</f>
        <v>0</v>
      </c>
      <c r="M347" s="59" t="n">
        <f aca="false">L347+MAX(D347,M346)</f>
        <v>336.033274438341</v>
      </c>
      <c r="N347" s="59" t="n">
        <f aca="false">IF((H347=1),M347-D347,0)</f>
        <v>0</v>
      </c>
      <c r="O347" s="5" t="n">
        <v>330</v>
      </c>
      <c r="P347" s="62" t="n">
        <f aca="false">IF((Arterial=0),P346+1,P346)</f>
        <v>165</v>
      </c>
      <c r="Q347" s="62" t="n">
        <f aca="false">IF((Arterial=1),Q346+1,Q346)</f>
        <v>165</v>
      </c>
      <c r="R347" s="63" t="e">
        <f aca="false">IF((RESET=1),0,R347+K347)</f>
        <v>#N/A</v>
      </c>
      <c r="S347" s="10" t="n">
        <f aca="false">IF(RESET=1,0,S347+N347)</f>
        <v>511.894967779135</v>
      </c>
      <c r="T347" s="0" t="e">
        <f aca="false">IF(RESET=1,0,T347+IF(H347=0,1,0))</f>
        <v>#N/A</v>
      </c>
      <c r="U347" s="0" t="n">
        <f aca="false">IF(RESET=1,0,U347+H347)</f>
        <v>27</v>
      </c>
      <c r="V347" s="10" t="e">
        <f aca="false">R347/(T347+0.00001)</f>
        <v>#N/A</v>
      </c>
      <c r="W347" s="10" t="n">
        <f aca="false">S347/(U347+0.0001)</f>
        <v>18.9590026621803</v>
      </c>
      <c r="X347" s="60" t="n">
        <f aca="false">IF(Informed=1,K347,0)</f>
        <v>0</v>
      </c>
      <c r="Y347" s="60" t="n">
        <f aca="false">IF(Informed=0,K347,0)</f>
        <v>23.5729691934494</v>
      </c>
      <c r="Z347" s="60" t="n">
        <f aca="false">IF(Informed=1,N347,0)</f>
        <v>0</v>
      </c>
      <c r="AA347" s="60" t="n">
        <f aca="false">IF(Informed=0,N347,0)</f>
        <v>0</v>
      </c>
      <c r="AB347" s="64" t="n">
        <f aca="false">IF(Arterial=0,IF(Informed=1,1,0),0)</f>
        <v>0</v>
      </c>
      <c r="AC347" s="64" t="n">
        <f aca="false">IF(Arterial=0,IF(Informed=0,1,0),0)</f>
        <v>1</v>
      </c>
      <c r="AD347" s="64" t="n">
        <f aca="false">IF(Arterial=1,IF(Informed=1,1,0),0)</f>
        <v>0</v>
      </c>
      <c r="AE347" s="64" t="n">
        <f aca="false">IF(Arterial=1,IF(Informed=0,1,0),0)</f>
        <v>0</v>
      </c>
      <c r="AF347" s="57" t="n">
        <f aca="false">IF(AB347=1,(X347-G$1030)^2,0)</f>
        <v>0</v>
      </c>
      <c r="AG347" s="57" t="n">
        <f aca="false">IF(AC347=1,(Y347-H$1030)^2,0)</f>
        <v>555.684876595315</v>
      </c>
      <c r="AH347" s="57" t="n">
        <f aca="false">IF(AD347=1,(Z347-I$1030)^2,0)</f>
        <v>0</v>
      </c>
      <c r="AI347" s="57" t="n">
        <f aca="false">IF(AE347=1,(AA347-J$1030)^2,0)</f>
        <v>0</v>
      </c>
    </row>
    <row r="348" customFormat="false" ht="12" hidden="false" customHeight="false" outlineLevel="0" collapsed="false">
      <c r="A348" s="5" t="n">
        <v>331</v>
      </c>
      <c r="B348" s="58" t="n">
        <f aca="true">IF(RAND()&lt;$D$8,1,0)</f>
        <v>1</v>
      </c>
      <c r="C348" s="47" t="n">
        <f aca="true">-LN(RAND())/$D$2</f>
        <v>4.31886765623875</v>
      </c>
      <c r="D348" s="59" t="n">
        <f aca="false">D347+C348</f>
        <v>318.653984466308</v>
      </c>
      <c r="E348" s="60" t="n">
        <f aca="false">MAX($D$3,(1+P347-VLOOKUP(VALUE(D348),$J$18:$Q347,7,TRUE()))*$D$3)</f>
        <v>22</v>
      </c>
      <c r="F348" s="60" t="n">
        <f aca="false">MAX($D$4,(1+Q347-VLOOKUP(VALUE(D348),$M$18:$Q347,5,TRUE()))*$D$4)</f>
        <v>20</v>
      </c>
      <c r="G348" s="61" t="n">
        <v>0.5</v>
      </c>
      <c r="H348" s="59" t="n">
        <f aca="true">IF((B348=1),(IF((F348&lt;E348),1,(IF((F348=E348),(IF(RAND()&lt;G348,1,0)),0)))),(IF((RAND()&lt;G348),1,0)))</f>
        <v>1</v>
      </c>
      <c r="I348" s="59" t="n">
        <f aca="true">IF((H348=1),0,$D$3+$D$5*(RAND()-0.5))</f>
        <v>0</v>
      </c>
      <c r="J348" s="59" t="n">
        <f aca="false">I348+MAX(D348,J347)</f>
        <v>337.908086003518</v>
      </c>
      <c r="K348" s="59" t="n">
        <f aca="false">IF((H348=0),J348-D348,0)</f>
        <v>0</v>
      </c>
      <c r="L348" s="59" t="n">
        <f aca="true">IF(($H348=0),0,$D$4+$D$5*(RAND()-0.5))</f>
        <v>2.15579452865145</v>
      </c>
      <c r="M348" s="59" t="n">
        <f aca="false">L348+MAX(D348,M347)</f>
        <v>338.189068966992</v>
      </c>
      <c r="N348" s="59" t="n">
        <f aca="false">IF((H348=1),M348-D348,0)</f>
        <v>19.5350845006844</v>
      </c>
      <c r="O348" s="5" t="n">
        <v>331</v>
      </c>
      <c r="P348" s="62" t="n">
        <f aca="false">IF((Arterial=0),P347+1,P347)</f>
        <v>165</v>
      </c>
      <c r="Q348" s="62" t="n">
        <f aca="false">IF((Arterial=1),Q347+1,Q347)</f>
        <v>166</v>
      </c>
      <c r="R348" s="63" t="n">
        <f aca="false">IF((RESET=1),0,R348+K348)</f>
        <v>562.251080046966</v>
      </c>
      <c r="S348" s="10" t="e">
        <f aca="false">IF(RESET=1,0,S348+N348)</f>
        <v>#N/A</v>
      </c>
      <c r="T348" s="0" t="n">
        <f aca="false">IF(RESET=1,0,T348+IF(H348=0,1,0))</f>
        <v>27</v>
      </c>
      <c r="U348" s="0" t="e">
        <f aca="false">IF(RESET=1,0,U348+H348)</f>
        <v>#N/A</v>
      </c>
      <c r="V348" s="10" t="n">
        <f aca="false">R348/(T348+0.00001)</f>
        <v>20.8241063631816</v>
      </c>
      <c r="W348" s="10" t="e">
        <f aca="false">S348/(U348+0.0001)</f>
        <v>#N/A</v>
      </c>
      <c r="X348" s="60" t="n">
        <f aca="false">IF(Informed=1,K348,0)</f>
        <v>0</v>
      </c>
      <c r="Y348" s="60" t="n">
        <f aca="false">IF(Informed=0,K348,0)</f>
        <v>0</v>
      </c>
      <c r="Z348" s="60" t="n">
        <f aca="false">IF(Informed=1,N348,0)</f>
        <v>19.5350845006844</v>
      </c>
      <c r="AA348" s="60" t="n">
        <f aca="false">IF(Informed=0,N348,0)</f>
        <v>0</v>
      </c>
      <c r="AB348" s="64" t="n">
        <f aca="false">IF(Arterial=0,IF(Informed=1,1,0),0)</f>
        <v>0</v>
      </c>
      <c r="AC348" s="64" t="n">
        <f aca="false">IF(Arterial=0,IF(Informed=0,1,0),0)</f>
        <v>0</v>
      </c>
      <c r="AD348" s="64" t="n">
        <f aca="false">IF(Arterial=1,IF(Informed=1,1,0),0)</f>
        <v>1</v>
      </c>
      <c r="AE348" s="64" t="n">
        <f aca="false">IF(Arterial=1,IF(Informed=0,1,0),0)</f>
        <v>0</v>
      </c>
      <c r="AF348" s="57" t="n">
        <f aca="false">IF(AB348=1,(X348-G$1030)^2,0)</f>
        <v>0</v>
      </c>
      <c r="AG348" s="57" t="n">
        <f aca="false">IF(AC348=1,(Y348-H$1030)^2,0)</f>
        <v>0</v>
      </c>
      <c r="AH348" s="57" t="n">
        <f aca="false">IF(AD348=1,(Z348-I$1030)^2,0)</f>
        <v>381.619526448879</v>
      </c>
      <c r="AI348" s="57" t="n">
        <f aca="false">IF(AE348=1,(AA348-J$1030)^2,0)</f>
        <v>0</v>
      </c>
    </row>
    <row r="349" customFormat="false" ht="12" hidden="false" customHeight="false" outlineLevel="0" collapsed="false">
      <c r="A349" s="5" t="n">
        <v>332</v>
      </c>
      <c r="B349" s="58" t="n">
        <f aca="true">IF(RAND()&lt;$D$8,1,0)</f>
        <v>1</v>
      </c>
      <c r="C349" s="47" t="n">
        <f aca="true">-LN(RAND())/$D$2</f>
        <v>0.0315427156506204</v>
      </c>
      <c r="D349" s="59" t="n">
        <f aca="false">D348+C349</f>
        <v>318.685527181958</v>
      </c>
      <c r="E349" s="60" t="n">
        <f aca="false">MAX($D$3,(1+P348-VLOOKUP(VALUE(D349),$J$18:$Q348,7,TRUE()))*$D$3)</f>
        <v>22</v>
      </c>
      <c r="F349" s="60" t="n">
        <f aca="false">MAX($D$4,(1+Q348-VLOOKUP(VALUE(D349),$M$18:$Q348,5,TRUE()))*$D$4)</f>
        <v>22</v>
      </c>
      <c r="G349" s="61" t="n">
        <v>0.5</v>
      </c>
      <c r="H349" s="59" t="n">
        <f aca="true">IF((B349=1),(IF((F349&lt;E349),1,(IF((F349=E349),(IF(RAND()&lt;G349,1,0)),0)))),(IF((RAND()&lt;G349),1,0)))</f>
        <v>0</v>
      </c>
      <c r="I349" s="59" t="n">
        <f aca="true">IF((H349=1),0,$D$3+$D$5*(RAND()-0.5))</f>
        <v>2.19698065922842</v>
      </c>
      <c r="J349" s="59" t="n">
        <f aca="false">I349+MAX(D349,J348)</f>
        <v>340.105066662747</v>
      </c>
      <c r="K349" s="59" t="n">
        <f aca="false">IF((H349=0),J349-D349,0)</f>
        <v>21.4195394807884</v>
      </c>
      <c r="L349" s="59" t="n">
        <f aca="true">IF(($H349=0),0,$D$4+$D$5*(RAND()-0.5))</f>
        <v>0</v>
      </c>
      <c r="M349" s="59" t="n">
        <f aca="false">L349+MAX(D349,M348)</f>
        <v>338.189068966992</v>
      </c>
      <c r="N349" s="59" t="n">
        <f aca="false">IF((H349=1),M349-D349,0)</f>
        <v>0</v>
      </c>
      <c r="O349" s="5" t="n">
        <v>332</v>
      </c>
      <c r="P349" s="62" t="n">
        <f aca="false">IF((Arterial=0),P348+1,P348)</f>
        <v>166</v>
      </c>
      <c r="Q349" s="62" t="n">
        <f aca="false">IF((Arterial=1),Q348+1,Q348)</f>
        <v>166</v>
      </c>
      <c r="R349" s="63" t="e">
        <f aca="false">IF((RESET=1),0,R349+K349)</f>
        <v>#N/A</v>
      </c>
      <c r="S349" s="10" t="n">
        <f aca="false">IF(RESET=1,0,S349+N349)</f>
        <v>539.449250524404</v>
      </c>
      <c r="T349" s="0" t="e">
        <f aca="false">IF(RESET=1,0,T349+IF(H349=0,1,0))</f>
        <v>#N/A</v>
      </c>
      <c r="U349" s="0" t="n">
        <f aca="false">IF(RESET=1,0,U349+H349)</f>
        <v>30</v>
      </c>
      <c r="V349" s="10" t="e">
        <f aca="false">R349/(T349+0.00001)</f>
        <v>#N/A</v>
      </c>
      <c r="W349" s="10" t="n">
        <f aca="false">S349/(U349+0.0001)</f>
        <v>17.981581745541</v>
      </c>
      <c r="X349" s="60" t="n">
        <f aca="false">IF(Informed=1,K349,0)</f>
        <v>21.4195394807884</v>
      </c>
      <c r="Y349" s="60" t="n">
        <f aca="false">IF(Informed=0,K349,0)</f>
        <v>0</v>
      </c>
      <c r="Z349" s="60" t="n">
        <f aca="false">IF(Informed=1,N349,0)</f>
        <v>0</v>
      </c>
      <c r="AA349" s="60" t="n">
        <f aca="false">IF(Informed=0,N349,0)</f>
        <v>0</v>
      </c>
      <c r="AB349" s="64" t="n">
        <f aca="false">IF(Arterial=0,IF(Informed=1,1,0),0)</f>
        <v>1</v>
      </c>
      <c r="AC349" s="64" t="n">
        <f aca="false">IF(Arterial=0,IF(Informed=0,1,0),0)</f>
        <v>0</v>
      </c>
      <c r="AD349" s="64" t="n">
        <f aca="false">IF(Arterial=1,IF(Informed=1,1,0),0)</f>
        <v>0</v>
      </c>
      <c r="AE349" s="64" t="n">
        <f aca="false">IF(Arterial=1,IF(Informed=0,1,0),0)</f>
        <v>0</v>
      </c>
      <c r="AF349" s="57" t="n">
        <f aca="false">IF(AB349=1,(X349-G$1030)^2,0)</f>
        <v>458.796671569055</v>
      </c>
      <c r="AG349" s="57" t="n">
        <f aca="false">IF(AC349=1,(Y349-H$1030)^2,0)</f>
        <v>0</v>
      </c>
      <c r="AH349" s="57" t="n">
        <f aca="false">IF(AD349=1,(Z349-I$1030)^2,0)</f>
        <v>0</v>
      </c>
      <c r="AI349" s="57" t="n">
        <f aca="false">IF(AE349=1,(AA349-J$1030)^2,0)</f>
        <v>0</v>
      </c>
    </row>
    <row r="350" customFormat="false" ht="12" hidden="false" customHeight="false" outlineLevel="0" collapsed="false">
      <c r="A350" s="5" t="n">
        <v>333</v>
      </c>
      <c r="B350" s="58" t="n">
        <f aca="true">IF(RAND()&lt;$D$8,1,0)</f>
        <v>0</v>
      </c>
      <c r="C350" s="47" t="n">
        <f aca="true">-LN(RAND())/$D$2</f>
        <v>0.595394429080058</v>
      </c>
      <c r="D350" s="59" t="n">
        <f aca="false">D349+C350</f>
        <v>319.280921611038</v>
      </c>
      <c r="E350" s="60" t="n">
        <f aca="false">MAX($D$3,(1+P349-VLOOKUP(VALUE(D350),$J$18:$Q349,7,TRUE()))*$D$3)</f>
        <v>24</v>
      </c>
      <c r="F350" s="60" t="n">
        <f aca="false">MAX($D$4,(1+Q349-VLOOKUP(VALUE(D350),$M$18:$Q349,5,TRUE()))*$D$4)</f>
        <v>22</v>
      </c>
      <c r="G350" s="61" t="n">
        <v>0.5</v>
      </c>
      <c r="H350" s="59" t="n">
        <f aca="true">IF((B350=1),(IF((F350&lt;E350),1,(IF((F350=E350),(IF(RAND()&lt;G350,1,0)),0)))),(IF((RAND()&lt;G350),1,0)))</f>
        <v>0</v>
      </c>
      <c r="I350" s="59" t="n">
        <f aca="true">IF((H350=1),0,$D$3+$D$5*(RAND()-0.5))</f>
        <v>2.22813892779073</v>
      </c>
      <c r="J350" s="59" t="n">
        <f aca="false">I350+MAX(D350,J349)</f>
        <v>342.333205590537</v>
      </c>
      <c r="K350" s="59" t="n">
        <f aca="false">IF((H350=0),J350-D350,0)</f>
        <v>23.0522839794991</v>
      </c>
      <c r="L350" s="59" t="n">
        <f aca="true">IF(($H350=0),0,$D$4+$D$5*(RAND()-0.5))</f>
        <v>0</v>
      </c>
      <c r="M350" s="59" t="n">
        <f aca="false">L350+MAX(D350,M349)</f>
        <v>338.189068966992</v>
      </c>
      <c r="N350" s="59" t="n">
        <f aca="false">IF((H350=1),M350-D350,0)</f>
        <v>0</v>
      </c>
      <c r="O350" s="5" t="n">
        <v>333</v>
      </c>
      <c r="P350" s="62" t="n">
        <f aca="false">IF((Arterial=0),P349+1,P349)</f>
        <v>167</v>
      </c>
      <c r="Q350" s="62" t="n">
        <f aca="false">IF((Arterial=1),Q349+1,Q349)</f>
        <v>166</v>
      </c>
      <c r="R350" s="63" t="e">
        <f aca="false">IF((RESET=1),0,R350+K350)</f>
        <v>#N/A</v>
      </c>
      <c r="S350" s="10" t="n">
        <f aca="false">IF(RESET=1,0,S350+N350)</f>
        <v>475.662098959868</v>
      </c>
      <c r="T350" s="0" t="e">
        <f aca="false">IF(RESET=1,0,T350+IF(H350=0,1,0))</f>
        <v>#N/A</v>
      </c>
      <c r="U350" s="0" t="n">
        <f aca="false">IF(RESET=1,0,U350+H350)</f>
        <v>26</v>
      </c>
      <c r="V350" s="10" t="e">
        <f aca="false">R350/(T350+0.00001)</f>
        <v>#N/A</v>
      </c>
      <c r="W350" s="10" t="n">
        <f aca="false">S350/(U350+0.0001)</f>
        <v>18.2946257498959</v>
      </c>
      <c r="X350" s="60" t="n">
        <f aca="false">IF(Informed=1,K350,0)</f>
        <v>0</v>
      </c>
      <c r="Y350" s="60" t="n">
        <f aca="false">IF(Informed=0,K350,0)</f>
        <v>23.0522839794991</v>
      </c>
      <c r="Z350" s="60" t="n">
        <f aca="false">IF(Informed=1,N350,0)</f>
        <v>0</v>
      </c>
      <c r="AA350" s="60" t="n">
        <f aca="false">IF(Informed=0,N350,0)</f>
        <v>0</v>
      </c>
      <c r="AB350" s="64" t="n">
        <f aca="false">IF(Arterial=0,IF(Informed=1,1,0),0)</f>
        <v>0</v>
      </c>
      <c r="AC350" s="64" t="n">
        <f aca="false">IF(Arterial=0,IF(Informed=0,1,0),0)</f>
        <v>1</v>
      </c>
      <c r="AD350" s="64" t="n">
        <f aca="false">IF(Arterial=1,IF(Informed=1,1,0),0)</f>
        <v>0</v>
      </c>
      <c r="AE350" s="64" t="n">
        <f aca="false">IF(Arterial=1,IF(Informed=0,1,0),0)</f>
        <v>0</v>
      </c>
      <c r="AF350" s="57" t="n">
        <f aca="false">IF(AB350=1,(X350-G$1030)^2,0)</f>
        <v>0</v>
      </c>
      <c r="AG350" s="57" t="n">
        <f aca="false">IF(AC350=1,(Y350-H$1030)^2,0)</f>
        <v>531.407796671472</v>
      </c>
      <c r="AH350" s="57" t="n">
        <f aca="false">IF(AD350=1,(Z350-I$1030)^2,0)</f>
        <v>0</v>
      </c>
      <c r="AI350" s="57" t="n">
        <f aca="false">IF(AE350=1,(AA350-J$1030)^2,0)</f>
        <v>0</v>
      </c>
    </row>
    <row r="351" customFormat="false" ht="12" hidden="false" customHeight="false" outlineLevel="0" collapsed="false">
      <c r="A351" s="5" t="n">
        <v>334</v>
      </c>
      <c r="B351" s="58" t="n">
        <f aca="true">IF(RAND()&lt;$D$8,1,0)</f>
        <v>1</v>
      </c>
      <c r="C351" s="47" t="n">
        <f aca="true">-LN(RAND())/$D$2</f>
        <v>0.212868637486172</v>
      </c>
      <c r="D351" s="59" t="n">
        <f aca="false">D350+C351</f>
        <v>319.493790248525</v>
      </c>
      <c r="E351" s="60" t="n">
        <f aca="false">MAX($D$3,(1+P350-VLOOKUP(VALUE(D351),$J$18:$Q350,7,TRUE()))*$D$3)</f>
        <v>26</v>
      </c>
      <c r="F351" s="60" t="n">
        <f aca="false">MAX($D$4,(1+Q350-VLOOKUP(VALUE(D351),$M$18:$Q350,5,TRUE()))*$D$4)</f>
        <v>22</v>
      </c>
      <c r="G351" s="61" t="n">
        <v>0.5</v>
      </c>
      <c r="H351" s="59" t="n">
        <f aca="true">IF((B351=1),(IF((F351&lt;E351),1,(IF((F351=E351),(IF(RAND()&lt;G351,1,0)),0)))),(IF((RAND()&lt;G351),1,0)))</f>
        <v>1</v>
      </c>
      <c r="I351" s="59" t="n">
        <f aca="true">IF((H351=1),0,$D$3+$D$5*(RAND()-0.5))</f>
        <v>0</v>
      </c>
      <c r="J351" s="59" t="n">
        <f aca="false">I351+MAX(D351,J350)</f>
        <v>342.333205590537</v>
      </c>
      <c r="K351" s="59" t="n">
        <f aca="false">IF((H351=0),J351-D351,0)</f>
        <v>0</v>
      </c>
      <c r="L351" s="59" t="n">
        <f aca="true">IF(($H351=0),0,$D$4+$D$5*(RAND()-0.5))</f>
        <v>1.93217322648458</v>
      </c>
      <c r="M351" s="59" t="n">
        <f aca="false">L351+MAX(D351,M350)</f>
        <v>340.121242193477</v>
      </c>
      <c r="N351" s="59" t="n">
        <f aca="false">IF((H351=1),M351-D351,0)</f>
        <v>20.6274519449521</v>
      </c>
      <c r="O351" s="5" t="n">
        <v>334</v>
      </c>
      <c r="P351" s="62" t="n">
        <f aca="false">IF((Arterial=0),P350+1,P350)</f>
        <v>167</v>
      </c>
      <c r="Q351" s="62" t="n">
        <f aca="false">IF((Arterial=1),Q350+1,Q350)</f>
        <v>167</v>
      </c>
      <c r="R351" s="63" t="n">
        <f aca="false">IF((RESET=1),0,R351+K351)</f>
        <v>543.497474944752</v>
      </c>
      <c r="S351" s="10" t="e">
        <f aca="false">IF(RESET=1,0,S351+N351)</f>
        <v>#N/A</v>
      </c>
      <c r="T351" s="0" t="n">
        <f aca="false">IF(RESET=1,0,T351+IF(H351=0,1,0))</f>
        <v>31</v>
      </c>
      <c r="U351" s="0" t="e">
        <f aca="false">IF(RESET=1,0,U351+H351)</f>
        <v>#N/A</v>
      </c>
      <c r="V351" s="10" t="n">
        <f aca="false">R351/(T351+0.00001)</f>
        <v>17.532170955582</v>
      </c>
      <c r="W351" s="10" t="e">
        <f aca="false">S351/(U351+0.0001)</f>
        <v>#N/A</v>
      </c>
      <c r="X351" s="60" t="n">
        <f aca="false">IF(Informed=1,K351,0)</f>
        <v>0</v>
      </c>
      <c r="Y351" s="60" t="n">
        <f aca="false">IF(Informed=0,K351,0)</f>
        <v>0</v>
      </c>
      <c r="Z351" s="60" t="n">
        <f aca="false">IF(Informed=1,N351,0)</f>
        <v>20.6274519449521</v>
      </c>
      <c r="AA351" s="60" t="n">
        <f aca="false">IF(Informed=0,N351,0)</f>
        <v>0</v>
      </c>
      <c r="AB351" s="64" t="n">
        <f aca="false">IF(Arterial=0,IF(Informed=1,1,0),0)</f>
        <v>0</v>
      </c>
      <c r="AC351" s="64" t="n">
        <f aca="false">IF(Arterial=0,IF(Informed=0,1,0),0)</f>
        <v>0</v>
      </c>
      <c r="AD351" s="64" t="n">
        <f aca="false">IF(Arterial=1,IF(Informed=1,1,0),0)</f>
        <v>1</v>
      </c>
      <c r="AE351" s="64" t="n">
        <f aca="false">IF(Arterial=1,IF(Informed=0,1,0),0)</f>
        <v>0</v>
      </c>
      <c r="AF351" s="57" t="n">
        <f aca="false">IF(AB351=1,(X351-G$1030)^2,0)</f>
        <v>0</v>
      </c>
      <c r="AG351" s="57" t="n">
        <f aca="false">IF(AC351=1,(Y351-H$1030)^2,0)</f>
        <v>0</v>
      </c>
      <c r="AH351" s="57" t="n">
        <f aca="false">IF(AD351=1,(Z351-I$1030)^2,0)</f>
        <v>425.491773741308</v>
      </c>
      <c r="AI351" s="57" t="n">
        <f aca="false">IF(AE351=1,(AA351-J$1030)^2,0)</f>
        <v>0</v>
      </c>
    </row>
    <row r="352" customFormat="false" ht="12" hidden="false" customHeight="false" outlineLevel="0" collapsed="false">
      <c r="A352" s="5" t="n">
        <v>335</v>
      </c>
      <c r="B352" s="58" t="n">
        <f aca="true">IF(RAND()&lt;$D$8,1,0)</f>
        <v>0</v>
      </c>
      <c r="C352" s="47" t="n">
        <f aca="true">-LN(RAND())/$D$2</f>
        <v>0.530359213506261</v>
      </c>
      <c r="D352" s="59" t="n">
        <f aca="false">D351+C352</f>
        <v>320.024149462031</v>
      </c>
      <c r="E352" s="60" t="n">
        <f aca="false">MAX($D$3,(1+P351-VLOOKUP(VALUE(D352),$J$18:$Q351,7,TRUE()))*$D$3)</f>
        <v>24</v>
      </c>
      <c r="F352" s="60" t="n">
        <f aca="false">MAX($D$4,(1+Q351-VLOOKUP(VALUE(D352),$M$18:$Q351,5,TRUE()))*$D$4)</f>
        <v>22</v>
      </c>
      <c r="G352" s="61" t="n">
        <v>0.5</v>
      </c>
      <c r="H352" s="59" t="n">
        <f aca="true">IF((B352=1),(IF((F352&lt;E352),1,(IF((F352=E352),(IF(RAND()&lt;G352,1,0)),0)))),(IF((RAND()&lt;G352),1,0)))</f>
        <v>0</v>
      </c>
      <c r="I352" s="59" t="n">
        <f aca="true">IF((H352=1),0,$D$3+$D$5*(RAND()-0.5))</f>
        <v>2.00930703344186</v>
      </c>
      <c r="J352" s="59" t="n">
        <f aca="false">I352+MAX(D352,J351)</f>
        <v>344.342512623979</v>
      </c>
      <c r="K352" s="59" t="n">
        <f aca="false">IF((H352=0),J352-D352,0)</f>
        <v>24.3183631619486</v>
      </c>
      <c r="L352" s="59" t="n">
        <f aca="true">IF(($H352=0),0,$D$4+$D$5*(RAND()-0.5))</f>
        <v>0</v>
      </c>
      <c r="M352" s="59" t="n">
        <f aca="false">L352+MAX(D352,M351)</f>
        <v>340.121242193477</v>
      </c>
      <c r="N352" s="59" t="n">
        <f aca="false">IF((H352=1),M352-D352,0)</f>
        <v>0</v>
      </c>
      <c r="O352" s="5" t="n">
        <v>335</v>
      </c>
      <c r="P352" s="62" t="n">
        <f aca="false">IF((Arterial=0),P351+1,P351)</f>
        <v>168</v>
      </c>
      <c r="Q352" s="62" t="n">
        <f aca="false">IF((Arterial=1),Q351+1,Q351)</f>
        <v>167</v>
      </c>
      <c r="R352" s="63" t="e">
        <f aca="false">IF((RESET=1),0,R352+K352)</f>
        <v>#N/A</v>
      </c>
      <c r="S352" s="10" t="n">
        <f aca="false">IF(RESET=1,0,S352+N352)</f>
        <v>506.106258766292</v>
      </c>
      <c r="T352" s="0" t="e">
        <f aca="false">IF(RESET=1,0,T352+IF(H352=0,1,0))</f>
        <v>#N/A</v>
      </c>
      <c r="U352" s="0" t="n">
        <f aca="false">IF(RESET=1,0,U352+H352)</f>
        <v>25</v>
      </c>
      <c r="V352" s="10" t="e">
        <f aca="false">R352/(T352+0.00001)</f>
        <v>#N/A</v>
      </c>
      <c r="W352" s="10" t="n">
        <f aca="false">S352/(U352+0.0001)</f>
        <v>20.2441693739742</v>
      </c>
      <c r="X352" s="60" t="n">
        <f aca="false">IF(Informed=1,K352,0)</f>
        <v>0</v>
      </c>
      <c r="Y352" s="60" t="n">
        <f aca="false">IF(Informed=0,K352,0)</f>
        <v>24.3183631619486</v>
      </c>
      <c r="Z352" s="60" t="n">
        <f aca="false">IF(Informed=1,N352,0)</f>
        <v>0</v>
      </c>
      <c r="AA352" s="60" t="n">
        <f aca="false">IF(Informed=0,N352,0)</f>
        <v>0</v>
      </c>
      <c r="AB352" s="64" t="n">
        <f aca="false">IF(Arterial=0,IF(Informed=1,1,0),0)</f>
        <v>0</v>
      </c>
      <c r="AC352" s="64" t="n">
        <f aca="false">IF(Arterial=0,IF(Informed=0,1,0),0)</f>
        <v>1</v>
      </c>
      <c r="AD352" s="64" t="n">
        <f aca="false">IF(Arterial=1,IF(Informed=1,1,0),0)</f>
        <v>0</v>
      </c>
      <c r="AE352" s="64" t="n">
        <f aca="false">IF(Arterial=1,IF(Informed=0,1,0),0)</f>
        <v>0</v>
      </c>
      <c r="AF352" s="57" t="n">
        <f aca="false">IF(AB352=1,(X352-G$1030)^2,0)</f>
        <v>0</v>
      </c>
      <c r="AG352" s="57" t="n">
        <f aca="false">IF(AC352=1,(Y352-H$1030)^2,0)</f>
        <v>591.382786876418</v>
      </c>
      <c r="AH352" s="57" t="n">
        <f aca="false">IF(AD352=1,(Z352-I$1030)^2,0)</f>
        <v>0</v>
      </c>
      <c r="AI352" s="57" t="n">
        <f aca="false">IF(AE352=1,(AA352-J$1030)^2,0)</f>
        <v>0</v>
      </c>
    </row>
    <row r="353" customFormat="false" ht="12" hidden="false" customHeight="false" outlineLevel="0" collapsed="false">
      <c r="A353" s="5" t="n">
        <v>336</v>
      </c>
      <c r="B353" s="58" t="n">
        <f aca="true">IF(RAND()&lt;$D$8,1,0)</f>
        <v>1</v>
      </c>
      <c r="C353" s="47" t="n">
        <f aca="true">-LN(RAND())/$D$2</f>
        <v>1.67123833058085</v>
      </c>
      <c r="D353" s="59" t="n">
        <f aca="false">D352+C353</f>
        <v>321.695387792612</v>
      </c>
      <c r="E353" s="60" t="n">
        <f aca="false">MAX($D$3,(1+P352-VLOOKUP(VALUE(D353),$J$18:$Q352,7,TRUE()))*$D$3)</f>
        <v>26</v>
      </c>
      <c r="F353" s="60" t="n">
        <f aca="false">MAX($D$4,(1+Q352-VLOOKUP(VALUE(D353),$M$18:$Q352,5,TRUE()))*$D$4)</f>
        <v>20</v>
      </c>
      <c r="G353" s="61" t="n">
        <v>0.5</v>
      </c>
      <c r="H353" s="59" t="n">
        <f aca="true">IF((B353=1),(IF((F353&lt;E353),1,(IF((F353=E353),(IF(RAND()&lt;G353,1,0)),0)))),(IF((RAND()&lt;G353),1,0)))</f>
        <v>1</v>
      </c>
      <c r="I353" s="59" t="n">
        <f aca="true">IF((H353=1),0,$D$3+$D$5*(RAND()-0.5))</f>
        <v>0</v>
      </c>
      <c r="J353" s="59" t="n">
        <f aca="false">I353+MAX(D353,J352)</f>
        <v>344.342512623979</v>
      </c>
      <c r="K353" s="59" t="n">
        <f aca="false">IF((H353=0),J353-D353,0)</f>
        <v>0</v>
      </c>
      <c r="L353" s="59" t="n">
        <f aca="true">IF(($H353=0),0,$D$4+$D$5*(RAND()-0.5))</f>
        <v>1.82152940669356</v>
      </c>
      <c r="M353" s="59" t="n">
        <f aca="false">L353+MAX(D353,M352)</f>
        <v>341.94277160017</v>
      </c>
      <c r="N353" s="59" t="n">
        <f aca="false">IF((H353=1),M353-D353,0)</f>
        <v>20.2473838075586</v>
      </c>
      <c r="O353" s="5" t="n">
        <v>336</v>
      </c>
      <c r="P353" s="62" t="n">
        <f aca="false">IF((Arterial=0),P352+1,P352)</f>
        <v>168</v>
      </c>
      <c r="Q353" s="62" t="n">
        <f aca="false">IF((Arterial=1),Q352+1,Q352)</f>
        <v>168</v>
      </c>
      <c r="R353" s="63" t="n">
        <f aca="false">IF((RESET=1),0,R353+K353)</f>
        <v>395.340048099973</v>
      </c>
      <c r="S353" s="10" t="e">
        <f aca="false">IF(RESET=1,0,S353+N353)</f>
        <v>#N/A</v>
      </c>
      <c r="T353" s="0" t="n">
        <f aca="false">IF(RESET=1,0,T353+IF(H353=0,1,0))</f>
        <v>25</v>
      </c>
      <c r="U353" s="0" t="e">
        <f aca="false">IF(RESET=1,0,U353+H353)</f>
        <v>#N/A</v>
      </c>
      <c r="V353" s="10" t="n">
        <f aca="false">R353/(T353+0.00001)</f>
        <v>15.8135955985607</v>
      </c>
      <c r="W353" s="10" t="e">
        <f aca="false">S353/(U353+0.0001)</f>
        <v>#N/A</v>
      </c>
      <c r="X353" s="60" t="n">
        <f aca="false">IF(Informed=1,K353,0)</f>
        <v>0</v>
      </c>
      <c r="Y353" s="60" t="n">
        <f aca="false">IF(Informed=0,K353,0)</f>
        <v>0</v>
      </c>
      <c r="Z353" s="60" t="n">
        <f aca="false">IF(Informed=1,N353,0)</f>
        <v>20.2473838075586</v>
      </c>
      <c r="AA353" s="60" t="n">
        <f aca="false">IF(Informed=0,N353,0)</f>
        <v>0</v>
      </c>
      <c r="AB353" s="64" t="n">
        <f aca="false">IF(Arterial=0,IF(Informed=1,1,0),0)</f>
        <v>0</v>
      </c>
      <c r="AC353" s="64" t="n">
        <f aca="false">IF(Arterial=0,IF(Informed=0,1,0),0)</f>
        <v>0</v>
      </c>
      <c r="AD353" s="64" t="n">
        <f aca="false">IF(Arterial=1,IF(Informed=1,1,0),0)</f>
        <v>1</v>
      </c>
      <c r="AE353" s="64" t="n">
        <f aca="false">IF(Arterial=1,IF(Informed=0,1,0),0)</f>
        <v>0</v>
      </c>
      <c r="AF353" s="57" t="n">
        <f aca="false">IF(AB353=1,(X353-G$1030)^2,0)</f>
        <v>0</v>
      </c>
      <c r="AG353" s="57" t="n">
        <f aca="false">IF(AC353=1,(Y353-H$1030)^2,0)</f>
        <v>0</v>
      </c>
      <c r="AH353" s="57" t="n">
        <f aca="false">IF(AD353=1,(Z353-I$1030)^2,0)</f>
        <v>409.956551050586</v>
      </c>
      <c r="AI353" s="57" t="n">
        <f aca="false">IF(AE353=1,(AA353-J$1030)^2,0)</f>
        <v>0</v>
      </c>
    </row>
    <row r="354" customFormat="false" ht="12" hidden="false" customHeight="false" outlineLevel="0" collapsed="false">
      <c r="A354" s="5" t="n">
        <v>337</v>
      </c>
      <c r="B354" s="58" t="n">
        <f aca="true">IF(RAND()&lt;$D$8,1,0)</f>
        <v>0</v>
      </c>
      <c r="C354" s="47" t="n">
        <f aca="true">-LN(RAND())/$D$2</f>
        <v>0.681116072911443</v>
      </c>
      <c r="D354" s="59" t="n">
        <f aca="false">D353+C354</f>
        <v>322.376503865523</v>
      </c>
      <c r="E354" s="60" t="n">
        <f aca="false">MAX($D$3,(1+P353-VLOOKUP(VALUE(D354),$J$18:$Q353,7,TRUE()))*$D$3)</f>
        <v>24</v>
      </c>
      <c r="F354" s="60" t="n">
        <f aca="false">MAX($D$4,(1+Q353-VLOOKUP(VALUE(D354),$M$18:$Q353,5,TRUE()))*$D$4)</f>
        <v>22</v>
      </c>
      <c r="G354" s="61" t="n">
        <v>0.5</v>
      </c>
      <c r="H354" s="59" t="n">
        <f aca="true">IF((B354=1),(IF((F354&lt;E354),1,(IF((F354=E354),(IF(RAND()&lt;G354,1,0)),0)))),(IF((RAND()&lt;G354),1,0)))</f>
        <v>1</v>
      </c>
      <c r="I354" s="59" t="n">
        <f aca="true">IF((H354=1),0,$D$3+$D$5*(RAND()-0.5))</f>
        <v>0</v>
      </c>
      <c r="J354" s="59" t="n">
        <f aca="false">I354+MAX(D354,J353)</f>
        <v>344.342512623979</v>
      </c>
      <c r="K354" s="59" t="n">
        <f aca="false">IF((H354=0),J354-D354,0)</f>
        <v>0</v>
      </c>
      <c r="L354" s="59" t="n">
        <f aca="true">IF(($H354=0),0,$D$4+$D$5*(RAND()-0.5))</f>
        <v>1.86583820173232</v>
      </c>
      <c r="M354" s="59" t="n">
        <f aca="false">L354+MAX(D354,M353)</f>
        <v>343.808609801903</v>
      </c>
      <c r="N354" s="59" t="n">
        <f aca="false">IF((H354=1),M354-D354,0)</f>
        <v>21.4321059363795</v>
      </c>
      <c r="O354" s="5" t="n">
        <v>337</v>
      </c>
      <c r="P354" s="62" t="n">
        <f aca="false">IF((Arterial=0),P353+1,P353)</f>
        <v>168</v>
      </c>
      <c r="Q354" s="62" t="n">
        <f aca="false">IF((Arterial=1),Q353+1,Q353)</f>
        <v>169</v>
      </c>
      <c r="R354" s="63" t="n">
        <f aca="false">IF((RESET=1),0,R354+K354)</f>
        <v>560.917226501791</v>
      </c>
      <c r="S354" s="10" t="e">
        <f aca="false">IF(RESET=1,0,S354+N354)</f>
        <v>#N/A</v>
      </c>
      <c r="T354" s="0" t="n">
        <f aca="false">IF(RESET=1,0,T354+IF(H354=0,1,0))</f>
        <v>28</v>
      </c>
      <c r="U354" s="0" t="e">
        <f aca="false">IF(RESET=1,0,U354+H354)</f>
        <v>#N/A</v>
      </c>
      <c r="V354" s="10" t="n">
        <f aca="false">R354/(T354+0.00001)</f>
        <v>20.0327509347958</v>
      </c>
      <c r="W354" s="10" t="e">
        <f aca="false">S354/(U354+0.0001)</f>
        <v>#N/A</v>
      </c>
      <c r="X354" s="60" t="n">
        <f aca="false">IF(Informed=1,K354,0)</f>
        <v>0</v>
      </c>
      <c r="Y354" s="60" t="n">
        <f aca="false">IF(Informed=0,K354,0)</f>
        <v>0</v>
      </c>
      <c r="Z354" s="60" t="n">
        <f aca="false">IF(Informed=1,N354,0)</f>
        <v>0</v>
      </c>
      <c r="AA354" s="60" t="n">
        <f aca="false">IF(Informed=0,N354,0)</f>
        <v>21.4321059363795</v>
      </c>
      <c r="AB354" s="64" t="n">
        <f aca="false">IF(Arterial=0,IF(Informed=1,1,0),0)</f>
        <v>0</v>
      </c>
      <c r="AC354" s="64" t="n">
        <f aca="false">IF(Arterial=0,IF(Informed=0,1,0),0)</f>
        <v>0</v>
      </c>
      <c r="AD354" s="64" t="n">
        <f aca="false">IF(Arterial=1,IF(Informed=1,1,0),0)</f>
        <v>0</v>
      </c>
      <c r="AE354" s="64" t="n">
        <f aca="false">IF(Arterial=1,IF(Informed=0,1,0),0)</f>
        <v>1</v>
      </c>
      <c r="AF354" s="57" t="n">
        <f aca="false">IF(AB354=1,(X354-G$1030)^2,0)</f>
        <v>0</v>
      </c>
      <c r="AG354" s="57" t="n">
        <f aca="false">IF(AC354=1,(Y354-H$1030)^2,0)</f>
        <v>0</v>
      </c>
      <c r="AH354" s="57" t="n">
        <f aca="false">IF(AD354=1,(Z354-I$1030)^2,0)</f>
        <v>0</v>
      </c>
      <c r="AI354" s="57" t="n">
        <f aca="false">IF(AE354=1,(AA354-J$1030)^2,0)</f>
        <v>459.335164868194</v>
      </c>
    </row>
    <row r="355" customFormat="false" ht="12" hidden="false" customHeight="false" outlineLevel="0" collapsed="false">
      <c r="A355" s="5" t="n">
        <v>338</v>
      </c>
      <c r="B355" s="58" t="n">
        <f aca="true">IF(RAND()&lt;$D$8,1,0)</f>
        <v>1</v>
      </c>
      <c r="C355" s="47" t="n">
        <f aca="true">-LN(RAND())/$D$2</f>
        <v>1.03406271325757</v>
      </c>
      <c r="D355" s="59" t="n">
        <f aca="false">D354+C355</f>
        <v>323.410566578781</v>
      </c>
      <c r="E355" s="60" t="n">
        <f aca="false">MAX($D$3,(1+P354-VLOOKUP(VALUE(D355),$J$18:$Q354,7,TRUE()))*$D$3)</f>
        <v>24</v>
      </c>
      <c r="F355" s="60" t="n">
        <f aca="false">MAX($D$4,(1+Q354-VLOOKUP(VALUE(D355),$M$18:$Q354,5,TRUE()))*$D$4)</f>
        <v>24</v>
      </c>
      <c r="G355" s="61" t="n">
        <v>0.5</v>
      </c>
      <c r="H355" s="59" t="n">
        <f aca="true">IF((B355=1),(IF((F355&lt;E355),1,(IF((F355=E355),(IF(RAND()&lt;G355,1,0)),0)))),(IF((RAND()&lt;G355),1,0)))</f>
        <v>1</v>
      </c>
      <c r="I355" s="59" t="n">
        <f aca="true">IF((H355=1),0,$D$3+$D$5*(RAND()-0.5))</f>
        <v>0</v>
      </c>
      <c r="J355" s="59" t="n">
        <f aca="false">I355+MAX(D355,J354)</f>
        <v>344.342512623979</v>
      </c>
      <c r="K355" s="59" t="n">
        <f aca="false">IF((H355=0),J355-D355,0)</f>
        <v>0</v>
      </c>
      <c r="L355" s="59" t="n">
        <f aca="true">IF(($H355=0),0,$D$4+$D$5*(RAND()-0.5))</f>
        <v>2.16917142623922</v>
      </c>
      <c r="M355" s="59" t="n">
        <f aca="false">L355+MAX(D355,M354)</f>
        <v>345.977781228142</v>
      </c>
      <c r="N355" s="59" t="n">
        <f aca="false">IF((H355=1),M355-D355,0)</f>
        <v>22.5672146493612</v>
      </c>
      <c r="O355" s="5" t="n">
        <v>338</v>
      </c>
      <c r="P355" s="62" t="n">
        <f aca="false">IF((Arterial=0),P354+1,P354)</f>
        <v>168</v>
      </c>
      <c r="Q355" s="62" t="n">
        <f aca="false">IF((Arterial=1),Q354+1,Q354)</f>
        <v>170</v>
      </c>
      <c r="R355" s="63" t="n">
        <f aca="false">IF((RESET=1),0,R355+K355)</f>
        <v>604.167151864665</v>
      </c>
      <c r="S355" s="10" t="e">
        <f aca="false">IF(RESET=1,0,S355+N355)</f>
        <v>#N/A</v>
      </c>
      <c r="T355" s="0" t="n">
        <f aca="false">IF(RESET=1,0,T355+IF(H355=0,1,0))</f>
        <v>28</v>
      </c>
      <c r="U355" s="0" t="e">
        <f aca="false">IF(RESET=1,0,U355+H355)</f>
        <v>#N/A</v>
      </c>
      <c r="V355" s="10" t="n">
        <f aca="false">R355/(T355+0.00001)</f>
        <v>21.57739057467</v>
      </c>
      <c r="W355" s="10" t="e">
        <f aca="false">S355/(U355+0.0001)</f>
        <v>#N/A</v>
      </c>
      <c r="X355" s="60" t="n">
        <f aca="false">IF(Informed=1,K355,0)</f>
        <v>0</v>
      </c>
      <c r="Y355" s="60" t="n">
        <f aca="false">IF(Informed=0,K355,0)</f>
        <v>0</v>
      </c>
      <c r="Z355" s="60" t="n">
        <f aca="false">IF(Informed=1,N355,0)</f>
        <v>22.5672146493612</v>
      </c>
      <c r="AA355" s="60" t="n">
        <f aca="false">IF(Informed=0,N355,0)</f>
        <v>0</v>
      </c>
      <c r="AB355" s="64" t="n">
        <f aca="false">IF(Arterial=0,IF(Informed=1,1,0),0)</f>
        <v>0</v>
      </c>
      <c r="AC355" s="64" t="n">
        <f aca="false">IF(Arterial=0,IF(Informed=0,1,0),0)</f>
        <v>0</v>
      </c>
      <c r="AD355" s="64" t="n">
        <f aca="false">IF(Arterial=1,IF(Informed=1,1,0),0)</f>
        <v>1</v>
      </c>
      <c r="AE355" s="64" t="n">
        <f aca="false">IF(Arterial=1,IF(Informed=0,1,0),0)</f>
        <v>0</v>
      </c>
      <c r="AF355" s="57" t="n">
        <f aca="false">IF(AB355=1,(X355-G$1030)^2,0)</f>
        <v>0</v>
      </c>
      <c r="AG355" s="57" t="n">
        <f aca="false">IF(AC355=1,(Y355-H$1030)^2,0)</f>
        <v>0</v>
      </c>
      <c r="AH355" s="57" t="n">
        <f aca="false">IF(AD355=1,(Z355-I$1030)^2,0)</f>
        <v>509.279177030342</v>
      </c>
      <c r="AI355" s="57" t="n">
        <f aca="false">IF(AE355=1,(AA355-J$1030)^2,0)</f>
        <v>0</v>
      </c>
    </row>
    <row r="356" customFormat="false" ht="12" hidden="false" customHeight="false" outlineLevel="0" collapsed="false">
      <c r="A356" s="5" t="n">
        <v>339</v>
      </c>
      <c r="B356" s="58" t="n">
        <f aca="true">IF(RAND()&lt;$D$8,1,0)</f>
        <v>1</v>
      </c>
      <c r="C356" s="47" t="n">
        <f aca="true">-LN(RAND())/$D$2</f>
        <v>2.62773868683185</v>
      </c>
      <c r="D356" s="59" t="n">
        <f aca="false">D355+C356</f>
        <v>326.038305265612</v>
      </c>
      <c r="E356" s="60" t="n">
        <f aca="false">MAX($D$3,(1+P355-VLOOKUP(VALUE(D356),$J$18:$Q355,7,TRUE()))*$D$3)</f>
        <v>20</v>
      </c>
      <c r="F356" s="60" t="n">
        <f aca="false">MAX($D$4,(1+Q355-VLOOKUP(VALUE(D356),$M$18:$Q355,5,TRUE()))*$D$4)</f>
        <v>22</v>
      </c>
      <c r="G356" s="61" t="n">
        <v>0.5</v>
      </c>
      <c r="H356" s="59" t="n">
        <f aca="true">IF((B356=1),(IF((F356&lt;E356),1,(IF((F356=E356),(IF(RAND()&lt;G356,1,0)),0)))),(IF((RAND()&lt;G356),1,0)))</f>
        <v>0</v>
      </c>
      <c r="I356" s="59" t="n">
        <f aca="true">IF((H356=1),0,$D$3+$D$5*(RAND()-0.5))</f>
        <v>1.88495342596607</v>
      </c>
      <c r="J356" s="59" t="n">
        <f aca="false">I356+MAX(D356,J355)</f>
        <v>346.227466049945</v>
      </c>
      <c r="K356" s="59" t="n">
        <f aca="false">IF((H356=0),J356-D356,0)</f>
        <v>20.189160784333</v>
      </c>
      <c r="L356" s="59" t="n">
        <f aca="true">IF(($H356=0),0,$D$4+$D$5*(RAND()-0.5))</f>
        <v>0</v>
      </c>
      <c r="M356" s="59" t="n">
        <f aca="false">L356+MAX(D356,M355)</f>
        <v>345.977781228142</v>
      </c>
      <c r="N356" s="59" t="n">
        <f aca="false">IF((H356=1),M356-D356,0)</f>
        <v>0</v>
      </c>
      <c r="O356" s="5" t="n">
        <v>339</v>
      </c>
      <c r="P356" s="62" t="n">
        <f aca="false">IF((Arterial=0),P355+1,P355)</f>
        <v>169</v>
      </c>
      <c r="Q356" s="62" t="n">
        <f aca="false">IF((Arterial=1),Q355+1,Q355)</f>
        <v>170</v>
      </c>
      <c r="R356" s="63" t="e">
        <f aca="false">IF((RESET=1),0,R356+K356)</f>
        <v>#N/A</v>
      </c>
      <c r="S356" s="10" t="n">
        <f aca="false">IF(RESET=1,0,S356+N356)</f>
        <v>546.220102899246</v>
      </c>
      <c r="T356" s="0" t="e">
        <f aca="false">IF(RESET=1,0,T356+IF(H356=0,1,0))</f>
        <v>#N/A</v>
      </c>
      <c r="U356" s="0" t="n">
        <f aca="false">IF(RESET=1,0,U356+H356)</f>
        <v>30</v>
      </c>
      <c r="V356" s="10" t="e">
        <f aca="false">R356/(T356+0.00001)</f>
        <v>#N/A</v>
      </c>
      <c r="W356" s="10" t="n">
        <f aca="false">S356/(U356+0.0001)</f>
        <v>18.207276072388</v>
      </c>
      <c r="X356" s="60" t="n">
        <f aca="false">IF(Informed=1,K356,0)</f>
        <v>20.189160784333</v>
      </c>
      <c r="Y356" s="60" t="n">
        <f aca="false">IF(Informed=0,K356,0)</f>
        <v>0</v>
      </c>
      <c r="Z356" s="60" t="n">
        <f aca="false">IF(Informed=1,N356,0)</f>
        <v>0</v>
      </c>
      <c r="AA356" s="60" t="n">
        <f aca="false">IF(Informed=0,N356,0)</f>
        <v>0</v>
      </c>
      <c r="AB356" s="64" t="n">
        <f aca="false">IF(Arterial=0,IF(Informed=1,1,0),0)</f>
        <v>1</v>
      </c>
      <c r="AC356" s="64" t="n">
        <f aca="false">IF(Arterial=0,IF(Informed=0,1,0),0)</f>
        <v>0</v>
      </c>
      <c r="AD356" s="64" t="n">
        <f aca="false">IF(Arterial=1,IF(Informed=1,1,0),0)</f>
        <v>0</v>
      </c>
      <c r="AE356" s="64" t="n">
        <f aca="false">IF(Arterial=1,IF(Informed=0,1,0),0)</f>
        <v>0</v>
      </c>
      <c r="AF356" s="57" t="n">
        <f aca="false">IF(AB356=1,(X356-G$1030)^2,0)</f>
        <v>407.602213175648</v>
      </c>
      <c r="AG356" s="57" t="n">
        <f aca="false">IF(AC356=1,(Y356-H$1030)^2,0)</f>
        <v>0</v>
      </c>
      <c r="AH356" s="57" t="n">
        <f aca="false">IF(AD356=1,(Z356-I$1030)^2,0)</f>
        <v>0</v>
      </c>
      <c r="AI356" s="57" t="n">
        <f aca="false">IF(AE356=1,(AA356-J$1030)^2,0)</f>
        <v>0</v>
      </c>
    </row>
    <row r="357" customFormat="false" ht="12" hidden="false" customHeight="false" outlineLevel="0" collapsed="false">
      <c r="A357" s="5" t="n">
        <v>340</v>
      </c>
      <c r="B357" s="58" t="n">
        <f aca="true">IF(RAND()&lt;$D$8,1,0)</f>
        <v>0</v>
      </c>
      <c r="C357" s="47" t="n">
        <f aca="true">-LN(RAND())/$D$2</f>
        <v>1.22937472216976</v>
      </c>
      <c r="D357" s="59" t="n">
        <f aca="false">D356+C357</f>
        <v>327.267679987782</v>
      </c>
      <c r="E357" s="60" t="n">
        <f aca="false">MAX($D$3,(1+P356-VLOOKUP(VALUE(D357),$J$18:$Q356,7,TRUE()))*$D$3)</f>
        <v>22</v>
      </c>
      <c r="F357" s="60" t="n">
        <f aca="false">MAX($D$4,(1+Q356-VLOOKUP(VALUE(D357),$M$18:$Q356,5,TRUE()))*$D$4)</f>
        <v>22</v>
      </c>
      <c r="G357" s="61" t="n">
        <v>0.5</v>
      </c>
      <c r="H357" s="59" t="n">
        <f aca="true">IF((B357=1),(IF((F357&lt;E357),1,(IF((F357=E357),(IF(RAND()&lt;G357,1,0)),0)))),(IF((RAND()&lt;G357),1,0)))</f>
        <v>1</v>
      </c>
      <c r="I357" s="59" t="n">
        <f aca="true">IF((H357=1),0,$D$3+$D$5*(RAND()-0.5))</f>
        <v>0</v>
      </c>
      <c r="J357" s="59" t="n">
        <f aca="false">I357+MAX(D357,J356)</f>
        <v>346.227466049945</v>
      </c>
      <c r="K357" s="59" t="n">
        <f aca="false">IF((H357=0),J357-D357,0)</f>
        <v>0</v>
      </c>
      <c r="L357" s="59" t="n">
        <f aca="true">IF(($H357=0),0,$D$4+$D$5*(RAND()-0.5))</f>
        <v>1.83268535490966</v>
      </c>
      <c r="M357" s="59" t="n">
        <f aca="false">L357+MAX(D357,M356)</f>
        <v>347.810466583051</v>
      </c>
      <c r="N357" s="59" t="n">
        <f aca="false">IF((H357=1),M357-D357,0)</f>
        <v>20.5427865952692</v>
      </c>
      <c r="O357" s="5" t="n">
        <v>340</v>
      </c>
      <c r="P357" s="62" t="n">
        <f aca="false">IF((Arterial=0),P356+1,P356)</f>
        <v>169</v>
      </c>
      <c r="Q357" s="62" t="n">
        <f aca="false">IF((Arterial=1),Q356+1,Q356)</f>
        <v>171</v>
      </c>
      <c r="R357" s="63" t="n">
        <f aca="false">IF((RESET=1),0,R357+K357)</f>
        <v>441.79145158838</v>
      </c>
      <c r="S357" s="10" t="e">
        <f aca="false">IF(RESET=1,0,S357+N357)</f>
        <v>#N/A</v>
      </c>
      <c r="T357" s="0" t="n">
        <f aca="false">IF(RESET=1,0,T357+IF(H357=0,1,0))</f>
        <v>26</v>
      </c>
      <c r="U357" s="0" t="e">
        <f aca="false">IF(RESET=1,0,U357+H357)</f>
        <v>#N/A</v>
      </c>
      <c r="V357" s="10" t="n">
        <f aca="false">R357/(T357+0.00001)</f>
        <v>16.9919723718714</v>
      </c>
      <c r="W357" s="10" t="e">
        <f aca="false">S357/(U357+0.0001)</f>
        <v>#N/A</v>
      </c>
      <c r="X357" s="60" t="n">
        <f aca="false">IF(Informed=1,K357,0)</f>
        <v>0</v>
      </c>
      <c r="Y357" s="60" t="n">
        <f aca="false">IF(Informed=0,K357,0)</f>
        <v>0</v>
      </c>
      <c r="Z357" s="60" t="n">
        <f aca="false">IF(Informed=1,N357,0)</f>
        <v>0</v>
      </c>
      <c r="AA357" s="60" t="n">
        <f aca="false">IF(Informed=0,N357,0)</f>
        <v>20.5427865952692</v>
      </c>
      <c r="AB357" s="64" t="n">
        <f aca="false">IF(Arterial=0,IF(Informed=1,1,0),0)</f>
        <v>0</v>
      </c>
      <c r="AC357" s="64" t="n">
        <f aca="false">IF(Arterial=0,IF(Informed=0,1,0),0)</f>
        <v>0</v>
      </c>
      <c r="AD357" s="64" t="n">
        <f aca="false">IF(Arterial=1,IF(Informed=1,1,0),0)</f>
        <v>0</v>
      </c>
      <c r="AE357" s="64" t="n">
        <f aca="false">IF(Arterial=1,IF(Informed=0,1,0),0)</f>
        <v>1</v>
      </c>
      <c r="AF357" s="57" t="n">
        <f aca="false">IF(AB357=1,(X357-G$1030)^2,0)</f>
        <v>0</v>
      </c>
      <c r="AG357" s="57" t="n">
        <f aca="false">IF(AC357=1,(Y357-H$1030)^2,0)</f>
        <v>0</v>
      </c>
      <c r="AH357" s="57" t="n">
        <f aca="false">IF(AD357=1,(Z357-I$1030)^2,0)</f>
        <v>0</v>
      </c>
      <c r="AI357" s="57" t="n">
        <f aca="false">IF(AE357=1,(AA357-J$1030)^2,0)</f>
        <v>422.006081098772</v>
      </c>
    </row>
    <row r="358" customFormat="false" ht="12" hidden="false" customHeight="false" outlineLevel="0" collapsed="false">
      <c r="A358" s="5" t="n">
        <v>341</v>
      </c>
      <c r="B358" s="58" t="n">
        <f aca="true">IF(RAND()&lt;$D$8,1,0)</f>
        <v>1</v>
      </c>
      <c r="C358" s="47" t="n">
        <f aca="true">-LN(RAND())/$D$2</f>
        <v>1.82010053803625</v>
      </c>
      <c r="D358" s="59" t="n">
        <f aca="false">D357+C358</f>
        <v>329.087780525818</v>
      </c>
      <c r="E358" s="60" t="n">
        <f aca="false">MAX($D$3,(1+P357-VLOOKUP(VALUE(D358),$J$18:$Q357,7,TRUE()))*$D$3)</f>
        <v>20</v>
      </c>
      <c r="F358" s="60" t="n">
        <f aca="false">MAX($D$4,(1+Q357-VLOOKUP(VALUE(D358),$M$18:$Q357,5,TRUE()))*$D$4)</f>
        <v>22</v>
      </c>
      <c r="G358" s="61" t="n">
        <v>0.5</v>
      </c>
      <c r="H358" s="59" t="n">
        <f aca="true">IF((B358=1),(IF((F358&lt;E358),1,(IF((F358=E358),(IF(RAND()&lt;G358,1,0)),0)))),(IF((RAND()&lt;G358),1,0)))</f>
        <v>0</v>
      </c>
      <c r="I358" s="59" t="n">
        <f aca="true">IF((H358=1),0,$D$3+$D$5*(RAND()-0.5))</f>
        <v>1.87200957438263</v>
      </c>
      <c r="J358" s="59" t="n">
        <f aca="false">I358+MAX(D358,J357)</f>
        <v>348.099475624328</v>
      </c>
      <c r="K358" s="59" t="n">
        <f aca="false">IF((H358=0),J358-D358,0)</f>
        <v>19.0116950985096</v>
      </c>
      <c r="L358" s="59" t="n">
        <f aca="true">IF(($H358=0),0,$D$4+$D$5*(RAND()-0.5))</f>
        <v>0</v>
      </c>
      <c r="M358" s="59" t="n">
        <f aca="false">L358+MAX(D358,M357)</f>
        <v>347.810466583051</v>
      </c>
      <c r="N358" s="59" t="n">
        <f aca="false">IF((H358=1),M358-D358,0)</f>
        <v>0</v>
      </c>
      <c r="O358" s="5" t="n">
        <v>341</v>
      </c>
      <c r="P358" s="62" t="n">
        <f aca="false">IF((Arterial=0),P357+1,P357)</f>
        <v>170</v>
      </c>
      <c r="Q358" s="62" t="n">
        <f aca="false">IF((Arterial=1),Q357+1,Q357)</f>
        <v>171</v>
      </c>
      <c r="R358" s="63" t="e">
        <f aca="false">IF((RESET=1),0,R358+K358)</f>
        <v>#N/A</v>
      </c>
      <c r="S358" s="10" t="n">
        <f aca="false">IF(RESET=1,0,S358+N358)</f>
        <v>609.949167580058</v>
      </c>
      <c r="T358" s="0" t="e">
        <f aca="false">IF(RESET=1,0,T358+IF(H358=0,1,0))</f>
        <v>#N/A</v>
      </c>
      <c r="U358" s="0" t="n">
        <f aca="false">IF(RESET=1,0,U358+H358)</f>
        <v>33</v>
      </c>
      <c r="V358" s="10" t="e">
        <f aca="false">R358/(T358+0.00001)</f>
        <v>#N/A</v>
      </c>
      <c r="W358" s="10" t="n">
        <f aca="false">S358/(U358+0.0001)</f>
        <v>18.4832520986318</v>
      </c>
      <c r="X358" s="60" t="n">
        <f aca="false">IF(Informed=1,K358,0)</f>
        <v>19.0116950985096</v>
      </c>
      <c r="Y358" s="60" t="n">
        <f aca="false">IF(Informed=0,K358,0)</f>
        <v>0</v>
      </c>
      <c r="Z358" s="60" t="n">
        <f aca="false">IF(Informed=1,N358,0)</f>
        <v>0</v>
      </c>
      <c r="AA358" s="60" t="n">
        <f aca="false">IF(Informed=0,N358,0)</f>
        <v>0</v>
      </c>
      <c r="AB358" s="64" t="n">
        <f aca="false">IF(Arterial=0,IF(Informed=1,1,0),0)</f>
        <v>1</v>
      </c>
      <c r="AC358" s="64" t="n">
        <f aca="false">IF(Arterial=0,IF(Informed=0,1,0),0)</f>
        <v>0</v>
      </c>
      <c r="AD358" s="64" t="n">
        <f aca="false">IF(Arterial=1,IF(Informed=1,1,0),0)</f>
        <v>0</v>
      </c>
      <c r="AE358" s="64" t="n">
        <f aca="false">IF(Arterial=1,IF(Informed=0,1,0),0)</f>
        <v>0</v>
      </c>
      <c r="AF358" s="57" t="n">
        <f aca="false">IF(AB358=1,(X358-G$1030)^2,0)</f>
        <v>361.444550518693</v>
      </c>
      <c r="AG358" s="57" t="n">
        <f aca="false">IF(AC358=1,(Y358-H$1030)^2,0)</f>
        <v>0</v>
      </c>
      <c r="AH358" s="57" t="n">
        <f aca="false">IF(AD358=1,(Z358-I$1030)^2,0)</f>
        <v>0</v>
      </c>
      <c r="AI358" s="57" t="n">
        <f aca="false">IF(AE358=1,(AA358-J$1030)^2,0)</f>
        <v>0</v>
      </c>
    </row>
    <row r="359" customFormat="false" ht="12" hidden="false" customHeight="false" outlineLevel="0" collapsed="false">
      <c r="A359" s="5" t="n">
        <v>342</v>
      </c>
      <c r="B359" s="58" t="n">
        <f aca="true">IF(RAND()&lt;$D$8,1,0)</f>
        <v>0</v>
      </c>
      <c r="C359" s="47" t="n">
        <f aca="true">-LN(RAND())/$D$2</f>
        <v>0.421381388183323</v>
      </c>
      <c r="D359" s="59" t="n">
        <f aca="false">D358+C359</f>
        <v>329.509161914002</v>
      </c>
      <c r="E359" s="60" t="n">
        <f aca="false">MAX($D$3,(1+P358-VLOOKUP(VALUE(D359),$J$18:$Q358,7,TRUE()))*$D$3)</f>
        <v>22</v>
      </c>
      <c r="F359" s="60" t="n">
        <f aca="false">MAX($D$4,(1+Q358-VLOOKUP(VALUE(D359),$M$18:$Q358,5,TRUE()))*$D$4)</f>
        <v>22</v>
      </c>
      <c r="G359" s="61" t="n">
        <v>0.5</v>
      </c>
      <c r="H359" s="59" t="n">
        <f aca="true">IF((B359=1),(IF((F359&lt;E359),1,(IF((F359=E359),(IF(RAND()&lt;G359,1,0)),0)))),(IF((RAND()&lt;G359),1,0)))</f>
        <v>1</v>
      </c>
      <c r="I359" s="59" t="n">
        <f aca="true">IF((H359=1),0,$D$3+$D$5*(RAND()-0.5))</f>
        <v>0</v>
      </c>
      <c r="J359" s="59" t="n">
        <f aca="false">I359+MAX(D359,J358)</f>
        <v>348.099475624328</v>
      </c>
      <c r="K359" s="59" t="n">
        <f aca="false">IF((H359=0),J359-D359,0)</f>
        <v>0</v>
      </c>
      <c r="L359" s="59" t="n">
        <f aca="true">IF(($H359=0),0,$D$4+$D$5*(RAND()-0.5))</f>
        <v>2.17741607889273</v>
      </c>
      <c r="M359" s="59" t="n">
        <f aca="false">L359+MAX(D359,M358)</f>
        <v>349.987882661944</v>
      </c>
      <c r="N359" s="59" t="n">
        <f aca="false">IF((H359=1),M359-D359,0)</f>
        <v>20.4787207479424</v>
      </c>
      <c r="O359" s="5" t="n">
        <v>342</v>
      </c>
      <c r="P359" s="62" t="n">
        <f aca="false">IF((Arterial=0),P358+1,P358)</f>
        <v>170</v>
      </c>
      <c r="Q359" s="62" t="n">
        <f aca="false">IF((Arterial=1),Q358+1,Q358)</f>
        <v>172</v>
      </c>
      <c r="R359" s="63" t="n">
        <f aca="false">IF((RESET=1),0,R359+K359)</f>
        <v>478.016134213842</v>
      </c>
      <c r="S359" s="10" t="e">
        <f aca="false">IF(RESET=1,0,S359+N359)</f>
        <v>#N/A</v>
      </c>
      <c r="T359" s="0" t="n">
        <f aca="false">IF(RESET=1,0,T359+IF(H359=0,1,0))</f>
        <v>23</v>
      </c>
      <c r="U359" s="0" t="e">
        <f aca="false">IF(RESET=1,0,U359+H359)</f>
        <v>#N/A</v>
      </c>
      <c r="V359" s="10" t="n">
        <f aca="false">R359/(T359+0.00001)</f>
        <v>20.7833011469927</v>
      </c>
      <c r="W359" s="10" t="e">
        <f aca="false">S359/(U359+0.0001)</f>
        <v>#N/A</v>
      </c>
      <c r="X359" s="60" t="n">
        <f aca="false">IF(Informed=1,K359,0)</f>
        <v>0</v>
      </c>
      <c r="Y359" s="60" t="n">
        <f aca="false">IF(Informed=0,K359,0)</f>
        <v>0</v>
      </c>
      <c r="Z359" s="60" t="n">
        <f aca="false">IF(Informed=1,N359,0)</f>
        <v>0</v>
      </c>
      <c r="AA359" s="60" t="n">
        <f aca="false">IF(Informed=0,N359,0)</f>
        <v>20.4787207479424</v>
      </c>
      <c r="AB359" s="64" t="n">
        <f aca="false">IF(Arterial=0,IF(Informed=1,1,0),0)</f>
        <v>0</v>
      </c>
      <c r="AC359" s="64" t="n">
        <f aca="false">IF(Arterial=0,IF(Informed=0,1,0),0)</f>
        <v>0</v>
      </c>
      <c r="AD359" s="64" t="n">
        <f aca="false">IF(Arterial=1,IF(Informed=1,1,0),0)</f>
        <v>0</v>
      </c>
      <c r="AE359" s="64" t="n">
        <f aca="false">IF(Arterial=1,IF(Informed=0,1,0),0)</f>
        <v>1</v>
      </c>
      <c r="AF359" s="57" t="n">
        <f aca="false">IF(AB359=1,(X359-G$1030)^2,0)</f>
        <v>0</v>
      </c>
      <c r="AG359" s="57" t="n">
        <f aca="false">IF(AC359=1,(Y359-H$1030)^2,0)</f>
        <v>0</v>
      </c>
      <c r="AH359" s="57" t="n">
        <f aca="false">IF(AD359=1,(Z359-I$1030)^2,0)</f>
        <v>0</v>
      </c>
      <c r="AI359" s="57" t="n">
        <f aca="false">IF(AE359=1,(AA359-J$1030)^2,0)</f>
        <v>419.378003472207</v>
      </c>
    </row>
    <row r="360" customFormat="false" ht="12" hidden="false" customHeight="false" outlineLevel="0" collapsed="false">
      <c r="A360" s="5" t="n">
        <v>343</v>
      </c>
      <c r="B360" s="58" t="n">
        <f aca="true">IF(RAND()&lt;$D$8,1,0)</f>
        <v>0</v>
      </c>
      <c r="C360" s="47" t="n">
        <f aca="true">-LN(RAND())/$D$2</f>
        <v>2.09977118466836</v>
      </c>
      <c r="D360" s="59" t="n">
        <f aca="false">D359+C360</f>
        <v>331.60893309867</v>
      </c>
      <c r="E360" s="60" t="n">
        <f aca="false">MAX($D$3,(1+P359-VLOOKUP(VALUE(D360),$J$18:$Q359,7,TRUE()))*$D$3)</f>
        <v>20</v>
      </c>
      <c r="F360" s="60" t="n">
        <f aca="false">MAX($D$4,(1+Q359-VLOOKUP(VALUE(D360),$M$18:$Q359,5,TRUE()))*$D$4)</f>
        <v>22</v>
      </c>
      <c r="G360" s="61" t="n">
        <v>0.5</v>
      </c>
      <c r="H360" s="59" t="n">
        <f aca="true">IF((B360=1),(IF((F360&lt;E360),1,(IF((F360=E360),(IF(RAND()&lt;G360,1,0)),0)))),(IF((RAND()&lt;G360),1,0)))</f>
        <v>0</v>
      </c>
      <c r="I360" s="59" t="n">
        <f aca="true">IF((H360=1),0,$D$3+$D$5*(RAND()-0.5))</f>
        <v>1.87124841077223</v>
      </c>
      <c r="J360" s="59" t="n">
        <f aca="false">I360+MAX(D360,J359)</f>
        <v>349.9707240351</v>
      </c>
      <c r="K360" s="59" t="n">
        <f aca="false">IF((H360=0),J360-D360,0)</f>
        <v>18.3617909364302</v>
      </c>
      <c r="L360" s="59" t="n">
        <f aca="true">IF(($H360=0),0,$D$4+$D$5*(RAND()-0.5))</f>
        <v>0</v>
      </c>
      <c r="M360" s="59" t="n">
        <f aca="false">L360+MAX(D360,M359)</f>
        <v>349.987882661944</v>
      </c>
      <c r="N360" s="59" t="n">
        <f aca="false">IF((H360=1),M360-D360,0)</f>
        <v>0</v>
      </c>
      <c r="O360" s="5" t="n">
        <v>343</v>
      </c>
      <c r="P360" s="62" t="n">
        <f aca="false">IF((Arterial=0),P359+1,P359)</f>
        <v>171</v>
      </c>
      <c r="Q360" s="62" t="n">
        <f aca="false">IF((Arterial=1),Q359+1,Q359)</f>
        <v>172</v>
      </c>
      <c r="R360" s="63" t="e">
        <f aca="false">IF((RESET=1),0,R360+K360)</f>
        <v>#N/A</v>
      </c>
      <c r="S360" s="10" t="n">
        <f aca="false">IF(RESET=1,0,S360+N360)</f>
        <v>484.769914352976</v>
      </c>
      <c r="T360" s="0" t="e">
        <f aca="false">IF(RESET=1,0,T360+IF(H360=0,1,0))</f>
        <v>#N/A</v>
      </c>
      <c r="U360" s="0" t="n">
        <f aca="false">IF(RESET=1,0,U360+H360)</f>
        <v>23</v>
      </c>
      <c r="V360" s="10" t="e">
        <f aca="false">R360/(T360+0.00001)</f>
        <v>#N/A</v>
      </c>
      <c r="W360" s="10" t="n">
        <f aca="false">S360/(U360+0.0001)</f>
        <v>21.0768611594287</v>
      </c>
      <c r="X360" s="60" t="n">
        <f aca="false">IF(Informed=1,K360,0)</f>
        <v>0</v>
      </c>
      <c r="Y360" s="60" t="n">
        <f aca="false">IF(Informed=0,K360,0)</f>
        <v>18.3617909364302</v>
      </c>
      <c r="Z360" s="60" t="n">
        <f aca="false">IF(Informed=1,N360,0)</f>
        <v>0</v>
      </c>
      <c r="AA360" s="60" t="n">
        <f aca="false">IF(Informed=0,N360,0)</f>
        <v>0</v>
      </c>
      <c r="AB360" s="64" t="n">
        <f aca="false">IF(Arterial=0,IF(Informed=1,1,0),0)</f>
        <v>0</v>
      </c>
      <c r="AC360" s="64" t="n">
        <f aca="false">IF(Arterial=0,IF(Informed=0,1,0),0)</f>
        <v>1</v>
      </c>
      <c r="AD360" s="64" t="n">
        <f aca="false">IF(Arterial=1,IF(Informed=1,1,0),0)</f>
        <v>0</v>
      </c>
      <c r="AE360" s="64" t="n">
        <f aca="false">IF(Arterial=1,IF(Informed=0,1,0),0)</f>
        <v>0</v>
      </c>
      <c r="AF360" s="57" t="n">
        <f aca="false">IF(AB360=1,(X360-G$1030)^2,0)</f>
        <v>0</v>
      </c>
      <c r="AG360" s="57" t="n">
        <f aca="false">IF(AC360=1,(Y360-H$1030)^2,0)</f>
        <v>337.155366393169</v>
      </c>
      <c r="AH360" s="57" t="n">
        <f aca="false">IF(AD360=1,(Z360-I$1030)^2,0)</f>
        <v>0</v>
      </c>
      <c r="AI360" s="57" t="n">
        <f aca="false">IF(AE360=1,(AA360-J$1030)^2,0)</f>
        <v>0</v>
      </c>
    </row>
    <row r="361" customFormat="false" ht="12" hidden="false" customHeight="false" outlineLevel="0" collapsed="false">
      <c r="A361" s="5" t="n">
        <v>344</v>
      </c>
      <c r="B361" s="58" t="n">
        <f aca="true">IF(RAND()&lt;$D$8,1,0)</f>
        <v>1</v>
      </c>
      <c r="C361" s="47" t="n">
        <f aca="true">-LN(RAND())/$D$2</f>
        <v>1.18044503630276</v>
      </c>
      <c r="D361" s="59" t="n">
        <f aca="false">D360+C361</f>
        <v>332.789378134973</v>
      </c>
      <c r="E361" s="60" t="n">
        <f aca="false">MAX($D$3,(1+P360-VLOOKUP(VALUE(D361),$J$18:$Q360,7,TRUE()))*$D$3)</f>
        <v>20</v>
      </c>
      <c r="F361" s="60" t="n">
        <f aca="false">MAX($D$4,(1+Q360-VLOOKUP(VALUE(D361),$M$18:$Q360,5,TRUE()))*$D$4)</f>
        <v>20</v>
      </c>
      <c r="G361" s="61" t="n">
        <v>0.5</v>
      </c>
      <c r="H361" s="59" t="n">
        <f aca="true">IF((B361=1),(IF((F361&lt;E361),1,(IF((F361=E361),(IF(RAND()&lt;G361,1,0)),0)))),(IF((RAND()&lt;G361),1,0)))</f>
        <v>1</v>
      </c>
      <c r="I361" s="59" t="n">
        <f aca="true">IF((H361=1),0,$D$3+$D$5*(RAND()-0.5))</f>
        <v>0</v>
      </c>
      <c r="J361" s="59" t="n">
        <f aca="false">I361+MAX(D361,J360)</f>
        <v>349.9707240351</v>
      </c>
      <c r="K361" s="59" t="n">
        <f aca="false">IF((H361=0),J361-D361,0)</f>
        <v>0</v>
      </c>
      <c r="L361" s="59" t="n">
        <f aca="true">IF(($H361=0),0,$D$4+$D$5*(RAND()-0.5))</f>
        <v>2.02262489630833</v>
      </c>
      <c r="M361" s="59" t="n">
        <f aca="false">L361+MAX(D361,M360)</f>
        <v>352.010507558252</v>
      </c>
      <c r="N361" s="59" t="n">
        <f aca="false">IF((H361=1),M361-D361,0)</f>
        <v>19.2211294232797</v>
      </c>
      <c r="O361" s="5" t="n">
        <v>344</v>
      </c>
      <c r="P361" s="62" t="n">
        <f aca="false">IF((Arterial=0),P360+1,P360)</f>
        <v>171</v>
      </c>
      <c r="Q361" s="62" t="n">
        <f aca="false">IF((Arterial=1),Q360+1,Q360)</f>
        <v>173</v>
      </c>
      <c r="R361" s="63" t="n">
        <f aca="false">IF((RESET=1),0,R361+K361)</f>
        <v>415.139210997281</v>
      </c>
      <c r="S361" s="10" t="e">
        <f aca="false">IF(RESET=1,0,S361+N361)</f>
        <v>#N/A</v>
      </c>
      <c r="T361" s="0" t="n">
        <f aca="false">IF(RESET=1,0,T361+IF(H361=0,1,0))</f>
        <v>24</v>
      </c>
      <c r="U361" s="0" t="e">
        <f aca="false">IF(RESET=1,0,U361+H361)</f>
        <v>#N/A</v>
      </c>
      <c r="V361" s="10" t="n">
        <f aca="false">R361/(T361+0.00001)</f>
        <v>17.2974599176118</v>
      </c>
      <c r="W361" s="10" t="e">
        <f aca="false">S361/(U361+0.0001)</f>
        <v>#N/A</v>
      </c>
      <c r="X361" s="60" t="n">
        <f aca="false">IF(Informed=1,K361,0)</f>
        <v>0</v>
      </c>
      <c r="Y361" s="60" t="n">
        <f aca="false">IF(Informed=0,K361,0)</f>
        <v>0</v>
      </c>
      <c r="Z361" s="60" t="n">
        <f aca="false">IF(Informed=1,N361,0)</f>
        <v>19.2211294232797</v>
      </c>
      <c r="AA361" s="60" t="n">
        <f aca="false">IF(Informed=0,N361,0)</f>
        <v>0</v>
      </c>
      <c r="AB361" s="64" t="n">
        <f aca="false">IF(Arterial=0,IF(Informed=1,1,0),0)</f>
        <v>0</v>
      </c>
      <c r="AC361" s="64" t="n">
        <f aca="false">IF(Arterial=0,IF(Informed=0,1,0),0)</f>
        <v>0</v>
      </c>
      <c r="AD361" s="64" t="n">
        <f aca="false">IF(Arterial=1,IF(Informed=1,1,0),0)</f>
        <v>1</v>
      </c>
      <c r="AE361" s="64" t="n">
        <f aca="false">IF(Arterial=1,IF(Informed=0,1,0),0)</f>
        <v>0</v>
      </c>
      <c r="AF361" s="57" t="n">
        <f aca="false">IF(AB361=1,(X361-G$1030)^2,0)</f>
        <v>0</v>
      </c>
      <c r="AG361" s="57" t="n">
        <f aca="false">IF(AC361=1,(Y361-H$1030)^2,0)</f>
        <v>0</v>
      </c>
      <c r="AH361" s="57" t="n">
        <f aca="false">IF(AD361=1,(Z361-I$1030)^2,0)</f>
        <v>369.451816306467</v>
      </c>
      <c r="AI361" s="57" t="n">
        <f aca="false">IF(AE361=1,(AA361-J$1030)^2,0)</f>
        <v>0</v>
      </c>
    </row>
    <row r="362" customFormat="false" ht="12" hidden="false" customHeight="false" outlineLevel="0" collapsed="false">
      <c r="A362" s="5" t="n">
        <v>345</v>
      </c>
      <c r="B362" s="58" t="n">
        <f aca="true">IF(RAND()&lt;$D$8,1,0)</f>
        <v>0</v>
      </c>
      <c r="C362" s="47" t="n">
        <f aca="true">-LN(RAND())/$D$2</f>
        <v>0.0929565291117692</v>
      </c>
      <c r="D362" s="59" t="n">
        <f aca="false">D361+C362</f>
        <v>332.882334664085</v>
      </c>
      <c r="E362" s="60" t="n">
        <f aca="false">MAX($D$3,(1+P361-VLOOKUP(VALUE(D362),$J$18:$Q361,7,TRUE()))*$D$3)</f>
        <v>20</v>
      </c>
      <c r="F362" s="60" t="n">
        <f aca="false">MAX($D$4,(1+Q361-VLOOKUP(VALUE(D362),$M$18:$Q361,5,TRUE()))*$D$4)</f>
        <v>22</v>
      </c>
      <c r="G362" s="61" t="n">
        <v>0.5</v>
      </c>
      <c r="H362" s="59" t="n">
        <f aca="true">IF((B362=1),(IF((F362&lt;E362),1,(IF((F362=E362),(IF(RAND()&lt;G362,1,0)),0)))),(IF((RAND()&lt;G362),1,0)))</f>
        <v>0</v>
      </c>
      <c r="I362" s="59" t="n">
        <f aca="true">IF((H362=1),0,$D$3+$D$5*(RAND()-0.5))</f>
        <v>1.81032437655464</v>
      </c>
      <c r="J362" s="59" t="n">
        <f aca="false">I362+MAX(D362,J361)</f>
        <v>351.781048411655</v>
      </c>
      <c r="K362" s="59" t="n">
        <f aca="false">IF((H362=0),J362-D362,0)</f>
        <v>18.8987137475703</v>
      </c>
      <c r="L362" s="59" t="n">
        <f aca="true">IF(($H362=0),0,$D$4+$D$5*(RAND()-0.5))</f>
        <v>0</v>
      </c>
      <c r="M362" s="59" t="n">
        <f aca="false">L362+MAX(D362,M361)</f>
        <v>352.010507558252</v>
      </c>
      <c r="N362" s="59" t="n">
        <f aca="false">IF((H362=1),M362-D362,0)</f>
        <v>0</v>
      </c>
      <c r="O362" s="5" t="n">
        <v>345</v>
      </c>
      <c r="P362" s="62" t="n">
        <f aca="false">IF((Arterial=0),P361+1,P361)</f>
        <v>172</v>
      </c>
      <c r="Q362" s="62" t="n">
        <f aca="false">IF((Arterial=1),Q361+1,Q361)</f>
        <v>173</v>
      </c>
      <c r="R362" s="63" t="e">
        <f aca="false">IF((RESET=1),0,R362+K362)</f>
        <v>#N/A</v>
      </c>
      <c r="S362" s="10" t="n">
        <f aca="false">IF(RESET=1,0,S362+N362)</f>
        <v>481.769432837444</v>
      </c>
      <c r="T362" s="0" t="e">
        <f aca="false">IF(RESET=1,0,T362+IF(H362=0,1,0))</f>
        <v>#N/A</v>
      </c>
      <c r="U362" s="0" t="n">
        <f aca="false">IF(RESET=1,0,U362+H362)</f>
        <v>26</v>
      </c>
      <c r="V362" s="10" t="e">
        <f aca="false">R362/(T362+0.00001)</f>
        <v>#N/A</v>
      </c>
      <c r="W362" s="10" t="n">
        <f aca="false">S362/(U362+0.0001)</f>
        <v>18.5295223032774</v>
      </c>
      <c r="X362" s="60" t="n">
        <f aca="false">IF(Informed=1,K362,0)</f>
        <v>0</v>
      </c>
      <c r="Y362" s="60" t="n">
        <f aca="false">IF(Informed=0,K362,0)</f>
        <v>18.8987137475703</v>
      </c>
      <c r="Z362" s="60" t="n">
        <f aca="false">IF(Informed=1,N362,0)</f>
        <v>0</v>
      </c>
      <c r="AA362" s="60" t="n">
        <f aca="false">IF(Informed=0,N362,0)</f>
        <v>0</v>
      </c>
      <c r="AB362" s="64" t="n">
        <f aca="false">IF(Arterial=0,IF(Informed=1,1,0),0)</f>
        <v>0</v>
      </c>
      <c r="AC362" s="64" t="n">
        <f aca="false">IF(Arterial=0,IF(Informed=0,1,0),0)</f>
        <v>1</v>
      </c>
      <c r="AD362" s="64" t="n">
        <f aca="false">IF(Arterial=1,IF(Informed=1,1,0),0)</f>
        <v>0</v>
      </c>
      <c r="AE362" s="64" t="n">
        <f aca="false">IF(Arterial=1,IF(Informed=0,1,0),0)</f>
        <v>0</v>
      </c>
      <c r="AF362" s="57" t="n">
        <f aca="false">IF(AB362=1,(X362-G$1030)^2,0)</f>
        <v>0</v>
      </c>
      <c r="AG362" s="57" t="n">
        <f aca="false">IF(AC362=1,(Y362-H$1030)^2,0)</f>
        <v>357.161381312603</v>
      </c>
      <c r="AH362" s="57" t="n">
        <f aca="false">IF(AD362=1,(Z362-I$1030)^2,0)</f>
        <v>0</v>
      </c>
      <c r="AI362" s="57" t="n">
        <f aca="false">IF(AE362=1,(AA362-J$1030)^2,0)</f>
        <v>0</v>
      </c>
    </row>
    <row r="363" customFormat="false" ht="12" hidden="false" customHeight="false" outlineLevel="0" collapsed="false">
      <c r="A363" s="5" t="n">
        <v>346</v>
      </c>
      <c r="B363" s="58" t="n">
        <f aca="true">IF(RAND()&lt;$D$8,1,0)</f>
        <v>0</v>
      </c>
      <c r="C363" s="47" t="n">
        <f aca="true">-LN(RAND())/$D$2</f>
        <v>2.10519560285136</v>
      </c>
      <c r="D363" s="59" t="n">
        <f aca="false">D362+C363</f>
        <v>334.987530266936</v>
      </c>
      <c r="E363" s="60" t="n">
        <f aca="false">MAX($D$3,(1+P362-VLOOKUP(VALUE(D363),$J$18:$Q362,7,TRUE()))*$D$3)</f>
        <v>20</v>
      </c>
      <c r="F363" s="60" t="n">
        <f aca="false">MAX($D$4,(1+Q362-VLOOKUP(VALUE(D363),$M$18:$Q362,5,TRUE()))*$D$4)</f>
        <v>20</v>
      </c>
      <c r="G363" s="61" t="n">
        <v>0.5</v>
      </c>
      <c r="H363" s="59" t="n">
        <f aca="true">IF((B363=1),(IF((F363&lt;E363),1,(IF((F363=E363),(IF(RAND()&lt;G363,1,0)),0)))),(IF((RAND()&lt;G363),1,0)))</f>
        <v>0</v>
      </c>
      <c r="I363" s="59" t="n">
        <f aca="true">IF((H363=1),0,$D$3+$D$5*(RAND()-0.5))</f>
        <v>2.15185871389963</v>
      </c>
      <c r="J363" s="59" t="n">
        <f aca="false">I363+MAX(D363,J362)</f>
        <v>353.932907125555</v>
      </c>
      <c r="K363" s="59" t="n">
        <f aca="false">IF((H363=0),J363-D363,0)</f>
        <v>18.9453768586185</v>
      </c>
      <c r="L363" s="59" t="n">
        <f aca="true">IF(($H363=0),0,$D$4+$D$5*(RAND()-0.5))</f>
        <v>0</v>
      </c>
      <c r="M363" s="59" t="n">
        <f aca="false">L363+MAX(D363,M362)</f>
        <v>352.010507558252</v>
      </c>
      <c r="N363" s="59" t="n">
        <f aca="false">IF((H363=1),M363-D363,0)</f>
        <v>0</v>
      </c>
      <c r="O363" s="5" t="n">
        <v>346</v>
      </c>
      <c r="P363" s="62" t="n">
        <f aca="false">IF((Arterial=0),P362+1,P362)</f>
        <v>173</v>
      </c>
      <c r="Q363" s="62" t="n">
        <f aca="false">IF((Arterial=1),Q362+1,Q362)</f>
        <v>173</v>
      </c>
      <c r="R363" s="63" t="e">
        <f aca="false">IF((RESET=1),0,R363+K363)</f>
        <v>#N/A</v>
      </c>
      <c r="S363" s="10" t="n">
        <f aca="false">IF(RESET=1,0,S363+N363)</f>
        <v>453.00548190965</v>
      </c>
      <c r="T363" s="0" t="e">
        <f aca="false">IF(RESET=1,0,T363+IF(H363=0,1,0))</f>
        <v>#N/A</v>
      </c>
      <c r="U363" s="0" t="n">
        <f aca="false">IF(RESET=1,0,U363+H363)</f>
        <v>22</v>
      </c>
      <c r="V363" s="10" t="e">
        <f aca="false">R363/(T363+0.00001)</f>
        <v>#N/A</v>
      </c>
      <c r="W363" s="10" t="n">
        <f aca="false">S363/(U363+0.0001)</f>
        <v>20.591064672872</v>
      </c>
      <c r="X363" s="60" t="n">
        <f aca="false">IF(Informed=1,K363,0)</f>
        <v>0</v>
      </c>
      <c r="Y363" s="60" t="n">
        <f aca="false">IF(Informed=0,K363,0)</f>
        <v>18.9453768586185</v>
      </c>
      <c r="Z363" s="60" t="n">
        <f aca="false">IF(Informed=1,N363,0)</f>
        <v>0</v>
      </c>
      <c r="AA363" s="60" t="n">
        <f aca="false">IF(Informed=0,N363,0)</f>
        <v>0</v>
      </c>
      <c r="AB363" s="64" t="n">
        <f aca="false">IF(Arterial=0,IF(Informed=1,1,0),0)</f>
        <v>0</v>
      </c>
      <c r="AC363" s="64" t="n">
        <f aca="false">IF(Arterial=0,IF(Informed=0,1,0),0)</f>
        <v>1</v>
      </c>
      <c r="AD363" s="64" t="n">
        <f aca="false">IF(Arterial=1,IF(Informed=1,1,0),0)</f>
        <v>0</v>
      </c>
      <c r="AE363" s="64" t="n">
        <f aca="false">IF(Arterial=1,IF(Informed=0,1,0),0)</f>
        <v>0</v>
      </c>
      <c r="AF363" s="57" t="n">
        <f aca="false">IF(AB363=1,(X363-G$1030)^2,0)</f>
        <v>0</v>
      </c>
      <c r="AG363" s="57" t="n">
        <f aca="false">IF(AC363=1,(Y363-H$1030)^2,0)</f>
        <v>358.927304315079</v>
      </c>
      <c r="AH363" s="57" t="n">
        <f aca="false">IF(AD363=1,(Z363-I$1030)^2,0)</f>
        <v>0</v>
      </c>
      <c r="AI363" s="57" t="n">
        <f aca="false">IF(AE363=1,(AA363-J$1030)^2,0)</f>
        <v>0</v>
      </c>
    </row>
    <row r="364" customFormat="false" ht="12" hidden="false" customHeight="false" outlineLevel="0" collapsed="false">
      <c r="A364" s="5" t="n">
        <v>347</v>
      </c>
      <c r="B364" s="58" t="n">
        <f aca="true">IF(RAND()&lt;$D$8,1,0)</f>
        <v>0</v>
      </c>
      <c r="C364" s="47" t="n">
        <f aca="true">-LN(RAND())/$D$2</f>
        <v>0.654080629362084</v>
      </c>
      <c r="D364" s="59" t="n">
        <f aca="false">D363+C364</f>
        <v>335.641610896298</v>
      </c>
      <c r="E364" s="60" t="n">
        <f aca="false">MAX($D$3,(1+P363-VLOOKUP(VALUE(D364),$J$18:$Q363,7,TRUE()))*$D$3)</f>
        <v>22</v>
      </c>
      <c r="F364" s="60" t="n">
        <f aca="false">MAX($D$4,(1+Q363-VLOOKUP(VALUE(D364),$M$18:$Q363,5,TRUE()))*$D$4)</f>
        <v>20</v>
      </c>
      <c r="G364" s="61" t="n">
        <v>0.5</v>
      </c>
      <c r="H364" s="59" t="n">
        <f aca="true">IF((B364=1),(IF((F364&lt;E364),1,(IF((F364=E364),(IF(RAND()&lt;G364,1,0)),0)))),(IF((RAND()&lt;G364),1,0)))</f>
        <v>1</v>
      </c>
      <c r="I364" s="59" t="n">
        <f aca="true">IF((H364=1),0,$D$3+$D$5*(RAND()-0.5))</f>
        <v>0</v>
      </c>
      <c r="J364" s="59" t="n">
        <f aca="false">I364+MAX(D364,J363)</f>
        <v>353.932907125555</v>
      </c>
      <c r="K364" s="59" t="n">
        <f aca="false">IF((H364=0),J364-D364,0)</f>
        <v>0</v>
      </c>
      <c r="L364" s="59" t="n">
        <f aca="true">IF(($H364=0),0,$D$4+$D$5*(RAND()-0.5))</f>
        <v>1.9294850643354</v>
      </c>
      <c r="M364" s="59" t="n">
        <f aca="false">L364+MAX(D364,M363)</f>
        <v>353.939992622588</v>
      </c>
      <c r="N364" s="59" t="n">
        <f aca="false">IF((H364=1),M364-D364,0)</f>
        <v>18.2983817262898</v>
      </c>
      <c r="O364" s="5" t="n">
        <v>347</v>
      </c>
      <c r="P364" s="62" t="n">
        <f aca="false">IF((Arterial=0),P363+1,P363)</f>
        <v>173</v>
      </c>
      <c r="Q364" s="62" t="n">
        <f aca="false">IF((Arterial=1),Q363+1,Q363)</f>
        <v>174</v>
      </c>
      <c r="R364" s="63" t="n">
        <f aca="false">IF((RESET=1),0,R364+K364)</f>
        <v>517.313265886211</v>
      </c>
      <c r="S364" s="10" t="e">
        <f aca="false">IF(RESET=1,0,S364+N364)</f>
        <v>#N/A</v>
      </c>
      <c r="T364" s="0" t="n">
        <f aca="false">IF(RESET=1,0,T364+IF(H364=0,1,0))</f>
        <v>28</v>
      </c>
      <c r="U364" s="0" t="e">
        <f aca="false">IF(RESET=1,0,U364+H364)</f>
        <v>#N/A</v>
      </c>
      <c r="V364" s="10" t="n">
        <f aca="false">R364/(T364+0.00001)</f>
        <v>18.4754671832693</v>
      </c>
      <c r="W364" s="10" t="e">
        <f aca="false">S364/(U364+0.0001)</f>
        <v>#N/A</v>
      </c>
      <c r="X364" s="60" t="n">
        <f aca="false">IF(Informed=1,K364,0)</f>
        <v>0</v>
      </c>
      <c r="Y364" s="60" t="n">
        <f aca="false">IF(Informed=0,K364,0)</f>
        <v>0</v>
      </c>
      <c r="Z364" s="60" t="n">
        <f aca="false">IF(Informed=1,N364,0)</f>
        <v>0</v>
      </c>
      <c r="AA364" s="60" t="n">
        <f aca="false">IF(Informed=0,N364,0)</f>
        <v>18.2983817262898</v>
      </c>
      <c r="AB364" s="64" t="n">
        <f aca="false">IF(Arterial=0,IF(Informed=1,1,0),0)</f>
        <v>0</v>
      </c>
      <c r="AC364" s="64" t="n">
        <f aca="false">IF(Arterial=0,IF(Informed=0,1,0),0)</f>
        <v>0</v>
      </c>
      <c r="AD364" s="64" t="n">
        <f aca="false">IF(Arterial=1,IF(Informed=1,1,0),0)</f>
        <v>0</v>
      </c>
      <c r="AE364" s="64" t="n">
        <f aca="false">IF(Arterial=1,IF(Informed=0,1,0),0)</f>
        <v>1</v>
      </c>
      <c r="AF364" s="57" t="n">
        <f aca="false">IF(AB364=1,(X364-G$1030)^2,0)</f>
        <v>0</v>
      </c>
      <c r="AG364" s="57" t="n">
        <f aca="false">IF(AC364=1,(Y364-H$1030)^2,0)</f>
        <v>0</v>
      </c>
      <c r="AH364" s="57" t="n">
        <f aca="false">IF(AD364=1,(Z364-I$1030)^2,0)</f>
        <v>0</v>
      </c>
      <c r="AI364" s="57" t="n">
        <f aca="false">IF(AE364=1,(AA364-J$1030)^2,0)</f>
        <v>334.830773801018</v>
      </c>
    </row>
    <row r="365" customFormat="false" ht="12" hidden="false" customHeight="false" outlineLevel="0" collapsed="false">
      <c r="A365" s="5" t="n">
        <v>348</v>
      </c>
      <c r="B365" s="58" t="n">
        <f aca="true">IF(RAND()&lt;$D$8,1,0)</f>
        <v>1</v>
      </c>
      <c r="C365" s="47" t="n">
        <f aca="true">-LN(RAND())/$D$2</f>
        <v>0.792589240822141</v>
      </c>
      <c r="D365" s="59" t="n">
        <f aca="false">D364+C365</f>
        <v>336.43420013712</v>
      </c>
      <c r="E365" s="60" t="n">
        <f aca="false">MAX($D$3,(1+P364-VLOOKUP(VALUE(D365),$J$18:$Q364,7,TRUE()))*$D$3)</f>
        <v>20</v>
      </c>
      <c r="F365" s="60" t="n">
        <f aca="false">MAX($D$4,(1+Q364-VLOOKUP(VALUE(D365),$M$18:$Q364,5,TRUE()))*$D$4)</f>
        <v>20</v>
      </c>
      <c r="G365" s="61" t="n">
        <v>0.5</v>
      </c>
      <c r="H365" s="59" t="n">
        <f aca="true">IF((B365=1),(IF((F365&lt;E365),1,(IF((F365=E365),(IF(RAND()&lt;G365,1,0)),0)))),(IF((RAND()&lt;G365),1,0)))</f>
        <v>0</v>
      </c>
      <c r="I365" s="59" t="n">
        <f aca="true">IF((H365=1),0,$D$3+$D$5*(RAND()-0.5))</f>
        <v>2.20540157103132</v>
      </c>
      <c r="J365" s="59" t="n">
        <f aca="false">I365+MAX(D365,J364)</f>
        <v>356.138308696586</v>
      </c>
      <c r="K365" s="59" t="n">
        <f aca="false">IF((H365=0),J365-D365,0)</f>
        <v>19.7041085594656</v>
      </c>
      <c r="L365" s="59" t="n">
        <f aca="true">IF(($H365=0),0,$D$4+$D$5*(RAND()-0.5))</f>
        <v>0</v>
      </c>
      <c r="M365" s="59" t="n">
        <f aca="false">L365+MAX(D365,M364)</f>
        <v>353.939992622588</v>
      </c>
      <c r="N365" s="59" t="n">
        <f aca="false">IF((H365=1),M365-D365,0)</f>
        <v>0</v>
      </c>
      <c r="O365" s="5" t="n">
        <v>348</v>
      </c>
      <c r="P365" s="62" t="n">
        <f aca="false">IF((Arterial=0),P364+1,P364)</f>
        <v>174</v>
      </c>
      <c r="Q365" s="62" t="n">
        <f aca="false">IF((Arterial=1),Q364+1,Q364)</f>
        <v>174</v>
      </c>
      <c r="R365" s="63" t="e">
        <f aca="false">IF((RESET=1),0,R365+K365)</f>
        <v>#N/A</v>
      </c>
      <c r="S365" s="10" t="n">
        <f aca="false">IF(RESET=1,0,S365+N365)</f>
        <v>390.524507125275</v>
      </c>
      <c r="T365" s="0" t="e">
        <f aca="false">IF(RESET=1,0,T365+IF(H365=0,1,0))</f>
        <v>#N/A</v>
      </c>
      <c r="U365" s="0" t="n">
        <f aca="false">IF(RESET=1,0,U365+H365)</f>
        <v>22</v>
      </c>
      <c r="V365" s="10" t="e">
        <f aca="false">R365/(T365+0.00001)</f>
        <v>#N/A</v>
      </c>
      <c r="W365" s="10" t="n">
        <f aca="false">S365/(U365+0.0001)</f>
        <v>17.7510332737249</v>
      </c>
      <c r="X365" s="60" t="n">
        <f aca="false">IF(Informed=1,K365,0)</f>
        <v>19.7041085594656</v>
      </c>
      <c r="Y365" s="60" t="n">
        <f aca="false">IF(Informed=0,K365,0)</f>
        <v>0</v>
      </c>
      <c r="Z365" s="60" t="n">
        <f aca="false">IF(Informed=1,N365,0)</f>
        <v>0</v>
      </c>
      <c r="AA365" s="60" t="n">
        <f aca="false">IF(Informed=0,N365,0)</f>
        <v>0</v>
      </c>
      <c r="AB365" s="64" t="n">
        <f aca="false">IF(Arterial=0,IF(Informed=1,1,0),0)</f>
        <v>1</v>
      </c>
      <c r="AC365" s="64" t="n">
        <f aca="false">IF(Arterial=0,IF(Informed=0,1,0),0)</f>
        <v>0</v>
      </c>
      <c r="AD365" s="64" t="n">
        <f aca="false">IF(Arterial=1,IF(Informed=1,1,0),0)</f>
        <v>0</v>
      </c>
      <c r="AE365" s="64" t="n">
        <f aca="false">IF(Arterial=1,IF(Informed=0,1,0),0)</f>
        <v>0</v>
      </c>
      <c r="AF365" s="57" t="n">
        <f aca="false">IF(AB365=1,(X365-G$1030)^2,0)</f>
        <v>388.251894123206</v>
      </c>
      <c r="AG365" s="57" t="n">
        <f aca="false">IF(AC365=1,(Y365-H$1030)^2,0)</f>
        <v>0</v>
      </c>
      <c r="AH365" s="57" t="n">
        <f aca="false">IF(AD365=1,(Z365-I$1030)^2,0)</f>
        <v>0</v>
      </c>
      <c r="AI365" s="57" t="n">
        <f aca="false">IF(AE365=1,(AA365-J$1030)^2,0)</f>
        <v>0</v>
      </c>
    </row>
    <row r="366" customFormat="false" ht="12" hidden="false" customHeight="false" outlineLevel="0" collapsed="false">
      <c r="A366" s="5" t="n">
        <v>349</v>
      </c>
      <c r="B366" s="58" t="n">
        <f aca="true">IF(RAND()&lt;$D$8,1,0)</f>
        <v>1</v>
      </c>
      <c r="C366" s="47" t="n">
        <f aca="true">-LN(RAND())/$D$2</f>
        <v>0.0778589334967278</v>
      </c>
      <c r="D366" s="59" t="n">
        <f aca="false">D365+C366</f>
        <v>336.512059070617</v>
      </c>
      <c r="E366" s="60" t="n">
        <f aca="false">MAX($D$3,(1+P365-VLOOKUP(VALUE(D366),$J$18:$Q365,7,TRUE()))*$D$3)</f>
        <v>22</v>
      </c>
      <c r="F366" s="60" t="n">
        <f aca="false">MAX($D$4,(1+Q365-VLOOKUP(VALUE(D366),$M$18:$Q365,5,TRUE()))*$D$4)</f>
        <v>20</v>
      </c>
      <c r="G366" s="61" t="n">
        <v>0.5</v>
      </c>
      <c r="H366" s="59" t="n">
        <f aca="true">IF((B366=1),(IF((F366&lt;E366),1,(IF((F366=E366),(IF(RAND()&lt;G366,1,0)),0)))),(IF((RAND()&lt;G366),1,0)))</f>
        <v>1</v>
      </c>
      <c r="I366" s="59" t="n">
        <f aca="true">IF((H366=1),0,$D$3+$D$5*(RAND()-0.5))</f>
        <v>0</v>
      </c>
      <c r="J366" s="59" t="n">
        <f aca="false">I366+MAX(D366,J365)</f>
        <v>356.138308696586</v>
      </c>
      <c r="K366" s="59" t="n">
        <f aca="false">IF((H366=0),J366-D366,0)</f>
        <v>0</v>
      </c>
      <c r="L366" s="59" t="n">
        <f aca="true">IF(($H366=0),0,$D$4+$D$5*(RAND()-0.5))</f>
        <v>2.09872354622655</v>
      </c>
      <c r="M366" s="59" t="n">
        <f aca="false">L366+MAX(D366,M365)</f>
        <v>356.038716168814</v>
      </c>
      <c r="N366" s="59" t="n">
        <f aca="false">IF((H366=1),M366-D366,0)</f>
        <v>19.5266570981975</v>
      </c>
      <c r="O366" s="5" t="n">
        <v>349</v>
      </c>
      <c r="P366" s="62" t="n">
        <f aca="false">IF((Arterial=0),P365+1,P365)</f>
        <v>174</v>
      </c>
      <c r="Q366" s="62" t="n">
        <f aca="false">IF((Arterial=1),Q365+1,Q365)</f>
        <v>175</v>
      </c>
      <c r="R366" s="63" t="n">
        <f aca="false">IF((RESET=1),0,R366+K366)</f>
        <v>505.226356687751</v>
      </c>
      <c r="S366" s="10" t="e">
        <f aca="false">IF(RESET=1,0,S366+N366)</f>
        <v>#N/A</v>
      </c>
      <c r="T366" s="0" t="n">
        <f aca="false">IF(RESET=1,0,T366+IF(H366=0,1,0))</f>
        <v>25</v>
      </c>
      <c r="U366" s="0" t="e">
        <f aca="false">IF(RESET=1,0,U366+H366)</f>
        <v>#N/A</v>
      </c>
      <c r="V366" s="10" t="n">
        <f aca="false">R366/(T366+0.00001)</f>
        <v>20.2090461838916</v>
      </c>
      <c r="W366" s="10" t="e">
        <f aca="false">S366/(U366+0.0001)</f>
        <v>#N/A</v>
      </c>
      <c r="X366" s="60" t="n">
        <f aca="false">IF(Informed=1,K366,0)</f>
        <v>0</v>
      </c>
      <c r="Y366" s="60" t="n">
        <f aca="false">IF(Informed=0,K366,0)</f>
        <v>0</v>
      </c>
      <c r="Z366" s="60" t="n">
        <f aca="false">IF(Informed=1,N366,0)</f>
        <v>19.5266570981975</v>
      </c>
      <c r="AA366" s="60" t="n">
        <f aca="false">IF(Informed=0,N366,0)</f>
        <v>0</v>
      </c>
      <c r="AB366" s="64" t="n">
        <f aca="false">IF(Arterial=0,IF(Informed=1,1,0),0)</f>
        <v>0</v>
      </c>
      <c r="AC366" s="64" t="n">
        <f aca="false">IF(Arterial=0,IF(Informed=0,1,0),0)</f>
        <v>0</v>
      </c>
      <c r="AD366" s="64" t="n">
        <f aca="false">IF(Arterial=1,IF(Informed=1,1,0),0)</f>
        <v>1</v>
      </c>
      <c r="AE366" s="64" t="n">
        <f aca="false">IF(Arterial=1,IF(Informed=0,1,0),0)</f>
        <v>0</v>
      </c>
      <c r="AF366" s="57" t="n">
        <f aca="false">IF(AB366=1,(X366-G$1030)^2,0)</f>
        <v>0</v>
      </c>
      <c r="AG366" s="57" t="n">
        <f aca="false">IF(AC366=1,(Y366-H$1030)^2,0)</f>
        <v>0</v>
      </c>
      <c r="AH366" s="57" t="n">
        <f aca="false">IF(AD366=1,(Z366-I$1030)^2,0)</f>
        <v>381.290337430588</v>
      </c>
      <c r="AI366" s="57" t="n">
        <f aca="false">IF(AE366=1,(AA366-J$1030)^2,0)</f>
        <v>0</v>
      </c>
    </row>
    <row r="367" customFormat="false" ht="12" hidden="false" customHeight="false" outlineLevel="0" collapsed="false">
      <c r="A367" s="5" t="n">
        <v>350</v>
      </c>
      <c r="B367" s="58" t="n">
        <f aca="true">IF(RAND()&lt;$D$8,1,0)</f>
        <v>0</v>
      </c>
      <c r="C367" s="47" t="n">
        <f aca="true">-LN(RAND())/$D$2</f>
        <v>0.560451792819297</v>
      </c>
      <c r="D367" s="59" t="n">
        <f aca="false">D366+C367</f>
        <v>337.072510863436</v>
      </c>
      <c r="E367" s="60" t="n">
        <f aca="false">MAX($D$3,(1+P366-VLOOKUP(VALUE(D367),$J$18:$Q366,7,TRUE()))*$D$3)</f>
        <v>22</v>
      </c>
      <c r="F367" s="60" t="n">
        <f aca="false">MAX($D$4,(1+Q366-VLOOKUP(VALUE(D367),$M$18:$Q366,5,TRUE()))*$D$4)</f>
        <v>22</v>
      </c>
      <c r="G367" s="61" t="n">
        <v>0.5</v>
      </c>
      <c r="H367" s="59" t="n">
        <f aca="true">IF((B367=1),(IF((F367&lt;E367),1,(IF((F367=E367),(IF(RAND()&lt;G367,1,0)),0)))),(IF((RAND()&lt;G367),1,0)))</f>
        <v>1</v>
      </c>
      <c r="I367" s="59" t="n">
        <f aca="true">IF((H367=1),0,$D$3+$D$5*(RAND()-0.5))</f>
        <v>0</v>
      </c>
      <c r="J367" s="59" t="n">
        <f aca="false">I367+MAX(D367,J366)</f>
        <v>356.138308696586</v>
      </c>
      <c r="K367" s="59" t="n">
        <f aca="false">IF((H367=0),J367-D367,0)</f>
        <v>0</v>
      </c>
      <c r="L367" s="59" t="n">
        <f aca="true">IF(($H367=0),0,$D$4+$D$5*(RAND()-0.5))</f>
        <v>1.93993349357236</v>
      </c>
      <c r="M367" s="59" t="n">
        <f aca="false">L367+MAX(D367,M366)</f>
        <v>357.978649662387</v>
      </c>
      <c r="N367" s="59" t="n">
        <f aca="false">IF((H367=1),M367-D367,0)</f>
        <v>20.9061387989506</v>
      </c>
      <c r="O367" s="5" t="n">
        <v>350</v>
      </c>
      <c r="P367" s="62" t="n">
        <f aca="false">IF((Arterial=0),P366+1,P366)</f>
        <v>174</v>
      </c>
      <c r="Q367" s="62" t="n">
        <f aca="false">IF((Arterial=1),Q366+1,Q366)</f>
        <v>176</v>
      </c>
      <c r="R367" s="63" t="n">
        <f aca="false">IF((RESET=1),0,R367+K367)</f>
        <v>430.805257333327</v>
      </c>
      <c r="S367" s="10" t="e">
        <f aca="false">IF(RESET=1,0,S367+N367)</f>
        <v>#N/A</v>
      </c>
      <c r="T367" s="0" t="n">
        <f aca="false">IF(RESET=1,0,T367+IF(H367=0,1,0))</f>
        <v>26</v>
      </c>
      <c r="U367" s="0" t="e">
        <f aca="false">IF(RESET=1,0,U367+H367)</f>
        <v>#N/A</v>
      </c>
      <c r="V367" s="10" t="n">
        <f aca="false">R367/(T367+0.00001)</f>
        <v>16.5694266015024</v>
      </c>
      <c r="W367" s="10" t="e">
        <f aca="false">S367/(U367+0.0001)</f>
        <v>#N/A</v>
      </c>
      <c r="X367" s="60" t="n">
        <f aca="false">IF(Informed=1,K367,0)</f>
        <v>0</v>
      </c>
      <c r="Y367" s="60" t="n">
        <f aca="false">IF(Informed=0,K367,0)</f>
        <v>0</v>
      </c>
      <c r="Z367" s="60" t="n">
        <f aca="false">IF(Informed=1,N367,0)</f>
        <v>0</v>
      </c>
      <c r="AA367" s="60" t="n">
        <f aca="false">IF(Informed=0,N367,0)</f>
        <v>20.9061387989506</v>
      </c>
      <c r="AB367" s="64" t="n">
        <f aca="false">IF(Arterial=0,IF(Informed=1,1,0),0)</f>
        <v>0</v>
      </c>
      <c r="AC367" s="64" t="n">
        <f aca="false">IF(Arterial=0,IF(Informed=0,1,0),0)</f>
        <v>0</v>
      </c>
      <c r="AD367" s="64" t="n">
        <f aca="false">IF(Arterial=1,IF(Informed=1,1,0),0)</f>
        <v>0</v>
      </c>
      <c r="AE367" s="64" t="n">
        <f aca="false">IF(Arterial=1,IF(Informed=0,1,0),0)</f>
        <v>1</v>
      </c>
      <c r="AF367" s="57" t="n">
        <f aca="false">IF(AB367=1,(X367-G$1030)^2,0)</f>
        <v>0</v>
      </c>
      <c r="AG367" s="57" t="n">
        <f aca="false">IF(AC367=1,(Y367-H$1030)^2,0)</f>
        <v>0</v>
      </c>
      <c r="AH367" s="57" t="n">
        <f aca="false">IF(AD367=1,(Z367-I$1030)^2,0)</f>
        <v>0</v>
      </c>
      <c r="AI367" s="57" t="n">
        <f aca="false">IF(AE367=1,(AA367-J$1030)^2,0)</f>
        <v>437.066639480986</v>
      </c>
    </row>
    <row r="368" customFormat="false" ht="12" hidden="false" customHeight="false" outlineLevel="0" collapsed="false">
      <c r="A368" s="5" t="n">
        <v>351</v>
      </c>
      <c r="B368" s="58" t="n">
        <f aca="true">IF(RAND()&lt;$D$8,1,0)</f>
        <v>1</v>
      </c>
      <c r="C368" s="47" t="n">
        <f aca="true">-LN(RAND())/$D$2</f>
        <v>0.149351928859332</v>
      </c>
      <c r="D368" s="59" t="n">
        <f aca="false">D367+C368</f>
        <v>337.221862792296</v>
      </c>
      <c r="E368" s="60" t="n">
        <f aca="false">MAX($D$3,(1+P367-VLOOKUP(VALUE(D368),$J$18:$Q367,7,TRUE()))*$D$3)</f>
        <v>22</v>
      </c>
      <c r="F368" s="60" t="n">
        <f aca="false">MAX($D$4,(1+Q367-VLOOKUP(VALUE(D368),$M$18:$Q367,5,TRUE()))*$D$4)</f>
        <v>24</v>
      </c>
      <c r="G368" s="61" t="n">
        <v>0.5</v>
      </c>
      <c r="H368" s="59" t="n">
        <f aca="true">IF((B368=1),(IF((F368&lt;E368),1,(IF((F368=E368),(IF(RAND()&lt;G368,1,0)),0)))),(IF((RAND()&lt;G368),1,0)))</f>
        <v>0</v>
      </c>
      <c r="I368" s="59" t="n">
        <f aca="true">IF((H368=1),0,$D$3+$D$5*(RAND()-0.5))</f>
        <v>2.05728485546264</v>
      </c>
      <c r="J368" s="59" t="n">
        <f aca="false">I368+MAX(D368,J367)</f>
        <v>358.195593552048</v>
      </c>
      <c r="K368" s="59" t="n">
        <f aca="false">IF((H368=0),J368-D368,0)</f>
        <v>20.9737307597529</v>
      </c>
      <c r="L368" s="59" t="n">
        <f aca="true">IF(($H368=0),0,$D$4+$D$5*(RAND()-0.5))</f>
        <v>0</v>
      </c>
      <c r="M368" s="59" t="n">
        <f aca="false">L368+MAX(D368,M367)</f>
        <v>357.978649662387</v>
      </c>
      <c r="N368" s="59" t="n">
        <f aca="false">IF((H368=1),M368-D368,0)</f>
        <v>0</v>
      </c>
      <c r="O368" s="5" t="n">
        <v>351</v>
      </c>
      <c r="P368" s="62" t="n">
        <f aca="false">IF((Arterial=0),P367+1,P367)</f>
        <v>175</v>
      </c>
      <c r="Q368" s="62" t="n">
        <f aca="false">IF((Arterial=1),Q367+1,Q367)</f>
        <v>176</v>
      </c>
      <c r="R368" s="63" t="e">
        <f aca="false">IF((RESET=1),0,R368+K368)</f>
        <v>#N/A</v>
      </c>
      <c r="S368" s="10" t="n">
        <f aca="false">IF(RESET=1,0,S368+N368)</f>
        <v>376.380570753854</v>
      </c>
      <c r="T368" s="0" t="e">
        <f aca="false">IF(RESET=1,0,T368+IF(H368=0,1,0))</f>
        <v>#N/A</v>
      </c>
      <c r="U368" s="0" t="n">
        <f aca="false">IF(RESET=1,0,U368+H368)</f>
        <v>20</v>
      </c>
      <c r="V368" s="10" t="e">
        <f aca="false">R368/(T368+0.00001)</f>
        <v>#N/A</v>
      </c>
      <c r="W368" s="10" t="n">
        <f aca="false">S368/(U368+0.0001)</f>
        <v>18.8189344430205</v>
      </c>
      <c r="X368" s="60" t="n">
        <f aca="false">IF(Informed=1,K368,0)</f>
        <v>20.9737307597529</v>
      </c>
      <c r="Y368" s="60" t="n">
        <f aca="false">IF(Informed=0,K368,0)</f>
        <v>0</v>
      </c>
      <c r="Z368" s="60" t="n">
        <f aca="false">IF(Informed=1,N368,0)</f>
        <v>0</v>
      </c>
      <c r="AA368" s="60" t="n">
        <f aca="false">IF(Informed=0,N368,0)</f>
        <v>0</v>
      </c>
      <c r="AB368" s="64" t="n">
        <f aca="false">IF(Arterial=0,IF(Informed=1,1,0),0)</f>
        <v>1</v>
      </c>
      <c r="AC368" s="64" t="n">
        <f aca="false">IF(Arterial=0,IF(Informed=0,1,0),0)</f>
        <v>0</v>
      </c>
      <c r="AD368" s="64" t="n">
        <f aca="false">IF(Arterial=1,IF(Informed=1,1,0),0)</f>
        <v>0</v>
      </c>
      <c r="AE368" s="64" t="n">
        <f aca="false">IF(Arterial=1,IF(Informed=0,1,0),0)</f>
        <v>0</v>
      </c>
      <c r="AF368" s="57" t="n">
        <f aca="false">IF(AB368=1,(X368-G$1030)^2,0)</f>
        <v>439.897381982604</v>
      </c>
      <c r="AG368" s="57" t="n">
        <f aca="false">IF(AC368=1,(Y368-H$1030)^2,0)</f>
        <v>0</v>
      </c>
      <c r="AH368" s="57" t="n">
        <f aca="false">IF(AD368=1,(Z368-I$1030)^2,0)</f>
        <v>0</v>
      </c>
      <c r="AI368" s="57" t="n">
        <f aca="false">IF(AE368=1,(AA368-J$1030)^2,0)</f>
        <v>0</v>
      </c>
    </row>
    <row r="369" customFormat="false" ht="12" hidden="false" customHeight="false" outlineLevel="0" collapsed="false">
      <c r="A369" s="5" t="n">
        <v>352</v>
      </c>
      <c r="B369" s="58" t="n">
        <f aca="true">IF(RAND()&lt;$D$8,1,0)</f>
        <v>0</v>
      </c>
      <c r="C369" s="47" t="n">
        <f aca="true">-LN(RAND())/$D$2</f>
        <v>0.660748139318377</v>
      </c>
      <c r="D369" s="59" t="n">
        <f aca="false">D368+C369</f>
        <v>337.882610931614</v>
      </c>
      <c r="E369" s="60" t="n">
        <f aca="false">MAX($D$3,(1+P368-VLOOKUP(VALUE(D369),$J$18:$Q368,7,TRUE()))*$D$3)</f>
        <v>24</v>
      </c>
      <c r="F369" s="60" t="n">
        <f aca="false">MAX($D$4,(1+Q368-VLOOKUP(VALUE(D369),$M$18:$Q368,5,TRUE()))*$D$4)</f>
        <v>24</v>
      </c>
      <c r="G369" s="61" t="n">
        <v>0.5</v>
      </c>
      <c r="H369" s="59" t="n">
        <f aca="true">IF((B369=1),(IF((F369&lt;E369),1,(IF((F369=E369),(IF(RAND()&lt;G369,1,0)),0)))),(IF((RAND()&lt;G369),1,0)))</f>
        <v>0</v>
      </c>
      <c r="I369" s="59" t="n">
        <f aca="true">IF((H369=1),0,$D$3+$D$5*(RAND()-0.5))</f>
        <v>2.01216222046491</v>
      </c>
      <c r="J369" s="59" t="n">
        <f aca="false">I369+MAX(D369,J368)</f>
        <v>360.207755772513</v>
      </c>
      <c r="K369" s="59" t="n">
        <f aca="false">IF((H369=0),J369-D369,0)</f>
        <v>22.3251448408994</v>
      </c>
      <c r="L369" s="59" t="n">
        <f aca="true">IF(($H369=0),0,$D$4+$D$5*(RAND()-0.5))</f>
        <v>0</v>
      </c>
      <c r="M369" s="59" t="n">
        <f aca="false">L369+MAX(D369,M368)</f>
        <v>357.978649662387</v>
      </c>
      <c r="N369" s="59" t="n">
        <f aca="false">IF((H369=1),M369-D369,0)</f>
        <v>0</v>
      </c>
      <c r="O369" s="5" t="n">
        <v>352</v>
      </c>
      <c r="P369" s="62" t="n">
        <f aca="false">IF((Arterial=0),P368+1,P368)</f>
        <v>176</v>
      </c>
      <c r="Q369" s="62" t="n">
        <f aca="false">IF((Arterial=1),Q368+1,Q368)</f>
        <v>176</v>
      </c>
      <c r="R369" s="63" t="e">
        <f aca="false">IF((RESET=1),0,R369+K369)</f>
        <v>#N/A</v>
      </c>
      <c r="S369" s="10" t="n">
        <f aca="false">IF(RESET=1,0,S369+N369)</f>
        <v>717.988368298311</v>
      </c>
      <c r="T369" s="0" t="e">
        <f aca="false">IF(RESET=1,0,T369+IF(H369=0,1,0))</f>
        <v>#N/A</v>
      </c>
      <c r="U369" s="0" t="n">
        <f aca="false">IF(RESET=1,0,U369+H369)</f>
        <v>32</v>
      </c>
      <c r="V369" s="10" t="e">
        <f aca="false">R369/(T369+0.00001)</f>
        <v>#N/A</v>
      </c>
      <c r="W369" s="10" t="n">
        <f aca="false">S369/(U369+0.0001)</f>
        <v>22.4370663934897</v>
      </c>
      <c r="X369" s="60" t="n">
        <f aca="false">IF(Informed=1,K369,0)</f>
        <v>0</v>
      </c>
      <c r="Y369" s="60" t="n">
        <f aca="false">IF(Informed=0,K369,0)</f>
        <v>22.3251448408994</v>
      </c>
      <c r="Z369" s="60" t="n">
        <f aca="false">IF(Informed=1,N369,0)</f>
        <v>0</v>
      </c>
      <c r="AA369" s="60" t="n">
        <f aca="false">IF(Informed=0,N369,0)</f>
        <v>0</v>
      </c>
      <c r="AB369" s="64" t="n">
        <f aca="false">IF(Arterial=0,IF(Informed=1,1,0),0)</f>
        <v>0</v>
      </c>
      <c r="AC369" s="64" t="n">
        <f aca="false">IF(Arterial=0,IF(Informed=0,1,0),0)</f>
        <v>1</v>
      </c>
      <c r="AD369" s="64" t="n">
        <f aca="false">IF(Arterial=1,IF(Informed=1,1,0),0)</f>
        <v>0</v>
      </c>
      <c r="AE369" s="64" t="n">
        <f aca="false">IF(Arterial=1,IF(Informed=0,1,0),0)</f>
        <v>0</v>
      </c>
      <c r="AF369" s="57" t="n">
        <f aca="false">IF(AB369=1,(X369-G$1030)^2,0)</f>
        <v>0</v>
      </c>
      <c r="AG369" s="57" t="n">
        <f aca="false">IF(AC369=1,(Y369-H$1030)^2,0)</f>
        <v>498.412092167136</v>
      </c>
      <c r="AH369" s="57" t="n">
        <f aca="false">IF(AD369=1,(Z369-I$1030)^2,0)</f>
        <v>0</v>
      </c>
      <c r="AI369" s="57" t="n">
        <f aca="false">IF(AE369=1,(AA369-J$1030)^2,0)</f>
        <v>0</v>
      </c>
    </row>
    <row r="370" customFormat="false" ht="12" hidden="false" customHeight="false" outlineLevel="0" collapsed="false">
      <c r="A370" s="5" t="n">
        <v>353</v>
      </c>
      <c r="B370" s="58" t="n">
        <f aca="true">IF(RAND()&lt;$D$8,1,0)</f>
        <v>0</v>
      </c>
      <c r="C370" s="47" t="n">
        <f aca="true">-LN(RAND())/$D$2</f>
        <v>0.905234254624699</v>
      </c>
      <c r="D370" s="59" t="n">
        <f aca="false">D369+C370</f>
        <v>338.787845186239</v>
      </c>
      <c r="E370" s="60" t="n">
        <f aca="false">MAX($D$3,(1+P369-VLOOKUP(VALUE(D370),$J$18:$Q369,7,TRUE()))*$D$3)</f>
        <v>24</v>
      </c>
      <c r="F370" s="60" t="n">
        <f aca="false">MAX($D$4,(1+Q369-VLOOKUP(VALUE(D370),$M$18:$Q369,5,TRUE()))*$D$4)</f>
        <v>22</v>
      </c>
      <c r="G370" s="61" t="n">
        <v>0.5</v>
      </c>
      <c r="H370" s="59" t="n">
        <f aca="true">IF((B370=1),(IF((F370&lt;E370),1,(IF((F370=E370),(IF(RAND()&lt;G370,1,0)),0)))),(IF((RAND()&lt;G370),1,0)))</f>
        <v>0</v>
      </c>
      <c r="I370" s="59" t="n">
        <f aca="true">IF((H370=1),0,$D$3+$D$5*(RAND()-0.5))</f>
        <v>1.84077348244686</v>
      </c>
      <c r="J370" s="59" t="n">
        <f aca="false">I370+MAX(D370,J369)</f>
        <v>362.04852925496</v>
      </c>
      <c r="K370" s="59" t="n">
        <f aca="false">IF((H370=0),J370-D370,0)</f>
        <v>23.2606840687216</v>
      </c>
      <c r="L370" s="59" t="n">
        <f aca="true">IF(($H370=0),0,$D$4+$D$5*(RAND()-0.5))</f>
        <v>0</v>
      </c>
      <c r="M370" s="59" t="n">
        <f aca="false">L370+MAX(D370,M369)</f>
        <v>357.978649662387</v>
      </c>
      <c r="N370" s="59" t="n">
        <f aca="false">IF((H370=1),M370-D370,0)</f>
        <v>0</v>
      </c>
      <c r="O370" s="5" t="n">
        <v>353</v>
      </c>
      <c r="P370" s="62" t="n">
        <f aca="false">IF((Arterial=0),P369+1,P369)</f>
        <v>177</v>
      </c>
      <c r="Q370" s="62" t="n">
        <f aca="false">IF((Arterial=1),Q369+1,Q369)</f>
        <v>176</v>
      </c>
      <c r="R370" s="63" t="e">
        <f aca="false">IF((RESET=1),0,R370+K370)</f>
        <v>#N/A</v>
      </c>
      <c r="S370" s="10" t="n">
        <f aca="false">IF(RESET=1,0,S370+N370)</f>
        <v>599.29789093099</v>
      </c>
      <c r="T370" s="0" t="e">
        <f aca="false">IF(RESET=1,0,T370+IF(H370=0,1,0))</f>
        <v>#N/A</v>
      </c>
      <c r="U370" s="0" t="n">
        <f aca="false">IF(RESET=1,0,U370+H370)</f>
        <v>31</v>
      </c>
      <c r="V370" s="10" t="e">
        <f aca="false">R370/(T370+0.00001)</f>
        <v>#N/A</v>
      </c>
      <c r="W370" s="10" t="n">
        <f aca="false">S370/(U370+0.0001)</f>
        <v>19.3321276683298</v>
      </c>
      <c r="X370" s="60" t="n">
        <f aca="false">IF(Informed=1,K370,0)</f>
        <v>0</v>
      </c>
      <c r="Y370" s="60" t="n">
        <f aca="false">IF(Informed=0,K370,0)</f>
        <v>23.2606840687216</v>
      </c>
      <c r="Z370" s="60" t="n">
        <f aca="false">IF(Informed=1,N370,0)</f>
        <v>0</v>
      </c>
      <c r="AA370" s="60" t="n">
        <f aca="false">IF(Informed=0,N370,0)</f>
        <v>0</v>
      </c>
      <c r="AB370" s="64" t="n">
        <f aca="false">IF(Arterial=0,IF(Informed=1,1,0),0)</f>
        <v>0</v>
      </c>
      <c r="AC370" s="64" t="n">
        <f aca="false">IF(Arterial=0,IF(Informed=0,1,0),0)</f>
        <v>1</v>
      </c>
      <c r="AD370" s="64" t="n">
        <f aca="false">IF(Arterial=1,IF(Informed=1,1,0),0)</f>
        <v>0</v>
      </c>
      <c r="AE370" s="64" t="n">
        <f aca="false">IF(Arterial=1,IF(Informed=0,1,0),0)</f>
        <v>0</v>
      </c>
      <c r="AF370" s="57" t="n">
        <f aca="false">IF(AB370=1,(X370-G$1030)^2,0)</f>
        <v>0</v>
      </c>
      <c r="AG370" s="57" t="n">
        <f aca="false">IF(AC370=1,(Y370-H$1030)^2,0)</f>
        <v>541.059423344877</v>
      </c>
      <c r="AH370" s="57" t="n">
        <f aca="false">IF(AD370=1,(Z370-I$1030)^2,0)</f>
        <v>0</v>
      </c>
      <c r="AI370" s="57" t="n">
        <f aca="false">IF(AE370=1,(AA370-J$1030)^2,0)</f>
        <v>0</v>
      </c>
    </row>
    <row r="371" customFormat="false" ht="12" hidden="false" customHeight="false" outlineLevel="0" collapsed="false">
      <c r="A371" s="5" t="n">
        <v>354</v>
      </c>
      <c r="B371" s="58" t="n">
        <f aca="true">IF(RAND()&lt;$D$8,1,0)</f>
        <v>1</v>
      </c>
      <c r="C371" s="47" t="n">
        <f aca="true">-LN(RAND())/$D$2</f>
        <v>1.26568339919306</v>
      </c>
      <c r="D371" s="59" t="n">
        <f aca="false">D370+C371</f>
        <v>340.053528585432</v>
      </c>
      <c r="E371" s="60" t="n">
        <f aca="false">MAX($D$3,(1+P370-VLOOKUP(VALUE(D371),$J$18:$Q370,7,TRUE()))*$D$3)</f>
        <v>26</v>
      </c>
      <c r="F371" s="60" t="n">
        <f aca="false">MAX($D$4,(1+Q370-VLOOKUP(VALUE(D371),$M$18:$Q370,5,TRUE()))*$D$4)</f>
        <v>22</v>
      </c>
      <c r="G371" s="61" t="n">
        <v>0.5</v>
      </c>
      <c r="H371" s="59" t="n">
        <f aca="true">IF((B371=1),(IF((F371&lt;E371),1,(IF((F371=E371),(IF(RAND()&lt;G371,1,0)),0)))),(IF((RAND()&lt;G371),1,0)))</f>
        <v>1</v>
      </c>
      <c r="I371" s="59" t="n">
        <f aca="true">IF((H371=1),0,$D$3+$D$5*(RAND()-0.5))</f>
        <v>0</v>
      </c>
      <c r="J371" s="59" t="n">
        <f aca="false">I371+MAX(D371,J370)</f>
        <v>362.04852925496</v>
      </c>
      <c r="K371" s="59" t="n">
        <f aca="false">IF((H371=0),J371-D371,0)</f>
        <v>0</v>
      </c>
      <c r="L371" s="59" t="n">
        <f aca="true">IF(($H371=0),0,$D$4+$D$5*(RAND()-0.5))</f>
        <v>2.05167213128826</v>
      </c>
      <c r="M371" s="59" t="n">
        <f aca="false">L371+MAX(D371,M370)</f>
        <v>360.030321793675</v>
      </c>
      <c r="N371" s="59" t="n">
        <f aca="false">IF((H371=1),M371-D371,0)</f>
        <v>19.9767932082433</v>
      </c>
      <c r="O371" s="5" t="n">
        <v>354</v>
      </c>
      <c r="P371" s="62" t="n">
        <f aca="false">IF((Arterial=0),P370+1,P370)</f>
        <v>177</v>
      </c>
      <c r="Q371" s="62" t="n">
        <f aca="false">IF((Arterial=1),Q370+1,Q370)</f>
        <v>177</v>
      </c>
      <c r="R371" s="63" t="n">
        <f aca="false">IF((RESET=1),0,R371+K371)</f>
        <v>638.05957585176</v>
      </c>
      <c r="S371" s="10" t="e">
        <f aca="false">IF(RESET=1,0,S371+N371)</f>
        <v>#N/A</v>
      </c>
      <c r="T371" s="0" t="n">
        <f aca="false">IF(RESET=1,0,T371+IF(H371=0,1,0))</f>
        <v>30</v>
      </c>
      <c r="U371" s="0" t="e">
        <f aca="false">IF(RESET=1,0,U371+H371)</f>
        <v>#N/A</v>
      </c>
      <c r="V371" s="10" t="n">
        <f aca="false">R371/(T371+0.00001)</f>
        <v>21.2686454388435</v>
      </c>
      <c r="W371" s="10" t="e">
        <f aca="false">S371/(U371+0.0001)</f>
        <v>#N/A</v>
      </c>
      <c r="X371" s="60" t="n">
        <f aca="false">IF(Informed=1,K371,0)</f>
        <v>0</v>
      </c>
      <c r="Y371" s="60" t="n">
        <f aca="false">IF(Informed=0,K371,0)</f>
        <v>0</v>
      </c>
      <c r="Z371" s="60" t="n">
        <f aca="false">IF(Informed=1,N371,0)</f>
        <v>19.9767932082433</v>
      </c>
      <c r="AA371" s="60" t="n">
        <f aca="false">IF(Informed=0,N371,0)</f>
        <v>0</v>
      </c>
      <c r="AB371" s="64" t="n">
        <f aca="false">IF(Arterial=0,IF(Informed=1,1,0),0)</f>
        <v>0</v>
      </c>
      <c r="AC371" s="64" t="n">
        <f aca="false">IF(Arterial=0,IF(Informed=0,1,0),0)</f>
        <v>0</v>
      </c>
      <c r="AD371" s="64" t="n">
        <f aca="false">IF(Arterial=1,IF(Informed=1,1,0),0)</f>
        <v>1</v>
      </c>
      <c r="AE371" s="64" t="n">
        <f aca="false">IF(Arterial=1,IF(Informed=0,1,0),0)</f>
        <v>0</v>
      </c>
      <c r="AF371" s="57" t="n">
        <f aca="false">IF(AB371=1,(X371-G$1030)^2,0)</f>
        <v>0</v>
      </c>
      <c r="AG371" s="57" t="n">
        <f aca="false">IF(AC371=1,(Y371-H$1030)^2,0)</f>
        <v>0</v>
      </c>
      <c r="AH371" s="57" t="n">
        <f aca="false">IF(AD371=1,(Z371-I$1030)^2,0)</f>
        <v>399.072266884915</v>
      </c>
      <c r="AI371" s="57" t="n">
        <f aca="false">IF(AE371=1,(AA371-J$1030)^2,0)</f>
        <v>0</v>
      </c>
    </row>
    <row r="372" customFormat="false" ht="12" hidden="false" customHeight="false" outlineLevel="0" collapsed="false">
      <c r="A372" s="5" t="n">
        <v>355</v>
      </c>
      <c r="B372" s="58" t="n">
        <f aca="true">IF(RAND()&lt;$D$8,1,0)</f>
        <v>1</v>
      </c>
      <c r="C372" s="47" t="n">
        <f aca="true">-LN(RAND())/$D$2</f>
        <v>2.23835341535107</v>
      </c>
      <c r="D372" s="59" t="n">
        <f aca="false">D371+C372</f>
        <v>342.291882000783</v>
      </c>
      <c r="E372" s="60" t="n">
        <f aca="false">MAX($D$3,(1+P371-VLOOKUP(VALUE(D372),$J$18:$Q371,7,TRUE()))*$D$3)</f>
        <v>24</v>
      </c>
      <c r="F372" s="60" t="n">
        <f aca="false">MAX($D$4,(1+Q371-VLOOKUP(VALUE(D372),$M$18:$Q371,5,TRUE()))*$D$4)</f>
        <v>20</v>
      </c>
      <c r="G372" s="61" t="n">
        <v>0.5</v>
      </c>
      <c r="H372" s="59" t="n">
        <f aca="true">IF((B372=1),(IF((F372&lt;E372),1,(IF((F372=E372),(IF(RAND()&lt;G372,1,0)),0)))),(IF((RAND()&lt;G372),1,0)))</f>
        <v>1</v>
      </c>
      <c r="I372" s="59" t="n">
        <f aca="true">IF((H372=1),0,$D$3+$D$5*(RAND()-0.5))</f>
        <v>0</v>
      </c>
      <c r="J372" s="59" t="n">
        <f aca="false">I372+MAX(D372,J371)</f>
        <v>362.04852925496</v>
      </c>
      <c r="K372" s="59" t="n">
        <f aca="false">IF((H372=0),J372-D372,0)</f>
        <v>0</v>
      </c>
      <c r="L372" s="59" t="n">
        <f aca="true">IF(($H372=0),0,$D$4+$D$5*(RAND()-0.5))</f>
        <v>1.98262556855968</v>
      </c>
      <c r="M372" s="59" t="n">
        <f aca="false">L372+MAX(D372,M371)</f>
        <v>362.012947362235</v>
      </c>
      <c r="N372" s="59" t="n">
        <f aca="false">IF((H372=1),M372-D372,0)</f>
        <v>19.7210653614519</v>
      </c>
      <c r="O372" s="5" t="n">
        <v>355</v>
      </c>
      <c r="P372" s="62" t="n">
        <f aca="false">IF((Arterial=0),P371+1,P371)</f>
        <v>177</v>
      </c>
      <c r="Q372" s="62" t="n">
        <f aca="false">IF((Arterial=1),Q371+1,Q371)</f>
        <v>178</v>
      </c>
      <c r="R372" s="63" t="n">
        <f aca="false">IF((RESET=1),0,R372+K372)</f>
        <v>635.865667366583</v>
      </c>
      <c r="S372" s="10" t="e">
        <f aca="false">IF(RESET=1,0,S372+N372)</f>
        <v>#N/A</v>
      </c>
      <c r="T372" s="0" t="n">
        <f aca="false">IF(RESET=1,0,T372+IF(H372=0,1,0))</f>
        <v>30</v>
      </c>
      <c r="U372" s="0" t="e">
        <f aca="false">IF(RESET=1,0,U372+H372)</f>
        <v>#N/A</v>
      </c>
      <c r="V372" s="10" t="n">
        <f aca="false">R372/(T372+0.00001)</f>
        <v>21.195515180381</v>
      </c>
      <c r="W372" s="10" t="e">
        <f aca="false">S372/(U372+0.0001)</f>
        <v>#N/A</v>
      </c>
      <c r="X372" s="60" t="n">
        <f aca="false">IF(Informed=1,K372,0)</f>
        <v>0</v>
      </c>
      <c r="Y372" s="60" t="n">
        <f aca="false">IF(Informed=0,K372,0)</f>
        <v>0</v>
      </c>
      <c r="Z372" s="60" t="n">
        <f aca="false">IF(Informed=1,N372,0)</f>
        <v>19.7210653614519</v>
      </c>
      <c r="AA372" s="60" t="n">
        <f aca="false">IF(Informed=0,N372,0)</f>
        <v>0</v>
      </c>
      <c r="AB372" s="64" t="n">
        <f aca="false">IF(Arterial=0,IF(Informed=1,1,0),0)</f>
        <v>0</v>
      </c>
      <c r="AC372" s="64" t="n">
        <f aca="false">IF(Arterial=0,IF(Informed=0,1,0),0)</f>
        <v>0</v>
      </c>
      <c r="AD372" s="64" t="n">
        <f aca="false">IF(Arterial=1,IF(Informed=1,1,0),0)</f>
        <v>1</v>
      </c>
      <c r="AE372" s="64" t="n">
        <f aca="false">IF(Arterial=1,IF(Informed=0,1,0),0)</f>
        <v>0</v>
      </c>
      <c r="AF372" s="57" t="n">
        <f aca="false">IF(AB372=1,(X372-G$1030)^2,0)</f>
        <v>0</v>
      </c>
      <c r="AG372" s="57" t="n">
        <f aca="false">IF(AC372=1,(Y372-H$1030)^2,0)</f>
        <v>0</v>
      </c>
      <c r="AH372" s="57" t="n">
        <f aca="false">IF(AD372=1,(Z372-I$1030)^2,0)</f>
        <v>388.920418990658</v>
      </c>
      <c r="AI372" s="57" t="n">
        <f aca="false">IF(AE372=1,(AA372-J$1030)^2,0)</f>
        <v>0</v>
      </c>
    </row>
    <row r="373" customFormat="false" ht="12" hidden="false" customHeight="false" outlineLevel="0" collapsed="false">
      <c r="A373" s="5" t="n">
        <v>356</v>
      </c>
      <c r="B373" s="58" t="n">
        <f aca="true">IF(RAND()&lt;$D$8,1,0)</f>
        <v>0</v>
      </c>
      <c r="C373" s="47" t="n">
        <f aca="true">-LN(RAND())/$D$2</f>
        <v>0.457423489825158</v>
      </c>
      <c r="D373" s="59" t="n">
        <f aca="false">D372+C373</f>
        <v>342.749305490608</v>
      </c>
      <c r="E373" s="60" t="n">
        <f aca="false">MAX($D$3,(1+P372-VLOOKUP(VALUE(D373),$J$18:$Q372,7,TRUE()))*$D$3)</f>
        <v>22</v>
      </c>
      <c r="F373" s="60" t="n">
        <f aca="false">MAX($D$4,(1+Q372-VLOOKUP(VALUE(D373),$M$18:$Q372,5,TRUE()))*$D$4)</f>
        <v>22</v>
      </c>
      <c r="G373" s="61" t="n">
        <v>0.5</v>
      </c>
      <c r="H373" s="59" t="n">
        <f aca="true">IF((B373=1),(IF((F373&lt;E373),1,(IF((F373=E373),(IF(RAND()&lt;G373,1,0)),0)))),(IF((RAND()&lt;G373),1,0)))</f>
        <v>1</v>
      </c>
      <c r="I373" s="59" t="n">
        <f aca="true">IF((H373=1),0,$D$3+$D$5*(RAND()-0.5))</f>
        <v>0</v>
      </c>
      <c r="J373" s="59" t="n">
        <f aca="false">I373+MAX(D373,J372)</f>
        <v>362.04852925496</v>
      </c>
      <c r="K373" s="59" t="n">
        <f aca="false">IF((H373=0),J373-D373,0)</f>
        <v>0</v>
      </c>
      <c r="L373" s="59" t="n">
        <f aca="true">IF(($H373=0),0,$D$4+$D$5*(RAND()-0.5))</f>
        <v>2.10050333128133</v>
      </c>
      <c r="M373" s="59" t="n">
        <f aca="false">L373+MAX(D373,M372)</f>
        <v>364.113450693516</v>
      </c>
      <c r="N373" s="59" t="n">
        <f aca="false">IF((H373=1),M373-D373,0)</f>
        <v>21.3641452029081</v>
      </c>
      <c r="O373" s="5" t="n">
        <v>356</v>
      </c>
      <c r="P373" s="62" t="n">
        <f aca="false">IF((Arterial=0),P372+1,P372)</f>
        <v>177</v>
      </c>
      <c r="Q373" s="62" t="n">
        <f aca="false">IF((Arterial=1),Q372+1,Q372)</f>
        <v>179</v>
      </c>
      <c r="R373" s="63" t="n">
        <f aca="false">IF((RESET=1),0,R373+K373)</f>
        <v>449.543298363054</v>
      </c>
      <c r="S373" s="10" t="e">
        <f aca="false">IF(RESET=1,0,S373+N373)</f>
        <v>#N/A</v>
      </c>
      <c r="T373" s="0" t="n">
        <f aca="false">IF(RESET=1,0,T373+IF(H373=0,1,0))</f>
        <v>23</v>
      </c>
      <c r="U373" s="0" t="e">
        <f aca="false">IF(RESET=1,0,U373+H373)</f>
        <v>#N/A</v>
      </c>
      <c r="V373" s="10" t="n">
        <f aca="false">R373/(T373+0.00001)</f>
        <v>19.5453523004144</v>
      </c>
      <c r="W373" s="10" t="e">
        <f aca="false">S373/(U373+0.0001)</f>
        <v>#N/A</v>
      </c>
      <c r="X373" s="60" t="n">
        <f aca="false">IF(Informed=1,K373,0)</f>
        <v>0</v>
      </c>
      <c r="Y373" s="60" t="n">
        <f aca="false">IF(Informed=0,K373,0)</f>
        <v>0</v>
      </c>
      <c r="Z373" s="60" t="n">
        <f aca="false">IF(Informed=1,N373,0)</f>
        <v>0</v>
      </c>
      <c r="AA373" s="60" t="n">
        <f aca="false">IF(Informed=0,N373,0)</f>
        <v>21.3641452029081</v>
      </c>
      <c r="AB373" s="64" t="n">
        <f aca="false">IF(Arterial=0,IF(Informed=1,1,0),0)</f>
        <v>0</v>
      </c>
      <c r="AC373" s="64" t="n">
        <f aca="false">IF(Arterial=0,IF(Informed=0,1,0),0)</f>
        <v>0</v>
      </c>
      <c r="AD373" s="64" t="n">
        <f aca="false">IF(Arterial=1,IF(Informed=1,1,0),0)</f>
        <v>0</v>
      </c>
      <c r="AE373" s="64" t="n">
        <f aca="false">IF(Arterial=1,IF(Informed=0,1,0),0)</f>
        <v>1</v>
      </c>
      <c r="AF373" s="57" t="n">
        <f aca="false">IF(AB373=1,(X373-G$1030)^2,0)</f>
        <v>0</v>
      </c>
      <c r="AG373" s="57" t="n">
        <f aca="false">IF(AC373=1,(Y373-H$1030)^2,0)</f>
        <v>0</v>
      </c>
      <c r="AH373" s="57" t="n">
        <f aca="false">IF(AD373=1,(Z373-I$1030)^2,0)</f>
        <v>0</v>
      </c>
      <c r="AI373" s="57" t="n">
        <f aca="false">IF(AE373=1,(AA373-J$1030)^2,0)</f>
        <v>456.426700250941</v>
      </c>
    </row>
    <row r="374" customFormat="false" ht="12" hidden="false" customHeight="false" outlineLevel="0" collapsed="false">
      <c r="A374" s="5" t="n">
        <v>357</v>
      </c>
      <c r="B374" s="58" t="n">
        <f aca="true">IF(RAND()&lt;$D$8,1,0)</f>
        <v>0</v>
      </c>
      <c r="C374" s="47" t="n">
        <f aca="true">-LN(RAND())/$D$2</f>
        <v>0.0542778964433122</v>
      </c>
      <c r="D374" s="59" t="n">
        <f aca="false">D373+C374</f>
        <v>342.803583387051</v>
      </c>
      <c r="E374" s="60" t="n">
        <f aca="false">MAX($D$3,(1+P373-VLOOKUP(VALUE(D374),$J$18:$Q373,7,TRUE()))*$D$3)</f>
        <v>22</v>
      </c>
      <c r="F374" s="60" t="n">
        <f aca="false">MAX($D$4,(1+Q373-VLOOKUP(VALUE(D374),$M$18:$Q373,5,TRUE()))*$D$4)</f>
        <v>24</v>
      </c>
      <c r="G374" s="61" t="n">
        <v>0.5</v>
      </c>
      <c r="H374" s="59" t="n">
        <f aca="true">IF((B374=1),(IF((F374&lt;E374),1,(IF((F374=E374),(IF(RAND()&lt;G374,1,0)),0)))),(IF((RAND()&lt;G374),1,0)))</f>
        <v>1</v>
      </c>
      <c r="I374" s="59" t="n">
        <f aca="true">IF((H374=1),0,$D$3+$D$5*(RAND()-0.5))</f>
        <v>0</v>
      </c>
      <c r="J374" s="59" t="n">
        <f aca="false">I374+MAX(D374,J373)</f>
        <v>362.04852925496</v>
      </c>
      <c r="K374" s="59" t="n">
        <f aca="false">IF((H374=0),J374-D374,0)</f>
        <v>0</v>
      </c>
      <c r="L374" s="59" t="n">
        <f aca="true">IF(($H374=0),0,$D$4+$D$5*(RAND()-0.5))</f>
        <v>2.17553103785948</v>
      </c>
      <c r="M374" s="59" t="n">
        <f aca="false">L374+MAX(D374,M373)</f>
        <v>366.288981731376</v>
      </c>
      <c r="N374" s="59" t="n">
        <f aca="false">IF((H374=1),M374-D374,0)</f>
        <v>23.4853983443243</v>
      </c>
      <c r="O374" s="5" t="n">
        <v>357</v>
      </c>
      <c r="P374" s="62" t="n">
        <f aca="false">IF((Arterial=0),P373+1,P373)</f>
        <v>177</v>
      </c>
      <c r="Q374" s="62" t="n">
        <f aca="false">IF((Arterial=1),Q373+1,Q373)</f>
        <v>180</v>
      </c>
      <c r="R374" s="63" t="n">
        <f aca="false">IF((RESET=1),0,R374+K374)</f>
        <v>527.128592781177</v>
      </c>
      <c r="S374" s="10" t="e">
        <f aca="false">IF(RESET=1,0,S374+N374)</f>
        <v>#N/A</v>
      </c>
      <c r="T374" s="0" t="n">
        <f aca="false">IF(RESET=1,0,T374+IF(H374=0,1,0))</f>
        <v>25</v>
      </c>
      <c r="U374" s="0" t="e">
        <f aca="false">IF(RESET=1,0,U374+H374)</f>
        <v>#N/A</v>
      </c>
      <c r="V374" s="10" t="n">
        <f aca="false">R374/(T374+0.00001)</f>
        <v>21.085135277193</v>
      </c>
      <c r="W374" s="10" t="e">
        <f aca="false">S374/(U374+0.0001)</f>
        <v>#N/A</v>
      </c>
      <c r="X374" s="60" t="n">
        <f aca="false">IF(Informed=1,K374,0)</f>
        <v>0</v>
      </c>
      <c r="Y374" s="60" t="n">
        <f aca="false">IF(Informed=0,K374,0)</f>
        <v>0</v>
      </c>
      <c r="Z374" s="60" t="n">
        <f aca="false">IF(Informed=1,N374,0)</f>
        <v>0</v>
      </c>
      <c r="AA374" s="60" t="n">
        <f aca="false">IF(Informed=0,N374,0)</f>
        <v>23.4853983443243</v>
      </c>
      <c r="AB374" s="64" t="n">
        <f aca="false">IF(Arterial=0,IF(Informed=1,1,0),0)</f>
        <v>0</v>
      </c>
      <c r="AC374" s="64" t="n">
        <f aca="false">IF(Arterial=0,IF(Informed=0,1,0),0)</f>
        <v>0</v>
      </c>
      <c r="AD374" s="64" t="n">
        <f aca="false">IF(Arterial=1,IF(Informed=1,1,0),0)</f>
        <v>0</v>
      </c>
      <c r="AE374" s="64" t="n">
        <f aca="false">IF(Arterial=1,IF(Informed=0,1,0),0)</f>
        <v>1</v>
      </c>
      <c r="AF374" s="57" t="n">
        <f aca="false">IF(AB374=1,(X374-G$1030)^2,0)</f>
        <v>0</v>
      </c>
      <c r="AG374" s="57" t="n">
        <f aca="false">IF(AC374=1,(Y374-H$1030)^2,0)</f>
        <v>0</v>
      </c>
      <c r="AH374" s="57" t="n">
        <f aca="false">IF(AD374=1,(Z374-I$1030)^2,0)</f>
        <v>0</v>
      </c>
      <c r="AI374" s="57" t="n">
        <f aca="false">IF(AE374=1,(AA374-J$1030)^2,0)</f>
        <v>551.563935391589</v>
      </c>
    </row>
    <row r="375" customFormat="false" ht="12" hidden="false" customHeight="false" outlineLevel="0" collapsed="false">
      <c r="A375" s="5" t="n">
        <v>358</v>
      </c>
      <c r="B375" s="58" t="n">
        <f aca="true">IF(RAND()&lt;$D$8,1,0)</f>
        <v>1</v>
      </c>
      <c r="C375" s="47" t="n">
        <f aca="true">-LN(RAND())/$D$2</f>
        <v>1.04731661065159</v>
      </c>
      <c r="D375" s="59" t="n">
        <f aca="false">D374+C375</f>
        <v>343.850899997703</v>
      </c>
      <c r="E375" s="60" t="n">
        <f aca="false">MAX($D$3,(1+P374-VLOOKUP(VALUE(D375),$J$18:$Q374,7,TRUE()))*$D$3)</f>
        <v>22</v>
      </c>
      <c r="F375" s="60" t="n">
        <f aca="false">MAX($D$4,(1+Q374-VLOOKUP(VALUE(D375),$M$18:$Q374,5,TRUE()))*$D$4)</f>
        <v>24</v>
      </c>
      <c r="G375" s="61" t="n">
        <v>0.5</v>
      </c>
      <c r="H375" s="59" t="n">
        <f aca="true">IF((B375=1),(IF((F375&lt;E375),1,(IF((F375=E375),(IF(RAND()&lt;G375,1,0)),0)))),(IF((RAND()&lt;G375),1,0)))</f>
        <v>0</v>
      </c>
      <c r="I375" s="59" t="n">
        <f aca="true">IF((H375=1),0,$D$3+$D$5*(RAND()-0.5))</f>
        <v>2.15671124182544</v>
      </c>
      <c r="J375" s="59" t="n">
        <f aca="false">I375+MAX(D375,J374)</f>
        <v>364.205240496786</v>
      </c>
      <c r="K375" s="59" t="n">
        <f aca="false">IF((H375=0),J375-D375,0)</f>
        <v>20.3543404990829</v>
      </c>
      <c r="L375" s="59" t="n">
        <f aca="true">IF(($H375=0),0,$D$4+$D$5*(RAND()-0.5))</f>
        <v>0</v>
      </c>
      <c r="M375" s="59" t="n">
        <f aca="false">L375+MAX(D375,M374)</f>
        <v>366.288981731376</v>
      </c>
      <c r="N375" s="59" t="n">
        <f aca="false">IF((H375=1),M375-D375,0)</f>
        <v>0</v>
      </c>
      <c r="O375" s="5" t="n">
        <v>358</v>
      </c>
      <c r="P375" s="62" t="n">
        <f aca="false">IF((Arterial=0),P374+1,P374)</f>
        <v>178</v>
      </c>
      <c r="Q375" s="62" t="n">
        <f aca="false">IF((Arterial=1),Q374+1,Q374)</f>
        <v>180</v>
      </c>
      <c r="R375" s="63" t="e">
        <f aca="false">IF((RESET=1),0,R375+K375)</f>
        <v>#N/A</v>
      </c>
      <c r="S375" s="10" t="n">
        <f aca="false">IF(RESET=1,0,S375+N375)</f>
        <v>433.793447098083</v>
      </c>
      <c r="T375" s="0" t="e">
        <f aca="false">IF(RESET=1,0,T375+IF(H375=0,1,0))</f>
        <v>#N/A</v>
      </c>
      <c r="U375" s="0" t="n">
        <f aca="false">IF(RESET=1,0,U375+H375)</f>
        <v>20</v>
      </c>
      <c r="V375" s="10" t="e">
        <f aca="false">R375/(T375+0.00001)</f>
        <v>#N/A</v>
      </c>
      <c r="W375" s="10" t="n">
        <f aca="false">S375/(U375+0.0001)</f>
        <v>21.6895639070846</v>
      </c>
      <c r="X375" s="60" t="n">
        <f aca="false">IF(Informed=1,K375,0)</f>
        <v>20.3543404990829</v>
      </c>
      <c r="Y375" s="60" t="n">
        <f aca="false">IF(Informed=0,K375,0)</f>
        <v>0</v>
      </c>
      <c r="Z375" s="60" t="n">
        <f aca="false">IF(Informed=1,N375,0)</f>
        <v>0</v>
      </c>
      <c r="AA375" s="60" t="n">
        <f aca="false">IF(Informed=0,N375,0)</f>
        <v>0</v>
      </c>
      <c r="AB375" s="64" t="n">
        <f aca="false">IF(Arterial=0,IF(Informed=1,1,0),0)</f>
        <v>1</v>
      </c>
      <c r="AC375" s="64" t="n">
        <f aca="false">IF(Arterial=0,IF(Informed=0,1,0),0)</f>
        <v>0</v>
      </c>
      <c r="AD375" s="64" t="n">
        <f aca="false">IF(Arterial=1,IF(Informed=1,1,0),0)</f>
        <v>0</v>
      </c>
      <c r="AE375" s="64" t="n">
        <f aca="false">IF(Arterial=1,IF(Informed=0,1,0),0)</f>
        <v>0</v>
      </c>
      <c r="AF375" s="57" t="n">
        <f aca="false">IF(AB375=1,(X375-G$1030)^2,0)</f>
        <v>414.299177152605</v>
      </c>
      <c r="AG375" s="57" t="n">
        <f aca="false">IF(AC375=1,(Y375-H$1030)^2,0)</f>
        <v>0</v>
      </c>
      <c r="AH375" s="57" t="n">
        <f aca="false">IF(AD375=1,(Z375-I$1030)^2,0)</f>
        <v>0</v>
      </c>
      <c r="AI375" s="57" t="n">
        <f aca="false">IF(AE375=1,(AA375-J$1030)^2,0)</f>
        <v>0</v>
      </c>
    </row>
    <row r="376" customFormat="false" ht="12" hidden="false" customHeight="false" outlineLevel="0" collapsed="false">
      <c r="A376" s="5" t="n">
        <v>359</v>
      </c>
      <c r="B376" s="58" t="n">
        <f aca="true">IF(RAND()&lt;$D$8,1,0)</f>
        <v>0</v>
      </c>
      <c r="C376" s="47" t="n">
        <f aca="true">-LN(RAND())/$D$2</f>
        <v>0.101958412739365</v>
      </c>
      <c r="D376" s="59" t="n">
        <f aca="false">D375+C376</f>
        <v>343.952858410442</v>
      </c>
      <c r="E376" s="60" t="n">
        <f aca="false">MAX($D$3,(1+P375-VLOOKUP(VALUE(D376),$J$18:$Q375,7,TRUE()))*$D$3)</f>
        <v>24</v>
      </c>
      <c r="F376" s="60" t="n">
        <f aca="false">MAX($D$4,(1+Q375-VLOOKUP(VALUE(D376),$M$18:$Q375,5,TRUE()))*$D$4)</f>
        <v>24</v>
      </c>
      <c r="G376" s="61" t="n">
        <v>0.5</v>
      </c>
      <c r="H376" s="59" t="n">
        <f aca="true">IF((B376=1),(IF((F376&lt;E376),1,(IF((F376=E376),(IF(RAND()&lt;G376,1,0)),0)))),(IF((RAND()&lt;G376),1,0)))</f>
        <v>1</v>
      </c>
      <c r="I376" s="59" t="n">
        <f aca="true">IF((H376=1),0,$D$3+$D$5*(RAND()-0.5))</f>
        <v>0</v>
      </c>
      <c r="J376" s="59" t="n">
        <f aca="false">I376+MAX(D376,J375)</f>
        <v>364.205240496786</v>
      </c>
      <c r="K376" s="59" t="n">
        <f aca="false">IF((H376=0),J376-D376,0)</f>
        <v>0</v>
      </c>
      <c r="L376" s="59" t="n">
        <f aca="true">IF(($H376=0),0,$D$4+$D$5*(RAND()-0.5))</f>
        <v>1.83954995263321</v>
      </c>
      <c r="M376" s="59" t="n">
        <f aca="false">L376+MAX(D376,M375)</f>
        <v>368.128531684009</v>
      </c>
      <c r="N376" s="59" t="n">
        <f aca="false">IF((H376=1),M376-D376,0)</f>
        <v>24.1756732735665</v>
      </c>
      <c r="O376" s="5" t="n">
        <v>359</v>
      </c>
      <c r="P376" s="62" t="n">
        <f aca="false">IF((Arterial=0),P375+1,P375)</f>
        <v>178</v>
      </c>
      <c r="Q376" s="62" t="n">
        <f aca="false">IF((Arterial=1),Q375+1,Q375)</f>
        <v>181</v>
      </c>
      <c r="R376" s="63" t="n">
        <f aca="false">IF((RESET=1),0,R376+K376)</f>
        <v>675.514388469026</v>
      </c>
      <c r="S376" s="10" t="e">
        <f aca="false">IF(RESET=1,0,S376+N376)</f>
        <v>#N/A</v>
      </c>
      <c r="T376" s="0" t="n">
        <f aca="false">IF(RESET=1,0,T376+IF(H376=0,1,0))</f>
        <v>32</v>
      </c>
      <c r="U376" s="0" t="e">
        <f aca="false">IF(RESET=1,0,U376+H376)</f>
        <v>#N/A</v>
      </c>
      <c r="V376" s="10" t="n">
        <f aca="false">R376/(T376+0.00001)</f>
        <v>21.1098180428389</v>
      </c>
      <c r="W376" s="10" t="e">
        <f aca="false">S376/(U376+0.0001)</f>
        <v>#N/A</v>
      </c>
      <c r="X376" s="60" t="n">
        <f aca="false">IF(Informed=1,K376,0)</f>
        <v>0</v>
      </c>
      <c r="Y376" s="60" t="n">
        <f aca="false">IF(Informed=0,K376,0)</f>
        <v>0</v>
      </c>
      <c r="Z376" s="60" t="n">
        <f aca="false">IF(Informed=1,N376,0)</f>
        <v>0</v>
      </c>
      <c r="AA376" s="60" t="n">
        <f aca="false">IF(Informed=0,N376,0)</f>
        <v>24.1756732735665</v>
      </c>
      <c r="AB376" s="64" t="n">
        <f aca="false">IF(Arterial=0,IF(Informed=1,1,0),0)</f>
        <v>0</v>
      </c>
      <c r="AC376" s="64" t="n">
        <f aca="false">IF(Arterial=0,IF(Informed=0,1,0),0)</f>
        <v>0</v>
      </c>
      <c r="AD376" s="64" t="n">
        <f aca="false">IF(Arterial=1,IF(Informed=1,1,0),0)</f>
        <v>0</v>
      </c>
      <c r="AE376" s="64" t="n">
        <f aca="false">IF(Arterial=1,IF(Informed=0,1,0),0)</f>
        <v>1</v>
      </c>
      <c r="AF376" s="57" t="n">
        <f aca="false">IF(AB376=1,(X376-G$1030)^2,0)</f>
        <v>0</v>
      </c>
      <c r="AG376" s="57" t="n">
        <f aca="false">IF(AC376=1,(Y376-H$1030)^2,0)</f>
        <v>0</v>
      </c>
      <c r="AH376" s="57" t="n">
        <f aca="false">IF(AD376=1,(Z376-I$1030)^2,0)</f>
        <v>0</v>
      </c>
      <c r="AI376" s="57" t="n">
        <f aca="false">IF(AE376=1,(AA376-J$1030)^2,0)</f>
        <v>584.463178230239</v>
      </c>
    </row>
    <row r="377" customFormat="false" ht="12" hidden="false" customHeight="false" outlineLevel="0" collapsed="false">
      <c r="A377" s="5" t="n">
        <v>360</v>
      </c>
      <c r="B377" s="58" t="n">
        <f aca="true">IF(RAND()&lt;$D$8,1,0)</f>
        <v>1</v>
      </c>
      <c r="C377" s="47" t="n">
        <f aca="true">-LN(RAND())/$D$2</f>
        <v>0.722371917619266</v>
      </c>
      <c r="D377" s="59" t="n">
        <f aca="false">D376+C377</f>
        <v>344.675230328061</v>
      </c>
      <c r="E377" s="60" t="n">
        <f aca="false">MAX($D$3,(1+P376-VLOOKUP(VALUE(D377),$J$18:$Q376,7,TRUE()))*$D$3)</f>
        <v>22</v>
      </c>
      <c r="F377" s="60" t="n">
        <f aca="false">MAX($D$4,(1+Q376-VLOOKUP(VALUE(D377),$M$18:$Q376,5,TRUE()))*$D$4)</f>
        <v>26</v>
      </c>
      <c r="G377" s="61" t="n">
        <v>0.5</v>
      </c>
      <c r="H377" s="59" t="n">
        <f aca="true">IF((B377=1),(IF((F377&lt;E377),1,(IF((F377=E377),(IF(RAND()&lt;G377,1,0)),0)))),(IF((RAND()&lt;G377),1,0)))</f>
        <v>0</v>
      </c>
      <c r="I377" s="59" t="n">
        <f aca="true">IF((H377=1),0,$D$3+$D$5*(RAND()-0.5))</f>
        <v>2.12300316259084</v>
      </c>
      <c r="J377" s="59" t="n">
        <f aca="false">I377+MAX(D377,J376)</f>
        <v>366.328243659377</v>
      </c>
      <c r="K377" s="59" t="n">
        <f aca="false">IF((H377=0),J377-D377,0)</f>
        <v>21.6530133313151</v>
      </c>
      <c r="L377" s="59" t="n">
        <f aca="true">IF(($H377=0),0,$D$4+$D$5*(RAND()-0.5))</f>
        <v>0</v>
      </c>
      <c r="M377" s="59" t="n">
        <f aca="false">L377+MAX(D377,M376)</f>
        <v>368.128531684009</v>
      </c>
      <c r="N377" s="59" t="n">
        <f aca="false">IF((H377=1),M377-D377,0)</f>
        <v>0</v>
      </c>
      <c r="O377" s="5" t="n">
        <v>360</v>
      </c>
      <c r="P377" s="62" t="n">
        <f aca="false">IF((Arterial=0),P376+1,P376)</f>
        <v>179</v>
      </c>
      <c r="Q377" s="62" t="n">
        <f aca="false">IF((Arterial=1),Q376+1,Q376)</f>
        <v>181</v>
      </c>
      <c r="R377" s="63" t="e">
        <f aca="false">IF((RESET=1),0,R377+K377)</f>
        <v>#N/A</v>
      </c>
      <c r="S377" s="10" t="n">
        <f aca="false">IF(RESET=1,0,S377+N377)</f>
        <v>835.011177154893</v>
      </c>
      <c r="T377" s="0" t="e">
        <f aca="false">IF(RESET=1,0,T377+IF(H377=0,1,0))</f>
        <v>#N/A</v>
      </c>
      <c r="U377" s="0" t="n">
        <f aca="false">IF(RESET=1,0,U377+H377)</f>
        <v>39</v>
      </c>
      <c r="V377" s="10" t="e">
        <f aca="false">R377/(T377+0.00001)</f>
        <v>#N/A</v>
      </c>
      <c r="W377" s="10" t="n">
        <f aca="false">S377/(U377+0.0001)</f>
        <v>21.4104881052842</v>
      </c>
      <c r="X377" s="60" t="n">
        <f aca="false">IF(Informed=1,K377,0)</f>
        <v>21.6530133313151</v>
      </c>
      <c r="Y377" s="60" t="n">
        <f aca="false">IF(Informed=0,K377,0)</f>
        <v>0</v>
      </c>
      <c r="Z377" s="60" t="n">
        <f aca="false">IF(Informed=1,N377,0)</f>
        <v>0</v>
      </c>
      <c r="AA377" s="60" t="n">
        <f aca="false">IF(Informed=0,N377,0)</f>
        <v>0</v>
      </c>
      <c r="AB377" s="64" t="n">
        <f aca="false">IF(Arterial=0,IF(Informed=1,1,0),0)</f>
        <v>1</v>
      </c>
      <c r="AC377" s="64" t="n">
        <f aca="false">IF(Arterial=0,IF(Informed=0,1,0),0)</f>
        <v>0</v>
      </c>
      <c r="AD377" s="64" t="n">
        <f aca="false">IF(Arterial=1,IF(Informed=1,1,0),0)</f>
        <v>0</v>
      </c>
      <c r="AE377" s="64" t="n">
        <f aca="false">IF(Arterial=1,IF(Informed=0,1,0),0)</f>
        <v>0</v>
      </c>
      <c r="AF377" s="57" t="n">
        <f aca="false">IF(AB377=1,(X377-G$1030)^2,0)</f>
        <v>468.852986326109</v>
      </c>
      <c r="AG377" s="57" t="n">
        <f aca="false">IF(AC377=1,(Y377-H$1030)^2,0)</f>
        <v>0</v>
      </c>
      <c r="AH377" s="57" t="n">
        <f aca="false">IF(AD377=1,(Z377-I$1030)^2,0)</f>
        <v>0</v>
      </c>
      <c r="AI377" s="57" t="n">
        <f aca="false">IF(AE377=1,(AA377-J$1030)^2,0)</f>
        <v>0</v>
      </c>
    </row>
    <row r="378" customFormat="false" ht="12" hidden="false" customHeight="false" outlineLevel="0" collapsed="false">
      <c r="A378" s="5" t="n">
        <v>361</v>
      </c>
      <c r="B378" s="58" t="n">
        <f aca="true">IF(RAND()&lt;$D$8,1,0)</f>
        <v>0</v>
      </c>
      <c r="C378" s="47" t="n">
        <f aca="true">-LN(RAND())/$D$2</f>
        <v>0.924949804431217</v>
      </c>
      <c r="D378" s="59" t="n">
        <f aca="false">D377+C378</f>
        <v>345.600180132493</v>
      </c>
      <c r="E378" s="60" t="n">
        <f aca="false">MAX($D$3,(1+P377-VLOOKUP(VALUE(D378),$J$18:$Q377,7,TRUE()))*$D$3)</f>
        <v>24</v>
      </c>
      <c r="F378" s="60" t="n">
        <f aca="false">MAX($D$4,(1+Q377-VLOOKUP(VALUE(D378),$M$18:$Q377,5,TRUE()))*$D$4)</f>
        <v>26</v>
      </c>
      <c r="G378" s="61" t="n">
        <v>0.5</v>
      </c>
      <c r="H378" s="59" t="n">
        <f aca="true">IF((B378=1),(IF((F378&lt;E378),1,(IF((F378=E378),(IF(RAND()&lt;G378,1,0)),0)))),(IF((RAND()&lt;G378),1,0)))</f>
        <v>1</v>
      </c>
      <c r="I378" s="59" t="n">
        <f aca="true">IF((H378=1),0,$D$3+$D$5*(RAND()-0.5))</f>
        <v>0</v>
      </c>
      <c r="J378" s="59" t="n">
        <f aca="false">I378+MAX(D378,J377)</f>
        <v>366.328243659377</v>
      </c>
      <c r="K378" s="59" t="n">
        <f aca="false">IF((H378=0),J378-D378,0)</f>
        <v>0</v>
      </c>
      <c r="L378" s="59" t="n">
        <f aca="true">IF(($H378=0),0,$D$4+$D$5*(RAND()-0.5))</f>
        <v>2.22828256006187</v>
      </c>
      <c r="M378" s="59" t="n">
        <f aca="false">L378+MAX(D378,M377)</f>
        <v>370.356814244071</v>
      </c>
      <c r="N378" s="59" t="n">
        <f aca="false">IF((H378=1),M378-D378,0)</f>
        <v>24.7566341115779</v>
      </c>
      <c r="O378" s="5" t="n">
        <v>361</v>
      </c>
      <c r="P378" s="62" t="n">
        <f aca="false">IF((Arterial=0),P377+1,P377)</f>
        <v>179</v>
      </c>
      <c r="Q378" s="62" t="n">
        <f aca="false">IF((Arterial=1),Q377+1,Q377)</f>
        <v>182</v>
      </c>
      <c r="R378" s="63" t="n">
        <f aca="false">IF((RESET=1),0,R378+K378)</f>
        <v>765.023044486224</v>
      </c>
      <c r="S378" s="10" t="e">
        <f aca="false">IF(RESET=1,0,S378+N378)</f>
        <v>#N/A</v>
      </c>
      <c r="T378" s="0" t="n">
        <f aca="false">IF(RESET=1,0,T378+IF(H378=0,1,0))</f>
        <v>36</v>
      </c>
      <c r="U378" s="0" t="e">
        <f aca="false">IF(RESET=1,0,U378+H378)</f>
        <v>#N/A</v>
      </c>
      <c r="V378" s="10" t="n">
        <f aca="false">R378/(T378+0.00001)</f>
        <v>21.2506342216634</v>
      </c>
      <c r="W378" s="10" t="e">
        <f aca="false">S378/(U378+0.0001)</f>
        <v>#N/A</v>
      </c>
      <c r="X378" s="60" t="n">
        <f aca="false">IF(Informed=1,K378,0)</f>
        <v>0</v>
      </c>
      <c r="Y378" s="60" t="n">
        <f aca="false">IF(Informed=0,K378,0)</f>
        <v>0</v>
      </c>
      <c r="Z378" s="60" t="n">
        <f aca="false">IF(Informed=1,N378,0)</f>
        <v>0</v>
      </c>
      <c r="AA378" s="60" t="n">
        <f aca="false">IF(Informed=0,N378,0)</f>
        <v>24.7566341115779</v>
      </c>
      <c r="AB378" s="64" t="n">
        <f aca="false">IF(Arterial=0,IF(Informed=1,1,0),0)</f>
        <v>0</v>
      </c>
      <c r="AC378" s="64" t="n">
        <f aca="false">IF(Arterial=0,IF(Informed=0,1,0),0)</f>
        <v>0</v>
      </c>
      <c r="AD378" s="64" t="n">
        <f aca="false">IF(Arterial=1,IF(Informed=1,1,0),0)</f>
        <v>0</v>
      </c>
      <c r="AE378" s="64" t="n">
        <f aca="false">IF(Arterial=1,IF(Informed=0,1,0),0)</f>
        <v>1</v>
      </c>
      <c r="AF378" s="57" t="n">
        <f aca="false">IF(AB378=1,(X378-G$1030)^2,0)</f>
        <v>0</v>
      </c>
      <c r="AG378" s="57" t="n">
        <f aca="false">IF(AC378=1,(Y378-H$1030)^2,0)</f>
        <v>0</v>
      </c>
      <c r="AH378" s="57" t="n">
        <f aca="false">IF(AD378=1,(Z378-I$1030)^2,0)</f>
        <v>0</v>
      </c>
      <c r="AI378" s="57" t="n">
        <f aca="false">IF(AE378=1,(AA378-J$1030)^2,0)</f>
        <v>612.890932534543</v>
      </c>
    </row>
    <row r="379" customFormat="false" ht="12" hidden="false" customHeight="false" outlineLevel="0" collapsed="false">
      <c r="A379" s="5" t="n">
        <v>362</v>
      </c>
      <c r="B379" s="58" t="n">
        <f aca="true">IF(RAND()&lt;$D$8,1,0)</f>
        <v>1</v>
      </c>
      <c r="C379" s="47" t="n">
        <f aca="true">-LN(RAND())/$D$2</f>
        <v>0.1497294129823</v>
      </c>
      <c r="D379" s="59" t="n">
        <f aca="false">D378+C379</f>
        <v>345.749909545475</v>
      </c>
      <c r="E379" s="60" t="n">
        <f aca="false">MAX($D$3,(1+P378-VLOOKUP(VALUE(D379),$J$18:$Q378,7,TRUE()))*$D$3)</f>
        <v>24</v>
      </c>
      <c r="F379" s="60" t="n">
        <f aca="false">MAX($D$4,(1+Q378-VLOOKUP(VALUE(D379),$M$18:$Q378,5,TRUE()))*$D$4)</f>
        <v>28</v>
      </c>
      <c r="G379" s="61" t="n">
        <v>0.5</v>
      </c>
      <c r="H379" s="59" t="n">
        <f aca="true">IF((B379=1),(IF((F379&lt;E379),1,(IF((F379=E379),(IF(RAND()&lt;G379,1,0)),0)))),(IF((RAND()&lt;G379),1,0)))</f>
        <v>0</v>
      </c>
      <c r="I379" s="59" t="n">
        <f aca="true">IF((H379=1),0,$D$3+$D$5*(RAND()-0.5))</f>
        <v>1.91785755633624</v>
      </c>
      <c r="J379" s="59" t="n">
        <f aca="false">I379+MAX(D379,J378)</f>
        <v>368.246101215713</v>
      </c>
      <c r="K379" s="59" t="n">
        <f aca="false">IF((H379=0),J379-D379,0)</f>
        <v>22.4961916702378</v>
      </c>
      <c r="L379" s="59" t="n">
        <f aca="true">IF(($H379=0),0,$D$4+$D$5*(RAND()-0.5))</f>
        <v>0</v>
      </c>
      <c r="M379" s="59" t="n">
        <f aca="false">L379+MAX(D379,M378)</f>
        <v>370.356814244071</v>
      </c>
      <c r="N379" s="59" t="n">
        <f aca="false">IF((H379=1),M379-D379,0)</f>
        <v>0</v>
      </c>
      <c r="O379" s="5" t="n">
        <v>362</v>
      </c>
      <c r="P379" s="62" t="n">
        <f aca="false">IF((Arterial=0),P378+1,P378)</f>
        <v>180</v>
      </c>
      <c r="Q379" s="62" t="n">
        <f aca="false">IF((Arterial=1),Q378+1,Q378)</f>
        <v>182</v>
      </c>
      <c r="R379" s="63" t="e">
        <f aca="false">IF((RESET=1),0,R379+K379)</f>
        <v>#N/A</v>
      </c>
      <c r="S379" s="10" t="n">
        <f aca="false">IF(RESET=1,0,S379+N379)</f>
        <v>485.303979442569</v>
      </c>
      <c r="T379" s="0" t="e">
        <f aca="false">IF(RESET=1,0,T379+IF(H379=0,1,0))</f>
        <v>#N/A</v>
      </c>
      <c r="U379" s="0" t="n">
        <f aca="false">IF(RESET=1,0,U379+H379)</f>
        <v>27</v>
      </c>
      <c r="V379" s="10" t="e">
        <f aca="false">R379/(T379+0.00001)</f>
        <v>#N/A</v>
      </c>
      <c r="W379" s="10" t="n">
        <f aca="false">S379/(U379+0.0001)</f>
        <v>17.9741548898919</v>
      </c>
      <c r="X379" s="60" t="n">
        <f aca="false">IF(Informed=1,K379,0)</f>
        <v>22.4961916702378</v>
      </c>
      <c r="Y379" s="60" t="n">
        <f aca="false">IF(Informed=0,K379,0)</f>
        <v>0</v>
      </c>
      <c r="Z379" s="60" t="n">
        <f aca="false">IF(Informed=1,N379,0)</f>
        <v>0</v>
      </c>
      <c r="AA379" s="60" t="n">
        <f aca="false">IF(Informed=0,N379,0)</f>
        <v>0</v>
      </c>
      <c r="AB379" s="64" t="n">
        <f aca="false">IF(Arterial=0,IF(Informed=1,1,0),0)</f>
        <v>1</v>
      </c>
      <c r="AC379" s="64" t="n">
        <f aca="false">IF(Arterial=0,IF(Informed=0,1,0),0)</f>
        <v>0</v>
      </c>
      <c r="AD379" s="64" t="n">
        <f aca="false">IF(Arterial=1,IF(Informed=1,1,0),0)</f>
        <v>0</v>
      </c>
      <c r="AE379" s="64" t="n">
        <f aca="false">IF(Arterial=1,IF(Informed=0,1,0),0)</f>
        <v>0</v>
      </c>
      <c r="AF379" s="57" t="n">
        <f aca="false">IF(AB379=1,(X379-G$1030)^2,0)</f>
        <v>506.078639664077</v>
      </c>
      <c r="AG379" s="57" t="n">
        <f aca="false">IF(AC379=1,(Y379-H$1030)^2,0)</f>
        <v>0</v>
      </c>
      <c r="AH379" s="57" t="n">
        <f aca="false">IF(AD379=1,(Z379-I$1030)^2,0)</f>
        <v>0</v>
      </c>
      <c r="AI379" s="57" t="n">
        <f aca="false">IF(AE379=1,(AA379-J$1030)^2,0)</f>
        <v>0</v>
      </c>
    </row>
    <row r="380" customFormat="false" ht="12" hidden="false" customHeight="false" outlineLevel="0" collapsed="false">
      <c r="A380" s="5" t="n">
        <v>363</v>
      </c>
      <c r="B380" s="58" t="n">
        <f aca="true">IF(RAND()&lt;$D$8,1,0)</f>
        <v>0</v>
      </c>
      <c r="C380" s="47" t="n">
        <f aca="true">-LN(RAND())/$D$2</f>
        <v>4.91422742044557</v>
      </c>
      <c r="D380" s="59" t="n">
        <f aca="false">D379+C380</f>
        <v>350.664136965921</v>
      </c>
      <c r="E380" s="60" t="n">
        <f aca="false">MAX($D$3,(1+P379-VLOOKUP(VALUE(D380),$J$18:$Q379,7,TRUE()))*$D$3)</f>
        <v>20</v>
      </c>
      <c r="F380" s="60" t="n">
        <f aca="false">MAX($D$4,(1+Q379-VLOOKUP(VALUE(D380),$M$18:$Q379,5,TRUE()))*$D$4)</f>
        <v>22</v>
      </c>
      <c r="G380" s="61" t="n">
        <v>0.5</v>
      </c>
      <c r="H380" s="59" t="n">
        <f aca="true">IF((B380=1),(IF((F380&lt;E380),1,(IF((F380=E380),(IF(RAND()&lt;G380,1,0)),0)))),(IF((RAND()&lt;G380),1,0)))</f>
        <v>1</v>
      </c>
      <c r="I380" s="59" t="n">
        <f aca="true">IF((H380=1),0,$D$3+$D$5*(RAND()-0.5))</f>
        <v>0</v>
      </c>
      <c r="J380" s="59" t="n">
        <f aca="false">I380+MAX(D380,J379)</f>
        <v>368.246101215713</v>
      </c>
      <c r="K380" s="59" t="n">
        <f aca="false">IF((H380=0),J380-D380,0)</f>
        <v>0</v>
      </c>
      <c r="L380" s="59" t="n">
        <f aca="true">IF(($H380=0),0,$D$4+$D$5*(RAND()-0.5))</f>
        <v>2.02570040901259</v>
      </c>
      <c r="M380" s="59" t="n">
        <f aca="false">L380+MAX(D380,M379)</f>
        <v>372.382514653083</v>
      </c>
      <c r="N380" s="59" t="n">
        <f aca="false">IF((H380=1),M380-D380,0)</f>
        <v>21.7183776871626</v>
      </c>
      <c r="O380" s="5" t="n">
        <v>363</v>
      </c>
      <c r="P380" s="62" t="n">
        <f aca="false">IF((Arterial=0),P379+1,P379)</f>
        <v>180</v>
      </c>
      <c r="Q380" s="62" t="n">
        <f aca="false">IF((Arterial=1),Q379+1,Q379)</f>
        <v>183</v>
      </c>
      <c r="R380" s="63" t="n">
        <f aca="false">IF((RESET=1),0,R380+K380)</f>
        <v>578.995644389286</v>
      </c>
      <c r="S380" s="10" t="e">
        <f aca="false">IF(RESET=1,0,S380+N380)</f>
        <v>#N/A</v>
      </c>
      <c r="T380" s="0" t="n">
        <f aca="false">IF(RESET=1,0,T380+IF(H380=0,1,0))</f>
        <v>27</v>
      </c>
      <c r="U380" s="0" t="e">
        <f aca="false">IF(RESET=1,0,U380+H380)</f>
        <v>#N/A</v>
      </c>
      <c r="V380" s="10" t="n">
        <f aca="false">R380/(T380+0.00001)</f>
        <v>21.444275183205</v>
      </c>
      <c r="W380" s="10" t="e">
        <f aca="false">S380/(U380+0.0001)</f>
        <v>#N/A</v>
      </c>
      <c r="X380" s="60" t="n">
        <f aca="false">IF(Informed=1,K380,0)</f>
        <v>0</v>
      </c>
      <c r="Y380" s="60" t="n">
        <f aca="false">IF(Informed=0,K380,0)</f>
        <v>0</v>
      </c>
      <c r="Z380" s="60" t="n">
        <f aca="false">IF(Informed=1,N380,0)</f>
        <v>0</v>
      </c>
      <c r="AA380" s="60" t="n">
        <f aca="false">IF(Informed=0,N380,0)</f>
        <v>21.7183776871626</v>
      </c>
      <c r="AB380" s="64" t="n">
        <f aca="false">IF(Arterial=0,IF(Informed=1,1,0),0)</f>
        <v>0</v>
      </c>
      <c r="AC380" s="64" t="n">
        <f aca="false">IF(Arterial=0,IF(Informed=0,1,0),0)</f>
        <v>0</v>
      </c>
      <c r="AD380" s="64" t="n">
        <f aca="false">IF(Arterial=1,IF(Informed=1,1,0),0)</f>
        <v>0</v>
      </c>
      <c r="AE380" s="64" t="n">
        <f aca="false">IF(Arterial=1,IF(Informed=0,1,0),0)</f>
        <v>1</v>
      </c>
      <c r="AF380" s="57" t="n">
        <f aca="false">IF(AB380=1,(X380-G$1030)^2,0)</f>
        <v>0</v>
      </c>
      <c r="AG380" s="57" t="n">
        <f aca="false">IF(AC380=1,(Y380-H$1030)^2,0)</f>
        <v>0</v>
      </c>
      <c r="AH380" s="57" t="n">
        <f aca="false">IF(AD380=1,(Z380-I$1030)^2,0)</f>
        <v>0</v>
      </c>
      <c r="AI380" s="57" t="n">
        <f aca="false">IF(AE380=1,(AA380-J$1030)^2,0)</f>
        <v>471.687929362243</v>
      </c>
    </row>
    <row r="381" customFormat="false" ht="12" hidden="false" customHeight="false" outlineLevel="0" collapsed="false">
      <c r="A381" s="5" t="n">
        <v>364</v>
      </c>
      <c r="B381" s="58" t="n">
        <f aca="true">IF(RAND()&lt;$D$8,1,0)</f>
        <v>0</v>
      </c>
      <c r="C381" s="47" t="n">
        <f aca="true">-LN(RAND())/$D$2</f>
        <v>0.435665167366673</v>
      </c>
      <c r="D381" s="59" t="n">
        <f aca="false">D380+C381</f>
        <v>351.099802133287</v>
      </c>
      <c r="E381" s="60" t="n">
        <f aca="false">MAX($D$3,(1+P380-VLOOKUP(VALUE(D381),$J$18:$Q380,7,TRUE()))*$D$3)</f>
        <v>20</v>
      </c>
      <c r="F381" s="60" t="n">
        <f aca="false">MAX($D$4,(1+Q380-VLOOKUP(VALUE(D381),$M$18:$Q380,5,TRUE()))*$D$4)</f>
        <v>24</v>
      </c>
      <c r="G381" s="61" t="n">
        <v>0.5</v>
      </c>
      <c r="H381" s="59" t="n">
        <f aca="true">IF((B381=1),(IF((F381&lt;E381),1,(IF((F381=E381),(IF(RAND()&lt;G381,1,0)),0)))),(IF((RAND()&lt;G381),1,0)))</f>
        <v>1</v>
      </c>
      <c r="I381" s="59" t="n">
        <f aca="true">IF((H381=1),0,$D$3+$D$5*(RAND()-0.5))</f>
        <v>0</v>
      </c>
      <c r="J381" s="59" t="n">
        <f aca="false">I381+MAX(D381,J380)</f>
        <v>368.246101215713</v>
      </c>
      <c r="K381" s="59" t="n">
        <f aca="false">IF((H381=0),J381-D381,0)</f>
        <v>0</v>
      </c>
      <c r="L381" s="59" t="n">
        <f aca="true">IF(($H381=0),0,$D$4+$D$5*(RAND()-0.5))</f>
        <v>2.04716164868658</v>
      </c>
      <c r="M381" s="59" t="n">
        <f aca="false">L381+MAX(D381,M380)</f>
        <v>374.42967630177</v>
      </c>
      <c r="N381" s="59" t="n">
        <f aca="false">IF((H381=1),M381-D381,0)</f>
        <v>23.3298741684825</v>
      </c>
      <c r="O381" s="5" t="n">
        <v>364</v>
      </c>
      <c r="P381" s="62" t="n">
        <f aca="false">IF((Arterial=0),P380+1,P380)</f>
        <v>180</v>
      </c>
      <c r="Q381" s="62" t="n">
        <f aca="false">IF((Arterial=1),Q380+1,Q380)</f>
        <v>184</v>
      </c>
      <c r="R381" s="63" t="n">
        <f aca="false">IF((RESET=1),0,R381+K381)</f>
        <v>430.520090839613</v>
      </c>
      <c r="S381" s="10" t="e">
        <f aca="false">IF(RESET=1,0,S381+N381)</f>
        <v>#N/A</v>
      </c>
      <c r="T381" s="0" t="n">
        <f aca="false">IF(RESET=1,0,T381+IF(H381=0,1,0))</f>
        <v>23</v>
      </c>
      <c r="U381" s="0" t="e">
        <f aca="false">IF(RESET=1,0,U381+H381)</f>
        <v>#N/A</v>
      </c>
      <c r="V381" s="10" t="n">
        <f aca="false">R381/(T381+0.00001)</f>
        <v>18.7182566807412</v>
      </c>
      <c r="W381" s="10" t="e">
        <f aca="false">S381/(U381+0.0001)</f>
        <v>#N/A</v>
      </c>
      <c r="X381" s="60" t="n">
        <f aca="false">IF(Informed=1,K381,0)</f>
        <v>0</v>
      </c>
      <c r="Y381" s="60" t="n">
        <f aca="false">IF(Informed=0,K381,0)</f>
        <v>0</v>
      </c>
      <c r="Z381" s="60" t="n">
        <f aca="false">IF(Informed=1,N381,0)</f>
        <v>0</v>
      </c>
      <c r="AA381" s="60" t="n">
        <f aca="false">IF(Informed=0,N381,0)</f>
        <v>23.3298741684825</v>
      </c>
      <c r="AB381" s="64" t="n">
        <f aca="false">IF(Arterial=0,IF(Informed=1,1,0),0)</f>
        <v>0</v>
      </c>
      <c r="AC381" s="64" t="n">
        <f aca="false">IF(Arterial=0,IF(Informed=0,1,0),0)</f>
        <v>0</v>
      </c>
      <c r="AD381" s="64" t="n">
        <f aca="false">IF(Arterial=1,IF(Informed=1,1,0),0)</f>
        <v>0</v>
      </c>
      <c r="AE381" s="64" t="n">
        <f aca="false">IF(Arterial=1,IF(Informed=0,1,0),0)</f>
        <v>1</v>
      </c>
      <c r="AF381" s="57" t="n">
        <f aca="false">IF(AB381=1,(X381-G$1030)^2,0)</f>
        <v>0</v>
      </c>
      <c r="AG381" s="57" t="n">
        <f aca="false">IF(AC381=1,(Y381-H$1030)^2,0)</f>
        <v>0</v>
      </c>
      <c r="AH381" s="57" t="n">
        <f aca="false">IF(AD381=1,(Z381-I$1030)^2,0)</f>
        <v>0</v>
      </c>
      <c r="AI381" s="57" t="n">
        <f aca="false">IF(AE381=1,(AA381-J$1030)^2,0)</f>
        <v>544.283028717229</v>
      </c>
    </row>
    <row r="382" customFormat="false" ht="12" hidden="false" customHeight="false" outlineLevel="0" collapsed="false">
      <c r="A382" s="5" t="n">
        <v>365</v>
      </c>
      <c r="B382" s="58" t="n">
        <f aca="true">IF(RAND()&lt;$D$8,1,0)</f>
        <v>1</v>
      </c>
      <c r="C382" s="47" t="n">
        <f aca="true">-LN(RAND())/$D$2</f>
        <v>0.755334955365432</v>
      </c>
      <c r="D382" s="59" t="n">
        <f aca="false">D381+C382</f>
        <v>351.855137088653</v>
      </c>
      <c r="E382" s="60" t="n">
        <f aca="false">MAX($D$3,(1+P381-VLOOKUP(VALUE(D382),$J$18:$Q381,7,TRUE()))*$D$3)</f>
        <v>18</v>
      </c>
      <c r="F382" s="60" t="n">
        <f aca="false">MAX($D$4,(1+Q381-VLOOKUP(VALUE(D382),$M$18:$Q381,5,TRUE()))*$D$4)</f>
        <v>26</v>
      </c>
      <c r="G382" s="61" t="n">
        <v>0.5</v>
      </c>
      <c r="H382" s="59" t="n">
        <f aca="true">IF((B382=1),(IF((F382&lt;E382),1,(IF((F382=E382),(IF(RAND()&lt;G382,1,0)),0)))),(IF((RAND()&lt;G382),1,0)))</f>
        <v>0</v>
      </c>
      <c r="I382" s="59" t="n">
        <f aca="true">IF((H382=1),0,$D$3+$D$5*(RAND()-0.5))</f>
        <v>1.77504229927485</v>
      </c>
      <c r="J382" s="59" t="n">
        <f aca="false">I382+MAX(D382,J381)</f>
        <v>370.021143514988</v>
      </c>
      <c r="K382" s="59" t="n">
        <f aca="false">IF((H382=0),J382-D382,0)</f>
        <v>18.166006426335</v>
      </c>
      <c r="L382" s="59" t="n">
        <f aca="true">IF(($H382=0),0,$D$4+$D$5*(RAND()-0.5))</f>
        <v>0</v>
      </c>
      <c r="M382" s="59" t="n">
        <f aca="false">L382+MAX(D382,M381)</f>
        <v>374.42967630177</v>
      </c>
      <c r="N382" s="59" t="n">
        <f aca="false">IF((H382=1),M382-D382,0)</f>
        <v>0</v>
      </c>
      <c r="O382" s="5" t="n">
        <v>365</v>
      </c>
      <c r="P382" s="62" t="n">
        <f aca="false">IF((Arterial=0),P381+1,P381)</f>
        <v>181</v>
      </c>
      <c r="Q382" s="62" t="n">
        <f aca="false">IF((Arterial=1),Q381+1,Q381)</f>
        <v>184</v>
      </c>
      <c r="R382" s="63" t="e">
        <f aca="false">IF((RESET=1),0,R382+K382)</f>
        <v>#N/A</v>
      </c>
      <c r="S382" s="10" t="n">
        <f aca="false">IF(RESET=1,0,S382+N382)</f>
        <v>596.253766139034</v>
      </c>
      <c r="T382" s="0" t="e">
        <f aca="false">IF(RESET=1,0,T382+IF(H382=0,1,0))</f>
        <v>#N/A</v>
      </c>
      <c r="U382" s="0" t="n">
        <f aca="false">IF(RESET=1,0,U382+H382)</f>
        <v>24</v>
      </c>
      <c r="V382" s="10" t="e">
        <f aca="false">R382/(T382+0.00001)</f>
        <v>#N/A</v>
      </c>
      <c r="W382" s="10" t="n">
        <f aca="false">S382/(U382+0.0001)</f>
        <v>24.8438034066122</v>
      </c>
      <c r="X382" s="60" t="n">
        <f aca="false">IF(Informed=1,K382,0)</f>
        <v>18.166006426335</v>
      </c>
      <c r="Y382" s="60" t="n">
        <f aca="false">IF(Informed=0,K382,0)</f>
        <v>0</v>
      </c>
      <c r="Z382" s="60" t="n">
        <f aca="false">IF(Informed=1,N382,0)</f>
        <v>0</v>
      </c>
      <c r="AA382" s="60" t="n">
        <f aca="false">IF(Informed=0,N382,0)</f>
        <v>0</v>
      </c>
      <c r="AB382" s="64" t="n">
        <f aca="false">IF(Arterial=0,IF(Informed=1,1,0),0)</f>
        <v>1</v>
      </c>
      <c r="AC382" s="64" t="n">
        <f aca="false">IF(Arterial=0,IF(Informed=0,1,0),0)</f>
        <v>0</v>
      </c>
      <c r="AD382" s="64" t="n">
        <f aca="false">IF(Arterial=1,IF(Informed=1,1,0),0)</f>
        <v>0</v>
      </c>
      <c r="AE382" s="64" t="n">
        <f aca="false">IF(Arterial=1,IF(Informed=0,1,0),0)</f>
        <v>0</v>
      </c>
      <c r="AF382" s="57" t="n">
        <f aca="false">IF(AB382=1,(X382-G$1030)^2,0)</f>
        <v>330.003789481645</v>
      </c>
      <c r="AG382" s="57" t="n">
        <f aca="false">IF(AC382=1,(Y382-H$1030)^2,0)</f>
        <v>0</v>
      </c>
      <c r="AH382" s="57" t="n">
        <f aca="false">IF(AD382=1,(Z382-I$1030)^2,0)</f>
        <v>0</v>
      </c>
      <c r="AI382" s="57" t="n">
        <f aca="false">IF(AE382=1,(AA382-J$1030)^2,0)</f>
        <v>0</v>
      </c>
    </row>
    <row r="383" customFormat="false" ht="12" hidden="false" customHeight="false" outlineLevel="0" collapsed="false">
      <c r="A383" s="5" t="n">
        <v>366</v>
      </c>
      <c r="B383" s="58" t="n">
        <f aca="true">IF(RAND()&lt;$D$8,1,0)</f>
        <v>0</v>
      </c>
      <c r="C383" s="47" t="n">
        <f aca="true">-LN(RAND())/$D$2</f>
        <v>0.361994697157624</v>
      </c>
      <c r="D383" s="59" t="n">
        <f aca="false">D382+C383</f>
        <v>352.21713178581</v>
      </c>
      <c r="E383" s="60" t="n">
        <f aca="false">MAX($D$3,(1+P382-VLOOKUP(VALUE(D383),$J$18:$Q382,7,TRUE()))*$D$3)</f>
        <v>20</v>
      </c>
      <c r="F383" s="60" t="n">
        <f aca="false">MAX($D$4,(1+Q382-VLOOKUP(VALUE(D383),$M$18:$Q382,5,TRUE()))*$D$4)</f>
        <v>24</v>
      </c>
      <c r="G383" s="61" t="n">
        <v>0.5</v>
      </c>
      <c r="H383" s="59" t="n">
        <f aca="true">IF((B383=1),(IF((F383&lt;E383),1,(IF((F383=E383),(IF(RAND()&lt;G383,1,0)),0)))),(IF((RAND()&lt;G383),1,0)))</f>
        <v>1</v>
      </c>
      <c r="I383" s="59" t="n">
        <f aca="true">IF((H383=1),0,$D$3+$D$5*(RAND()-0.5))</f>
        <v>0</v>
      </c>
      <c r="J383" s="59" t="n">
        <f aca="false">I383+MAX(D383,J382)</f>
        <v>370.021143514988</v>
      </c>
      <c r="K383" s="59" t="n">
        <f aca="false">IF((H383=0),J383-D383,0)</f>
        <v>0</v>
      </c>
      <c r="L383" s="59" t="n">
        <f aca="true">IF(($H383=0),0,$D$4+$D$5*(RAND()-0.5))</f>
        <v>2.12315861541707</v>
      </c>
      <c r="M383" s="59" t="n">
        <f aca="false">L383+MAX(D383,M382)</f>
        <v>376.552834917187</v>
      </c>
      <c r="N383" s="59" t="n">
        <f aca="false">IF((H383=1),M383-D383,0)</f>
        <v>24.3357031313766</v>
      </c>
      <c r="O383" s="5" t="n">
        <v>366</v>
      </c>
      <c r="P383" s="62" t="n">
        <f aca="false">IF((Arterial=0),P382+1,P382)</f>
        <v>181</v>
      </c>
      <c r="Q383" s="62" t="n">
        <f aca="false">IF((Arterial=1),Q382+1,Q382)</f>
        <v>185</v>
      </c>
      <c r="R383" s="63" t="n">
        <f aca="false">IF((RESET=1),0,R383+K383)</f>
        <v>666.368307745566</v>
      </c>
      <c r="S383" s="10" t="e">
        <f aca="false">IF(RESET=1,0,S383+N383)</f>
        <v>#N/A</v>
      </c>
      <c r="T383" s="0" t="n">
        <f aca="false">IF(RESET=1,0,T383+IF(H383=0,1,0))</f>
        <v>30</v>
      </c>
      <c r="U383" s="0" t="e">
        <f aca="false">IF(RESET=1,0,U383+H383)</f>
        <v>#N/A</v>
      </c>
      <c r="V383" s="10" t="n">
        <f aca="false">R383/(T383+0.00001)</f>
        <v>22.2122695207624</v>
      </c>
      <c r="W383" s="10" t="e">
        <f aca="false">S383/(U383+0.0001)</f>
        <v>#N/A</v>
      </c>
      <c r="X383" s="60" t="n">
        <f aca="false">IF(Informed=1,K383,0)</f>
        <v>0</v>
      </c>
      <c r="Y383" s="60" t="n">
        <f aca="false">IF(Informed=0,K383,0)</f>
        <v>0</v>
      </c>
      <c r="Z383" s="60" t="n">
        <f aca="false">IF(Informed=1,N383,0)</f>
        <v>0</v>
      </c>
      <c r="AA383" s="60" t="n">
        <f aca="false">IF(Informed=0,N383,0)</f>
        <v>24.3357031313766</v>
      </c>
      <c r="AB383" s="64" t="n">
        <f aca="false">IF(Arterial=0,IF(Informed=1,1,0),0)</f>
        <v>0</v>
      </c>
      <c r="AC383" s="64" t="n">
        <f aca="false">IF(Arterial=0,IF(Informed=0,1,0),0)</f>
        <v>0</v>
      </c>
      <c r="AD383" s="64" t="n">
        <f aca="false">IF(Arterial=1,IF(Informed=1,1,0),0)</f>
        <v>0</v>
      </c>
      <c r="AE383" s="64" t="n">
        <f aca="false">IF(Arterial=1,IF(Informed=0,1,0),0)</f>
        <v>1</v>
      </c>
      <c r="AF383" s="57" t="n">
        <f aca="false">IF(AB383=1,(X383-G$1030)^2,0)</f>
        <v>0</v>
      </c>
      <c r="AG383" s="57" t="n">
        <f aca="false">IF(AC383=1,(Y383-H$1030)^2,0)</f>
        <v>0</v>
      </c>
      <c r="AH383" s="57" t="n">
        <f aca="false">IF(AD383=1,(Z383-I$1030)^2,0)</f>
        <v>0</v>
      </c>
      <c r="AI383" s="57" t="n">
        <f aca="false">IF(AE383=1,(AA383-J$1030)^2,0)</f>
        <v>592.226446898492</v>
      </c>
    </row>
    <row r="384" customFormat="false" ht="12" hidden="false" customHeight="false" outlineLevel="0" collapsed="false">
      <c r="A384" s="5" t="n">
        <v>367</v>
      </c>
      <c r="B384" s="58" t="n">
        <f aca="true">IF(RAND()&lt;$D$8,1,0)</f>
        <v>0</v>
      </c>
      <c r="C384" s="47" t="n">
        <f aca="true">-LN(RAND())/$D$2</f>
        <v>4.44840284486134</v>
      </c>
      <c r="D384" s="59" t="n">
        <f aca="false">D383+C384</f>
        <v>356.665534630672</v>
      </c>
      <c r="E384" s="60" t="n">
        <f aca="false">MAX($D$3,(1+P383-VLOOKUP(VALUE(D384),$J$18:$Q383,7,TRUE()))*$D$3)</f>
        <v>16</v>
      </c>
      <c r="F384" s="60" t="n">
        <f aca="false">MAX($D$4,(1+Q383-VLOOKUP(VALUE(D384),$M$18:$Q383,5,TRUE()))*$D$4)</f>
        <v>22</v>
      </c>
      <c r="G384" s="61" t="n">
        <v>0.5</v>
      </c>
      <c r="H384" s="59" t="n">
        <f aca="true">IF((B384=1),(IF((F384&lt;E384),1,(IF((F384=E384),(IF(RAND()&lt;G384,1,0)),0)))),(IF((RAND()&lt;G384),1,0)))</f>
        <v>1</v>
      </c>
      <c r="I384" s="59" t="n">
        <f aca="true">IF((H384=1),0,$D$3+$D$5*(RAND()-0.5))</f>
        <v>0</v>
      </c>
      <c r="J384" s="59" t="n">
        <f aca="false">I384+MAX(D384,J383)</f>
        <v>370.021143514988</v>
      </c>
      <c r="K384" s="59" t="n">
        <f aca="false">IF((H384=0),J384-D384,0)</f>
        <v>0</v>
      </c>
      <c r="L384" s="59" t="n">
        <f aca="true">IF(($H384=0),0,$D$4+$D$5*(RAND()-0.5))</f>
        <v>1.9466477899279</v>
      </c>
      <c r="M384" s="59" t="n">
        <f aca="false">L384+MAX(D384,M383)</f>
        <v>378.499482707115</v>
      </c>
      <c r="N384" s="59" t="n">
        <f aca="false">IF((H384=1),M384-D384,0)</f>
        <v>21.8339480764432</v>
      </c>
      <c r="O384" s="5" t="n">
        <v>367</v>
      </c>
      <c r="P384" s="62" t="n">
        <f aca="false">IF((Arterial=0),P383+1,P383)</f>
        <v>181</v>
      </c>
      <c r="Q384" s="62" t="n">
        <f aca="false">IF((Arterial=1),Q383+1,Q383)</f>
        <v>186</v>
      </c>
      <c r="R384" s="63" t="n">
        <f aca="false">IF((RESET=1),0,R384+K384)</f>
        <v>520.193705010049</v>
      </c>
      <c r="S384" s="10" t="e">
        <f aca="false">IF(RESET=1,0,S384+N384)</f>
        <v>#N/A</v>
      </c>
      <c r="T384" s="0" t="n">
        <f aca="false">IF(RESET=1,0,T384+IF(H384=0,1,0))</f>
        <v>24</v>
      </c>
      <c r="U384" s="0" t="e">
        <f aca="false">IF(RESET=1,0,U384+H384)</f>
        <v>#N/A</v>
      </c>
      <c r="V384" s="10" t="n">
        <f aca="false">R384/(T384+0.00001)</f>
        <v>21.6747286776151</v>
      </c>
      <c r="W384" s="10" t="e">
        <f aca="false">S384/(U384+0.0001)</f>
        <v>#N/A</v>
      </c>
      <c r="X384" s="60" t="n">
        <f aca="false">IF(Informed=1,K384,0)</f>
        <v>0</v>
      </c>
      <c r="Y384" s="60" t="n">
        <f aca="false">IF(Informed=0,K384,0)</f>
        <v>0</v>
      </c>
      <c r="Z384" s="60" t="n">
        <f aca="false">IF(Informed=1,N384,0)</f>
        <v>0</v>
      </c>
      <c r="AA384" s="60" t="n">
        <f aca="false">IF(Informed=0,N384,0)</f>
        <v>21.8339480764432</v>
      </c>
      <c r="AB384" s="64" t="n">
        <f aca="false">IF(Arterial=0,IF(Informed=1,1,0),0)</f>
        <v>0</v>
      </c>
      <c r="AC384" s="64" t="n">
        <f aca="false">IF(Arterial=0,IF(Informed=0,1,0),0)</f>
        <v>0</v>
      </c>
      <c r="AD384" s="64" t="n">
        <f aca="false">IF(Arterial=1,IF(Informed=1,1,0),0)</f>
        <v>0</v>
      </c>
      <c r="AE384" s="64" t="n">
        <f aca="false">IF(Arterial=1,IF(Informed=0,1,0),0)</f>
        <v>1</v>
      </c>
      <c r="AF384" s="57" t="n">
        <f aca="false">IF(AB384=1,(X384-G$1030)^2,0)</f>
        <v>0</v>
      </c>
      <c r="AG384" s="57" t="n">
        <f aca="false">IF(AC384=1,(Y384-H$1030)^2,0)</f>
        <v>0</v>
      </c>
      <c r="AH384" s="57" t="n">
        <f aca="false">IF(AD384=1,(Z384-I$1030)^2,0)</f>
        <v>0</v>
      </c>
      <c r="AI384" s="57" t="n">
        <f aca="false">IF(AE384=1,(AA384-J$1030)^2,0)</f>
        <v>476.721288604816</v>
      </c>
    </row>
    <row r="385" customFormat="false" ht="12" hidden="false" customHeight="false" outlineLevel="0" collapsed="false">
      <c r="A385" s="5" t="n">
        <v>368</v>
      </c>
      <c r="B385" s="58" t="n">
        <f aca="true">IF(RAND()&lt;$D$8,1,0)</f>
        <v>0</v>
      </c>
      <c r="C385" s="47" t="n">
        <f aca="true">-LN(RAND())/$D$2</f>
        <v>2.16951891076183</v>
      </c>
      <c r="D385" s="59" t="n">
        <f aca="false">D384+C385</f>
        <v>358.835053541433</v>
      </c>
      <c r="E385" s="60" t="n">
        <f aca="false">MAX($D$3,(1+P384-VLOOKUP(VALUE(D385),$J$18:$Q384,7,TRUE()))*$D$3)</f>
        <v>14</v>
      </c>
      <c r="F385" s="60" t="n">
        <f aca="false">MAX($D$4,(1+Q384-VLOOKUP(VALUE(D385),$M$18:$Q384,5,TRUE()))*$D$4)</f>
        <v>22</v>
      </c>
      <c r="G385" s="61" t="n">
        <v>0.5</v>
      </c>
      <c r="H385" s="59" t="n">
        <f aca="true">IF((B385=1),(IF((F385&lt;E385),1,(IF((F385=E385),(IF(RAND()&lt;G385,1,0)),0)))),(IF((RAND()&lt;G385),1,0)))</f>
        <v>1</v>
      </c>
      <c r="I385" s="59" t="n">
        <f aca="true">IF((H385=1),0,$D$3+$D$5*(RAND()-0.5))</f>
        <v>0</v>
      </c>
      <c r="J385" s="59" t="n">
        <f aca="false">I385+MAX(D385,J384)</f>
        <v>370.021143514988</v>
      </c>
      <c r="K385" s="59" t="n">
        <f aca="false">IF((H385=0),J385-D385,0)</f>
        <v>0</v>
      </c>
      <c r="L385" s="59" t="n">
        <f aca="true">IF(($H385=0),0,$D$4+$D$5*(RAND()-0.5))</f>
        <v>2.18776305771756</v>
      </c>
      <c r="M385" s="59" t="n">
        <f aca="false">L385+MAX(D385,M384)</f>
        <v>380.687245764832</v>
      </c>
      <c r="N385" s="59" t="n">
        <f aca="false">IF((H385=1),M385-D385,0)</f>
        <v>21.8521922233989</v>
      </c>
      <c r="O385" s="5" t="n">
        <v>368</v>
      </c>
      <c r="P385" s="62" t="n">
        <f aca="false">IF((Arterial=0),P384+1,P384)</f>
        <v>181</v>
      </c>
      <c r="Q385" s="62" t="n">
        <f aca="false">IF((Arterial=1),Q384+1,Q384)</f>
        <v>187</v>
      </c>
      <c r="R385" s="63" t="n">
        <f aca="false">IF((RESET=1),0,R385+K385)</f>
        <v>493.477639648589</v>
      </c>
      <c r="S385" s="10" t="e">
        <f aca="false">IF(RESET=1,0,S385+N385)</f>
        <v>#N/A</v>
      </c>
      <c r="T385" s="0" t="n">
        <f aca="false">IF(RESET=1,0,T385+IF(H385=0,1,0))</f>
        <v>23</v>
      </c>
      <c r="U385" s="0" t="e">
        <f aca="false">IF(RESET=1,0,U385+H385)</f>
        <v>#N/A</v>
      </c>
      <c r="V385" s="10" t="n">
        <f aca="false">R385/(T385+0.00001)</f>
        <v>21.4555402214429</v>
      </c>
      <c r="W385" s="10" t="e">
        <f aca="false">S385/(U385+0.0001)</f>
        <v>#N/A</v>
      </c>
      <c r="X385" s="60" t="n">
        <f aca="false">IF(Informed=1,K385,0)</f>
        <v>0</v>
      </c>
      <c r="Y385" s="60" t="n">
        <f aca="false">IF(Informed=0,K385,0)</f>
        <v>0</v>
      </c>
      <c r="Z385" s="60" t="n">
        <f aca="false">IF(Informed=1,N385,0)</f>
        <v>0</v>
      </c>
      <c r="AA385" s="60" t="n">
        <f aca="false">IF(Informed=0,N385,0)</f>
        <v>21.8521922233989</v>
      </c>
      <c r="AB385" s="64" t="n">
        <f aca="false">IF(Arterial=0,IF(Informed=1,1,0),0)</f>
        <v>0</v>
      </c>
      <c r="AC385" s="64" t="n">
        <f aca="false">IF(Arterial=0,IF(Informed=0,1,0),0)</f>
        <v>0</v>
      </c>
      <c r="AD385" s="64" t="n">
        <f aca="false">IF(Arterial=1,IF(Informed=1,1,0),0)</f>
        <v>0</v>
      </c>
      <c r="AE385" s="64" t="n">
        <f aca="false">IF(Arterial=1,IF(Informed=0,1,0),0)</f>
        <v>1</v>
      </c>
      <c r="AF385" s="57" t="n">
        <f aca="false">IF(AB385=1,(X385-G$1030)^2,0)</f>
        <v>0</v>
      </c>
      <c r="AG385" s="57" t="n">
        <f aca="false">IF(AC385=1,(Y385-H$1030)^2,0)</f>
        <v>0</v>
      </c>
      <c r="AH385" s="57" t="n">
        <f aca="false">IF(AD385=1,(Z385-I$1030)^2,0)</f>
        <v>0</v>
      </c>
      <c r="AI385" s="57" t="n">
        <f aca="false">IF(AE385=1,(AA385-J$1030)^2,0)</f>
        <v>477.518304968375</v>
      </c>
    </row>
    <row r="386" customFormat="false" ht="12" hidden="false" customHeight="false" outlineLevel="0" collapsed="false">
      <c r="A386" s="5" t="n">
        <v>369</v>
      </c>
      <c r="B386" s="58" t="n">
        <f aca="true">IF(RAND()&lt;$D$8,1,0)</f>
        <v>0</v>
      </c>
      <c r="C386" s="47" t="n">
        <f aca="true">-LN(RAND())/$D$2</f>
        <v>0.668231270879311</v>
      </c>
      <c r="D386" s="59" t="n">
        <f aca="false">D385+C386</f>
        <v>359.503284812313</v>
      </c>
      <c r="E386" s="60" t="n">
        <f aca="false">MAX($D$3,(1+P385-VLOOKUP(VALUE(D386),$J$18:$Q385,7,TRUE()))*$D$3)</f>
        <v>14</v>
      </c>
      <c r="F386" s="60" t="n">
        <f aca="false">MAX($D$4,(1+Q385-VLOOKUP(VALUE(D386),$M$18:$Q385,5,TRUE()))*$D$4)</f>
        <v>24</v>
      </c>
      <c r="G386" s="61" t="n">
        <v>0.5</v>
      </c>
      <c r="H386" s="59" t="n">
        <f aca="true">IF((B386=1),(IF((F386&lt;E386),1,(IF((F386=E386),(IF(RAND()&lt;G386,1,0)),0)))),(IF((RAND()&lt;G386),1,0)))</f>
        <v>1</v>
      </c>
      <c r="I386" s="59" t="n">
        <f aca="true">IF((H386=1),0,$D$3+$D$5*(RAND()-0.5))</f>
        <v>0</v>
      </c>
      <c r="J386" s="59" t="n">
        <f aca="false">I386+MAX(D386,J385)</f>
        <v>370.021143514988</v>
      </c>
      <c r="K386" s="59" t="n">
        <f aca="false">IF((H386=0),J386-D386,0)</f>
        <v>0</v>
      </c>
      <c r="L386" s="59" t="n">
        <f aca="true">IF(($H386=0),0,$D$4+$D$5*(RAND()-0.5))</f>
        <v>2.10501639931507</v>
      </c>
      <c r="M386" s="59" t="n">
        <f aca="false">L386+MAX(D386,M385)</f>
        <v>382.792262164147</v>
      </c>
      <c r="N386" s="59" t="n">
        <f aca="false">IF((H386=1),M386-D386,0)</f>
        <v>23.2889773518347</v>
      </c>
      <c r="O386" s="5" t="n">
        <v>369</v>
      </c>
      <c r="P386" s="62" t="n">
        <f aca="false">IF((Arterial=0),P385+1,P385)</f>
        <v>181</v>
      </c>
      <c r="Q386" s="62" t="n">
        <f aca="false">IF((Arterial=1),Q385+1,Q385)</f>
        <v>188</v>
      </c>
      <c r="R386" s="63" t="n">
        <f aca="false">IF((RESET=1),0,R386+K386)</f>
        <v>661.875959517568</v>
      </c>
      <c r="S386" s="10" t="e">
        <f aca="false">IF(RESET=1,0,S386+N386)</f>
        <v>#N/A</v>
      </c>
      <c r="T386" s="0" t="n">
        <f aca="false">IF(RESET=1,0,T386+IF(H386=0,1,0))</f>
        <v>32</v>
      </c>
      <c r="U386" s="0" t="e">
        <f aca="false">IF(RESET=1,0,U386+H386)</f>
        <v>#N/A</v>
      </c>
      <c r="V386" s="10" t="n">
        <f aca="false">R386/(T386+0.00001)</f>
        <v>20.6836172712936</v>
      </c>
      <c r="W386" s="10" t="e">
        <f aca="false">S386/(U386+0.0001)</f>
        <v>#N/A</v>
      </c>
      <c r="X386" s="60" t="n">
        <f aca="false">IF(Informed=1,K386,0)</f>
        <v>0</v>
      </c>
      <c r="Y386" s="60" t="n">
        <f aca="false">IF(Informed=0,K386,0)</f>
        <v>0</v>
      </c>
      <c r="Z386" s="60" t="n">
        <f aca="false">IF(Informed=1,N386,0)</f>
        <v>0</v>
      </c>
      <c r="AA386" s="60" t="n">
        <f aca="false">IF(Informed=0,N386,0)</f>
        <v>23.2889773518347</v>
      </c>
      <c r="AB386" s="64" t="n">
        <f aca="false">IF(Arterial=0,IF(Informed=1,1,0),0)</f>
        <v>0</v>
      </c>
      <c r="AC386" s="64" t="n">
        <f aca="false">IF(Arterial=0,IF(Informed=0,1,0),0)</f>
        <v>0</v>
      </c>
      <c r="AD386" s="64" t="n">
        <f aca="false">IF(Arterial=1,IF(Informed=1,1,0),0)</f>
        <v>0</v>
      </c>
      <c r="AE386" s="64" t="n">
        <f aca="false">IF(Arterial=1,IF(Informed=0,1,0),0)</f>
        <v>1</v>
      </c>
      <c r="AF386" s="57" t="n">
        <f aca="false">IF(AB386=1,(X386-G$1030)^2,0)</f>
        <v>0</v>
      </c>
      <c r="AG386" s="57" t="n">
        <f aca="false">IF(AC386=1,(Y386-H$1030)^2,0)</f>
        <v>0</v>
      </c>
      <c r="AH386" s="57" t="n">
        <f aca="false">IF(AD386=1,(Z386-I$1030)^2,0)</f>
        <v>0</v>
      </c>
      <c r="AI386" s="57" t="n">
        <f aca="false">IF(AE386=1,(AA386-J$1030)^2,0)</f>
        <v>542.376466094268</v>
      </c>
    </row>
    <row r="387" customFormat="false" ht="12" hidden="false" customHeight="false" outlineLevel="0" collapsed="false">
      <c r="A387" s="5" t="n">
        <v>370</v>
      </c>
      <c r="B387" s="58" t="n">
        <f aca="true">IF(RAND()&lt;$D$8,1,0)</f>
        <v>0</v>
      </c>
      <c r="C387" s="47" t="n">
        <f aca="true">-LN(RAND())/$D$2</f>
        <v>0.379722985122724</v>
      </c>
      <c r="D387" s="59" t="n">
        <f aca="false">D386+C387</f>
        <v>359.883007797435</v>
      </c>
      <c r="E387" s="60" t="n">
        <f aca="false">MAX($D$3,(1+P386-VLOOKUP(VALUE(D387),$J$18:$Q386,7,TRUE()))*$D$3)</f>
        <v>14</v>
      </c>
      <c r="F387" s="60" t="n">
        <f aca="false">MAX($D$4,(1+Q386-VLOOKUP(VALUE(D387),$M$18:$Q386,5,TRUE()))*$D$4)</f>
        <v>26</v>
      </c>
      <c r="G387" s="61" t="n">
        <v>0.5</v>
      </c>
      <c r="H387" s="59" t="n">
        <f aca="true">IF((B387=1),(IF((F387&lt;E387),1,(IF((F387=E387),(IF(RAND()&lt;G387,1,0)),0)))),(IF((RAND()&lt;G387),1,0)))</f>
        <v>1</v>
      </c>
      <c r="I387" s="59" t="n">
        <f aca="true">IF((H387=1),0,$D$3+$D$5*(RAND()-0.5))</f>
        <v>0</v>
      </c>
      <c r="J387" s="59" t="n">
        <f aca="false">I387+MAX(D387,J386)</f>
        <v>370.021143514988</v>
      </c>
      <c r="K387" s="59" t="n">
        <f aca="false">IF((H387=0),J387-D387,0)</f>
        <v>0</v>
      </c>
      <c r="L387" s="59" t="n">
        <f aca="true">IF(($H387=0),0,$D$4+$D$5*(RAND()-0.5))</f>
        <v>1.91759513277394</v>
      </c>
      <c r="M387" s="59" t="n">
        <f aca="false">L387+MAX(D387,M386)</f>
        <v>384.709857296921</v>
      </c>
      <c r="N387" s="59" t="n">
        <f aca="false">IF((H387=1),M387-D387,0)</f>
        <v>24.8268494994859</v>
      </c>
      <c r="O387" s="5" t="n">
        <v>370</v>
      </c>
      <c r="P387" s="62" t="n">
        <f aca="false">IF((Arterial=0),P386+1,P386)</f>
        <v>181</v>
      </c>
      <c r="Q387" s="62" t="n">
        <f aca="false">IF((Arterial=1),Q386+1,Q386)</f>
        <v>189</v>
      </c>
      <c r="R387" s="63" t="n">
        <f aca="false">IF((RESET=1),0,R387+K387)</f>
        <v>624.59049796824</v>
      </c>
      <c r="S387" s="10" t="e">
        <f aca="false">IF(RESET=1,0,S387+N387)</f>
        <v>#N/A</v>
      </c>
      <c r="T387" s="0" t="n">
        <f aca="false">IF(RESET=1,0,T387+IF(H387=0,1,0))</f>
        <v>28</v>
      </c>
      <c r="U387" s="0" t="e">
        <f aca="false">IF(RESET=1,0,U387+H387)</f>
        <v>#N/A</v>
      </c>
      <c r="V387" s="10" t="n">
        <f aca="false">R387/(T387+0.00001)</f>
        <v>22.306795532153</v>
      </c>
      <c r="W387" s="10" t="e">
        <f aca="false">S387/(U387+0.0001)</f>
        <v>#N/A</v>
      </c>
      <c r="X387" s="60" t="n">
        <f aca="false">IF(Informed=1,K387,0)</f>
        <v>0</v>
      </c>
      <c r="Y387" s="60" t="n">
        <f aca="false">IF(Informed=0,K387,0)</f>
        <v>0</v>
      </c>
      <c r="Z387" s="60" t="n">
        <f aca="false">IF(Informed=1,N387,0)</f>
        <v>0</v>
      </c>
      <c r="AA387" s="60" t="n">
        <f aca="false">IF(Informed=0,N387,0)</f>
        <v>24.8268494994859</v>
      </c>
      <c r="AB387" s="64" t="n">
        <f aca="false">IF(Arterial=0,IF(Informed=1,1,0),0)</f>
        <v>0</v>
      </c>
      <c r="AC387" s="64" t="n">
        <f aca="false">IF(Arterial=0,IF(Informed=0,1,0),0)</f>
        <v>0</v>
      </c>
      <c r="AD387" s="64" t="n">
        <f aca="false">IF(Arterial=1,IF(Informed=1,1,0),0)</f>
        <v>0</v>
      </c>
      <c r="AE387" s="64" t="n">
        <f aca="false">IF(Arterial=1,IF(Informed=0,1,0),0)</f>
        <v>1</v>
      </c>
      <c r="AF387" s="57" t="n">
        <f aca="false">IF(AB387=1,(X387-G$1030)^2,0)</f>
        <v>0</v>
      </c>
      <c r="AG387" s="57" t="n">
        <f aca="false">IF(AC387=1,(Y387-H$1030)^2,0)</f>
        <v>0</v>
      </c>
      <c r="AH387" s="57" t="n">
        <f aca="false">IF(AD387=1,(Z387-I$1030)^2,0)</f>
        <v>0</v>
      </c>
      <c r="AI387" s="57" t="n">
        <f aca="false">IF(AE387=1,(AA387-J$1030)^2,0)</f>
        <v>616.372456070123</v>
      </c>
    </row>
    <row r="388" customFormat="false" ht="12" hidden="false" customHeight="false" outlineLevel="0" collapsed="false">
      <c r="A388" s="5" t="n">
        <v>371</v>
      </c>
      <c r="B388" s="58" t="n">
        <f aca="true">IF(RAND()&lt;$D$8,1,0)</f>
        <v>0</v>
      </c>
      <c r="C388" s="47" t="n">
        <f aca="true">-LN(RAND())/$D$2</f>
        <v>0.158719434473317</v>
      </c>
      <c r="D388" s="59" t="n">
        <f aca="false">D387+C388</f>
        <v>360.041727231909</v>
      </c>
      <c r="E388" s="60" t="n">
        <f aca="false">MAX($D$3,(1+P387-VLOOKUP(VALUE(D388),$J$18:$Q387,7,TRUE()))*$D$3)</f>
        <v>14</v>
      </c>
      <c r="F388" s="60" t="n">
        <f aca="false">MAX($D$4,(1+Q387-VLOOKUP(VALUE(D388),$M$18:$Q387,5,TRUE()))*$D$4)</f>
        <v>26</v>
      </c>
      <c r="G388" s="61" t="n">
        <v>0.5</v>
      </c>
      <c r="H388" s="59" t="n">
        <f aca="true">IF((B388=1),(IF((F388&lt;E388),1,(IF((F388=E388),(IF(RAND()&lt;G388,1,0)),0)))),(IF((RAND()&lt;G388),1,0)))</f>
        <v>1</v>
      </c>
      <c r="I388" s="59" t="n">
        <f aca="true">IF((H388=1),0,$D$3+$D$5*(RAND()-0.5))</f>
        <v>0</v>
      </c>
      <c r="J388" s="59" t="n">
        <f aca="false">I388+MAX(D388,J387)</f>
        <v>370.021143514988</v>
      </c>
      <c r="K388" s="59" t="n">
        <f aca="false">IF((H388=0),J388-D388,0)</f>
        <v>0</v>
      </c>
      <c r="L388" s="59" t="n">
        <f aca="true">IF(($H388=0),0,$D$4+$D$5*(RAND()-0.5))</f>
        <v>1.9615107056917</v>
      </c>
      <c r="M388" s="59" t="n">
        <f aca="false">L388+MAX(D388,M387)</f>
        <v>386.671368002613</v>
      </c>
      <c r="N388" s="59" t="n">
        <f aca="false">IF((H388=1),M388-D388,0)</f>
        <v>26.6296407707043</v>
      </c>
      <c r="O388" s="5" t="n">
        <v>371</v>
      </c>
      <c r="P388" s="62" t="n">
        <f aca="false">IF((Arterial=0),P387+1,P387)</f>
        <v>181</v>
      </c>
      <c r="Q388" s="62" t="n">
        <f aca="false">IF((Arterial=1),Q387+1,Q387)</f>
        <v>190</v>
      </c>
      <c r="R388" s="63" t="n">
        <f aca="false">IF((RESET=1),0,R388+K388)</f>
        <v>506.084322723754</v>
      </c>
      <c r="S388" s="10" t="e">
        <f aca="false">IF(RESET=1,0,S388+N388)</f>
        <v>#N/A</v>
      </c>
      <c r="T388" s="0" t="n">
        <f aca="false">IF(RESET=1,0,T388+IF(H388=0,1,0))</f>
        <v>27</v>
      </c>
      <c r="U388" s="0" t="e">
        <f aca="false">IF(RESET=1,0,U388+H388)</f>
        <v>#N/A</v>
      </c>
      <c r="V388" s="10" t="n">
        <f aca="false">R388/(T388+0.00001)</f>
        <v>18.7438568624143</v>
      </c>
      <c r="W388" s="10" t="e">
        <f aca="false">S388/(U388+0.0001)</f>
        <v>#N/A</v>
      </c>
      <c r="X388" s="60" t="n">
        <f aca="false">IF(Informed=1,K388,0)</f>
        <v>0</v>
      </c>
      <c r="Y388" s="60" t="n">
        <f aca="false">IF(Informed=0,K388,0)</f>
        <v>0</v>
      </c>
      <c r="Z388" s="60" t="n">
        <f aca="false">IF(Informed=1,N388,0)</f>
        <v>0</v>
      </c>
      <c r="AA388" s="60" t="n">
        <f aca="false">IF(Informed=0,N388,0)</f>
        <v>26.6296407707043</v>
      </c>
      <c r="AB388" s="64" t="n">
        <f aca="false">IF(Arterial=0,IF(Informed=1,1,0),0)</f>
        <v>0</v>
      </c>
      <c r="AC388" s="64" t="n">
        <f aca="false">IF(Arterial=0,IF(Informed=0,1,0),0)</f>
        <v>0</v>
      </c>
      <c r="AD388" s="64" t="n">
        <f aca="false">IF(Arterial=1,IF(Informed=1,1,0),0)</f>
        <v>0</v>
      </c>
      <c r="AE388" s="64" t="n">
        <f aca="false">IF(Arterial=1,IF(Informed=0,1,0),0)</f>
        <v>1</v>
      </c>
      <c r="AF388" s="57" t="n">
        <f aca="false">IF(AB388=1,(X388-G$1030)^2,0)</f>
        <v>0</v>
      </c>
      <c r="AG388" s="57" t="n">
        <f aca="false">IF(AC388=1,(Y388-H$1030)^2,0)</f>
        <v>0</v>
      </c>
      <c r="AH388" s="57" t="n">
        <f aca="false">IF(AD388=1,(Z388-I$1030)^2,0)</f>
        <v>0</v>
      </c>
      <c r="AI388" s="57" t="n">
        <f aca="false">IF(AE388=1,(AA388-J$1030)^2,0)</f>
        <v>709.137767576755</v>
      </c>
    </row>
    <row r="389" customFormat="false" ht="12" hidden="false" customHeight="false" outlineLevel="0" collapsed="false">
      <c r="A389" s="5" t="n">
        <v>372</v>
      </c>
      <c r="B389" s="58" t="n">
        <f aca="true">IF(RAND()&lt;$D$8,1,0)</f>
        <v>1</v>
      </c>
      <c r="C389" s="47" t="n">
        <f aca="true">-LN(RAND())/$D$2</f>
        <v>0.156019946310472</v>
      </c>
      <c r="D389" s="59" t="n">
        <f aca="false">D388+C389</f>
        <v>360.197747178219</v>
      </c>
      <c r="E389" s="60" t="n">
        <f aca="false">MAX($D$3,(1+P388-VLOOKUP(VALUE(D389),$J$18:$Q388,7,TRUE()))*$D$3)</f>
        <v>14</v>
      </c>
      <c r="F389" s="60" t="n">
        <f aca="false">MAX($D$4,(1+Q388-VLOOKUP(VALUE(D389),$M$18:$Q388,5,TRUE()))*$D$4)</f>
        <v>28</v>
      </c>
      <c r="G389" s="61" t="n">
        <v>0.5</v>
      </c>
      <c r="H389" s="59" t="n">
        <f aca="true">IF((B389=1),(IF((F389&lt;E389),1,(IF((F389=E389),(IF(RAND()&lt;G389,1,0)),0)))),(IF((RAND()&lt;G389),1,0)))</f>
        <v>0</v>
      </c>
      <c r="I389" s="59" t="n">
        <f aca="true">IF((H389=1),0,$D$3+$D$5*(RAND()-0.5))</f>
        <v>2.14121042886652</v>
      </c>
      <c r="J389" s="59" t="n">
        <f aca="false">I389+MAX(D389,J388)</f>
        <v>372.162353943854</v>
      </c>
      <c r="K389" s="59" t="n">
        <f aca="false">IF((H389=0),J389-D389,0)</f>
        <v>11.9646067656349</v>
      </c>
      <c r="L389" s="59" t="n">
        <f aca="true">IF(($H389=0),0,$D$4+$D$5*(RAND()-0.5))</f>
        <v>0</v>
      </c>
      <c r="M389" s="59" t="n">
        <f aca="false">L389+MAX(D389,M388)</f>
        <v>386.671368002613</v>
      </c>
      <c r="N389" s="59" t="n">
        <f aca="false">IF((H389=1),M389-D389,0)</f>
        <v>0</v>
      </c>
      <c r="O389" s="5" t="n">
        <v>372</v>
      </c>
      <c r="P389" s="62" t="n">
        <f aca="false">IF((Arterial=0),P388+1,P388)</f>
        <v>182</v>
      </c>
      <c r="Q389" s="62" t="n">
        <f aca="false">IF((Arterial=1),Q388+1,Q388)</f>
        <v>190</v>
      </c>
      <c r="R389" s="63" t="e">
        <f aca="false">IF((RESET=1),0,R389+K389)</f>
        <v>#N/A</v>
      </c>
      <c r="S389" s="10" t="n">
        <f aca="false">IF(RESET=1,0,S389+N389)</f>
        <v>614.991614508479</v>
      </c>
      <c r="T389" s="0" t="e">
        <f aca="false">IF(RESET=1,0,T389+IF(H389=0,1,0))</f>
        <v>#N/A</v>
      </c>
      <c r="U389" s="0" t="n">
        <f aca="false">IF(RESET=1,0,U389+H389)</f>
        <v>27</v>
      </c>
      <c r="V389" s="10" t="e">
        <f aca="false">R389/(T389+0.00001)</f>
        <v>#N/A</v>
      </c>
      <c r="W389" s="10" t="n">
        <f aca="false">S389/(U389+0.0001)</f>
        <v>22.7773828433406</v>
      </c>
      <c r="X389" s="60" t="n">
        <f aca="false">IF(Informed=1,K389,0)</f>
        <v>11.9646067656349</v>
      </c>
      <c r="Y389" s="60" t="n">
        <f aca="false">IF(Informed=0,K389,0)</f>
        <v>0</v>
      </c>
      <c r="Z389" s="60" t="n">
        <f aca="false">IF(Informed=1,N389,0)</f>
        <v>0</v>
      </c>
      <c r="AA389" s="60" t="n">
        <f aca="false">IF(Informed=0,N389,0)</f>
        <v>0</v>
      </c>
      <c r="AB389" s="64" t="n">
        <f aca="false">IF(Arterial=0,IF(Informed=1,1,0),0)</f>
        <v>1</v>
      </c>
      <c r="AC389" s="64" t="n">
        <f aca="false">IF(Arterial=0,IF(Informed=0,1,0),0)</f>
        <v>0</v>
      </c>
      <c r="AD389" s="64" t="n">
        <f aca="false">IF(Arterial=1,IF(Informed=1,1,0),0)</f>
        <v>0</v>
      </c>
      <c r="AE389" s="64" t="n">
        <f aca="false">IF(Arterial=1,IF(Informed=0,1,0),0)</f>
        <v>0</v>
      </c>
      <c r="AF389" s="57" t="n">
        <f aca="false">IF(AB389=1,(X389-G$1030)^2,0)</f>
        <v>143.151815056277</v>
      </c>
      <c r="AG389" s="57" t="n">
        <f aca="false">IF(AC389=1,(Y389-H$1030)^2,0)</f>
        <v>0</v>
      </c>
      <c r="AH389" s="57" t="n">
        <f aca="false">IF(AD389=1,(Z389-I$1030)^2,0)</f>
        <v>0</v>
      </c>
      <c r="AI389" s="57" t="n">
        <f aca="false">IF(AE389=1,(AA389-J$1030)^2,0)</f>
        <v>0</v>
      </c>
    </row>
    <row r="390" customFormat="false" ht="12" hidden="false" customHeight="false" outlineLevel="0" collapsed="false">
      <c r="A390" s="5" t="n">
        <v>373</v>
      </c>
      <c r="B390" s="58" t="n">
        <f aca="true">IF(RAND()&lt;$D$8,1,0)</f>
        <v>1</v>
      </c>
      <c r="C390" s="47" t="n">
        <f aca="true">-LN(RAND())/$D$2</f>
        <v>1.03092651805877</v>
      </c>
      <c r="D390" s="59" t="n">
        <f aca="false">D389+C390</f>
        <v>361.228673696278</v>
      </c>
      <c r="E390" s="60" t="n">
        <f aca="false">MAX($D$3,(1+P389-VLOOKUP(VALUE(D390),$J$18:$Q389,7,TRUE()))*$D$3)</f>
        <v>14</v>
      </c>
      <c r="F390" s="60" t="n">
        <f aca="false">MAX($D$4,(1+Q389-VLOOKUP(VALUE(D390),$M$18:$Q389,5,TRUE()))*$D$4)</f>
        <v>28</v>
      </c>
      <c r="G390" s="61" t="n">
        <v>0.5</v>
      </c>
      <c r="H390" s="59" t="n">
        <f aca="true">IF((B390=1),(IF((F390&lt;E390),1,(IF((F390=E390),(IF(RAND()&lt;G390,1,0)),0)))),(IF((RAND()&lt;G390),1,0)))</f>
        <v>0</v>
      </c>
      <c r="I390" s="59" t="n">
        <f aca="true">IF((H390=1),0,$D$3+$D$5*(RAND()-0.5))</f>
        <v>2.20049366896478</v>
      </c>
      <c r="J390" s="59" t="n">
        <f aca="false">I390+MAX(D390,J389)</f>
        <v>374.362847612819</v>
      </c>
      <c r="K390" s="59" t="n">
        <f aca="false">IF((H390=0),J390-D390,0)</f>
        <v>13.1341739165409</v>
      </c>
      <c r="L390" s="59" t="n">
        <f aca="true">IF(($H390=0),0,$D$4+$D$5*(RAND()-0.5))</f>
        <v>0</v>
      </c>
      <c r="M390" s="59" t="n">
        <f aca="false">L390+MAX(D390,M389)</f>
        <v>386.671368002613</v>
      </c>
      <c r="N390" s="59" t="n">
        <f aca="false">IF((H390=1),M390-D390,0)</f>
        <v>0</v>
      </c>
      <c r="O390" s="5" t="n">
        <v>373</v>
      </c>
      <c r="P390" s="62" t="n">
        <f aca="false">IF((Arterial=0),P389+1,P389)</f>
        <v>183</v>
      </c>
      <c r="Q390" s="62" t="n">
        <f aca="false">IF((Arterial=1),Q389+1,Q389)</f>
        <v>190</v>
      </c>
      <c r="R390" s="63" t="e">
        <f aca="false">IF((RESET=1),0,R390+K390)</f>
        <v>#N/A</v>
      </c>
      <c r="S390" s="10" t="n">
        <f aca="false">IF(RESET=1,0,S390+N390)</f>
        <v>620.143263951132</v>
      </c>
      <c r="T390" s="0" t="e">
        <f aca="false">IF(RESET=1,0,T390+IF(H390=0,1,0))</f>
        <v>#N/A</v>
      </c>
      <c r="U390" s="0" t="n">
        <f aca="false">IF(RESET=1,0,U390+H390)</f>
        <v>33</v>
      </c>
      <c r="V390" s="10" t="e">
        <f aca="false">R390/(T390+0.00001)</f>
        <v>#N/A</v>
      </c>
      <c r="W390" s="10" t="n">
        <f aca="false">S390/(U390+0.0001)</f>
        <v>18.7921631737823</v>
      </c>
      <c r="X390" s="60" t="n">
        <f aca="false">IF(Informed=1,K390,0)</f>
        <v>13.1341739165409</v>
      </c>
      <c r="Y390" s="60" t="n">
        <f aca="false">IF(Informed=0,K390,0)</f>
        <v>0</v>
      </c>
      <c r="Z390" s="60" t="n">
        <f aca="false">IF(Informed=1,N390,0)</f>
        <v>0</v>
      </c>
      <c r="AA390" s="60" t="n">
        <f aca="false">IF(Informed=0,N390,0)</f>
        <v>0</v>
      </c>
      <c r="AB390" s="64" t="n">
        <f aca="false">IF(Arterial=0,IF(Informed=1,1,0),0)</f>
        <v>1</v>
      </c>
      <c r="AC390" s="64" t="n">
        <f aca="false">IF(Arterial=0,IF(Informed=0,1,0),0)</f>
        <v>0</v>
      </c>
      <c r="AD390" s="64" t="n">
        <f aca="false">IF(Arterial=1,IF(Informed=1,1,0),0)</f>
        <v>0</v>
      </c>
      <c r="AE390" s="64" t="n">
        <f aca="false">IF(Arterial=1,IF(Informed=0,1,0),0)</f>
        <v>0</v>
      </c>
      <c r="AF390" s="57" t="n">
        <f aca="false">IF(AB390=1,(X390-G$1030)^2,0)</f>
        <v>172.506524469944</v>
      </c>
      <c r="AG390" s="57" t="n">
        <f aca="false">IF(AC390=1,(Y390-H$1030)^2,0)</f>
        <v>0</v>
      </c>
      <c r="AH390" s="57" t="n">
        <f aca="false">IF(AD390=1,(Z390-I$1030)^2,0)</f>
        <v>0</v>
      </c>
      <c r="AI390" s="57" t="n">
        <f aca="false">IF(AE390=1,(AA390-J$1030)^2,0)</f>
        <v>0</v>
      </c>
    </row>
    <row r="391" customFormat="false" ht="12" hidden="false" customHeight="false" outlineLevel="0" collapsed="false">
      <c r="A391" s="5" t="n">
        <v>374</v>
      </c>
      <c r="B391" s="58" t="n">
        <f aca="true">IF(RAND()&lt;$D$8,1,0)</f>
        <v>0</v>
      </c>
      <c r="C391" s="47" t="n">
        <f aca="true">-LN(RAND())/$D$2</f>
        <v>0.433752607849483</v>
      </c>
      <c r="D391" s="59" t="n">
        <f aca="false">D390+C391</f>
        <v>361.662426304128</v>
      </c>
      <c r="E391" s="60" t="n">
        <f aca="false">MAX($D$3,(1+P390-VLOOKUP(VALUE(D391),$J$18:$Q390,7,TRUE()))*$D$3)</f>
        <v>16</v>
      </c>
      <c r="F391" s="60" t="n">
        <f aca="false">MAX($D$4,(1+Q390-VLOOKUP(VALUE(D391),$M$18:$Q390,5,TRUE()))*$D$4)</f>
        <v>28</v>
      </c>
      <c r="G391" s="61" t="n">
        <v>0.5</v>
      </c>
      <c r="H391" s="59" t="n">
        <f aca="true">IF((B391=1),(IF((F391&lt;E391),1,(IF((F391=E391),(IF(RAND()&lt;G391,1,0)),0)))),(IF((RAND()&lt;G391),1,0)))</f>
        <v>0</v>
      </c>
      <c r="I391" s="59" t="n">
        <f aca="true">IF((H391=1),0,$D$3+$D$5*(RAND()-0.5))</f>
        <v>1.75566417508227</v>
      </c>
      <c r="J391" s="59" t="n">
        <f aca="false">I391+MAX(D391,J390)</f>
        <v>376.118511787901</v>
      </c>
      <c r="K391" s="59" t="n">
        <f aca="false">IF((H391=0),J391-D391,0)</f>
        <v>14.4560854837737</v>
      </c>
      <c r="L391" s="59" t="n">
        <f aca="true">IF(($H391=0),0,$D$4+$D$5*(RAND()-0.5))</f>
        <v>0</v>
      </c>
      <c r="M391" s="59" t="n">
        <f aca="false">L391+MAX(D391,M390)</f>
        <v>386.671368002613</v>
      </c>
      <c r="N391" s="59" t="n">
        <f aca="false">IF((H391=1),M391-D391,0)</f>
        <v>0</v>
      </c>
      <c r="O391" s="5" t="n">
        <v>374</v>
      </c>
      <c r="P391" s="62" t="n">
        <f aca="false">IF((Arterial=0),P390+1,P390)</f>
        <v>184</v>
      </c>
      <c r="Q391" s="62" t="n">
        <f aca="false">IF((Arterial=1),Q390+1,Q390)</f>
        <v>190</v>
      </c>
      <c r="R391" s="63" t="e">
        <f aca="false">IF((RESET=1),0,R391+K391)</f>
        <v>#N/A</v>
      </c>
      <c r="S391" s="10" t="n">
        <f aca="false">IF(RESET=1,0,S391+N391)</f>
        <v>551.561411651518</v>
      </c>
      <c r="T391" s="0" t="e">
        <f aca="false">IF(RESET=1,0,T391+IF(H391=0,1,0))</f>
        <v>#N/A</v>
      </c>
      <c r="U391" s="0" t="n">
        <f aca="false">IF(RESET=1,0,U391+H391)</f>
        <v>22</v>
      </c>
      <c r="V391" s="10" t="e">
        <f aca="false">R391/(T391+0.00001)</f>
        <v>#N/A</v>
      </c>
      <c r="W391" s="10" t="n">
        <f aca="false">S391/(U391+0.0001)</f>
        <v>25.0708592984358</v>
      </c>
      <c r="X391" s="60" t="n">
        <f aca="false">IF(Informed=1,K391,0)</f>
        <v>0</v>
      </c>
      <c r="Y391" s="60" t="n">
        <f aca="false">IF(Informed=0,K391,0)</f>
        <v>14.4560854837737</v>
      </c>
      <c r="Z391" s="60" t="n">
        <f aca="false">IF(Informed=1,N391,0)</f>
        <v>0</v>
      </c>
      <c r="AA391" s="60" t="n">
        <f aca="false">IF(Informed=0,N391,0)</f>
        <v>0</v>
      </c>
      <c r="AB391" s="64" t="n">
        <f aca="false">IF(Arterial=0,IF(Informed=1,1,0),0)</f>
        <v>0</v>
      </c>
      <c r="AC391" s="64" t="n">
        <f aca="false">IF(Arterial=0,IF(Informed=0,1,0),0)</f>
        <v>1</v>
      </c>
      <c r="AD391" s="64" t="n">
        <f aca="false">IF(Arterial=1,IF(Informed=1,1,0),0)</f>
        <v>0</v>
      </c>
      <c r="AE391" s="64" t="n">
        <f aca="false">IF(Arterial=1,IF(Informed=0,1,0),0)</f>
        <v>0</v>
      </c>
      <c r="AF391" s="57" t="n">
        <f aca="false">IF(AB391=1,(X391-G$1030)^2,0)</f>
        <v>0</v>
      </c>
      <c r="AG391" s="57" t="n">
        <f aca="false">IF(AC391=1,(Y391-H$1030)^2,0)</f>
        <v>208.978407514172</v>
      </c>
      <c r="AH391" s="57" t="n">
        <f aca="false">IF(AD391=1,(Z391-I$1030)^2,0)</f>
        <v>0</v>
      </c>
      <c r="AI391" s="57" t="n">
        <f aca="false">IF(AE391=1,(AA391-J$1030)^2,0)</f>
        <v>0</v>
      </c>
    </row>
    <row r="392" customFormat="false" ht="12" hidden="false" customHeight="false" outlineLevel="0" collapsed="false">
      <c r="A392" s="5" t="n">
        <v>375</v>
      </c>
      <c r="B392" s="58" t="n">
        <f aca="true">IF(RAND()&lt;$D$8,1,0)</f>
        <v>0</v>
      </c>
      <c r="C392" s="47" t="n">
        <f aca="true">-LN(RAND())/$D$2</f>
        <v>0.0194209628930936</v>
      </c>
      <c r="D392" s="59" t="n">
        <f aca="false">D391+C392</f>
        <v>361.681847267021</v>
      </c>
      <c r="E392" s="60" t="n">
        <f aca="false">MAX($D$3,(1+P391-VLOOKUP(VALUE(D392),$J$18:$Q391,7,TRUE()))*$D$3)</f>
        <v>18</v>
      </c>
      <c r="F392" s="60" t="n">
        <f aca="false">MAX($D$4,(1+Q391-VLOOKUP(VALUE(D392),$M$18:$Q391,5,TRUE()))*$D$4)</f>
        <v>28</v>
      </c>
      <c r="G392" s="61" t="n">
        <v>0.5</v>
      </c>
      <c r="H392" s="59" t="n">
        <f aca="true">IF((B392=1),(IF((F392&lt;E392),1,(IF((F392=E392),(IF(RAND()&lt;G392,1,0)),0)))),(IF((RAND()&lt;G392),1,0)))</f>
        <v>0</v>
      </c>
      <c r="I392" s="59" t="n">
        <f aca="true">IF((H392=1),0,$D$3+$D$5*(RAND()-0.5))</f>
        <v>2.21854391762401</v>
      </c>
      <c r="J392" s="59" t="n">
        <f aca="false">I392+MAX(D392,J391)</f>
        <v>378.337055705525</v>
      </c>
      <c r="K392" s="59" t="n">
        <f aca="false">IF((H392=0),J392-D392,0)</f>
        <v>16.6552084385046</v>
      </c>
      <c r="L392" s="59" t="n">
        <f aca="true">IF(($H392=0),0,$D$4+$D$5*(RAND()-0.5))</f>
        <v>0</v>
      </c>
      <c r="M392" s="59" t="n">
        <f aca="false">L392+MAX(D392,M391)</f>
        <v>386.671368002613</v>
      </c>
      <c r="N392" s="59" t="n">
        <f aca="false">IF((H392=1),M392-D392,0)</f>
        <v>0</v>
      </c>
      <c r="O392" s="5" t="n">
        <v>375</v>
      </c>
      <c r="P392" s="62" t="n">
        <f aca="false">IF((Arterial=0),P391+1,P391)</f>
        <v>185</v>
      </c>
      <c r="Q392" s="62" t="n">
        <f aca="false">IF((Arterial=1),Q391+1,Q391)</f>
        <v>190</v>
      </c>
      <c r="R392" s="63" t="e">
        <f aca="false">IF((RESET=1),0,R392+K392)</f>
        <v>#N/A</v>
      </c>
      <c r="S392" s="10" t="n">
        <f aca="false">IF(RESET=1,0,S392+N392)</f>
        <v>576.434704639782</v>
      </c>
      <c r="T392" s="0" t="e">
        <f aca="false">IF(RESET=1,0,T392+IF(H392=0,1,0))</f>
        <v>#N/A</v>
      </c>
      <c r="U392" s="0" t="n">
        <f aca="false">IF(RESET=1,0,U392+H392)</f>
        <v>30</v>
      </c>
      <c r="V392" s="10" t="e">
        <f aca="false">R392/(T392+0.00001)</f>
        <v>#N/A</v>
      </c>
      <c r="W392" s="10" t="n">
        <f aca="false">S392/(U392+0.0001)</f>
        <v>19.2144261065724</v>
      </c>
      <c r="X392" s="60" t="n">
        <f aca="false">IF(Informed=1,K392,0)</f>
        <v>0</v>
      </c>
      <c r="Y392" s="60" t="n">
        <f aca="false">IF(Informed=0,K392,0)</f>
        <v>16.6552084385046</v>
      </c>
      <c r="Z392" s="60" t="n">
        <f aca="false">IF(Informed=1,N392,0)</f>
        <v>0</v>
      </c>
      <c r="AA392" s="60" t="n">
        <f aca="false">IF(Informed=0,N392,0)</f>
        <v>0</v>
      </c>
      <c r="AB392" s="64" t="n">
        <f aca="false">IF(Arterial=0,IF(Informed=1,1,0),0)</f>
        <v>0</v>
      </c>
      <c r="AC392" s="64" t="n">
        <f aca="false">IF(Arterial=0,IF(Informed=0,1,0),0)</f>
        <v>1</v>
      </c>
      <c r="AD392" s="64" t="n">
        <f aca="false">IF(Arterial=1,IF(Informed=1,1,0),0)</f>
        <v>0</v>
      </c>
      <c r="AE392" s="64" t="n">
        <f aca="false">IF(Arterial=1,IF(Informed=0,1,0),0)</f>
        <v>0</v>
      </c>
      <c r="AF392" s="57" t="n">
        <f aca="false">IF(AB392=1,(X392-G$1030)^2,0)</f>
        <v>0</v>
      </c>
      <c r="AG392" s="57" t="n">
        <f aca="false">IF(AC392=1,(Y392-H$1030)^2,0)</f>
        <v>277.395968130034</v>
      </c>
      <c r="AH392" s="57" t="n">
        <f aca="false">IF(AD392=1,(Z392-I$1030)^2,0)</f>
        <v>0</v>
      </c>
      <c r="AI392" s="57" t="n">
        <f aca="false">IF(AE392=1,(AA392-J$1030)^2,0)</f>
        <v>0</v>
      </c>
    </row>
    <row r="393" customFormat="false" ht="12" hidden="false" customHeight="false" outlineLevel="0" collapsed="false">
      <c r="A393" s="5" t="n">
        <v>376</v>
      </c>
      <c r="B393" s="58" t="n">
        <f aca="true">IF(RAND()&lt;$D$8,1,0)</f>
        <v>0</v>
      </c>
      <c r="C393" s="47" t="n">
        <f aca="true">-LN(RAND())/$D$2</f>
        <v>0.628921505622266</v>
      </c>
      <c r="D393" s="59" t="n">
        <f aca="false">D392+C393</f>
        <v>362.310768772643</v>
      </c>
      <c r="E393" s="60" t="n">
        <f aca="false">MAX($D$3,(1+P392-VLOOKUP(VALUE(D393),$J$18:$Q392,7,TRUE()))*$D$3)</f>
        <v>18</v>
      </c>
      <c r="F393" s="60" t="n">
        <f aca="false">MAX($D$4,(1+Q392-VLOOKUP(VALUE(D393),$M$18:$Q392,5,TRUE()))*$D$4)</f>
        <v>26</v>
      </c>
      <c r="G393" s="61" t="n">
        <v>0.5</v>
      </c>
      <c r="H393" s="59" t="n">
        <f aca="true">IF((B393=1),(IF((F393&lt;E393),1,(IF((F393=E393),(IF(RAND()&lt;G393,1,0)),0)))),(IF((RAND()&lt;G393),1,0)))</f>
        <v>0</v>
      </c>
      <c r="I393" s="59" t="n">
        <f aca="true">IF((H393=1),0,$D$3+$D$5*(RAND()-0.5))</f>
        <v>1.90739971050908</v>
      </c>
      <c r="J393" s="59" t="n">
        <f aca="false">I393+MAX(D393,J392)</f>
        <v>380.244455416034</v>
      </c>
      <c r="K393" s="59" t="n">
        <f aca="false">IF((H393=0),J393-D393,0)</f>
        <v>17.9336866433914</v>
      </c>
      <c r="L393" s="59" t="n">
        <f aca="true">IF(($H393=0),0,$D$4+$D$5*(RAND()-0.5))</f>
        <v>0</v>
      </c>
      <c r="M393" s="59" t="n">
        <f aca="false">L393+MAX(D393,M392)</f>
        <v>386.671368002613</v>
      </c>
      <c r="N393" s="59" t="n">
        <f aca="false">IF((H393=1),M393-D393,0)</f>
        <v>0</v>
      </c>
      <c r="O393" s="5" t="n">
        <v>376</v>
      </c>
      <c r="P393" s="62" t="n">
        <f aca="false">IF((Arterial=0),P392+1,P392)</f>
        <v>186</v>
      </c>
      <c r="Q393" s="62" t="n">
        <f aca="false">IF((Arterial=1),Q392+1,Q392)</f>
        <v>190</v>
      </c>
      <c r="R393" s="63" t="e">
        <f aca="false">IF((RESET=1),0,R393+K393)</f>
        <v>#N/A</v>
      </c>
      <c r="S393" s="10" t="n">
        <f aca="false">IF(RESET=1,0,S393+N393)</f>
        <v>604.254631525809</v>
      </c>
      <c r="T393" s="0" t="e">
        <f aca="false">IF(RESET=1,0,T393+IF(H393=0,1,0))</f>
        <v>#N/A</v>
      </c>
      <c r="U393" s="0" t="n">
        <f aca="false">IF(RESET=1,0,U393+H393)</f>
        <v>27</v>
      </c>
      <c r="V393" s="10" t="e">
        <f aca="false">R393/(T393+0.00001)</f>
        <v>#N/A</v>
      </c>
      <c r="W393" s="10" t="n">
        <f aca="false">S393/(U393+0.0001)</f>
        <v>22.3797182797771</v>
      </c>
      <c r="X393" s="60" t="n">
        <f aca="false">IF(Informed=1,K393,0)</f>
        <v>0</v>
      </c>
      <c r="Y393" s="60" t="n">
        <f aca="false">IF(Informed=0,K393,0)</f>
        <v>17.9336866433914</v>
      </c>
      <c r="Z393" s="60" t="n">
        <f aca="false">IF(Informed=1,N393,0)</f>
        <v>0</v>
      </c>
      <c r="AA393" s="60" t="n">
        <f aca="false">IF(Informed=0,N393,0)</f>
        <v>0</v>
      </c>
      <c r="AB393" s="64" t="n">
        <f aca="false">IF(Arterial=0,IF(Informed=1,1,0),0)</f>
        <v>0</v>
      </c>
      <c r="AC393" s="64" t="n">
        <f aca="false">IF(Arterial=0,IF(Informed=0,1,0),0)</f>
        <v>1</v>
      </c>
      <c r="AD393" s="64" t="n">
        <f aca="false">IF(Arterial=1,IF(Informed=1,1,0),0)</f>
        <v>0</v>
      </c>
      <c r="AE393" s="64" t="n">
        <f aca="false">IF(Arterial=1,IF(Informed=0,1,0),0)</f>
        <v>0</v>
      </c>
      <c r="AF393" s="57" t="n">
        <f aca="false">IF(AB393=1,(X393-G$1030)^2,0)</f>
        <v>0</v>
      </c>
      <c r="AG393" s="57" t="n">
        <f aca="false">IF(AC393=1,(Y393-H$1030)^2,0)</f>
        <v>321.617116623356</v>
      </c>
      <c r="AH393" s="57" t="n">
        <f aca="false">IF(AD393=1,(Z393-I$1030)^2,0)</f>
        <v>0</v>
      </c>
      <c r="AI393" s="57" t="n">
        <f aca="false">IF(AE393=1,(AA393-J$1030)^2,0)</f>
        <v>0</v>
      </c>
    </row>
    <row r="394" customFormat="false" ht="12" hidden="false" customHeight="false" outlineLevel="0" collapsed="false">
      <c r="A394" s="5" t="n">
        <v>377</v>
      </c>
      <c r="B394" s="58" t="n">
        <f aca="true">IF(RAND()&lt;$D$8,1,0)</f>
        <v>0</v>
      </c>
      <c r="C394" s="47" t="n">
        <f aca="true">-LN(RAND())/$D$2</f>
        <v>0.499221033719335</v>
      </c>
      <c r="D394" s="59" t="n">
        <f aca="false">D393+C394</f>
        <v>362.809989806362</v>
      </c>
      <c r="E394" s="60" t="n">
        <f aca="false">MAX($D$3,(1+P393-VLOOKUP(VALUE(D394),$J$18:$Q393,7,TRUE()))*$D$3)</f>
        <v>20</v>
      </c>
      <c r="F394" s="60" t="n">
        <f aca="false">MAX($D$4,(1+Q393-VLOOKUP(VALUE(D394),$M$18:$Q393,5,TRUE()))*$D$4)</f>
        <v>26</v>
      </c>
      <c r="G394" s="61" t="n">
        <v>0.5</v>
      </c>
      <c r="H394" s="59" t="n">
        <f aca="true">IF((B394=1),(IF((F394&lt;E394),1,(IF((F394=E394),(IF(RAND()&lt;G394,1,0)),0)))),(IF((RAND()&lt;G394),1,0)))</f>
        <v>1</v>
      </c>
      <c r="I394" s="59" t="n">
        <f aca="true">IF((H394=1),0,$D$3+$D$5*(RAND()-0.5))</f>
        <v>0</v>
      </c>
      <c r="J394" s="59" t="n">
        <f aca="false">I394+MAX(D394,J393)</f>
        <v>380.244455416034</v>
      </c>
      <c r="K394" s="59" t="n">
        <f aca="false">IF((H394=0),J394-D394,0)</f>
        <v>0</v>
      </c>
      <c r="L394" s="59" t="n">
        <f aca="true">IF(($H394=0),0,$D$4+$D$5*(RAND()-0.5))</f>
        <v>1.84842677337164</v>
      </c>
      <c r="M394" s="59" t="n">
        <f aca="false">L394+MAX(D394,M393)</f>
        <v>388.519794775985</v>
      </c>
      <c r="N394" s="59" t="n">
        <f aca="false">IF((H394=1),M394-D394,0)</f>
        <v>25.7098049696225</v>
      </c>
      <c r="O394" s="5" t="n">
        <v>377</v>
      </c>
      <c r="P394" s="62" t="n">
        <f aca="false">IF((Arterial=0),P393+1,P393)</f>
        <v>186</v>
      </c>
      <c r="Q394" s="62" t="n">
        <f aca="false">IF((Arterial=1),Q393+1,Q393)</f>
        <v>191</v>
      </c>
      <c r="R394" s="63" t="n">
        <f aca="false">IF((RESET=1),0,R394+K394)</f>
        <v>622.353506501744</v>
      </c>
      <c r="S394" s="10" t="e">
        <f aca="false">IF(RESET=1,0,S394+N394)</f>
        <v>#N/A</v>
      </c>
      <c r="T394" s="0" t="n">
        <f aca="false">IF(RESET=1,0,T394+IF(H394=0,1,0))</f>
        <v>27</v>
      </c>
      <c r="U394" s="0" t="e">
        <f aca="false">IF(RESET=1,0,U394+H394)</f>
        <v>#N/A</v>
      </c>
      <c r="V394" s="10" t="n">
        <f aca="false">R394/(T394+0.00001)</f>
        <v>23.050121333353</v>
      </c>
      <c r="W394" s="10" t="e">
        <f aca="false">S394/(U394+0.0001)</f>
        <v>#N/A</v>
      </c>
      <c r="X394" s="60" t="n">
        <f aca="false">IF(Informed=1,K394,0)</f>
        <v>0</v>
      </c>
      <c r="Y394" s="60" t="n">
        <f aca="false">IF(Informed=0,K394,0)</f>
        <v>0</v>
      </c>
      <c r="Z394" s="60" t="n">
        <f aca="false">IF(Informed=1,N394,0)</f>
        <v>0</v>
      </c>
      <c r="AA394" s="60" t="n">
        <f aca="false">IF(Informed=0,N394,0)</f>
        <v>25.7098049696225</v>
      </c>
      <c r="AB394" s="64" t="n">
        <f aca="false">IF(Arterial=0,IF(Informed=1,1,0),0)</f>
        <v>0</v>
      </c>
      <c r="AC394" s="64" t="n">
        <f aca="false">IF(Arterial=0,IF(Informed=0,1,0),0)</f>
        <v>0</v>
      </c>
      <c r="AD394" s="64" t="n">
        <f aca="false">IF(Arterial=1,IF(Informed=1,1,0),0)</f>
        <v>0</v>
      </c>
      <c r="AE394" s="64" t="n">
        <f aca="false">IF(Arterial=1,IF(Informed=0,1,0),0)</f>
        <v>1</v>
      </c>
      <c r="AF394" s="57" t="n">
        <f aca="false">IF(AB394=1,(X394-G$1030)^2,0)</f>
        <v>0</v>
      </c>
      <c r="AG394" s="57" t="n">
        <f aca="false">IF(AC394=1,(Y394-H$1030)^2,0)</f>
        <v>0</v>
      </c>
      <c r="AH394" s="57" t="n">
        <f aca="false">IF(AD394=1,(Z394-I$1030)^2,0)</f>
        <v>0</v>
      </c>
      <c r="AI394" s="57" t="n">
        <f aca="false">IF(AE394=1,(AA394-J$1030)^2,0)</f>
        <v>660.994071576026</v>
      </c>
    </row>
    <row r="395" customFormat="false" ht="12" hidden="false" customHeight="false" outlineLevel="0" collapsed="false">
      <c r="A395" s="5" t="n">
        <v>378</v>
      </c>
      <c r="B395" s="58" t="n">
        <f aca="true">IF(RAND()&lt;$D$8,1,0)</f>
        <v>1</v>
      </c>
      <c r="C395" s="47" t="n">
        <f aca="true">-LN(RAND())/$D$2</f>
        <v>0.0372374529518262</v>
      </c>
      <c r="D395" s="59" t="n">
        <f aca="false">D394+C395</f>
        <v>362.847227259314</v>
      </c>
      <c r="E395" s="60" t="n">
        <f aca="false">MAX($D$3,(1+P394-VLOOKUP(VALUE(D395),$J$18:$Q394,7,TRUE()))*$D$3)</f>
        <v>20</v>
      </c>
      <c r="F395" s="60" t="n">
        <f aca="false">MAX($D$4,(1+Q394-VLOOKUP(VALUE(D395),$M$18:$Q394,5,TRUE()))*$D$4)</f>
        <v>28</v>
      </c>
      <c r="G395" s="61" t="n">
        <v>0.5</v>
      </c>
      <c r="H395" s="59" t="n">
        <f aca="true">IF((B395=1),(IF((F395&lt;E395),1,(IF((F395=E395),(IF(RAND()&lt;G395,1,0)),0)))),(IF((RAND()&lt;G395),1,0)))</f>
        <v>0</v>
      </c>
      <c r="I395" s="59" t="n">
        <f aca="true">IF((H395=1),0,$D$3+$D$5*(RAND()-0.5))</f>
        <v>2.15875876346925</v>
      </c>
      <c r="J395" s="59" t="n">
        <f aca="false">I395+MAX(D395,J394)</f>
        <v>382.403214179504</v>
      </c>
      <c r="K395" s="59" t="n">
        <f aca="false">IF((H395=0),J395-D395,0)</f>
        <v>19.5559869201895</v>
      </c>
      <c r="L395" s="59" t="n">
        <f aca="true">IF(($H395=0),0,$D$4+$D$5*(RAND()-0.5))</f>
        <v>0</v>
      </c>
      <c r="M395" s="59" t="n">
        <f aca="false">L395+MAX(D395,M394)</f>
        <v>388.519794775985</v>
      </c>
      <c r="N395" s="59" t="n">
        <f aca="false">IF((H395=1),M395-D395,0)</f>
        <v>0</v>
      </c>
      <c r="O395" s="5" t="n">
        <v>378</v>
      </c>
      <c r="P395" s="62" t="n">
        <f aca="false">IF((Arterial=0),P394+1,P394)</f>
        <v>187</v>
      </c>
      <c r="Q395" s="62" t="n">
        <f aca="false">IF((Arterial=1),Q394+1,Q394)</f>
        <v>191</v>
      </c>
      <c r="R395" s="63" t="e">
        <f aca="false">IF((RESET=1),0,R395+K395)</f>
        <v>#N/A</v>
      </c>
      <c r="S395" s="10" t="n">
        <f aca="false">IF(RESET=1,0,S395+N395)</f>
        <v>632.369494755633</v>
      </c>
      <c r="T395" s="0" t="e">
        <f aca="false">IF(RESET=1,0,T395+IF(H395=0,1,0))</f>
        <v>#N/A</v>
      </c>
      <c r="U395" s="0" t="n">
        <f aca="false">IF(RESET=1,0,U395+H395)</f>
        <v>28</v>
      </c>
      <c r="V395" s="10" t="e">
        <f aca="false">R395/(T395+0.00001)</f>
        <v>#N/A</v>
      </c>
      <c r="W395" s="10" t="n">
        <f aca="false">S395/(U395+0.0001)</f>
        <v>22.5845441536149</v>
      </c>
      <c r="X395" s="60" t="n">
        <f aca="false">IF(Informed=1,K395,0)</f>
        <v>19.5559869201895</v>
      </c>
      <c r="Y395" s="60" t="n">
        <f aca="false">IF(Informed=0,K395,0)</f>
        <v>0</v>
      </c>
      <c r="Z395" s="60" t="n">
        <f aca="false">IF(Informed=1,N395,0)</f>
        <v>0</v>
      </c>
      <c r="AA395" s="60" t="n">
        <f aca="false">IF(Informed=0,N395,0)</f>
        <v>0</v>
      </c>
      <c r="AB395" s="64" t="n">
        <f aca="false">IF(Arterial=0,IF(Informed=1,1,0),0)</f>
        <v>1</v>
      </c>
      <c r="AC395" s="64" t="n">
        <f aca="false">IF(Arterial=0,IF(Informed=0,1,0),0)</f>
        <v>0</v>
      </c>
      <c r="AD395" s="64" t="n">
        <f aca="false">IF(Arterial=1,IF(Informed=1,1,0),0)</f>
        <v>0</v>
      </c>
      <c r="AE395" s="64" t="n">
        <f aca="false">IF(Arterial=1,IF(Informed=0,1,0),0)</f>
        <v>0</v>
      </c>
      <c r="AF395" s="57" t="n">
        <f aca="false">IF(AB395=1,(X395-G$1030)^2,0)</f>
        <v>382.436624422622</v>
      </c>
      <c r="AG395" s="57" t="n">
        <f aca="false">IF(AC395=1,(Y395-H$1030)^2,0)</f>
        <v>0</v>
      </c>
      <c r="AH395" s="57" t="n">
        <f aca="false">IF(AD395=1,(Z395-I$1030)^2,0)</f>
        <v>0</v>
      </c>
      <c r="AI395" s="57" t="n">
        <f aca="false">IF(AE395=1,(AA395-J$1030)^2,0)</f>
        <v>0</v>
      </c>
    </row>
    <row r="396" customFormat="false" ht="12" hidden="false" customHeight="false" outlineLevel="0" collapsed="false">
      <c r="A396" s="5" t="n">
        <v>379</v>
      </c>
      <c r="B396" s="58" t="n">
        <f aca="true">IF(RAND()&lt;$D$8,1,0)</f>
        <v>0</v>
      </c>
      <c r="C396" s="47" t="n">
        <f aca="true">-LN(RAND())/$D$2</f>
        <v>0.198435748971356</v>
      </c>
      <c r="D396" s="59" t="n">
        <f aca="false">D395+C396</f>
        <v>363.045663008285</v>
      </c>
      <c r="E396" s="60" t="n">
        <f aca="false">MAX($D$3,(1+P395-VLOOKUP(VALUE(D396),$J$18:$Q395,7,TRUE()))*$D$3)</f>
        <v>22</v>
      </c>
      <c r="F396" s="60" t="n">
        <f aca="false">MAX($D$4,(1+Q395-VLOOKUP(VALUE(D396),$M$18:$Q395,5,TRUE()))*$D$4)</f>
        <v>28</v>
      </c>
      <c r="G396" s="61" t="n">
        <v>0.5</v>
      </c>
      <c r="H396" s="59" t="n">
        <f aca="true">IF((B396=1),(IF((F396&lt;E396),1,(IF((F396=E396),(IF(RAND()&lt;G396,1,0)),0)))),(IF((RAND()&lt;G396),1,0)))</f>
        <v>0</v>
      </c>
      <c r="I396" s="59" t="n">
        <f aca="true">IF((H396=1),0,$D$3+$D$5*(RAND()-0.5))</f>
        <v>1.95094116091796</v>
      </c>
      <c r="J396" s="59" t="n">
        <f aca="false">I396+MAX(D396,J395)</f>
        <v>384.354155340421</v>
      </c>
      <c r="K396" s="59" t="n">
        <f aca="false">IF((H396=0),J396-D396,0)</f>
        <v>21.3084923321361</v>
      </c>
      <c r="L396" s="59" t="n">
        <f aca="true">IF(($H396=0),0,$D$4+$D$5*(RAND()-0.5))</f>
        <v>0</v>
      </c>
      <c r="M396" s="59" t="n">
        <f aca="false">L396+MAX(D396,M395)</f>
        <v>388.519794775985</v>
      </c>
      <c r="N396" s="59" t="n">
        <f aca="false">IF((H396=1),M396-D396,0)</f>
        <v>0</v>
      </c>
      <c r="O396" s="5" t="n">
        <v>379</v>
      </c>
      <c r="P396" s="62" t="n">
        <f aca="false">IF((Arterial=0),P395+1,P395)</f>
        <v>188</v>
      </c>
      <c r="Q396" s="62" t="n">
        <f aca="false">IF((Arterial=1),Q395+1,Q395)</f>
        <v>191</v>
      </c>
      <c r="R396" s="63" t="e">
        <f aca="false">IF((RESET=1),0,R396+K396)</f>
        <v>#N/A</v>
      </c>
      <c r="S396" s="10" t="n">
        <f aca="false">IF(RESET=1,0,S396+N396)</f>
        <v>473.016473150021</v>
      </c>
      <c r="T396" s="0" t="e">
        <f aca="false">IF(RESET=1,0,T396+IF(H396=0,1,0))</f>
        <v>#N/A</v>
      </c>
      <c r="U396" s="0" t="n">
        <f aca="false">IF(RESET=1,0,U396+H396)</f>
        <v>24</v>
      </c>
      <c r="V396" s="10" t="e">
        <f aca="false">R396/(T396+0.00001)</f>
        <v>#N/A</v>
      </c>
      <c r="W396" s="10" t="n">
        <f aca="false">S396/(U396+0.0001)</f>
        <v>19.7089375940109</v>
      </c>
      <c r="X396" s="60" t="n">
        <f aca="false">IF(Informed=1,K396,0)</f>
        <v>0</v>
      </c>
      <c r="Y396" s="60" t="n">
        <f aca="false">IF(Informed=0,K396,0)</f>
        <v>21.3084923321361</v>
      </c>
      <c r="Z396" s="60" t="n">
        <f aca="false">IF(Informed=1,N396,0)</f>
        <v>0</v>
      </c>
      <c r="AA396" s="60" t="n">
        <f aca="false">IF(Informed=0,N396,0)</f>
        <v>0</v>
      </c>
      <c r="AB396" s="64" t="n">
        <f aca="false">IF(Arterial=0,IF(Informed=1,1,0),0)</f>
        <v>0</v>
      </c>
      <c r="AC396" s="64" t="n">
        <f aca="false">IF(Arterial=0,IF(Informed=0,1,0),0)</f>
        <v>1</v>
      </c>
      <c r="AD396" s="64" t="n">
        <f aca="false">IF(Arterial=1,IF(Informed=1,1,0),0)</f>
        <v>0</v>
      </c>
      <c r="AE396" s="64" t="n">
        <f aca="false">IF(Arterial=1,IF(Informed=0,1,0),0)</f>
        <v>0</v>
      </c>
      <c r="AF396" s="57" t="n">
        <f aca="false">IF(AB396=1,(X396-G$1030)^2,0)</f>
        <v>0</v>
      </c>
      <c r="AG396" s="57" t="n">
        <f aca="false">IF(AC396=1,(Y396-H$1030)^2,0)</f>
        <v>454.051845468703</v>
      </c>
      <c r="AH396" s="57" t="n">
        <f aca="false">IF(AD396=1,(Z396-I$1030)^2,0)</f>
        <v>0</v>
      </c>
      <c r="AI396" s="57" t="n">
        <f aca="false">IF(AE396=1,(AA396-J$1030)^2,0)</f>
        <v>0</v>
      </c>
    </row>
    <row r="397" customFormat="false" ht="12" hidden="false" customHeight="false" outlineLevel="0" collapsed="false">
      <c r="A397" s="5" t="n">
        <v>380</v>
      </c>
      <c r="B397" s="58" t="n">
        <f aca="true">IF(RAND()&lt;$D$8,1,0)</f>
        <v>0</v>
      </c>
      <c r="C397" s="47" t="n">
        <f aca="true">-LN(RAND())/$D$2</f>
        <v>0.0404975353722571</v>
      </c>
      <c r="D397" s="59" t="n">
        <f aca="false">D396+C397</f>
        <v>363.086160543658</v>
      </c>
      <c r="E397" s="60" t="n">
        <f aca="false">MAX($D$3,(1+P396-VLOOKUP(VALUE(D397),$J$18:$Q396,7,TRUE()))*$D$3)</f>
        <v>24</v>
      </c>
      <c r="F397" s="60" t="n">
        <f aca="false">MAX($D$4,(1+Q396-VLOOKUP(VALUE(D397),$M$18:$Q396,5,TRUE()))*$D$4)</f>
        <v>28</v>
      </c>
      <c r="G397" s="61" t="n">
        <v>0.5</v>
      </c>
      <c r="H397" s="59" t="n">
        <f aca="true">IF((B397=1),(IF((F397&lt;E397),1,(IF((F397=E397),(IF(RAND()&lt;G397,1,0)),0)))),(IF((RAND()&lt;G397),1,0)))</f>
        <v>0</v>
      </c>
      <c r="I397" s="59" t="n">
        <f aca="true">IF((H397=1),0,$D$3+$D$5*(RAND()-0.5))</f>
        <v>2.19963107222903</v>
      </c>
      <c r="J397" s="59" t="n">
        <f aca="false">I397+MAX(D397,J396)</f>
        <v>386.553786412651</v>
      </c>
      <c r="K397" s="59" t="n">
        <f aca="false">IF((H397=0),J397-D397,0)</f>
        <v>23.4676258689929</v>
      </c>
      <c r="L397" s="59" t="n">
        <f aca="true">IF(($H397=0),0,$D$4+$D$5*(RAND()-0.5))</f>
        <v>0</v>
      </c>
      <c r="M397" s="59" t="n">
        <f aca="false">L397+MAX(D397,M396)</f>
        <v>388.519794775985</v>
      </c>
      <c r="N397" s="59" t="n">
        <f aca="false">IF((H397=1),M397-D397,0)</f>
        <v>0</v>
      </c>
      <c r="O397" s="5" t="n">
        <v>380</v>
      </c>
      <c r="P397" s="62" t="n">
        <f aca="false">IF((Arterial=0),P396+1,P396)</f>
        <v>189</v>
      </c>
      <c r="Q397" s="62" t="n">
        <f aca="false">IF((Arterial=1),Q396+1,Q396)</f>
        <v>191</v>
      </c>
      <c r="R397" s="63" t="e">
        <f aca="false">IF((RESET=1),0,R397+K397)</f>
        <v>#N/A</v>
      </c>
      <c r="S397" s="10" t="n">
        <f aca="false">IF(RESET=1,0,S397+N397)</f>
        <v>690.857649457785</v>
      </c>
      <c r="T397" s="0" t="e">
        <f aca="false">IF(RESET=1,0,T397+IF(H397=0,1,0))</f>
        <v>#N/A</v>
      </c>
      <c r="U397" s="0" t="n">
        <f aca="false">IF(RESET=1,0,U397+H397)</f>
        <v>35</v>
      </c>
      <c r="V397" s="10" t="e">
        <f aca="false">R397/(T397+0.00001)</f>
        <v>#N/A</v>
      </c>
      <c r="W397" s="10" t="n">
        <f aca="false">S397/(U397+0.0001)</f>
        <v>19.7387335881265</v>
      </c>
      <c r="X397" s="60" t="n">
        <f aca="false">IF(Informed=1,K397,0)</f>
        <v>0</v>
      </c>
      <c r="Y397" s="60" t="n">
        <f aca="false">IF(Informed=0,K397,0)</f>
        <v>23.4676258689929</v>
      </c>
      <c r="Z397" s="60" t="n">
        <f aca="false">IF(Informed=1,N397,0)</f>
        <v>0</v>
      </c>
      <c r="AA397" s="60" t="n">
        <f aca="false">IF(Informed=0,N397,0)</f>
        <v>0</v>
      </c>
      <c r="AB397" s="64" t="n">
        <f aca="false">IF(Arterial=0,IF(Informed=1,1,0),0)</f>
        <v>0</v>
      </c>
      <c r="AC397" s="64" t="n">
        <f aca="false">IF(Arterial=0,IF(Informed=0,1,0),0)</f>
        <v>1</v>
      </c>
      <c r="AD397" s="64" t="n">
        <f aca="false">IF(Arterial=1,IF(Informed=1,1,0),0)</f>
        <v>0</v>
      </c>
      <c r="AE397" s="64" t="n">
        <f aca="false">IF(Arterial=1,IF(Informed=0,1,0),0)</f>
        <v>0</v>
      </c>
      <c r="AF397" s="57" t="n">
        <f aca="false">IF(AB397=1,(X397-G$1030)^2,0)</f>
        <v>0</v>
      </c>
      <c r="AG397" s="57" t="n">
        <f aca="false">IF(AC397=1,(Y397-H$1030)^2,0)</f>
        <v>550.729463927023</v>
      </c>
      <c r="AH397" s="57" t="n">
        <f aca="false">IF(AD397=1,(Z397-I$1030)^2,0)</f>
        <v>0</v>
      </c>
      <c r="AI397" s="57" t="n">
        <f aca="false">IF(AE397=1,(AA397-J$1030)^2,0)</f>
        <v>0</v>
      </c>
    </row>
    <row r="398" customFormat="false" ht="12" hidden="false" customHeight="false" outlineLevel="0" collapsed="false">
      <c r="A398" s="5" t="n">
        <v>381</v>
      </c>
      <c r="B398" s="58" t="n">
        <f aca="true">IF(RAND()&lt;$D$8,1,0)</f>
        <v>0</v>
      </c>
      <c r="C398" s="47" t="n">
        <f aca="true">-LN(RAND())/$D$2</f>
        <v>1.97314885204034</v>
      </c>
      <c r="D398" s="59" t="n">
        <f aca="false">D397+C398</f>
        <v>365.059309395698</v>
      </c>
      <c r="E398" s="60" t="n">
        <f aca="false">MAX($D$3,(1+P397-VLOOKUP(VALUE(D398),$J$18:$Q397,7,TRUE()))*$D$3)</f>
        <v>24</v>
      </c>
      <c r="F398" s="60" t="n">
        <f aca="false">MAX($D$4,(1+Q397-VLOOKUP(VALUE(D398),$M$18:$Q397,5,TRUE()))*$D$4)</f>
        <v>26</v>
      </c>
      <c r="G398" s="61" t="n">
        <v>0.5</v>
      </c>
      <c r="H398" s="59" t="n">
        <f aca="true">IF((B398=1),(IF((F398&lt;E398),1,(IF((F398=E398),(IF(RAND()&lt;G398,1,0)),0)))),(IF((RAND()&lt;G398),1,0)))</f>
        <v>0</v>
      </c>
      <c r="I398" s="59" t="n">
        <f aca="true">IF((H398=1),0,$D$3+$D$5*(RAND()-0.5))</f>
        <v>1.97556116507713</v>
      </c>
      <c r="J398" s="59" t="n">
        <f aca="false">I398+MAX(D398,J397)</f>
        <v>388.529347577728</v>
      </c>
      <c r="K398" s="59" t="n">
        <f aca="false">IF((H398=0),J398-D398,0)</f>
        <v>23.4700381820296</v>
      </c>
      <c r="L398" s="59" t="n">
        <f aca="true">IF(($H398=0),0,$D$4+$D$5*(RAND()-0.5))</f>
        <v>0</v>
      </c>
      <c r="M398" s="59" t="n">
        <f aca="false">L398+MAX(D398,M397)</f>
        <v>388.519794775985</v>
      </c>
      <c r="N398" s="59" t="n">
        <f aca="false">IF((H398=1),M398-D398,0)</f>
        <v>0</v>
      </c>
      <c r="O398" s="5" t="n">
        <v>381</v>
      </c>
      <c r="P398" s="62" t="n">
        <f aca="false">IF((Arterial=0),P397+1,P397)</f>
        <v>190</v>
      </c>
      <c r="Q398" s="62" t="n">
        <f aca="false">IF((Arterial=1),Q397+1,Q397)</f>
        <v>191</v>
      </c>
      <c r="R398" s="63" t="e">
        <f aca="false">IF((RESET=1),0,R398+K398)</f>
        <v>#N/A</v>
      </c>
      <c r="S398" s="10" t="n">
        <f aca="false">IF(RESET=1,0,S398+N398)</f>
        <v>527.45271965902</v>
      </c>
      <c r="T398" s="0" t="e">
        <f aca="false">IF(RESET=1,0,T398+IF(H398=0,1,0))</f>
        <v>#N/A</v>
      </c>
      <c r="U398" s="0" t="n">
        <f aca="false">IF(RESET=1,0,U398+H398)</f>
        <v>23</v>
      </c>
      <c r="V398" s="10" t="e">
        <f aca="false">R398/(T398+0.00001)</f>
        <v>#N/A</v>
      </c>
      <c r="W398" s="10" t="n">
        <f aca="false">S398/(U398+0.0001)</f>
        <v>22.9326272346216</v>
      </c>
      <c r="X398" s="60" t="n">
        <f aca="false">IF(Informed=1,K398,0)</f>
        <v>0</v>
      </c>
      <c r="Y398" s="60" t="n">
        <f aca="false">IF(Informed=0,K398,0)</f>
        <v>23.4700381820296</v>
      </c>
      <c r="Z398" s="60" t="n">
        <f aca="false">IF(Informed=1,N398,0)</f>
        <v>0</v>
      </c>
      <c r="AA398" s="60" t="n">
        <f aca="false">IF(Informed=0,N398,0)</f>
        <v>0</v>
      </c>
      <c r="AB398" s="64" t="n">
        <f aca="false">IF(Arterial=0,IF(Informed=1,1,0),0)</f>
        <v>0</v>
      </c>
      <c r="AC398" s="64" t="n">
        <f aca="false">IF(Arterial=0,IF(Informed=0,1,0),0)</f>
        <v>1</v>
      </c>
      <c r="AD398" s="64" t="n">
        <f aca="false">IF(Arterial=1,IF(Informed=1,1,0),0)</f>
        <v>0</v>
      </c>
      <c r="AE398" s="64" t="n">
        <f aca="false">IF(Arterial=1,IF(Informed=0,1,0),0)</f>
        <v>0</v>
      </c>
      <c r="AF398" s="57" t="n">
        <f aca="false">IF(AB398=1,(X398-G$1030)^2,0)</f>
        <v>0</v>
      </c>
      <c r="AG398" s="57" t="n">
        <f aca="false">IF(AC398=1,(Y398-H$1030)^2,0)</f>
        <v>550.842692265928</v>
      </c>
      <c r="AH398" s="57" t="n">
        <f aca="false">IF(AD398=1,(Z398-I$1030)^2,0)</f>
        <v>0</v>
      </c>
      <c r="AI398" s="57" t="n">
        <f aca="false">IF(AE398=1,(AA398-J$1030)^2,0)</f>
        <v>0</v>
      </c>
    </row>
    <row r="399" customFormat="false" ht="12" hidden="false" customHeight="false" outlineLevel="0" collapsed="false">
      <c r="A399" s="5" t="n">
        <v>382</v>
      </c>
      <c r="B399" s="58" t="n">
        <f aca="true">IF(RAND()&lt;$D$8,1,0)</f>
        <v>0</v>
      </c>
      <c r="C399" s="47" t="n">
        <f aca="true">-LN(RAND())/$D$2</f>
        <v>2.02117253937783</v>
      </c>
      <c r="D399" s="59" t="n">
        <f aca="false">D398+C399</f>
        <v>367.080481935076</v>
      </c>
      <c r="E399" s="60" t="n">
        <f aca="false">MAX($D$3,(1+P398-VLOOKUP(VALUE(D399),$J$18:$Q398,7,TRUE()))*$D$3)</f>
        <v>24</v>
      </c>
      <c r="F399" s="60" t="n">
        <f aca="false">MAX($D$4,(1+Q398-VLOOKUP(VALUE(D399),$M$18:$Q398,5,TRUE()))*$D$4)</f>
        <v>24</v>
      </c>
      <c r="G399" s="61" t="n">
        <v>0.5</v>
      </c>
      <c r="H399" s="59" t="n">
        <f aca="true">IF((B399=1),(IF((F399&lt;E399),1,(IF((F399=E399),(IF(RAND()&lt;G399,1,0)),0)))),(IF((RAND()&lt;G399),1,0)))</f>
        <v>0</v>
      </c>
      <c r="I399" s="59" t="n">
        <f aca="true">IF((H399=1),0,$D$3+$D$5*(RAND()-0.5))</f>
        <v>1.93324537914826</v>
      </c>
      <c r="J399" s="59" t="n">
        <f aca="false">I399+MAX(D399,J398)</f>
        <v>390.462592956876</v>
      </c>
      <c r="K399" s="59" t="n">
        <f aca="false">IF((H399=0),J399-D399,0)</f>
        <v>23.3821110218001</v>
      </c>
      <c r="L399" s="59" t="n">
        <f aca="true">IF(($H399=0),0,$D$4+$D$5*(RAND()-0.5))</f>
        <v>0</v>
      </c>
      <c r="M399" s="59" t="n">
        <f aca="false">L399+MAX(D399,M398)</f>
        <v>388.519794775985</v>
      </c>
      <c r="N399" s="59" t="n">
        <f aca="false">IF((H399=1),M399-D399,0)</f>
        <v>0</v>
      </c>
      <c r="O399" s="5" t="n">
        <v>382</v>
      </c>
      <c r="P399" s="62" t="n">
        <f aca="false">IF((Arterial=0),P398+1,P398)</f>
        <v>191</v>
      </c>
      <c r="Q399" s="62" t="n">
        <f aca="false">IF((Arterial=1),Q398+1,Q398)</f>
        <v>191</v>
      </c>
      <c r="R399" s="63" t="e">
        <f aca="false">IF((RESET=1),0,R399+K399)</f>
        <v>#N/A</v>
      </c>
      <c r="S399" s="10" t="n">
        <f aca="false">IF(RESET=1,0,S399+N399)</f>
        <v>496.923687503068</v>
      </c>
      <c r="T399" s="0" t="e">
        <f aca="false">IF(RESET=1,0,T399+IF(H399=0,1,0))</f>
        <v>#N/A</v>
      </c>
      <c r="U399" s="0" t="n">
        <f aca="false">IF(RESET=1,0,U399+H399)</f>
        <v>22</v>
      </c>
      <c r="V399" s="10" t="e">
        <f aca="false">R399/(T399+0.00001)</f>
        <v>#N/A</v>
      </c>
      <c r="W399" s="10" t="n">
        <f aca="false">S399/(U399+0.0001)</f>
        <v>22.5873376713319</v>
      </c>
      <c r="X399" s="60" t="n">
        <f aca="false">IF(Informed=1,K399,0)</f>
        <v>0</v>
      </c>
      <c r="Y399" s="60" t="n">
        <f aca="false">IF(Informed=0,K399,0)</f>
        <v>23.3821110218001</v>
      </c>
      <c r="Z399" s="60" t="n">
        <f aca="false">IF(Informed=1,N399,0)</f>
        <v>0</v>
      </c>
      <c r="AA399" s="60" t="n">
        <f aca="false">IF(Informed=0,N399,0)</f>
        <v>0</v>
      </c>
      <c r="AB399" s="64" t="n">
        <f aca="false">IF(Arterial=0,IF(Informed=1,1,0),0)</f>
        <v>0</v>
      </c>
      <c r="AC399" s="64" t="n">
        <f aca="false">IF(Arterial=0,IF(Informed=0,1,0),0)</f>
        <v>1</v>
      </c>
      <c r="AD399" s="64" t="n">
        <f aca="false">IF(Arterial=1,IF(Informed=1,1,0),0)</f>
        <v>0</v>
      </c>
      <c r="AE399" s="64" t="n">
        <f aca="false">IF(Arterial=1,IF(Informed=0,1,0),0)</f>
        <v>0</v>
      </c>
      <c r="AF399" s="57" t="n">
        <f aca="false">IF(AB399=1,(X399-G$1030)^2,0)</f>
        <v>0</v>
      </c>
      <c r="AG399" s="57" t="n">
        <f aca="false">IF(AC399=1,(Y399-H$1030)^2,0)</f>
        <v>546.723115835785</v>
      </c>
      <c r="AH399" s="57" t="n">
        <f aca="false">IF(AD399=1,(Z399-I$1030)^2,0)</f>
        <v>0</v>
      </c>
      <c r="AI399" s="57" t="n">
        <f aca="false">IF(AE399=1,(AA399-J$1030)^2,0)</f>
        <v>0</v>
      </c>
    </row>
    <row r="400" customFormat="false" ht="12" hidden="false" customHeight="false" outlineLevel="0" collapsed="false">
      <c r="A400" s="5" t="n">
        <v>383</v>
      </c>
      <c r="B400" s="58" t="n">
        <f aca="true">IF(RAND()&lt;$D$8,1,0)</f>
        <v>1</v>
      </c>
      <c r="C400" s="47" t="n">
        <f aca="true">-LN(RAND())/$D$2</f>
        <v>0.72541972167978</v>
      </c>
      <c r="D400" s="59" t="n">
        <f aca="false">D399+C400</f>
        <v>367.805901656756</v>
      </c>
      <c r="E400" s="60" t="n">
        <f aca="false">MAX($D$3,(1+P399-VLOOKUP(VALUE(D400),$J$18:$Q399,7,TRUE()))*$D$3)</f>
        <v>26</v>
      </c>
      <c r="F400" s="60" t="n">
        <f aca="false">MAX($D$4,(1+Q399-VLOOKUP(VALUE(D400),$M$18:$Q399,5,TRUE()))*$D$4)</f>
        <v>24</v>
      </c>
      <c r="G400" s="61" t="n">
        <v>0.5</v>
      </c>
      <c r="H400" s="59" t="n">
        <f aca="true">IF((B400=1),(IF((F400&lt;E400),1,(IF((F400=E400),(IF(RAND()&lt;G400,1,0)),0)))),(IF((RAND()&lt;G400),1,0)))</f>
        <v>1</v>
      </c>
      <c r="I400" s="59" t="n">
        <f aca="true">IF((H400=1),0,$D$3+$D$5*(RAND()-0.5))</f>
        <v>0</v>
      </c>
      <c r="J400" s="59" t="n">
        <f aca="false">I400+MAX(D400,J399)</f>
        <v>390.462592956876</v>
      </c>
      <c r="K400" s="59" t="n">
        <f aca="false">IF((H400=0),J400-D400,0)</f>
        <v>0</v>
      </c>
      <c r="L400" s="59" t="n">
        <f aca="true">IF(($H400=0),0,$D$4+$D$5*(RAND()-0.5))</f>
        <v>1.88914653366975</v>
      </c>
      <c r="M400" s="59" t="n">
        <f aca="false">L400+MAX(D400,M399)</f>
        <v>390.408941309654</v>
      </c>
      <c r="N400" s="59" t="n">
        <f aca="false">IF((H400=1),M400-D400,0)</f>
        <v>22.6030396528989</v>
      </c>
      <c r="O400" s="5" t="n">
        <v>383</v>
      </c>
      <c r="P400" s="62" t="n">
        <f aca="false">IF((Arterial=0),P399+1,P399)</f>
        <v>191</v>
      </c>
      <c r="Q400" s="62" t="n">
        <f aca="false">IF((Arterial=1),Q399+1,Q399)</f>
        <v>192</v>
      </c>
      <c r="R400" s="63" t="n">
        <f aca="false">IF((RESET=1),0,R400+K400)</f>
        <v>528.62997397966</v>
      </c>
      <c r="S400" s="10" t="e">
        <f aca="false">IF(RESET=1,0,S400+N400)</f>
        <v>#N/A</v>
      </c>
      <c r="T400" s="0" t="n">
        <f aca="false">IF(RESET=1,0,T400+IF(H400=0,1,0))</f>
        <v>25</v>
      </c>
      <c r="U400" s="0" t="e">
        <f aca="false">IF(RESET=1,0,U400+H400)</f>
        <v>#N/A</v>
      </c>
      <c r="V400" s="10" t="n">
        <f aca="false">R400/(T400+0.00001)</f>
        <v>21.1451905011102</v>
      </c>
      <c r="W400" s="10" t="e">
        <f aca="false">S400/(U400+0.0001)</f>
        <v>#N/A</v>
      </c>
      <c r="X400" s="60" t="n">
        <f aca="false">IF(Informed=1,K400,0)</f>
        <v>0</v>
      </c>
      <c r="Y400" s="60" t="n">
        <f aca="false">IF(Informed=0,K400,0)</f>
        <v>0</v>
      </c>
      <c r="Z400" s="60" t="n">
        <f aca="false">IF(Informed=1,N400,0)</f>
        <v>22.6030396528989</v>
      </c>
      <c r="AA400" s="60" t="n">
        <f aca="false">IF(Informed=0,N400,0)</f>
        <v>0</v>
      </c>
      <c r="AB400" s="64" t="n">
        <f aca="false">IF(Arterial=0,IF(Informed=1,1,0),0)</f>
        <v>0</v>
      </c>
      <c r="AC400" s="64" t="n">
        <f aca="false">IF(Arterial=0,IF(Informed=0,1,0),0)</f>
        <v>0</v>
      </c>
      <c r="AD400" s="64" t="n">
        <f aca="false">IF(Arterial=1,IF(Informed=1,1,0),0)</f>
        <v>1</v>
      </c>
      <c r="AE400" s="64" t="n">
        <f aca="false">IF(Arterial=1,IF(Informed=0,1,0),0)</f>
        <v>0</v>
      </c>
      <c r="AF400" s="57" t="n">
        <f aca="false">IF(AB400=1,(X400-G$1030)^2,0)</f>
        <v>0</v>
      </c>
      <c r="AG400" s="57" t="n">
        <f aca="false">IF(AC400=1,(Y400-H$1030)^2,0)</f>
        <v>0</v>
      </c>
      <c r="AH400" s="57" t="n">
        <f aca="false">IF(AD400=1,(Z400-I$1030)^2,0)</f>
        <v>510.897401550519</v>
      </c>
      <c r="AI400" s="57" t="n">
        <f aca="false">IF(AE400=1,(AA400-J$1030)^2,0)</f>
        <v>0</v>
      </c>
    </row>
    <row r="401" customFormat="false" ht="12" hidden="false" customHeight="false" outlineLevel="0" collapsed="false">
      <c r="A401" s="5" t="n">
        <v>384</v>
      </c>
      <c r="B401" s="58" t="n">
        <f aca="true">IF(RAND()&lt;$D$8,1,0)</f>
        <v>1</v>
      </c>
      <c r="C401" s="47" t="n">
        <f aca="true">-LN(RAND())/$D$2</f>
        <v>1.85120991683823</v>
      </c>
      <c r="D401" s="59" t="n">
        <f aca="false">D400+C401</f>
        <v>369.657111573594</v>
      </c>
      <c r="E401" s="60" t="n">
        <f aca="false">MAX($D$3,(1+P400-VLOOKUP(VALUE(D401),$J$18:$Q400,7,TRUE()))*$D$3)</f>
        <v>24</v>
      </c>
      <c r="F401" s="60" t="n">
        <f aca="false">MAX($D$4,(1+Q400-VLOOKUP(VALUE(D401),$M$18:$Q400,5,TRUE()))*$D$4)</f>
        <v>24</v>
      </c>
      <c r="G401" s="61" t="n">
        <v>0.5</v>
      </c>
      <c r="H401" s="59" t="n">
        <f aca="true">IF((B401=1),(IF((F401&lt;E401),1,(IF((F401=E401),(IF(RAND()&lt;G401,1,0)),0)))),(IF((RAND()&lt;G401),1,0)))</f>
        <v>1</v>
      </c>
      <c r="I401" s="59" t="n">
        <f aca="true">IF((H401=1),0,$D$3+$D$5*(RAND()-0.5))</f>
        <v>0</v>
      </c>
      <c r="J401" s="59" t="n">
        <f aca="false">I401+MAX(D401,J400)</f>
        <v>390.462592956876</v>
      </c>
      <c r="K401" s="59" t="n">
        <f aca="false">IF((H401=0),J401-D401,0)</f>
        <v>0</v>
      </c>
      <c r="L401" s="59" t="n">
        <f aca="true">IF(($H401=0),0,$D$4+$D$5*(RAND()-0.5))</f>
        <v>1.89385738323404</v>
      </c>
      <c r="M401" s="59" t="n">
        <f aca="false">L401+MAX(D401,M400)</f>
        <v>392.302798692889</v>
      </c>
      <c r="N401" s="59" t="n">
        <f aca="false">IF((H401=1),M401-D401,0)</f>
        <v>22.6456871192947</v>
      </c>
      <c r="O401" s="5" t="n">
        <v>384</v>
      </c>
      <c r="P401" s="62" t="n">
        <f aca="false">IF((Arterial=0),P400+1,P400)</f>
        <v>191</v>
      </c>
      <c r="Q401" s="62" t="n">
        <f aca="false">IF((Arterial=1),Q400+1,Q400)</f>
        <v>193</v>
      </c>
      <c r="R401" s="63" t="n">
        <f aca="false">IF((RESET=1),0,R401+K401)</f>
        <v>608.903378230967</v>
      </c>
      <c r="S401" s="10" t="e">
        <f aca="false">IF(RESET=1,0,S401+N401)</f>
        <v>#N/A</v>
      </c>
      <c r="T401" s="0" t="n">
        <f aca="false">IF(RESET=1,0,T401+IF(H401=0,1,0))</f>
        <v>30</v>
      </c>
      <c r="U401" s="0" t="e">
        <f aca="false">IF(RESET=1,0,U401+H401)</f>
        <v>#N/A</v>
      </c>
      <c r="V401" s="10" t="n">
        <f aca="false">R401/(T401+0.00001)</f>
        <v>20.2967725087747</v>
      </c>
      <c r="W401" s="10" t="e">
        <f aca="false">S401/(U401+0.0001)</f>
        <v>#N/A</v>
      </c>
      <c r="X401" s="60" t="n">
        <f aca="false">IF(Informed=1,K401,0)</f>
        <v>0</v>
      </c>
      <c r="Y401" s="60" t="n">
        <f aca="false">IF(Informed=0,K401,0)</f>
        <v>0</v>
      </c>
      <c r="Z401" s="60" t="n">
        <f aca="false">IF(Informed=1,N401,0)</f>
        <v>22.6456871192947</v>
      </c>
      <c r="AA401" s="60" t="n">
        <f aca="false">IF(Informed=0,N401,0)</f>
        <v>0</v>
      </c>
      <c r="AB401" s="64" t="n">
        <f aca="false">IF(Arterial=0,IF(Informed=1,1,0),0)</f>
        <v>0</v>
      </c>
      <c r="AC401" s="64" t="n">
        <f aca="false">IF(Arterial=0,IF(Informed=0,1,0),0)</f>
        <v>0</v>
      </c>
      <c r="AD401" s="64" t="n">
        <f aca="false">IF(Arterial=1,IF(Informed=1,1,0),0)</f>
        <v>1</v>
      </c>
      <c r="AE401" s="64" t="n">
        <f aca="false">IF(Arterial=1,IF(Informed=0,1,0),0)</f>
        <v>0</v>
      </c>
      <c r="AF401" s="57" t="n">
        <f aca="false">IF(AB401=1,(X401-G$1030)^2,0)</f>
        <v>0</v>
      </c>
      <c r="AG401" s="57" t="n">
        <f aca="false">IF(AC401=1,(Y401-H$1030)^2,0)</f>
        <v>0</v>
      </c>
      <c r="AH401" s="57" t="n">
        <f aca="false">IF(AD401=1,(Z401-I$1030)^2,0)</f>
        <v>512.827145104989</v>
      </c>
      <c r="AI401" s="57" t="n">
        <f aca="false">IF(AE401=1,(AA401-J$1030)^2,0)</f>
        <v>0</v>
      </c>
    </row>
    <row r="402" customFormat="false" ht="12" hidden="false" customHeight="false" outlineLevel="0" collapsed="false">
      <c r="A402" s="5" t="n">
        <v>385</v>
      </c>
      <c r="B402" s="58" t="n">
        <f aca="true">IF(RAND()&lt;$D$8,1,0)</f>
        <v>0</v>
      </c>
      <c r="C402" s="47" t="n">
        <f aca="true">-LN(RAND())/$D$2</f>
        <v>0.0962719805053161</v>
      </c>
      <c r="D402" s="59" t="n">
        <f aca="false">D401+C402</f>
        <v>369.753383554099</v>
      </c>
      <c r="E402" s="60" t="n">
        <f aca="false">MAX($D$3,(1+P401-VLOOKUP(VALUE(D402),$J$18:$Q401,7,TRUE()))*$D$3)</f>
        <v>24</v>
      </c>
      <c r="F402" s="60" t="n">
        <f aca="false">MAX($D$4,(1+Q401-VLOOKUP(VALUE(D402),$M$18:$Q401,5,TRUE()))*$D$4)</f>
        <v>26</v>
      </c>
      <c r="G402" s="61" t="n">
        <v>0.5</v>
      </c>
      <c r="H402" s="59" t="n">
        <f aca="true">IF((B402=1),(IF((F402&lt;E402),1,(IF((F402=E402),(IF(RAND()&lt;G402,1,0)),0)))),(IF((RAND()&lt;G402),1,0)))</f>
        <v>0</v>
      </c>
      <c r="I402" s="59" t="n">
        <f aca="true">IF((H402=1),0,$D$3+$D$5*(RAND()-0.5))</f>
        <v>1.94956353753143</v>
      </c>
      <c r="J402" s="59" t="n">
        <f aca="false">I402+MAX(D402,J401)</f>
        <v>392.412156494407</v>
      </c>
      <c r="K402" s="59" t="n">
        <f aca="false">IF((H402=0),J402-D402,0)</f>
        <v>22.6587729403082</v>
      </c>
      <c r="L402" s="59" t="n">
        <f aca="true">IF(($H402=0),0,$D$4+$D$5*(RAND()-0.5))</f>
        <v>0</v>
      </c>
      <c r="M402" s="59" t="n">
        <f aca="false">L402+MAX(D402,M401)</f>
        <v>392.302798692889</v>
      </c>
      <c r="N402" s="59" t="n">
        <f aca="false">IF((H402=1),M402-D402,0)</f>
        <v>0</v>
      </c>
      <c r="O402" s="5" t="n">
        <v>385</v>
      </c>
      <c r="P402" s="62" t="n">
        <f aca="false">IF((Arterial=0),P401+1,P401)</f>
        <v>192</v>
      </c>
      <c r="Q402" s="62" t="n">
        <f aca="false">IF((Arterial=1),Q401+1,Q401)</f>
        <v>193</v>
      </c>
      <c r="R402" s="63" t="e">
        <f aca="false">IF((RESET=1),0,R402+K402)</f>
        <v>#N/A</v>
      </c>
      <c r="S402" s="10" t="n">
        <f aca="false">IF(RESET=1,0,S402+N402)</f>
        <v>534.91244614512</v>
      </c>
      <c r="T402" s="0" t="e">
        <f aca="false">IF(RESET=1,0,T402+IF(H402=0,1,0))</f>
        <v>#N/A</v>
      </c>
      <c r="U402" s="0" t="n">
        <f aca="false">IF(RESET=1,0,U402+H402)</f>
        <v>25</v>
      </c>
      <c r="V402" s="10" t="e">
        <f aca="false">R402/(T402+0.00001)</f>
        <v>#N/A</v>
      </c>
      <c r="W402" s="10" t="n">
        <f aca="false">S402/(U402+0.0001)</f>
        <v>21.3964122601558</v>
      </c>
      <c r="X402" s="60" t="n">
        <f aca="false">IF(Informed=1,K402,0)</f>
        <v>0</v>
      </c>
      <c r="Y402" s="60" t="n">
        <f aca="false">IF(Informed=0,K402,0)</f>
        <v>22.6587729403082</v>
      </c>
      <c r="Z402" s="60" t="n">
        <f aca="false">IF(Informed=1,N402,0)</f>
        <v>0</v>
      </c>
      <c r="AA402" s="60" t="n">
        <f aca="false">IF(Informed=0,N402,0)</f>
        <v>0</v>
      </c>
      <c r="AB402" s="64" t="n">
        <f aca="false">IF(Arterial=0,IF(Informed=1,1,0),0)</f>
        <v>0</v>
      </c>
      <c r="AC402" s="64" t="n">
        <f aca="false">IF(Arterial=0,IF(Informed=0,1,0),0)</f>
        <v>1</v>
      </c>
      <c r="AD402" s="64" t="n">
        <f aca="false">IF(Arterial=1,IF(Informed=1,1,0),0)</f>
        <v>0</v>
      </c>
      <c r="AE402" s="64" t="n">
        <f aca="false">IF(Arterial=1,IF(Informed=0,1,0),0)</f>
        <v>0</v>
      </c>
      <c r="AF402" s="57" t="n">
        <f aca="false">IF(AB402=1,(X402-G$1030)^2,0)</f>
        <v>0</v>
      </c>
      <c r="AG402" s="57" t="n">
        <f aca="false">IF(AC402=1,(Y402-H$1030)^2,0)</f>
        <v>513.419991160444</v>
      </c>
      <c r="AH402" s="57" t="n">
        <f aca="false">IF(AD402=1,(Z402-I$1030)^2,0)</f>
        <v>0</v>
      </c>
      <c r="AI402" s="57" t="n">
        <f aca="false">IF(AE402=1,(AA402-J$1030)^2,0)</f>
        <v>0</v>
      </c>
    </row>
    <row r="403" customFormat="false" ht="12" hidden="false" customHeight="false" outlineLevel="0" collapsed="false">
      <c r="A403" s="5" t="n">
        <v>386</v>
      </c>
      <c r="B403" s="58" t="n">
        <f aca="true">IF(RAND()&lt;$D$8,1,0)</f>
        <v>0</v>
      </c>
      <c r="C403" s="47" t="n">
        <f aca="true">-LN(RAND())/$D$2</f>
        <v>0.356314052699619</v>
      </c>
      <c r="D403" s="59" t="n">
        <f aca="false">D402+C403</f>
        <v>370.109697606799</v>
      </c>
      <c r="E403" s="60" t="n">
        <f aca="false">MAX($D$3,(1+P402-VLOOKUP(VALUE(D403),$J$18:$Q402,7,TRUE()))*$D$3)</f>
        <v>24</v>
      </c>
      <c r="F403" s="60" t="n">
        <f aca="false">MAX($D$4,(1+Q402-VLOOKUP(VALUE(D403),$M$18:$Q402,5,TRUE()))*$D$4)</f>
        <v>26</v>
      </c>
      <c r="G403" s="61" t="n">
        <v>0.5</v>
      </c>
      <c r="H403" s="59" t="n">
        <f aca="true">IF((B403=1),(IF((F403&lt;E403),1,(IF((F403=E403),(IF(RAND()&lt;G403,1,0)),0)))),(IF((RAND()&lt;G403),1,0)))</f>
        <v>1</v>
      </c>
      <c r="I403" s="59" t="n">
        <f aca="true">IF((H403=1),0,$D$3+$D$5*(RAND()-0.5))</f>
        <v>0</v>
      </c>
      <c r="J403" s="59" t="n">
        <f aca="false">I403+MAX(D403,J402)</f>
        <v>392.412156494407</v>
      </c>
      <c r="K403" s="59" t="n">
        <f aca="false">IF((H403=0),J403-D403,0)</f>
        <v>0</v>
      </c>
      <c r="L403" s="59" t="n">
        <f aca="true">IF(($H403=0),0,$D$4+$D$5*(RAND()-0.5))</f>
        <v>2.23163716540887</v>
      </c>
      <c r="M403" s="59" t="n">
        <f aca="false">L403+MAX(D403,M402)</f>
        <v>394.534435858297</v>
      </c>
      <c r="N403" s="59" t="n">
        <f aca="false">IF((H403=1),M403-D403,0)</f>
        <v>24.4247382514986</v>
      </c>
      <c r="O403" s="5" t="n">
        <v>386</v>
      </c>
      <c r="P403" s="62" t="n">
        <f aca="false">IF((Arterial=0),P402+1,P402)</f>
        <v>192</v>
      </c>
      <c r="Q403" s="62" t="n">
        <f aca="false">IF((Arterial=1),Q402+1,Q402)</f>
        <v>194</v>
      </c>
      <c r="R403" s="63" t="n">
        <f aca="false">IF((RESET=1),0,R403+K403)</f>
        <v>459.689849497617</v>
      </c>
      <c r="S403" s="10" t="e">
        <f aca="false">IF(RESET=1,0,S403+N403)</f>
        <v>#N/A</v>
      </c>
      <c r="T403" s="0" t="n">
        <f aca="false">IF(RESET=1,0,T403+IF(H403=0,1,0))</f>
        <v>23</v>
      </c>
      <c r="U403" s="0" t="e">
        <f aca="false">IF(RESET=1,0,U403+H403)</f>
        <v>#N/A</v>
      </c>
      <c r="V403" s="10" t="n">
        <f aca="false">R403/(T403+0.00001)</f>
        <v>19.9865065057631</v>
      </c>
      <c r="W403" s="10" t="e">
        <f aca="false">S403/(U403+0.0001)</f>
        <v>#N/A</v>
      </c>
      <c r="X403" s="60" t="n">
        <f aca="false">IF(Informed=1,K403,0)</f>
        <v>0</v>
      </c>
      <c r="Y403" s="60" t="n">
        <f aca="false">IF(Informed=0,K403,0)</f>
        <v>0</v>
      </c>
      <c r="Z403" s="60" t="n">
        <f aca="false">IF(Informed=1,N403,0)</f>
        <v>0</v>
      </c>
      <c r="AA403" s="60" t="n">
        <f aca="false">IF(Informed=0,N403,0)</f>
        <v>24.4247382514986</v>
      </c>
      <c r="AB403" s="64" t="n">
        <f aca="false">IF(Arterial=0,IF(Informed=1,1,0),0)</f>
        <v>0</v>
      </c>
      <c r="AC403" s="64" t="n">
        <f aca="false">IF(Arterial=0,IF(Informed=0,1,0),0)</f>
        <v>0</v>
      </c>
      <c r="AD403" s="64" t="n">
        <f aca="false">IF(Arterial=1,IF(Informed=1,1,0),0)</f>
        <v>0</v>
      </c>
      <c r="AE403" s="64" t="n">
        <f aca="false">IF(Arterial=1,IF(Informed=0,1,0),0)</f>
        <v>1</v>
      </c>
      <c r="AF403" s="57" t="n">
        <f aca="false">IF(AB403=1,(X403-G$1030)^2,0)</f>
        <v>0</v>
      </c>
      <c r="AG403" s="57" t="n">
        <f aca="false">IF(AC403=1,(Y403-H$1030)^2,0)</f>
        <v>0</v>
      </c>
      <c r="AH403" s="57" t="n">
        <f aca="false">IF(AD403=1,(Z403-I$1030)^2,0)</f>
        <v>0</v>
      </c>
      <c r="AI403" s="57" t="n">
        <f aca="false">IF(AE403=1,(AA403-J$1030)^2,0)</f>
        <v>596.567838654218</v>
      </c>
    </row>
    <row r="404" customFormat="false" ht="12" hidden="false" customHeight="false" outlineLevel="0" collapsed="false">
      <c r="A404" s="5" t="n">
        <v>387</v>
      </c>
      <c r="B404" s="58" t="n">
        <f aca="true">IF(RAND()&lt;$D$8,1,0)</f>
        <v>1</v>
      </c>
      <c r="C404" s="47" t="n">
        <f aca="true">-LN(RAND())/$D$2</f>
        <v>0.896523706080361</v>
      </c>
      <c r="D404" s="59" t="n">
        <f aca="false">D403+C404</f>
        <v>371.006221312879</v>
      </c>
      <c r="E404" s="60" t="n">
        <f aca="false">MAX($D$3,(1+P403-VLOOKUP(VALUE(D404),$J$18:$Q403,7,TRUE()))*$D$3)</f>
        <v>24</v>
      </c>
      <c r="F404" s="60" t="n">
        <f aca="false">MAX($D$4,(1+Q403-VLOOKUP(VALUE(D404),$M$18:$Q403,5,TRUE()))*$D$4)</f>
        <v>26</v>
      </c>
      <c r="G404" s="61" t="n">
        <v>0.5</v>
      </c>
      <c r="H404" s="59" t="n">
        <f aca="true">IF((B404=1),(IF((F404&lt;E404),1,(IF((F404=E404),(IF(RAND()&lt;G404,1,0)),0)))),(IF((RAND()&lt;G404),1,0)))</f>
        <v>0</v>
      </c>
      <c r="I404" s="59" t="n">
        <f aca="true">IF((H404=1),0,$D$3+$D$5*(RAND()-0.5))</f>
        <v>2.11060172443113</v>
      </c>
      <c r="J404" s="59" t="n">
        <f aca="false">I404+MAX(D404,J403)</f>
        <v>394.522758218839</v>
      </c>
      <c r="K404" s="59" t="n">
        <f aca="false">IF((H404=0),J404-D404,0)</f>
        <v>23.5165369059594</v>
      </c>
      <c r="L404" s="59" t="n">
        <f aca="true">IF(($H404=0),0,$D$4+$D$5*(RAND()-0.5))</f>
        <v>0</v>
      </c>
      <c r="M404" s="59" t="n">
        <f aca="false">L404+MAX(D404,M403)</f>
        <v>394.534435858297</v>
      </c>
      <c r="N404" s="59" t="n">
        <f aca="false">IF((H404=1),M404-D404,0)</f>
        <v>0</v>
      </c>
      <c r="O404" s="5" t="n">
        <v>387</v>
      </c>
      <c r="P404" s="62" t="n">
        <f aca="false">IF((Arterial=0),P403+1,P403)</f>
        <v>193</v>
      </c>
      <c r="Q404" s="62" t="n">
        <f aca="false">IF((Arterial=1),Q403+1,Q403)</f>
        <v>194</v>
      </c>
      <c r="R404" s="63" t="e">
        <f aca="false">IF((RESET=1),0,R404+K404)</f>
        <v>#N/A</v>
      </c>
      <c r="S404" s="10" t="n">
        <f aca="false">IF(RESET=1,0,S404+N404)</f>
        <v>588.477667984355</v>
      </c>
      <c r="T404" s="0" t="e">
        <f aca="false">IF(RESET=1,0,T404+IF(H404=0,1,0))</f>
        <v>#N/A</v>
      </c>
      <c r="U404" s="0" t="n">
        <f aca="false">IF(RESET=1,0,U404+H404)</f>
        <v>28</v>
      </c>
      <c r="V404" s="10" t="e">
        <f aca="false">R404/(T404+0.00001)</f>
        <v>#N/A</v>
      </c>
      <c r="W404" s="10" t="n">
        <f aca="false">S404/(U404+0.0001)</f>
        <v>21.0169845102109</v>
      </c>
      <c r="X404" s="60" t="n">
        <f aca="false">IF(Informed=1,K404,0)</f>
        <v>23.5165369059594</v>
      </c>
      <c r="Y404" s="60" t="n">
        <f aca="false">IF(Informed=0,K404,0)</f>
        <v>0</v>
      </c>
      <c r="Z404" s="60" t="n">
        <f aca="false">IF(Informed=1,N404,0)</f>
        <v>0</v>
      </c>
      <c r="AA404" s="60" t="n">
        <f aca="false">IF(Informed=0,N404,0)</f>
        <v>0</v>
      </c>
      <c r="AB404" s="64" t="n">
        <f aca="false">IF(Arterial=0,IF(Informed=1,1,0),0)</f>
        <v>1</v>
      </c>
      <c r="AC404" s="64" t="n">
        <f aca="false">IF(Arterial=0,IF(Informed=0,1,0),0)</f>
        <v>0</v>
      </c>
      <c r="AD404" s="64" t="n">
        <f aca="false">IF(Arterial=1,IF(Informed=1,1,0),0)</f>
        <v>0</v>
      </c>
      <c r="AE404" s="64" t="n">
        <f aca="false">IF(Arterial=1,IF(Informed=0,1,0),0)</f>
        <v>0</v>
      </c>
      <c r="AF404" s="57" t="n">
        <f aca="false">IF(AB404=1,(X404-G$1030)^2,0)</f>
        <v>553.027508049348</v>
      </c>
      <c r="AG404" s="57" t="n">
        <f aca="false">IF(AC404=1,(Y404-H$1030)^2,0)</f>
        <v>0</v>
      </c>
      <c r="AH404" s="57" t="n">
        <f aca="false">IF(AD404=1,(Z404-I$1030)^2,0)</f>
        <v>0</v>
      </c>
      <c r="AI404" s="57" t="n">
        <f aca="false">IF(AE404=1,(AA404-J$1030)^2,0)</f>
        <v>0</v>
      </c>
    </row>
    <row r="405" customFormat="false" ht="12" hidden="false" customHeight="false" outlineLevel="0" collapsed="false">
      <c r="A405" s="5" t="n">
        <v>388</v>
      </c>
      <c r="B405" s="58" t="n">
        <f aca="true">IF(RAND()&lt;$D$8,1,0)</f>
        <v>0</v>
      </c>
      <c r="C405" s="47" t="n">
        <f aca="true">-LN(RAND())/$D$2</f>
        <v>0.110924349143129</v>
      </c>
      <c r="D405" s="59" t="n">
        <f aca="false">D404+C405</f>
        <v>371.117145662022</v>
      </c>
      <c r="E405" s="60" t="n">
        <f aca="false">MAX($D$3,(1+P404-VLOOKUP(VALUE(D405),$J$18:$Q404,7,TRUE()))*$D$3)</f>
        <v>26</v>
      </c>
      <c r="F405" s="60" t="n">
        <f aca="false">MAX($D$4,(1+Q404-VLOOKUP(VALUE(D405),$M$18:$Q404,5,TRUE()))*$D$4)</f>
        <v>26</v>
      </c>
      <c r="G405" s="61" t="n">
        <v>0.5</v>
      </c>
      <c r="H405" s="59" t="n">
        <f aca="true">IF((B405=1),(IF((F405&lt;E405),1,(IF((F405=E405),(IF(RAND()&lt;G405,1,0)),0)))),(IF((RAND()&lt;G405),1,0)))</f>
        <v>1</v>
      </c>
      <c r="I405" s="59" t="n">
        <f aca="true">IF((H405=1),0,$D$3+$D$5*(RAND()-0.5))</f>
        <v>0</v>
      </c>
      <c r="J405" s="59" t="n">
        <f aca="false">I405+MAX(D405,J404)</f>
        <v>394.522758218839</v>
      </c>
      <c r="K405" s="59" t="n">
        <f aca="false">IF((H405=0),J405-D405,0)</f>
        <v>0</v>
      </c>
      <c r="L405" s="59" t="n">
        <f aca="true">IF(($H405=0),0,$D$4+$D$5*(RAND()-0.5))</f>
        <v>2.03358783683311</v>
      </c>
      <c r="M405" s="59" t="n">
        <f aca="false">L405+MAX(D405,M404)</f>
        <v>396.568023695131</v>
      </c>
      <c r="N405" s="59" t="n">
        <f aca="false">IF((H405=1),M405-D405,0)</f>
        <v>25.4508780331082</v>
      </c>
      <c r="O405" s="5" t="n">
        <v>388</v>
      </c>
      <c r="P405" s="62" t="n">
        <f aca="false">IF((Arterial=0),P404+1,P404)</f>
        <v>193</v>
      </c>
      <c r="Q405" s="62" t="n">
        <f aca="false">IF((Arterial=1),Q404+1,Q404)</f>
        <v>195</v>
      </c>
      <c r="R405" s="63" t="n">
        <f aca="false">IF((RESET=1),0,R405+K405)</f>
        <v>553.63865706458</v>
      </c>
      <c r="S405" s="10" t="e">
        <f aca="false">IF(RESET=1,0,S405+N405)</f>
        <v>#N/A</v>
      </c>
      <c r="T405" s="0" t="n">
        <f aca="false">IF(RESET=1,0,T405+IF(H405=0,1,0))</f>
        <v>26</v>
      </c>
      <c r="U405" s="0" t="e">
        <f aca="false">IF(RESET=1,0,U405+H405)</f>
        <v>#N/A</v>
      </c>
      <c r="V405" s="10" t="n">
        <f aca="false">R405/(T405+0.00001)</f>
        <v>21.293786312566</v>
      </c>
      <c r="W405" s="10" t="e">
        <f aca="false">S405/(U405+0.0001)</f>
        <v>#N/A</v>
      </c>
      <c r="X405" s="60" t="n">
        <f aca="false">IF(Informed=1,K405,0)</f>
        <v>0</v>
      </c>
      <c r="Y405" s="60" t="n">
        <f aca="false">IF(Informed=0,K405,0)</f>
        <v>0</v>
      </c>
      <c r="Z405" s="60" t="n">
        <f aca="false">IF(Informed=1,N405,0)</f>
        <v>0</v>
      </c>
      <c r="AA405" s="60" t="n">
        <f aca="false">IF(Informed=0,N405,0)</f>
        <v>25.4508780331082</v>
      </c>
      <c r="AB405" s="64" t="n">
        <f aca="false">IF(Arterial=0,IF(Informed=1,1,0),0)</f>
        <v>0</v>
      </c>
      <c r="AC405" s="64" t="n">
        <f aca="false">IF(Arterial=0,IF(Informed=0,1,0),0)</f>
        <v>0</v>
      </c>
      <c r="AD405" s="64" t="n">
        <f aca="false">IF(Arterial=1,IF(Informed=1,1,0),0)</f>
        <v>0</v>
      </c>
      <c r="AE405" s="64" t="n">
        <f aca="false">IF(Arterial=1,IF(Informed=0,1,0),0)</f>
        <v>1</v>
      </c>
      <c r="AF405" s="57" t="n">
        <f aca="false">IF(AB405=1,(X405-G$1030)^2,0)</f>
        <v>0</v>
      </c>
      <c r="AG405" s="57" t="n">
        <f aca="false">IF(AC405=1,(Y405-H$1030)^2,0)</f>
        <v>0</v>
      </c>
      <c r="AH405" s="57" t="n">
        <f aca="false">IF(AD405=1,(Z405-I$1030)^2,0)</f>
        <v>0</v>
      </c>
      <c r="AI405" s="57" t="n">
        <f aca="false">IF(AE405=1,(AA405-J$1030)^2,0)</f>
        <v>647.74719265615</v>
      </c>
    </row>
    <row r="406" customFormat="false" ht="12" hidden="false" customHeight="false" outlineLevel="0" collapsed="false">
      <c r="A406" s="5" t="n">
        <v>389</v>
      </c>
      <c r="B406" s="58" t="n">
        <f aca="true">IF(RAND()&lt;$D$8,1,0)</f>
        <v>1</v>
      </c>
      <c r="C406" s="47" t="n">
        <f aca="true">-LN(RAND())/$D$2</f>
        <v>1.32650006914415</v>
      </c>
      <c r="D406" s="59" t="n">
        <f aca="false">D405+C406</f>
        <v>372.443645731166</v>
      </c>
      <c r="E406" s="60" t="n">
        <f aca="false">MAX($D$3,(1+P405-VLOOKUP(VALUE(D406),$J$18:$Q405,7,TRUE()))*$D$3)</f>
        <v>24</v>
      </c>
      <c r="F406" s="60" t="n">
        <f aca="false">MAX($D$4,(1+Q405-VLOOKUP(VALUE(D406),$M$18:$Q405,5,TRUE()))*$D$4)</f>
        <v>26</v>
      </c>
      <c r="G406" s="61" t="n">
        <v>0.5</v>
      </c>
      <c r="H406" s="59" t="n">
        <f aca="true">IF((B406=1),(IF((F406&lt;E406),1,(IF((F406=E406),(IF(RAND()&lt;G406,1,0)),0)))),(IF((RAND()&lt;G406),1,0)))</f>
        <v>0</v>
      </c>
      <c r="I406" s="59" t="n">
        <f aca="true">IF((H406=1),0,$D$3+$D$5*(RAND()-0.5))</f>
        <v>2.01320405169855</v>
      </c>
      <c r="J406" s="59" t="n">
        <f aca="false">I406+MAX(D406,J405)</f>
        <v>396.535962270537</v>
      </c>
      <c r="K406" s="59" t="n">
        <f aca="false">IF((H406=0),J406-D406,0)</f>
        <v>24.0923165393706</v>
      </c>
      <c r="L406" s="59" t="n">
        <f aca="true">IF(($H406=0),0,$D$4+$D$5*(RAND()-0.5))</f>
        <v>0</v>
      </c>
      <c r="M406" s="59" t="n">
        <f aca="false">L406+MAX(D406,M405)</f>
        <v>396.568023695131</v>
      </c>
      <c r="N406" s="59" t="n">
        <f aca="false">IF((H406=1),M406-D406,0)</f>
        <v>0</v>
      </c>
      <c r="O406" s="5" t="n">
        <v>389</v>
      </c>
      <c r="P406" s="62" t="n">
        <f aca="false">IF((Arterial=0),P405+1,P405)</f>
        <v>194</v>
      </c>
      <c r="Q406" s="62" t="n">
        <f aca="false">IF((Arterial=1),Q405+1,Q405)</f>
        <v>195</v>
      </c>
      <c r="R406" s="63" t="e">
        <f aca="false">IF((RESET=1),0,R406+K406)</f>
        <v>#N/A</v>
      </c>
      <c r="S406" s="10" t="n">
        <f aca="false">IF(RESET=1,0,S406+N406)</f>
        <v>510.304714840371</v>
      </c>
      <c r="T406" s="0" t="e">
        <f aca="false">IF(RESET=1,0,T406+IF(H406=0,1,0))</f>
        <v>#N/A</v>
      </c>
      <c r="U406" s="0" t="n">
        <f aca="false">IF(RESET=1,0,U406+H406)</f>
        <v>23</v>
      </c>
      <c r="V406" s="10" t="e">
        <f aca="false">R406/(T406+0.00001)</f>
        <v>#N/A</v>
      </c>
      <c r="W406" s="10" t="n">
        <f aca="false">S406/(U406+0.0001)</f>
        <v>22.1870650492985</v>
      </c>
      <c r="X406" s="60" t="n">
        <f aca="false">IF(Informed=1,K406,0)</f>
        <v>24.0923165393706</v>
      </c>
      <c r="Y406" s="60" t="n">
        <f aca="false">IF(Informed=0,K406,0)</f>
        <v>0</v>
      </c>
      <c r="Z406" s="60" t="n">
        <f aca="false">IF(Informed=1,N406,0)</f>
        <v>0</v>
      </c>
      <c r="AA406" s="60" t="n">
        <f aca="false">IF(Informed=0,N406,0)</f>
        <v>0</v>
      </c>
      <c r="AB406" s="64" t="n">
        <f aca="false">IF(Arterial=0,IF(Informed=1,1,0),0)</f>
        <v>1</v>
      </c>
      <c r="AC406" s="64" t="n">
        <f aca="false">IF(Arterial=0,IF(Informed=0,1,0),0)</f>
        <v>0</v>
      </c>
      <c r="AD406" s="64" t="n">
        <f aca="false">IF(Arterial=1,IF(Informed=1,1,0),0)</f>
        <v>0</v>
      </c>
      <c r="AE406" s="64" t="n">
        <f aca="false">IF(Arterial=1,IF(Informed=0,1,0),0)</f>
        <v>0</v>
      </c>
      <c r="AF406" s="57" t="n">
        <f aca="false">IF(AB406=1,(X406-G$1030)^2,0)</f>
        <v>580.439716233229</v>
      </c>
      <c r="AG406" s="57" t="n">
        <f aca="false">IF(AC406=1,(Y406-H$1030)^2,0)</f>
        <v>0</v>
      </c>
      <c r="AH406" s="57" t="n">
        <f aca="false">IF(AD406=1,(Z406-I$1030)^2,0)</f>
        <v>0</v>
      </c>
      <c r="AI406" s="57" t="n">
        <f aca="false">IF(AE406=1,(AA406-J$1030)^2,0)</f>
        <v>0</v>
      </c>
    </row>
    <row r="407" customFormat="false" ht="12" hidden="false" customHeight="false" outlineLevel="0" collapsed="false">
      <c r="A407" s="5" t="n">
        <v>390</v>
      </c>
      <c r="B407" s="58" t="n">
        <f aca="true">IF(RAND()&lt;$D$8,1,0)</f>
        <v>0</v>
      </c>
      <c r="C407" s="47" t="n">
        <f aca="true">-LN(RAND())/$D$2</f>
        <v>1.75760324351993</v>
      </c>
      <c r="D407" s="59" t="n">
        <f aca="false">D406+C407</f>
        <v>374.201248974686</v>
      </c>
      <c r="E407" s="60" t="n">
        <f aca="false">MAX($D$3,(1+P406-VLOOKUP(VALUE(D407),$J$18:$Q406,7,TRUE()))*$D$3)</f>
        <v>26</v>
      </c>
      <c r="F407" s="60" t="n">
        <f aca="false">MAX($D$4,(1+Q406-VLOOKUP(VALUE(D407),$M$18:$Q406,5,TRUE()))*$D$4)</f>
        <v>26</v>
      </c>
      <c r="G407" s="61" t="n">
        <v>0.5</v>
      </c>
      <c r="H407" s="59" t="n">
        <f aca="true">IF((B407=1),(IF((F407&lt;E407),1,(IF((F407=E407),(IF(RAND()&lt;G407,1,0)),0)))),(IF((RAND()&lt;G407),1,0)))</f>
        <v>0</v>
      </c>
      <c r="I407" s="59" t="n">
        <f aca="true">IF((H407=1),0,$D$3+$D$5*(RAND()-0.5))</f>
        <v>1.88394425530683</v>
      </c>
      <c r="J407" s="59" t="n">
        <f aca="false">I407+MAX(D407,J406)</f>
        <v>398.419906525844</v>
      </c>
      <c r="K407" s="59" t="n">
        <f aca="false">IF((H407=0),J407-D407,0)</f>
        <v>24.2186575511575</v>
      </c>
      <c r="L407" s="59" t="n">
        <f aca="true">IF(($H407=0),0,$D$4+$D$5*(RAND()-0.5))</f>
        <v>0</v>
      </c>
      <c r="M407" s="59" t="n">
        <f aca="false">L407+MAX(D407,M406)</f>
        <v>396.568023695131</v>
      </c>
      <c r="N407" s="59" t="n">
        <f aca="false">IF((H407=1),M407-D407,0)</f>
        <v>0</v>
      </c>
      <c r="O407" s="5" t="n">
        <v>390</v>
      </c>
      <c r="P407" s="62" t="n">
        <f aca="false">IF((Arterial=0),P406+1,P406)</f>
        <v>195</v>
      </c>
      <c r="Q407" s="62" t="n">
        <f aca="false">IF((Arterial=1),Q406+1,Q406)</f>
        <v>195</v>
      </c>
      <c r="R407" s="63" t="e">
        <f aca="false">IF((RESET=1),0,R407+K407)</f>
        <v>#N/A</v>
      </c>
      <c r="S407" s="10" t="n">
        <f aca="false">IF(RESET=1,0,S407+N407)</f>
        <v>453.855798224421</v>
      </c>
      <c r="T407" s="0" t="e">
        <f aca="false">IF(RESET=1,0,T407+IF(H407=0,1,0))</f>
        <v>#N/A</v>
      </c>
      <c r="U407" s="0" t="n">
        <f aca="false">IF(RESET=1,0,U407+H407)</f>
        <v>26</v>
      </c>
      <c r="V407" s="10" t="e">
        <f aca="false">R407/(T407+0.00001)</f>
        <v>#N/A</v>
      </c>
      <c r="W407" s="10" t="n">
        <f aca="false">S407/(U407+0.0001)</f>
        <v>17.4559251012273</v>
      </c>
      <c r="X407" s="60" t="n">
        <f aca="false">IF(Informed=1,K407,0)</f>
        <v>0</v>
      </c>
      <c r="Y407" s="60" t="n">
        <f aca="false">IF(Informed=0,K407,0)</f>
        <v>24.2186575511575</v>
      </c>
      <c r="Z407" s="60" t="n">
        <f aca="false">IF(Informed=1,N407,0)</f>
        <v>0</v>
      </c>
      <c r="AA407" s="60" t="n">
        <f aca="false">IF(Informed=0,N407,0)</f>
        <v>0</v>
      </c>
      <c r="AB407" s="64" t="n">
        <f aca="false">IF(Arterial=0,IF(Informed=1,1,0),0)</f>
        <v>0</v>
      </c>
      <c r="AC407" s="64" t="n">
        <f aca="false">IF(Arterial=0,IF(Informed=0,1,0),0)</f>
        <v>1</v>
      </c>
      <c r="AD407" s="64" t="n">
        <f aca="false">IF(Arterial=1,IF(Informed=1,1,0),0)</f>
        <v>0</v>
      </c>
      <c r="AE407" s="64" t="n">
        <f aca="false">IF(Arterial=1,IF(Informed=0,1,0),0)</f>
        <v>0</v>
      </c>
      <c r="AF407" s="57" t="n">
        <f aca="false">IF(AB407=1,(X407-G$1030)^2,0)</f>
        <v>0</v>
      </c>
      <c r="AG407" s="57" t="n">
        <f aca="false">IF(AC407=1,(Y407-H$1030)^2,0)</f>
        <v>586.543373580238</v>
      </c>
      <c r="AH407" s="57" t="n">
        <f aca="false">IF(AD407=1,(Z407-I$1030)^2,0)</f>
        <v>0</v>
      </c>
      <c r="AI407" s="57" t="n">
        <f aca="false">IF(AE407=1,(AA407-J$1030)^2,0)</f>
        <v>0</v>
      </c>
    </row>
    <row r="408" customFormat="false" ht="12" hidden="false" customHeight="false" outlineLevel="0" collapsed="false">
      <c r="A408" s="5" t="n">
        <v>391</v>
      </c>
      <c r="B408" s="58" t="n">
        <f aca="true">IF(RAND()&lt;$D$8,1,0)</f>
        <v>1</v>
      </c>
      <c r="C408" s="47" t="n">
        <f aca="true">-LN(RAND())/$D$2</f>
        <v>0.681098111448269</v>
      </c>
      <c r="D408" s="59" t="n">
        <f aca="false">D407+C408</f>
        <v>374.882347086135</v>
      </c>
      <c r="E408" s="60" t="n">
        <f aca="false">MAX($D$3,(1+P407-VLOOKUP(VALUE(D408),$J$18:$Q407,7,TRUE()))*$D$3)</f>
        <v>26</v>
      </c>
      <c r="F408" s="60" t="n">
        <f aca="false">MAX($D$4,(1+Q407-VLOOKUP(VALUE(D408),$M$18:$Q407,5,TRUE()))*$D$4)</f>
        <v>24</v>
      </c>
      <c r="G408" s="61" t="n">
        <v>0.5</v>
      </c>
      <c r="H408" s="59" t="n">
        <f aca="true">IF((B408=1),(IF((F408&lt;E408),1,(IF((F408=E408),(IF(RAND()&lt;G408,1,0)),0)))),(IF((RAND()&lt;G408),1,0)))</f>
        <v>1</v>
      </c>
      <c r="I408" s="59" t="n">
        <f aca="true">IF((H408=1),0,$D$3+$D$5*(RAND()-0.5))</f>
        <v>0</v>
      </c>
      <c r="J408" s="59" t="n">
        <f aca="false">I408+MAX(D408,J407)</f>
        <v>398.419906525844</v>
      </c>
      <c r="K408" s="59" t="n">
        <f aca="false">IF((H408=0),J408-D408,0)</f>
        <v>0</v>
      </c>
      <c r="L408" s="59" t="n">
        <f aca="true">IF(($H408=0),0,$D$4+$D$5*(RAND()-0.5))</f>
        <v>1.97927904877983</v>
      </c>
      <c r="M408" s="59" t="n">
        <f aca="false">L408+MAX(D408,M407)</f>
        <v>398.54730274391</v>
      </c>
      <c r="N408" s="59" t="n">
        <f aca="false">IF((H408=1),M408-D408,0)</f>
        <v>23.6649556577757</v>
      </c>
      <c r="O408" s="5" t="n">
        <v>391</v>
      </c>
      <c r="P408" s="62" t="n">
        <f aca="false">IF((Arterial=0),P407+1,P407)</f>
        <v>195</v>
      </c>
      <c r="Q408" s="62" t="n">
        <f aca="false">IF((Arterial=1),Q407+1,Q407)</f>
        <v>196</v>
      </c>
      <c r="R408" s="63" t="n">
        <f aca="false">IF((RESET=1),0,R408+K408)</f>
        <v>559.093744715552</v>
      </c>
      <c r="S408" s="10" t="e">
        <f aca="false">IF(RESET=1,0,S408+N408)</f>
        <v>#N/A</v>
      </c>
      <c r="T408" s="0" t="n">
        <f aca="false">IF(RESET=1,0,T408+IF(H408=0,1,0))</f>
        <v>26</v>
      </c>
      <c r="U408" s="0" t="e">
        <f aca="false">IF(RESET=1,0,U408+H408)</f>
        <v>#N/A</v>
      </c>
      <c r="V408" s="10" t="n">
        <f aca="false">R408/(T408+0.00001)</f>
        <v>21.5035972953684</v>
      </c>
      <c r="W408" s="10" t="e">
        <f aca="false">S408/(U408+0.0001)</f>
        <v>#N/A</v>
      </c>
      <c r="X408" s="60" t="n">
        <f aca="false">IF(Informed=1,K408,0)</f>
        <v>0</v>
      </c>
      <c r="Y408" s="60" t="n">
        <f aca="false">IF(Informed=0,K408,0)</f>
        <v>0</v>
      </c>
      <c r="Z408" s="60" t="n">
        <f aca="false">IF(Informed=1,N408,0)</f>
        <v>23.6649556577757</v>
      </c>
      <c r="AA408" s="60" t="n">
        <f aca="false">IF(Informed=0,N408,0)</f>
        <v>0</v>
      </c>
      <c r="AB408" s="64" t="n">
        <f aca="false">IF(Arterial=0,IF(Informed=1,1,0),0)</f>
        <v>0</v>
      </c>
      <c r="AC408" s="64" t="n">
        <f aca="false">IF(Arterial=0,IF(Informed=0,1,0),0)</f>
        <v>0</v>
      </c>
      <c r="AD408" s="64" t="n">
        <f aca="false">IF(Arterial=1,IF(Informed=1,1,0),0)</f>
        <v>1</v>
      </c>
      <c r="AE408" s="64" t="n">
        <f aca="false">IF(Arterial=1,IF(Informed=0,1,0),0)</f>
        <v>0</v>
      </c>
      <c r="AF408" s="57" t="n">
        <f aca="false">IF(AB408=1,(X408-G$1030)^2,0)</f>
        <v>0</v>
      </c>
      <c r="AG408" s="57" t="n">
        <f aca="false">IF(AC408=1,(Y408-H$1030)^2,0)</f>
        <v>0</v>
      </c>
      <c r="AH408" s="57" t="n">
        <f aca="false">IF(AD408=1,(Z408-I$1030)^2,0)</f>
        <v>560.03012628449</v>
      </c>
      <c r="AI408" s="57" t="n">
        <f aca="false">IF(AE408=1,(AA408-J$1030)^2,0)</f>
        <v>0</v>
      </c>
    </row>
    <row r="409" customFormat="false" ht="12" hidden="false" customHeight="false" outlineLevel="0" collapsed="false">
      <c r="A409" s="5" t="n">
        <v>392</v>
      </c>
      <c r="B409" s="58" t="n">
        <f aca="true">IF(RAND()&lt;$D$8,1,0)</f>
        <v>0</v>
      </c>
      <c r="C409" s="47" t="n">
        <f aca="true">-LN(RAND())/$D$2</f>
        <v>0.792314345658277</v>
      </c>
      <c r="D409" s="59" t="n">
        <f aca="false">D408+C409</f>
        <v>375.674661431793</v>
      </c>
      <c r="E409" s="60" t="n">
        <f aca="false">MAX($D$3,(1+P408-VLOOKUP(VALUE(D409),$J$18:$Q408,7,TRUE()))*$D$3)</f>
        <v>26</v>
      </c>
      <c r="F409" s="60" t="n">
        <f aca="false">MAX($D$4,(1+Q408-VLOOKUP(VALUE(D409),$M$18:$Q408,5,TRUE()))*$D$4)</f>
        <v>26</v>
      </c>
      <c r="G409" s="61" t="n">
        <v>0.5</v>
      </c>
      <c r="H409" s="59" t="n">
        <f aca="true">IF((B409=1),(IF((F409&lt;E409),1,(IF((F409=E409),(IF(RAND()&lt;G409,1,0)),0)))),(IF((RAND()&lt;G409),1,0)))</f>
        <v>0</v>
      </c>
      <c r="I409" s="59" t="n">
        <f aca="true">IF((H409=1),0,$D$3+$D$5*(RAND()-0.5))</f>
        <v>1.95277680009596</v>
      </c>
      <c r="J409" s="59" t="n">
        <f aca="false">I409+MAX(D409,J408)</f>
        <v>400.37268332594</v>
      </c>
      <c r="K409" s="59" t="n">
        <f aca="false">IF((H409=0),J409-D409,0)</f>
        <v>24.698021894147</v>
      </c>
      <c r="L409" s="59" t="n">
        <f aca="true">IF(($H409=0),0,$D$4+$D$5*(RAND()-0.5))</f>
        <v>0</v>
      </c>
      <c r="M409" s="59" t="n">
        <f aca="false">L409+MAX(D409,M408)</f>
        <v>398.54730274391</v>
      </c>
      <c r="N409" s="59" t="n">
        <f aca="false">IF((H409=1),M409-D409,0)</f>
        <v>0</v>
      </c>
      <c r="O409" s="5" t="n">
        <v>392</v>
      </c>
      <c r="P409" s="62" t="n">
        <f aca="false">IF((Arterial=0),P408+1,P408)</f>
        <v>196</v>
      </c>
      <c r="Q409" s="62" t="n">
        <f aca="false">IF((Arterial=1),Q408+1,Q408)</f>
        <v>196</v>
      </c>
      <c r="R409" s="63" t="e">
        <f aca="false">IF((RESET=1),0,R409+K409)</f>
        <v>#N/A</v>
      </c>
      <c r="S409" s="10" t="n">
        <f aca="false">IF(RESET=1,0,S409+N409)</f>
        <v>692.048818487122</v>
      </c>
      <c r="T409" s="0" t="e">
        <f aca="false">IF(RESET=1,0,T409+IF(H409=0,1,0))</f>
        <v>#N/A</v>
      </c>
      <c r="U409" s="0" t="n">
        <f aca="false">IF(RESET=1,0,U409+H409)</f>
        <v>33</v>
      </c>
      <c r="V409" s="10" t="e">
        <f aca="false">R409/(T409+0.00001)</f>
        <v>#N/A</v>
      </c>
      <c r="W409" s="10" t="n">
        <f aca="false">S409/(U409+0.0001)</f>
        <v>20.971112768965</v>
      </c>
      <c r="X409" s="60" t="n">
        <f aca="false">IF(Informed=1,K409,0)</f>
        <v>0</v>
      </c>
      <c r="Y409" s="60" t="n">
        <f aca="false">IF(Informed=0,K409,0)</f>
        <v>24.698021894147</v>
      </c>
      <c r="Z409" s="60" t="n">
        <f aca="false">IF(Informed=1,N409,0)</f>
        <v>0</v>
      </c>
      <c r="AA409" s="60" t="n">
        <f aca="false">IF(Informed=0,N409,0)</f>
        <v>0</v>
      </c>
      <c r="AB409" s="64" t="n">
        <f aca="false">IF(Arterial=0,IF(Informed=1,1,0),0)</f>
        <v>0</v>
      </c>
      <c r="AC409" s="64" t="n">
        <f aca="false">IF(Arterial=0,IF(Informed=0,1,0),0)</f>
        <v>1</v>
      </c>
      <c r="AD409" s="64" t="n">
        <f aca="false">IF(Arterial=1,IF(Informed=1,1,0),0)</f>
        <v>0</v>
      </c>
      <c r="AE409" s="64" t="n">
        <f aca="false">IF(Arterial=1,IF(Informed=0,1,0),0)</f>
        <v>0</v>
      </c>
      <c r="AF409" s="57" t="n">
        <f aca="false">IF(AB409=1,(X409-G$1030)^2,0)</f>
        <v>0</v>
      </c>
      <c r="AG409" s="57" t="n">
        <f aca="false">IF(AC409=1,(Y409-H$1030)^2,0)</f>
        <v>609.992285483763</v>
      </c>
      <c r="AH409" s="57" t="n">
        <f aca="false">IF(AD409=1,(Z409-I$1030)^2,0)</f>
        <v>0</v>
      </c>
      <c r="AI409" s="57" t="n">
        <f aca="false">IF(AE409=1,(AA409-J$1030)^2,0)</f>
        <v>0</v>
      </c>
    </row>
    <row r="410" customFormat="false" ht="12" hidden="false" customHeight="false" outlineLevel="0" collapsed="false">
      <c r="A410" s="5" t="n">
        <v>393</v>
      </c>
      <c r="B410" s="58" t="n">
        <f aca="true">IF(RAND()&lt;$D$8,1,0)</f>
        <v>1</v>
      </c>
      <c r="C410" s="47" t="n">
        <f aca="true">-LN(RAND())/$D$2</f>
        <v>0.0771007370362738</v>
      </c>
      <c r="D410" s="59" t="n">
        <f aca="false">D409+C410</f>
        <v>375.751762168829</v>
      </c>
      <c r="E410" s="60" t="n">
        <f aca="false">MAX($D$3,(1+P409-VLOOKUP(VALUE(D410),$J$18:$Q409,7,TRUE()))*$D$3)</f>
        <v>28</v>
      </c>
      <c r="F410" s="60" t="n">
        <f aca="false">MAX($D$4,(1+Q409-VLOOKUP(VALUE(D410),$M$18:$Q409,5,TRUE()))*$D$4)</f>
        <v>26</v>
      </c>
      <c r="G410" s="61" t="n">
        <v>0.5</v>
      </c>
      <c r="H410" s="59" t="n">
        <f aca="true">IF((B410=1),(IF((F410&lt;E410),1,(IF((F410=E410),(IF(RAND()&lt;G410,1,0)),0)))),(IF((RAND()&lt;G410),1,0)))</f>
        <v>1</v>
      </c>
      <c r="I410" s="59" t="n">
        <f aca="true">IF((H410=1),0,$D$3+$D$5*(RAND()-0.5))</f>
        <v>0</v>
      </c>
      <c r="J410" s="59" t="n">
        <f aca="false">I410+MAX(D410,J409)</f>
        <v>400.37268332594</v>
      </c>
      <c r="K410" s="59" t="n">
        <f aca="false">IF((H410=0),J410-D410,0)</f>
        <v>0</v>
      </c>
      <c r="L410" s="59" t="n">
        <f aca="true">IF(($H410=0),0,$D$4+$D$5*(RAND()-0.5))</f>
        <v>2.03597405239346</v>
      </c>
      <c r="M410" s="59" t="n">
        <f aca="false">L410+MAX(D410,M409)</f>
        <v>400.583276796304</v>
      </c>
      <c r="N410" s="59" t="n">
        <f aca="false">IF((H410=1),M410-D410,0)</f>
        <v>24.8315146274746</v>
      </c>
      <c r="O410" s="5" t="n">
        <v>393</v>
      </c>
      <c r="P410" s="62" t="n">
        <f aca="false">IF((Arterial=0),P409+1,P409)</f>
        <v>196</v>
      </c>
      <c r="Q410" s="62" t="n">
        <f aca="false">IF((Arterial=1),Q409+1,Q409)</f>
        <v>197</v>
      </c>
      <c r="R410" s="63" t="n">
        <f aca="false">IF((RESET=1),0,R410+K410)</f>
        <v>479.541904942062</v>
      </c>
      <c r="S410" s="10" t="e">
        <f aca="false">IF(RESET=1,0,S410+N410)</f>
        <v>#N/A</v>
      </c>
      <c r="T410" s="0" t="n">
        <f aca="false">IF(RESET=1,0,T410+IF(H410=0,1,0))</f>
        <v>24</v>
      </c>
      <c r="U410" s="0" t="e">
        <f aca="false">IF(RESET=1,0,U410+H410)</f>
        <v>#N/A</v>
      </c>
      <c r="V410" s="10" t="n">
        <f aca="false">R410/(T410+0.00001)</f>
        <v>19.9809043805424</v>
      </c>
      <c r="W410" s="10" t="e">
        <f aca="false">S410/(U410+0.0001)</f>
        <v>#N/A</v>
      </c>
      <c r="X410" s="60" t="n">
        <f aca="false">IF(Informed=1,K410,0)</f>
        <v>0</v>
      </c>
      <c r="Y410" s="60" t="n">
        <f aca="false">IF(Informed=0,K410,0)</f>
        <v>0</v>
      </c>
      <c r="Z410" s="60" t="n">
        <f aca="false">IF(Informed=1,N410,0)</f>
        <v>24.8315146274746</v>
      </c>
      <c r="AA410" s="60" t="n">
        <f aca="false">IF(Informed=0,N410,0)</f>
        <v>0</v>
      </c>
      <c r="AB410" s="64" t="n">
        <f aca="false">IF(Arterial=0,IF(Informed=1,1,0),0)</f>
        <v>0</v>
      </c>
      <c r="AC410" s="64" t="n">
        <f aca="false">IF(Arterial=0,IF(Informed=0,1,0),0)</f>
        <v>0</v>
      </c>
      <c r="AD410" s="64" t="n">
        <f aca="false">IF(Arterial=1,IF(Informed=1,1,0),0)</f>
        <v>1</v>
      </c>
      <c r="AE410" s="64" t="n">
        <f aca="false">IF(Arterial=1,IF(Informed=0,1,0),0)</f>
        <v>0</v>
      </c>
      <c r="AF410" s="57" t="n">
        <f aca="false">IF(AB410=1,(X410-G$1030)^2,0)</f>
        <v>0</v>
      </c>
      <c r="AG410" s="57" t="n">
        <f aca="false">IF(AC410=1,(Y410-H$1030)^2,0)</f>
        <v>0</v>
      </c>
      <c r="AH410" s="57" t="n">
        <f aca="false">IF(AD410=1,(Z410-I$1030)^2,0)</f>
        <v>616.604118694484</v>
      </c>
      <c r="AI410" s="57" t="n">
        <f aca="false">IF(AE410=1,(AA410-J$1030)^2,0)</f>
        <v>0</v>
      </c>
    </row>
    <row r="411" customFormat="false" ht="12" hidden="false" customHeight="false" outlineLevel="0" collapsed="false">
      <c r="A411" s="5" t="n">
        <v>394</v>
      </c>
      <c r="B411" s="58" t="n">
        <f aca="true">IF(RAND()&lt;$D$8,1,0)</f>
        <v>0</v>
      </c>
      <c r="C411" s="47" t="n">
        <f aca="true">-LN(RAND())/$D$2</f>
        <v>0.292519681351305</v>
      </c>
      <c r="D411" s="59" t="n">
        <f aca="false">D410+C411</f>
        <v>376.044281850181</v>
      </c>
      <c r="E411" s="60" t="n">
        <f aca="false">MAX($D$3,(1+P410-VLOOKUP(VALUE(D411),$J$18:$Q410,7,TRUE()))*$D$3)</f>
        <v>28</v>
      </c>
      <c r="F411" s="60" t="n">
        <f aca="false">MAX($D$4,(1+Q410-VLOOKUP(VALUE(D411),$M$18:$Q410,5,TRUE()))*$D$4)</f>
        <v>28</v>
      </c>
      <c r="G411" s="61" t="n">
        <v>0.5</v>
      </c>
      <c r="H411" s="59" t="n">
        <f aca="true">IF((B411=1),(IF((F411&lt;E411),1,(IF((F411=E411),(IF(RAND()&lt;G411,1,0)),0)))),(IF((RAND()&lt;G411),1,0)))</f>
        <v>1</v>
      </c>
      <c r="I411" s="59" t="n">
        <f aca="true">IF((H411=1),0,$D$3+$D$5*(RAND()-0.5))</f>
        <v>0</v>
      </c>
      <c r="J411" s="59" t="n">
        <f aca="false">I411+MAX(D411,J410)</f>
        <v>400.37268332594</v>
      </c>
      <c r="K411" s="59" t="n">
        <f aca="false">IF((H411=0),J411-D411,0)</f>
        <v>0</v>
      </c>
      <c r="L411" s="59" t="n">
        <f aca="true">IF(($H411=0),0,$D$4+$D$5*(RAND()-0.5))</f>
        <v>1.82412414816709</v>
      </c>
      <c r="M411" s="59" t="n">
        <f aca="false">L411+MAX(D411,M410)</f>
        <v>402.407400944471</v>
      </c>
      <c r="N411" s="59" t="n">
        <f aca="false">IF((H411=1),M411-D411,0)</f>
        <v>26.3631190942904</v>
      </c>
      <c r="O411" s="5" t="n">
        <v>394</v>
      </c>
      <c r="P411" s="62" t="n">
        <f aca="false">IF((Arterial=0),P410+1,P410)</f>
        <v>196</v>
      </c>
      <c r="Q411" s="62" t="n">
        <f aca="false">IF((Arterial=1),Q410+1,Q410)</f>
        <v>198</v>
      </c>
      <c r="R411" s="63" t="n">
        <f aca="false">IF((RESET=1),0,R411+K411)</f>
        <v>799.613118267295</v>
      </c>
      <c r="S411" s="10" t="e">
        <f aca="false">IF(RESET=1,0,S411+N411)</f>
        <v>#N/A</v>
      </c>
      <c r="T411" s="0" t="n">
        <f aca="false">IF(RESET=1,0,T411+IF(H411=0,1,0))</f>
        <v>36</v>
      </c>
      <c r="U411" s="0" t="e">
        <f aca="false">IF(RESET=1,0,U411+H411)</f>
        <v>#N/A</v>
      </c>
      <c r="V411" s="10" t="n">
        <f aca="false">R411/(T411+0.00001)</f>
        <v>22.2114693375723</v>
      </c>
      <c r="W411" s="10" t="e">
        <f aca="false">S411/(U411+0.0001)</f>
        <v>#N/A</v>
      </c>
      <c r="X411" s="60" t="n">
        <f aca="false">IF(Informed=1,K411,0)</f>
        <v>0</v>
      </c>
      <c r="Y411" s="60" t="n">
        <f aca="false">IF(Informed=0,K411,0)</f>
        <v>0</v>
      </c>
      <c r="Z411" s="60" t="n">
        <f aca="false">IF(Informed=1,N411,0)</f>
        <v>0</v>
      </c>
      <c r="AA411" s="60" t="n">
        <f aca="false">IF(Informed=0,N411,0)</f>
        <v>26.3631190942904</v>
      </c>
      <c r="AB411" s="64" t="n">
        <f aca="false">IF(Arterial=0,IF(Informed=1,1,0),0)</f>
        <v>0</v>
      </c>
      <c r="AC411" s="64" t="n">
        <f aca="false">IF(Arterial=0,IF(Informed=0,1,0),0)</f>
        <v>0</v>
      </c>
      <c r="AD411" s="64" t="n">
        <f aca="false">IF(Arterial=1,IF(Informed=1,1,0),0)</f>
        <v>0</v>
      </c>
      <c r="AE411" s="64" t="n">
        <f aca="false">IF(Arterial=1,IF(Informed=0,1,0),0)</f>
        <v>1</v>
      </c>
      <c r="AF411" s="57" t="n">
        <f aca="false">IF(AB411=1,(X411-G$1030)^2,0)</f>
        <v>0</v>
      </c>
      <c r="AG411" s="57" t="n">
        <f aca="false">IF(AC411=1,(Y411-H$1030)^2,0)</f>
        <v>0</v>
      </c>
      <c r="AH411" s="57" t="n">
        <f aca="false">IF(AD411=1,(Z411-I$1030)^2,0)</f>
        <v>0</v>
      </c>
      <c r="AI411" s="57" t="n">
        <f aca="false">IF(AE411=1,(AA411-J$1030)^2,0)</f>
        <v>695.014048379738</v>
      </c>
    </row>
    <row r="412" customFormat="false" ht="12" hidden="false" customHeight="false" outlineLevel="0" collapsed="false">
      <c r="A412" s="5" t="n">
        <v>395</v>
      </c>
      <c r="B412" s="58" t="n">
        <f aca="true">IF(RAND()&lt;$D$8,1,0)</f>
        <v>1</v>
      </c>
      <c r="C412" s="47" t="n">
        <f aca="true">-LN(RAND())/$D$2</f>
        <v>1.28720077630676</v>
      </c>
      <c r="D412" s="59" t="n">
        <f aca="false">D411+C412</f>
        <v>377.331482626487</v>
      </c>
      <c r="E412" s="60" t="n">
        <f aca="false">MAX($D$3,(1+P411-VLOOKUP(VALUE(D412),$J$18:$Q411,7,TRUE()))*$D$3)</f>
        <v>26</v>
      </c>
      <c r="F412" s="60" t="n">
        <f aca="false">MAX($D$4,(1+Q411-VLOOKUP(VALUE(D412),$M$18:$Q411,5,TRUE()))*$D$4)</f>
        <v>28</v>
      </c>
      <c r="G412" s="61" t="n">
        <v>0.5</v>
      </c>
      <c r="H412" s="59" t="n">
        <f aca="true">IF((B412=1),(IF((F412&lt;E412),1,(IF((F412=E412),(IF(RAND()&lt;G412,1,0)),0)))),(IF((RAND()&lt;G412),1,0)))</f>
        <v>0</v>
      </c>
      <c r="I412" s="59" t="n">
        <f aca="true">IF((H412=1),0,$D$3+$D$5*(RAND()-0.5))</f>
        <v>1.79732870236752</v>
      </c>
      <c r="J412" s="59" t="n">
        <f aca="false">I412+MAX(D412,J411)</f>
        <v>402.170012028307</v>
      </c>
      <c r="K412" s="59" t="n">
        <f aca="false">IF((H412=0),J412-D412,0)</f>
        <v>24.8385294018202</v>
      </c>
      <c r="L412" s="59" t="n">
        <f aca="true">IF(($H412=0),0,$D$4+$D$5*(RAND()-0.5))</f>
        <v>0</v>
      </c>
      <c r="M412" s="59" t="n">
        <f aca="false">L412+MAX(D412,M411)</f>
        <v>402.407400944471</v>
      </c>
      <c r="N412" s="59" t="n">
        <f aca="false">IF((H412=1),M412-D412,0)</f>
        <v>0</v>
      </c>
      <c r="O412" s="5" t="n">
        <v>395</v>
      </c>
      <c r="P412" s="62" t="n">
        <f aca="false">IF((Arterial=0),P411+1,P411)</f>
        <v>197</v>
      </c>
      <c r="Q412" s="62" t="n">
        <f aca="false">IF((Arterial=1),Q411+1,Q411)</f>
        <v>198</v>
      </c>
      <c r="R412" s="63" t="e">
        <f aca="false">IF((RESET=1),0,R412+K412)</f>
        <v>#N/A</v>
      </c>
      <c r="S412" s="10" t="n">
        <f aca="false">IF(RESET=1,0,S412+N412)</f>
        <v>732.918040595027</v>
      </c>
      <c r="T412" s="0" t="e">
        <f aca="false">IF(RESET=1,0,T412+IF(H412=0,1,0))</f>
        <v>#N/A</v>
      </c>
      <c r="U412" s="0" t="n">
        <f aca="false">IF(RESET=1,0,U412+H412)</f>
        <v>34</v>
      </c>
      <c r="V412" s="10" t="e">
        <f aca="false">R412/(T412+0.00001)</f>
        <v>#N/A</v>
      </c>
      <c r="W412" s="10" t="n">
        <f aca="false">S412/(U412+0.0001)</f>
        <v>21.5563495576492</v>
      </c>
      <c r="X412" s="60" t="n">
        <f aca="false">IF(Informed=1,K412,0)</f>
        <v>24.8385294018202</v>
      </c>
      <c r="Y412" s="60" t="n">
        <f aca="false">IF(Informed=0,K412,0)</f>
        <v>0</v>
      </c>
      <c r="Z412" s="60" t="n">
        <f aca="false">IF(Informed=1,N412,0)</f>
        <v>0</v>
      </c>
      <c r="AA412" s="60" t="n">
        <f aca="false">IF(Informed=0,N412,0)</f>
        <v>0</v>
      </c>
      <c r="AB412" s="64" t="n">
        <f aca="false">IF(Arterial=0,IF(Informed=1,1,0),0)</f>
        <v>1</v>
      </c>
      <c r="AC412" s="64" t="n">
        <f aca="false">IF(Arterial=0,IF(Informed=0,1,0),0)</f>
        <v>0</v>
      </c>
      <c r="AD412" s="64" t="n">
        <f aca="false">IF(Arterial=1,IF(Informed=1,1,0),0)</f>
        <v>0</v>
      </c>
      <c r="AE412" s="64" t="n">
        <f aca="false">IF(Arterial=1,IF(Informed=0,1,0),0)</f>
        <v>0</v>
      </c>
      <c r="AF412" s="57" t="n">
        <f aca="false">IF(AB412=1,(X412-G$1030)^2,0)</f>
        <v>616.952542845084</v>
      </c>
      <c r="AG412" s="57" t="n">
        <f aca="false">IF(AC412=1,(Y412-H$1030)^2,0)</f>
        <v>0</v>
      </c>
      <c r="AH412" s="57" t="n">
        <f aca="false">IF(AD412=1,(Z412-I$1030)^2,0)</f>
        <v>0</v>
      </c>
      <c r="AI412" s="57" t="n">
        <f aca="false">IF(AE412=1,(AA412-J$1030)^2,0)</f>
        <v>0</v>
      </c>
    </row>
    <row r="413" customFormat="false" ht="12" hidden="false" customHeight="false" outlineLevel="0" collapsed="false">
      <c r="A413" s="5" t="n">
        <v>396</v>
      </c>
      <c r="B413" s="58" t="n">
        <f aca="true">IF(RAND()&lt;$D$8,1,0)</f>
        <v>0</v>
      </c>
      <c r="C413" s="47" t="n">
        <f aca="true">-LN(RAND())/$D$2</f>
        <v>0.4647301363985</v>
      </c>
      <c r="D413" s="59" t="n">
        <f aca="false">D412+C413</f>
        <v>377.796212762886</v>
      </c>
      <c r="E413" s="60" t="n">
        <f aca="false">MAX($D$3,(1+P412-VLOOKUP(VALUE(D413),$J$18:$Q412,7,TRUE()))*$D$3)</f>
        <v>28</v>
      </c>
      <c r="F413" s="60" t="n">
        <f aca="false">MAX($D$4,(1+Q412-VLOOKUP(VALUE(D413),$M$18:$Q412,5,TRUE()))*$D$4)</f>
        <v>28</v>
      </c>
      <c r="G413" s="61" t="n">
        <v>0.5</v>
      </c>
      <c r="H413" s="59" t="n">
        <f aca="true">IF((B413=1),(IF((F413&lt;E413),1,(IF((F413=E413),(IF(RAND()&lt;G413,1,0)),0)))),(IF((RAND()&lt;G413),1,0)))</f>
        <v>1</v>
      </c>
      <c r="I413" s="59" t="n">
        <f aca="true">IF((H413=1),0,$D$3+$D$5*(RAND()-0.5))</f>
        <v>0</v>
      </c>
      <c r="J413" s="59" t="n">
        <f aca="false">I413+MAX(D413,J412)</f>
        <v>402.170012028307</v>
      </c>
      <c r="K413" s="59" t="n">
        <f aca="false">IF((H413=0),J413-D413,0)</f>
        <v>0</v>
      </c>
      <c r="L413" s="59" t="n">
        <f aca="true">IF(($H413=0),0,$D$4+$D$5*(RAND()-0.5))</f>
        <v>2.16561685238602</v>
      </c>
      <c r="M413" s="59" t="n">
        <f aca="false">L413+MAX(D413,M412)</f>
        <v>404.573017796857</v>
      </c>
      <c r="N413" s="59" t="n">
        <f aca="false">IF((H413=1),M413-D413,0)</f>
        <v>26.7768050339711</v>
      </c>
      <c r="O413" s="5" t="n">
        <v>396</v>
      </c>
      <c r="P413" s="62" t="n">
        <f aca="false">IF((Arterial=0),P412+1,P412)</f>
        <v>197</v>
      </c>
      <c r="Q413" s="62" t="n">
        <f aca="false">IF((Arterial=1),Q412+1,Q412)</f>
        <v>199</v>
      </c>
      <c r="R413" s="63" t="n">
        <f aca="false">IF((RESET=1),0,R413+K413)</f>
        <v>627.734533014788</v>
      </c>
      <c r="S413" s="10" t="e">
        <f aca="false">IF(RESET=1,0,S413+N413)</f>
        <v>#N/A</v>
      </c>
      <c r="T413" s="0" t="n">
        <f aca="false">IF(RESET=1,0,T413+IF(H413=0,1,0))</f>
        <v>28</v>
      </c>
      <c r="U413" s="0" t="e">
        <f aca="false">IF(RESET=1,0,U413+H413)</f>
        <v>#N/A</v>
      </c>
      <c r="V413" s="10" t="n">
        <f aca="false">R413/(T413+0.00001)</f>
        <v>22.4190824579987</v>
      </c>
      <c r="W413" s="10" t="e">
        <f aca="false">S413/(U413+0.0001)</f>
        <v>#N/A</v>
      </c>
      <c r="X413" s="60" t="n">
        <f aca="false">IF(Informed=1,K413,0)</f>
        <v>0</v>
      </c>
      <c r="Y413" s="60" t="n">
        <f aca="false">IF(Informed=0,K413,0)</f>
        <v>0</v>
      </c>
      <c r="Z413" s="60" t="n">
        <f aca="false">IF(Informed=1,N413,0)</f>
        <v>0</v>
      </c>
      <c r="AA413" s="60" t="n">
        <f aca="false">IF(Informed=0,N413,0)</f>
        <v>26.7768050339711</v>
      </c>
      <c r="AB413" s="64" t="n">
        <f aca="false">IF(Arterial=0,IF(Informed=1,1,0),0)</f>
        <v>0</v>
      </c>
      <c r="AC413" s="64" t="n">
        <f aca="false">IF(Arterial=0,IF(Informed=0,1,0),0)</f>
        <v>0</v>
      </c>
      <c r="AD413" s="64" t="n">
        <f aca="false">IF(Arterial=1,IF(Informed=1,1,0),0)</f>
        <v>0</v>
      </c>
      <c r="AE413" s="64" t="n">
        <f aca="false">IF(Arterial=1,IF(Informed=0,1,0),0)</f>
        <v>1</v>
      </c>
      <c r="AF413" s="57" t="n">
        <f aca="false">IF(AB413=1,(X413-G$1030)^2,0)</f>
        <v>0</v>
      </c>
      <c r="AG413" s="57" t="n">
        <f aca="false">IF(AC413=1,(Y413-H$1030)^2,0)</f>
        <v>0</v>
      </c>
      <c r="AH413" s="57" t="n">
        <f aca="false">IF(AD413=1,(Z413-I$1030)^2,0)</f>
        <v>0</v>
      </c>
      <c r="AI413" s="57" t="n">
        <f aca="false">IF(AE413=1,(AA413-J$1030)^2,0)</f>
        <v>716.997287827302</v>
      </c>
    </row>
    <row r="414" customFormat="false" ht="12" hidden="false" customHeight="false" outlineLevel="0" collapsed="false">
      <c r="A414" s="5" t="n">
        <v>397</v>
      </c>
      <c r="B414" s="58" t="n">
        <f aca="true">IF(RAND()&lt;$D$8,1,0)</f>
        <v>0</v>
      </c>
      <c r="C414" s="47" t="n">
        <f aca="true">-LN(RAND())/$D$2</f>
        <v>0.382175635452444</v>
      </c>
      <c r="D414" s="59" t="n">
        <f aca="false">D413+C414</f>
        <v>378.178388398338</v>
      </c>
      <c r="E414" s="60" t="n">
        <f aca="false">MAX($D$3,(1+P413-VLOOKUP(VALUE(D414),$J$18:$Q413,7,TRUE()))*$D$3)</f>
        <v>28</v>
      </c>
      <c r="F414" s="60" t="n">
        <f aca="false">MAX($D$4,(1+Q413-VLOOKUP(VALUE(D414),$M$18:$Q413,5,TRUE()))*$D$4)</f>
        <v>30</v>
      </c>
      <c r="G414" s="61" t="n">
        <v>0.5</v>
      </c>
      <c r="H414" s="59" t="n">
        <f aca="true">IF((B414=1),(IF((F414&lt;E414),1,(IF((F414=E414),(IF(RAND()&lt;G414,1,0)),0)))),(IF((RAND()&lt;G414),1,0)))</f>
        <v>1</v>
      </c>
      <c r="I414" s="59" t="n">
        <f aca="true">IF((H414=1),0,$D$3+$D$5*(RAND()-0.5))</f>
        <v>0</v>
      </c>
      <c r="J414" s="59" t="n">
        <f aca="false">I414+MAX(D414,J413)</f>
        <v>402.170012028307</v>
      </c>
      <c r="K414" s="59" t="n">
        <f aca="false">IF((H414=0),J414-D414,0)</f>
        <v>0</v>
      </c>
      <c r="L414" s="59" t="n">
        <f aca="true">IF(($H414=0),0,$D$4+$D$5*(RAND()-0.5))</f>
        <v>2.00608418272733</v>
      </c>
      <c r="M414" s="59" t="n">
        <f aca="false">L414+MAX(D414,M413)</f>
        <v>406.579101979584</v>
      </c>
      <c r="N414" s="59" t="n">
        <f aca="false">IF((H414=1),M414-D414,0)</f>
        <v>28.400713581246</v>
      </c>
      <c r="O414" s="5" t="n">
        <v>397</v>
      </c>
      <c r="P414" s="62" t="n">
        <f aca="false">IF((Arterial=0),P413+1,P413)</f>
        <v>197</v>
      </c>
      <c r="Q414" s="62" t="n">
        <f aca="false">IF((Arterial=1),Q413+1,Q413)</f>
        <v>200</v>
      </c>
      <c r="R414" s="63" t="n">
        <f aca="false">IF((RESET=1),0,R414+K414)</f>
        <v>523.184361379169</v>
      </c>
      <c r="S414" s="10" t="e">
        <f aca="false">IF(RESET=1,0,S414+N414)</f>
        <v>#N/A</v>
      </c>
      <c r="T414" s="0" t="n">
        <f aca="false">IF(RESET=1,0,T414+IF(H414=0,1,0))</f>
        <v>28</v>
      </c>
      <c r="U414" s="0" t="e">
        <f aca="false">IF(RESET=1,0,U414+H414)</f>
        <v>#N/A</v>
      </c>
      <c r="V414" s="10" t="n">
        <f aca="false">R414/(T414+0.00001)</f>
        <v>18.6851490902742</v>
      </c>
      <c r="W414" s="10" t="e">
        <f aca="false">S414/(U414+0.0001)</f>
        <v>#N/A</v>
      </c>
      <c r="X414" s="60" t="n">
        <f aca="false">IF(Informed=1,K414,0)</f>
        <v>0</v>
      </c>
      <c r="Y414" s="60" t="n">
        <f aca="false">IF(Informed=0,K414,0)</f>
        <v>0</v>
      </c>
      <c r="Z414" s="60" t="n">
        <f aca="false">IF(Informed=1,N414,0)</f>
        <v>0</v>
      </c>
      <c r="AA414" s="60" t="n">
        <f aca="false">IF(Informed=0,N414,0)</f>
        <v>28.400713581246</v>
      </c>
      <c r="AB414" s="64" t="n">
        <f aca="false">IF(Arterial=0,IF(Informed=1,1,0),0)</f>
        <v>0</v>
      </c>
      <c r="AC414" s="64" t="n">
        <f aca="false">IF(Arterial=0,IF(Informed=0,1,0),0)</f>
        <v>0</v>
      </c>
      <c r="AD414" s="64" t="n">
        <f aca="false">IF(Arterial=1,IF(Informed=1,1,0),0)</f>
        <v>0</v>
      </c>
      <c r="AE414" s="64" t="n">
        <f aca="false">IF(Arterial=1,IF(Informed=0,1,0),0)</f>
        <v>1</v>
      </c>
      <c r="AF414" s="57" t="n">
        <f aca="false">IF(AB414=1,(X414-G$1030)^2,0)</f>
        <v>0</v>
      </c>
      <c r="AG414" s="57" t="n">
        <f aca="false">IF(AC414=1,(Y414-H$1030)^2,0)</f>
        <v>0</v>
      </c>
      <c r="AH414" s="57" t="n">
        <f aca="false">IF(AD414=1,(Z414-I$1030)^2,0)</f>
        <v>0</v>
      </c>
      <c r="AI414" s="57" t="n">
        <f aca="false">IF(AE414=1,(AA414-J$1030)^2,0)</f>
        <v>806.600531923972</v>
      </c>
    </row>
    <row r="415" customFormat="false" ht="12" hidden="false" customHeight="false" outlineLevel="0" collapsed="false">
      <c r="A415" s="5" t="n">
        <v>398</v>
      </c>
      <c r="B415" s="58" t="n">
        <f aca="true">IF(RAND()&lt;$D$8,1,0)</f>
        <v>1</v>
      </c>
      <c r="C415" s="47" t="n">
        <f aca="true">-LN(RAND())/$D$2</f>
        <v>0.97782875964579</v>
      </c>
      <c r="D415" s="59" t="n">
        <f aca="false">D414+C415</f>
        <v>379.156217157984</v>
      </c>
      <c r="E415" s="60" t="n">
        <f aca="false">MAX($D$3,(1+P414-VLOOKUP(VALUE(D415),$J$18:$Q414,7,TRUE()))*$D$3)</f>
        <v>26</v>
      </c>
      <c r="F415" s="60" t="n">
        <f aca="false">MAX($D$4,(1+Q414-VLOOKUP(VALUE(D415),$M$18:$Q414,5,TRUE()))*$D$4)</f>
        <v>30</v>
      </c>
      <c r="G415" s="61" t="n">
        <v>0.5</v>
      </c>
      <c r="H415" s="59" t="n">
        <f aca="true">IF((B415=1),(IF((F415&lt;E415),1,(IF((F415=E415),(IF(RAND()&lt;G415,1,0)),0)))),(IF((RAND()&lt;G415),1,0)))</f>
        <v>0</v>
      </c>
      <c r="I415" s="59" t="n">
        <f aca="true">IF((H415=1),0,$D$3+$D$5*(RAND()-0.5))</f>
        <v>2.06615135255819</v>
      </c>
      <c r="J415" s="59" t="n">
        <f aca="false">I415+MAX(D415,J414)</f>
        <v>404.236163380866</v>
      </c>
      <c r="K415" s="59" t="n">
        <f aca="false">IF((H415=0),J415-D415,0)</f>
        <v>25.0799462228816</v>
      </c>
      <c r="L415" s="59" t="n">
        <f aca="true">IF(($H415=0),0,$D$4+$D$5*(RAND()-0.5))</f>
        <v>0</v>
      </c>
      <c r="M415" s="59" t="n">
        <f aca="false">L415+MAX(D415,M414)</f>
        <v>406.579101979584</v>
      </c>
      <c r="N415" s="59" t="n">
        <f aca="false">IF((H415=1),M415-D415,0)</f>
        <v>0</v>
      </c>
      <c r="O415" s="5" t="n">
        <v>398</v>
      </c>
      <c r="P415" s="62" t="n">
        <f aca="false">IF((Arterial=0),P414+1,P414)</f>
        <v>198</v>
      </c>
      <c r="Q415" s="62" t="n">
        <f aca="false">IF((Arterial=1),Q414+1,Q414)</f>
        <v>200</v>
      </c>
      <c r="R415" s="63" t="e">
        <f aca="false">IF((RESET=1),0,R415+K415)</f>
        <v>#N/A</v>
      </c>
      <c r="S415" s="10" t="n">
        <f aca="false">IF(RESET=1,0,S415+N415)</f>
        <v>541.483615626747</v>
      </c>
      <c r="T415" s="0" t="e">
        <f aca="false">IF(RESET=1,0,T415+IF(H415=0,1,0))</f>
        <v>#N/A</v>
      </c>
      <c r="U415" s="0" t="n">
        <f aca="false">IF(RESET=1,0,U415+H415)</f>
        <v>27</v>
      </c>
      <c r="V415" s="10" t="e">
        <f aca="false">R415/(T415+0.00001)</f>
        <v>#N/A</v>
      </c>
      <c r="W415" s="10" t="n">
        <f aca="false">S415/(U415+0.0001)</f>
        <v>20.0548744496038</v>
      </c>
      <c r="X415" s="60" t="n">
        <f aca="false">IF(Informed=1,K415,0)</f>
        <v>25.0799462228816</v>
      </c>
      <c r="Y415" s="60" t="n">
        <f aca="false">IF(Informed=0,K415,0)</f>
        <v>0</v>
      </c>
      <c r="Z415" s="60" t="n">
        <f aca="false">IF(Informed=1,N415,0)</f>
        <v>0</v>
      </c>
      <c r="AA415" s="60" t="n">
        <f aca="false">IF(Informed=0,N415,0)</f>
        <v>0</v>
      </c>
      <c r="AB415" s="64" t="n">
        <f aca="false">IF(Arterial=0,IF(Informed=1,1,0),0)</f>
        <v>1</v>
      </c>
      <c r="AC415" s="64" t="n">
        <f aca="false">IF(Arterial=0,IF(Informed=0,1,0),0)</f>
        <v>0</v>
      </c>
      <c r="AD415" s="64" t="n">
        <f aca="false">IF(Arterial=1,IF(Informed=1,1,0),0)</f>
        <v>0</v>
      </c>
      <c r="AE415" s="64" t="n">
        <f aca="false">IF(Arterial=1,IF(Informed=0,1,0),0)</f>
        <v>0</v>
      </c>
      <c r="AF415" s="57" t="n">
        <f aca="false">IF(AB415=1,(X415-G$1030)^2,0)</f>
        <v>629.003702542635</v>
      </c>
      <c r="AG415" s="57" t="n">
        <f aca="false">IF(AC415=1,(Y415-H$1030)^2,0)</f>
        <v>0</v>
      </c>
      <c r="AH415" s="57" t="n">
        <f aca="false">IF(AD415=1,(Z415-I$1030)^2,0)</f>
        <v>0</v>
      </c>
      <c r="AI415" s="57" t="n">
        <f aca="false">IF(AE415=1,(AA415-J$1030)^2,0)</f>
        <v>0</v>
      </c>
    </row>
    <row r="416" customFormat="false" ht="12" hidden="false" customHeight="false" outlineLevel="0" collapsed="false">
      <c r="A416" s="5" t="n">
        <v>399</v>
      </c>
      <c r="B416" s="58" t="n">
        <f aca="true">IF(RAND()&lt;$D$8,1,0)</f>
        <v>0</v>
      </c>
      <c r="C416" s="47" t="n">
        <f aca="true">-LN(RAND())/$D$2</f>
        <v>3.07526433054287</v>
      </c>
      <c r="D416" s="59" t="n">
        <f aca="false">D415+C416</f>
        <v>382.231481488527</v>
      </c>
      <c r="E416" s="60" t="n">
        <f aca="false">MAX($D$3,(1+P415-VLOOKUP(VALUE(D416),$J$18:$Q415,7,TRUE()))*$D$3)</f>
        <v>26</v>
      </c>
      <c r="F416" s="60" t="n">
        <f aca="false">MAX($D$4,(1+Q415-VLOOKUP(VALUE(D416),$M$18:$Q415,5,TRUE()))*$D$4)</f>
        <v>28</v>
      </c>
      <c r="G416" s="61" t="n">
        <v>0.5</v>
      </c>
      <c r="H416" s="59" t="n">
        <f aca="true">IF((B416=1),(IF((F416&lt;E416),1,(IF((F416=E416),(IF(RAND()&lt;G416,1,0)),0)))),(IF((RAND()&lt;G416),1,0)))</f>
        <v>1</v>
      </c>
      <c r="I416" s="59" t="n">
        <f aca="true">IF((H416=1),0,$D$3+$D$5*(RAND()-0.5))</f>
        <v>0</v>
      </c>
      <c r="J416" s="59" t="n">
        <f aca="false">I416+MAX(D416,J415)</f>
        <v>404.236163380866</v>
      </c>
      <c r="K416" s="59" t="n">
        <f aca="false">IF((H416=0),J416-D416,0)</f>
        <v>0</v>
      </c>
      <c r="L416" s="59" t="n">
        <f aca="true">IF(($H416=0),0,$D$4+$D$5*(RAND()-0.5))</f>
        <v>2.07284801679354</v>
      </c>
      <c r="M416" s="59" t="n">
        <f aca="false">L416+MAX(D416,M415)</f>
        <v>408.651949996378</v>
      </c>
      <c r="N416" s="59" t="n">
        <f aca="false">IF((H416=1),M416-D416,0)</f>
        <v>26.4204685078509</v>
      </c>
      <c r="O416" s="5" t="n">
        <v>399</v>
      </c>
      <c r="P416" s="62" t="n">
        <f aca="false">IF((Arterial=0),P415+1,P415)</f>
        <v>198</v>
      </c>
      <c r="Q416" s="62" t="n">
        <f aca="false">IF((Arterial=1),Q415+1,Q415)</f>
        <v>201</v>
      </c>
      <c r="R416" s="63" t="n">
        <f aca="false">IF((RESET=1),0,R416+K416)</f>
        <v>414.681413333476</v>
      </c>
      <c r="S416" s="10" t="e">
        <f aca="false">IF(RESET=1,0,S416+N416)</f>
        <v>#N/A</v>
      </c>
      <c r="T416" s="0" t="n">
        <f aca="false">IF(RESET=1,0,T416+IF(H416=0,1,0))</f>
        <v>22</v>
      </c>
      <c r="U416" s="0" t="e">
        <f aca="false">IF(RESET=1,0,U416+H416)</f>
        <v>#N/A</v>
      </c>
      <c r="V416" s="10" t="n">
        <f aca="false">R416/(T416+0.00001)</f>
        <v>18.8491465837277</v>
      </c>
      <c r="W416" s="10" t="e">
        <f aca="false">S416/(U416+0.0001)</f>
        <v>#N/A</v>
      </c>
      <c r="X416" s="60" t="n">
        <f aca="false">IF(Informed=1,K416,0)</f>
        <v>0</v>
      </c>
      <c r="Y416" s="60" t="n">
        <f aca="false">IF(Informed=0,K416,0)</f>
        <v>0</v>
      </c>
      <c r="Z416" s="60" t="n">
        <f aca="false">IF(Informed=1,N416,0)</f>
        <v>0</v>
      </c>
      <c r="AA416" s="60" t="n">
        <f aca="false">IF(Informed=0,N416,0)</f>
        <v>26.4204685078509</v>
      </c>
      <c r="AB416" s="64" t="n">
        <f aca="false">IF(Arterial=0,IF(Informed=1,1,0),0)</f>
        <v>0</v>
      </c>
      <c r="AC416" s="64" t="n">
        <f aca="false">IF(Arterial=0,IF(Informed=0,1,0),0)</f>
        <v>0</v>
      </c>
      <c r="AD416" s="64" t="n">
        <f aca="false">IF(Arterial=1,IF(Informed=1,1,0),0)</f>
        <v>0</v>
      </c>
      <c r="AE416" s="64" t="n">
        <f aca="false">IF(Arterial=1,IF(Informed=0,1,0),0)</f>
        <v>1</v>
      </c>
      <c r="AF416" s="57" t="n">
        <f aca="false">IF(AB416=1,(X416-G$1030)^2,0)</f>
        <v>0</v>
      </c>
      <c r="AG416" s="57" t="n">
        <f aca="false">IF(AC416=1,(Y416-H$1030)^2,0)</f>
        <v>0</v>
      </c>
      <c r="AH416" s="57" t="n">
        <f aca="false">IF(AD416=1,(Z416-I$1030)^2,0)</f>
        <v>0</v>
      </c>
      <c r="AI416" s="57" t="n">
        <f aca="false">IF(AE416=1,(AA416-J$1030)^2,0)</f>
        <v>698.041156174341</v>
      </c>
    </row>
    <row r="417" customFormat="false" ht="12" hidden="false" customHeight="false" outlineLevel="0" collapsed="false">
      <c r="A417" s="5" t="n">
        <v>400</v>
      </c>
      <c r="B417" s="58" t="n">
        <f aca="true">IF(RAND()&lt;$D$8,1,0)</f>
        <v>1</v>
      </c>
      <c r="C417" s="47" t="n">
        <f aca="true">-LN(RAND())/$D$2</f>
        <v>0.0639662733063227</v>
      </c>
      <c r="D417" s="59" t="n">
        <f aca="false">D416+C417</f>
        <v>382.295447761833</v>
      </c>
      <c r="E417" s="60" t="n">
        <f aca="false">MAX($D$3,(1+P416-VLOOKUP(VALUE(D417),$J$18:$Q416,7,TRUE()))*$D$3)</f>
        <v>26</v>
      </c>
      <c r="F417" s="60" t="n">
        <f aca="false">MAX($D$4,(1+Q416-VLOOKUP(VALUE(D417),$M$18:$Q416,5,TRUE()))*$D$4)</f>
        <v>30</v>
      </c>
      <c r="G417" s="61" t="n">
        <v>0.5</v>
      </c>
      <c r="H417" s="59" t="n">
        <f aca="true">IF((B417=1),(IF((F417&lt;E417),1,(IF((F417=E417),(IF(RAND()&lt;G417,1,0)),0)))),(IF((RAND()&lt;G417),1,0)))</f>
        <v>0</v>
      </c>
      <c r="I417" s="59" t="n">
        <f aca="true">IF((H417=1),0,$D$3+$D$5*(RAND()-0.5))</f>
        <v>1.9738718289627</v>
      </c>
      <c r="J417" s="59" t="n">
        <f aca="false">I417+MAX(D417,J416)</f>
        <v>406.210035209828</v>
      </c>
      <c r="K417" s="59" t="n">
        <f aca="false">IF((H417=0),J417-D417,0)</f>
        <v>23.9145874479951</v>
      </c>
      <c r="L417" s="59" t="n">
        <f aca="true">IF(($H417=0),0,$D$4+$D$5*(RAND()-0.5))</f>
        <v>0</v>
      </c>
      <c r="M417" s="59" t="n">
        <f aca="false">L417+MAX(D417,M416)</f>
        <v>408.651949996378</v>
      </c>
      <c r="N417" s="59" t="n">
        <f aca="false">IF((H417=1),M417-D417,0)</f>
        <v>0</v>
      </c>
      <c r="O417" s="5" t="n">
        <v>400</v>
      </c>
      <c r="P417" s="62" t="n">
        <f aca="false">IF((Arterial=0),P416+1,P416)</f>
        <v>199</v>
      </c>
      <c r="Q417" s="62" t="n">
        <f aca="false">IF((Arterial=1),Q416+1,Q416)</f>
        <v>201</v>
      </c>
      <c r="R417" s="63" t="e">
        <f aca="false">IF((RESET=1),0,R417+K417)</f>
        <v>#N/A</v>
      </c>
      <c r="S417" s="10" t="n">
        <f aca="false">IF(RESET=1,0,S417+N417)</f>
        <v>476.40229239897</v>
      </c>
      <c r="T417" s="0" t="e">
        <f aca="false">IF(RESET=1,0,T417+IF(H417=0,1,0))</f>
        <v>#N/A</v>
      </c>
      <c r="U417" s="0" t="n">
        <f aca="false">IF(RESET=1,0,U417+H417)</f>
        <v>22</v>
      </c>
      <c r="V417" s="10" t="e">
        <f aca="false">R417/(T417+0.00001)</f>
        <v>#N/A</v>
      </c>
      <c r="W417" s="10" t="n">
        <f aca="false">S417/(U417+0.0001)</f>
        <v>21.6545512247203</v>
      </c>
      <c r="X417" s="60" t="n">
        <f aca="false">IF(Informed=1,K417,0)</f>
        <v>23.9145874479951</v>
      </c>
      <c r="Y417" s="60" t="n">
        <f aca="false">IF(Informed=0,K417,0)</f>
        <v>0</v>
      </c>
      <c r="Z417" s="60" t="n">
        <f aca="false">IF(Informed=1,N417,0)</f>
        <v>0</v>
      </c>
      <c r="AA417" s="60" t="n">
        <f aca="false">IF(Informed=0,N417,0)</f>
        <v>0</v>
      </c>
      <c r="AB417" s="64" t="n">
        <f aca="false">IF(Arterial=0,IF(Informed=1,1,0),0)</f>
        <v>1</v>
      </c>
      <c r="AC417" s="64" t="n">
        <f aca="false">IF(Arterial=0,IF(Informed=0,1,0),0)</f>
        <v>0</v>
      </c>
      <c r="AD417" s="64" t="n">
        <f aca="false">IF(Arterial=1,IF(Informed=1,1,0),0)</f>
        <v>0</v>
      </c>
      <c r="AE417" s="64" t="n">
        <f aca="false">IF(Arterial=1,IF(Informed=0,1,0),0)</f>
        <v>0</v>
      </c>
      <c r="AF417" s="57" t="n">
        <f aca="false">IF(AB417=1,(X417-G$1030)^2,0)</f>
        <v>571.907492807806</v>
      </c>
      <c r="AG417" s="57" t="n">
        <f aca="false">IF(AC417=1,(Y417-H$1030)^2,0)</f>
        <v>0</v>
      </c>
      <c r="AH417" s="57" t="n">
        <f aca="false">IF(AD417=1,(Z417-I$1030)^2,0)</f>
        <v>0</v>
      </c>
      <c r="AI417" s="57" t="n">
        <f aca="false">IF(AE417=1,(AA417-J$1030)^2,0)</f>
        <v>0</v>
      </c>
    </row>
    <row r="418" customFormat="false" ht="12" hidden="false" customHeight="false" outlineLevel="0" collapsed="false">
      <c r="A418" s="5" t="n">
        <v>401</v>
      </c>
      <c r="B418" s="58" t="n">
        <f aca="true">IF(RAND()&lt;$D$8,1,0)</f>
        <v>1</v>
      </c>
      <c r="C418" s="47" t="n">
        <f aca="true">-LN(RAND())/$D$2</f>
        <v>0.875793699314206</v>
      </c>
      <c r="D418" s="59" t="n">
        <f aca="false">D417+C418</f>
        <v>383.171241461147</v>
      </c>
      <c r="E418" s="60" t="n">
        <f aca="false">MAX($D$3,(1+P417-VLOOKUP(VALUE(D418),$J$18:$Q417,7,TRUE()))*$D$3)</f>
        <v>26</v>
      </c>
      <c r="F418" s="60" t="n">
        <f aca="false">MAX($D$4,(1+Q417-VLOOKUP(VALUE(D418),$M$18:$Q417,5,TRUE()))*$D$4)</f>
        <v>28</v>
      </c>
      <c r="G418" s="61" t="n">
        <v>0.5</v>
      </c>
      <c r="H418" s="59" t="n">
        <f aca="true">IF((B418=1),(IF((F418&lt;E418),1,(IF((F418=E418),(IF(RAND()&lt;G418,1,0)),0)))),(IF((RAND()&lt;G418),1,0)))</f>
        <v>0</v>
      </c>
      <c r="I418" s="59" t="n">
        <f aca="true">IF((H418=1),0,$D$3+$D$5*(RAND()-0.5))</f>
        <v>1.92126366466794</v>
      </c>
      <c r="J418" s="59" t="n">
        <f aca="false">I418+MAX(D418,J417)</f>
        <v>408.131298874496</v>
      </c>
      <c r="K418" s="59" t="n">
        <f aca="false">IF((H418=0),J418-D418,0)</f>
        <v>24.9600574133489</v>
      </c>
      <c r="L418" s="59" t="n">
        <f aca="true">IF(($H418=0),0,$D$4+$D$5*(RAND()-0.5))</f>
        <v>0</v>
      </c>
      <c r="M418" s="59" t="n">
        <f aca="false">L418+MAX(D418,M417)</f>
        <v>408.651949996378</v>
      </c>
      <c r="N418" s="59" t="n">
        <f aca="false">IF((H418=1),M418-D418,0)</f>
        <v>0</v>
      </c>
      <c r="O418" s="5" t="n">
        <v>401</v>
      </c>
      <c r="P418" s="62" t="n">
        <f aca="false">IF((Arterial=0),P417+1,P417)</f>
        <v>200</v>
      </c>
      <c r="Q418" s="62" t="n">
        <f aca="false">IF((Arterial=1),Q417+1,Q417)</f>
        <v>201</v>
      </c>
      <c r="R418" s="63" t="e">
        <f aca="false">IF((RESET=1),0,R418+K418)</f>
        <v>#N/A</v>
      </c>
      <c r="S418" s="10" t="n">
        <f aca="false">IF(RESET=1,0,S418+N418)</f>
        <v>685.649404076507</v>
      </c>
      <c r="T418" s="0" t="e">
        <f aca="false">IF(RESET=1,0,T418+IF(H418=0,1,0))</f>
        <v>#N/A</v>
      </c>
      <c r="U418" s="0" t="n">
        <f aca="false">IF(RESET=1,0,U418+H418)</f>
        <v>31</v>
      </c>
      <c r="V418" s="10" t="e">
        <f aca="false">R418/(T418+0.00001)</f>
        <v>#N/A</v>
      </c>
      <c r="W418" s="10" t="n">
        <f aca="false">S418/(U418+0.0001)</f>
        <v>22.1176513648829</v>
      </c>
      <c r="X418" s="60" t="n">
        <f aca="false">IF(Informed=1,K418,0)</f>
        <v>24.9600574133489</v>
      </c>
      <c r="Y418" s="60" t="n">
        <f aca="false">IF(Informed=0,K418,0)</f>
        <v>0</v>
      </c>
      <c r="Z418" s="60" t="n">
        <f aca="false">IF(Informed=1,N418,0)</f>
        <v>0</v>
      </c>
      <c r="AA418" s="60" t="n">
        <f aca="false">IF(Informed=0,N418,0)</f>
        <v>0</v>
      </c>
      <c r="AB418" s="64" t="n">
        <f aca="false">IF(Arterial=0,IF(Informed=1,1,0),0)</f>
        <v>1</v>
      </c>
      <c r="AC418" s="64" t="n">
        <f aca="false">IF(Arterial=0,IF(Informed=0,1,0),0)</f>
        <v>0</v>
      </c>
      <c r="AD418" s="64" t="n">
        <f aca="false">IF(Arterial=1,IF(Informed=1,1,0),0)</f>
        <v>0</v>
      </c>
      <c r="AE418" s="64" t="n">
        <f aca="false">IF(Arterial=1,IF(Informed=0,1,0),0)</f>
        <v>0</v>
      </c>
      <c r="AF418" s="57" t="n">
        <f aca="false">IF(AB418=1,(X418-G$1030)^2,0)</f>
        <v>623.004466077672</v>
      </c>
      <c r="AG418" s="57" t="n">
        <f aca="false">IF(AC418=1,(Y418-H$1030)^2,0)</f>
        <v>0</v>
      </c>
      <c r="AH418" s="57" t="n">
        <f aca="false">IF(AD418=1,(Z418-I$1030)^2,0)</f>
        <v>0</v>
      </c>
      <c r="AI418" s="57" t="n">
        <f aca="false">IF(AE418=1,(AA418-J$1030)^2,0)</f>
        <v>0</v>
      </c>
    </row>
    <row r="419" customFormat="false" ht="12" hidden="false" customHeight="false" outlineLevel="0" collapsed="false">
      <c r="A419" s="5" t="n">
        <v>402</v>
      </c>
      <c r="B419" s="58" t="n">
        <f aca="true">IF(RAND()&lt;$D$8,1,0)</f>
        <v>1</v>
      </c>
      <c r="C419" s="47" t="n">
        <f aca="true">-LN(RAND())/$D$2</f>
        <v>1.43796835782152</v>
      </c>
      <c r="D419" s="59" t="n">
        <f aca="false">D418+C419</f>
        <v>384.609209818969</v>
      </c>
      <c r="E419" s="60" t="n">
        <f aca="false">MAX($D$3,(1+P418-VLOOKUP(VALUE(D419),$J$18:$Q418,7,TRUE()))*$D$3)</f>
        <v>26</v>
      </c>
      <c r="F419" s="60" t="n">
        <f aca="false">MAX($D$4,(1+Q418-VLOOKUP(VALUE(D419),$M$18:$Q418,5,TRUE()))*$D$4)</f>
        <v>28</v>
      </c>
      <c r="G419" s="61" t="n">
        <v>0.5</v>
      </c>
      <c r="H419" s="59" t="n">
        <f aca="true">IF((B419=1),(IF((F419&lt;E419),1,(IF((F419=E419),(IF(RAND()&lt;G419,1,0)),0)))),(IF((RAND()&lt;G419),1,0)))</f>
        <v>0</v>
      </c>
      <c r="I419" s="59" t="n">
        <f aca="true">IF((H419=1),0,$D$3+$D$5*(RAND()-0.5))</f>
        <v>1.87479757565631</v>
      </c>
      <c r="J419" s="59" t="n">
        <f aca="false">I419+MAX(D419,J418)</f>
        <v>410.006096450153</v>
      </c>
      <c r="K419" s="59" t="n">
        <f aca="false">IF((H419=0),J419-D419,0)</f>
        <v>25.3968866311836</v>
      </c>
      <c r="L419" s="59" t="n">
        <f aca="true">IF(($H419=0),0,$D$4+$D$5*(RAND()-0.5))</f>
        <v>0</v>
      </c>
      <c r="M419" s="59" t="n">
        <f aca="false">L419+MAX(D419,M418)</f>
        <v>408.651949996378</v>
      </c>
      <c r="N419" s="59" t="n">
        <f aca="false">IF((H419=1),M419-D419,0)</f>
        <v>0</v>
      </c>
      <c r="O419" s="5" t="n">
        <v>402</v>
      </c>
      <c r="P419" s="62" t="n">
        <f aca="false">IF((Arterial=0),P418+1,P418)</f>
        <v>201</v>
      </c>
      <c r="Q419" s="62" t="n">
        <f aca="false">IF((Arterial=1),Q418+1,Q418)</f>
        <v>201</v>
      </c>
      <c r="R419" s="63" t="e">
        <f aca="false">IF((RESET=1),0,R419+K419)</f>
        <v>#N/A</v>
      </c>
      <c r="S419" s="10" t="n">
        <f aca="false">IF(RESET=1,0,S419+N419)</f>
        <v>414.617734836073</v>
      </c>
      <c r="T419" s="0" t="e">
        <f aca="false">IF(RESET=1,0,T419+IF(H419=0,1,0))</f>
        <v>#N/A</v>
      </c>
      <c r="U419" s="0" t="n">
        <f aca="false">IF(RESET=1,0,U419+H419)</f>
        <v>22</v>
      </c>
      <c r="V419" s="10" t="e">
        <f aca="false">R419/(T419+0.00001)</f>
        <v>#N/A</v>
      </c>
      <c r="W419" s="10" t="n">
        <f aca="false">S419/(U419+0.0001)</f>
        <v>18.8461750099351</v>
      </c>
      <c r="X419" s="60" t="n">
        <f aca="false">IF(Informed=1,K419,0)</f>
        <v>25.3968866311836</v>
      </c>
      <c r="Y419" s="60" t="n">
        <f aca="false">IF(Informed=0,K419,0)</f>
        <v>0</v>
      </c>
      <c r="Z419" s="60" t="n">
        <f aca="false">IF(Informed=1,N419,0)</f>
        <v>0</v>
      </c>
      <c r="AA419" s="60" t="n">
        <f aca="false">IF(Informed=0,N419,0)</f>
        <v>0</v>
      </c>
      <c r="AB419" s="64" t="n">
        <f aca="false">IF(Arterial=0,IF(Informed=1,1,0),0)</f>
        <v>1</v>
      </c>
      <c r="AC419" s="64" t="n">
        <f aca="false">IF(Arterial=0,IF(Informed=0,1,0),0)</f>
        <v>0</v>
      </c>
      <c r="AD419" s="64" t="n">
        <f aca="false">IF(Arterial=1,IF(Informed=1,1,0),0)</f>
        <v>0</v>
      </c>
      <c r="AE419" s="64" t="n">
        <f aca="false">IF(Arterial=1,IF(Informed=0,1,0),0)</f>
        <v>0</v>
      </c>
      <c r="AF419" s="57" t="n">
        <f aca="false">IF(AB419=1,(X419-G$1030)^2,0)</f>
        <v>645.001850557194</v>
      </c>
      <c r="AG419" s="57" t="n">
        <f aca="false">IF(AC419=1,(Y419-H$1030)^2,0)</f>
        <v>0</v>
      </c>
      <c r="AH419" s="57" t="n">
        <f aca="false">IF(AD419=1,(Z419-I$1030)^2,0)</f>
        <v>0</v>
      </c>
      <c r="AI419" s="57" t="n">
        <f aca="false">IF(AE419=1,(AA419-J$1030)^2,0)</f>
        <v>0</v>
      </c>
    </row>
    <row r="420" customFormat="false" ht="12" hidden="false" customHeight="false" outlineLevel="0" collapsed="false">
      <c r="A420" s="5" t="n">
        <v>403</v>
      </c>
      <c r="B420" s="58" t="n">
        <f aca="true">IF(RAND()&lt;$D$8,1,0)</f>
        <v>1</v>
      </c>
      <c r="C420" s="47" t="n">
        <f aca="true">-LN(RAND())/$D$2</f>
        <v>1.74223210447185</v>
      </c>
      <c r="D420" s="59" t="n">
        <f aca="false">D419+C420</f>
        <v>386.351441923441</v>
      </c>
      <c r="E420" s="60" t="n">
        <f aca="false">MAX($D$3,(1+P419-VLOOKUP(VALUE(D420),$J$18:$Q419,7,TRUE()))*$D$3)</f>
        <v>28</v>
      </c>
      <c r="F420" s="60" t="n">
        <f aca="false">MAX($D$4,(1+Q419-VLOOKUP(VALUE(D420),$M$18:$Q419,5,TRUE()))*$D$4)</f>
        <v>26</v>
      </c>
      <c r="G420" s="61" t="n">
        <v>0.5</v>
      </c>
      <c r="H420" s="59" t="n">
        <f aca="true">IF((B420=1),(IF((F420&lt;E420),1,(IF((F420=E420),(IF(RAND()&lt;G420,1,0)),0)))),(IF((RAND()&lt;G420),1,0)))</f>
        <v>1</v>
      </c>
      <c r="I420" s="59" t="n">
        <f aca="true">IF((H420=1),0,$D$3+$D$5*(RAND()-0.5))</f>
        <v>0</v>
      </c>
      <c r="J420" s="59" t="n">
        <f aca="false">I420+MAX(D420,J419)</f>
        <v>410.006096450153</v>
      </c>
      <c r="K420" s="59" t="n">
        <f aca="false">IF((H420=0),J420-D420,0)</f>
        <v>0</v>
      </c>
      <c r="L420" s="59" t="n">
        <f aca="true">IF(($H420=0),0,$D$4+$D$5*(RAND()-0.5))</f>
        <v>1.76940497572875</v>
      </c>
      <c r="M420" s="59" t="n">
        <f aca="false">L420+MAX(D420,M419)</f>
        <v>410.421354972107</v>
      </c>
      <c r="N420" s="59" t="n">
        <f aca="false">IF((H420=1),M420-D420,0)</f>
        <v>24.0699130486657</v>
      </c>
      <c r="O420" s="5" t="n">
        <v>403</v>
      </c>
      <c r="P420" s="62" t="n">
        <f aca="false">IF((Arterial=0),P419+1,P419)</f>
        <v>201</v>
      </c>
      <c r="Q420" s="62" t="n">
        <f aca="false">IF((Arterial=1),Q419+1,Q419)</f>
        <v>202</v>
      </c>
      <c r="R420" s="63" t="n">
        <f aca="false">IF((RESET=1),0,R420+K420)</f>
        <v>486.698852340844</v>
      </c>
      <c r="S420" s="10" t="e">
        <f aca="false">IF(RESET=1,0,S420+N420)</f>
        <v>#N/A</v>
      </c>
      <c r="T420" s="0" t="n">
        <f aca="false">IF(RESET=1,0,T420+IF(H420=0,1,0))</f>
        <v>24</v>
      </c>
      <c r="U420" s="0" t="e">
        <f aca="false">IF(RESET=1,0,U420+H420)</f>
        <v>#N/A</v>
      </c>
      <c r="V420" s="10" t="n">
        <f aca="false">R420/(T420+0.00001)</f>
        <v>20.2791103979058</v>
      </c>
      <c r="W420" s="10" t="e">
        <f aca="false">S420/(U420+0.0001)</f>
        <v>#N/A</v>
      </c>
      <c r="X420" s="60" t="n">
        <f aca="false">IF(Informed=1,K420,0)</f>
        <v>0</v>
      </c>
      <c r="Y420" s="60" t="n">
        <f aca="false">IF(Informed=0,K420,0)</f>
        <v>0</v>
      </c>
      <c r="Z420" s="60" t="n">
        <f aca="false">IF(Informed=1,N420,0)</f>
        <v>24.0699130486657</v>
      </c>
      <c r="AA420" s="60" t="n">
        <f aca="false">IF(Informed=0,N420,0)</f>
        <v>0</v>
      </c>
      <c r="AB420" s="64" t="n">
        <f aca="false">IF(Arterial=0,IF(Informed=1,1,0),0)</f>
        <v>0</v>
      </c>
      <c r="AC420" s="64" t="n">
        <f aca="false">IF(Arterial=0,IF(Informed=0,1,0),0)</f>
        <v>0</v>
      </c>
      <c r="AD420" s="64" t="n">
        <f aca="false">IF(Arterial=1,IF(Informed=1,1,0),0)</f>
        <v>1</v>
      </c>
      <c r="AE420" s="64" t="n">
        <f aca="false">IF(Arterial=1,IF(Informed=0,1,0),0)</f>
        <v>0</v>
      </c>
      <c r="AF420" s="57" t="n">
        <f aca="false">IF(AB420=1,(X420-G$1030)^2,0)</f>
        <v>0</v>
      </c>
      <c r="AG420" s="57" t="n">
        <f aca="false">IF(AC420=1,(Y420-H$1030)^2,0)</f>
        <v>0</v>
      </c>
      <c r="AH420" s="57" t="n">
        <f aca="false">IF(AD420=1,(Z420-I$1030)^2,0)</f>
        <v>579.360714170329</v>
      </c>
      <c r="AI420" s="57" t="n">
        <f aca="false">IF(AE420=1,(AA420-J$1030)^2,0)</f>
        <v>0</v>
      </c>
    </row>
    <row r="421" customFormat="false" ht="12" hidden="false" customHeight="false" outlineLevel="0" collapsed="false">
      <c r="A421" s="5" t="n">
        <v>404</v>
      </c>
      <c r="B421" s="58" t="n">
        <f aca="true">IF(RAND()&lt;$D$8,1,0)</f>
        <v>0</v>
      </c>
      <c r="C421" s="47" t="n">
        <f aca="true">-LN(RAND())/$D$2</f>
        <v>0.326386307671821</v>
      </c>
      <c r="D421" s="59" t="n">
        <f aca="false">D420+C421</f>
        <v>386.677828231113</v>
      </c>
      <c r="E421" s="60" t="n">
        <f aca="false">MAX($D$3,(1+P420-VLOOKUP(VALUE(D421),$J$18:$Q420,7,TRUE()))*$D$3)</f>
        <v>26</v>
      </c>
      <c r="F421" s="60" t="n">
        <f aca="false">MAX($D$4,(1+Q420-VLOOKUP(VALUE(D421),$M$18:$Q420,5,TRUE()))*$D$4)</f>
        <v>26</v>
      </c>
      <c r="G421" s="61" t="n">
        <v>0.5</v>
      </c>
      <c r="H421" s="59" t="n">
        <f aca="true">IF((B421=1),(IF((F421&lt;E421),1,(IF((F421=E421),(IF(RAND()&lt;G421,1,0)),0)))),(IF((RAND()&lt;G421),1,0)))</f>
        <v>0</v>
      </c>
      <c r="I421" s="59" t="n">
        <f aca="true">IF((H421=1),0,$D$3+$D$5*(RAND()-0.5))</f>
        <v>1.77172208748263</v>
      </c>
      <c r="J421" s="59" t="n">
        <f aca="false">I421+MAX(D421,J420)</f>
        <v>411.777818537635</v>
      </c>
      <c r="K421" s="59" t="n">
        <f aca="false">IF((H421=0),J421-D421,0)</f>
        <v>25.0999903065226</v>
      </c>
      <c r="L421" s="59" t="n">
        <f aca="true">IF(($H421=0),0,$D$4+$D$5*(RAND()-0.5))</f>
        <v>0</v>
      </c>
      <c r="M421" s="59" t="n">
        <f aca="false">L421+MAX(D421,M420)</f>
        <v>410.421354972107</v>
      </c>
      <c r="N421" s="59" t="n">
        <f aca="false">IF((H421=1),M421-D421,0)</f>
        <v>0</v>
      </c>
      <c r="O421" s="5" t="n">
        <v>404</v>
      </c>
      <c r="P421" s="62" t="n">
        <f aca="false">IF((Arterial=0),P420+1,P420)</f>
        <v>202</v>
      </c>
      <c r="Q421" s="62" t="n">
        <f aca="false">IF((Arterial=1),Q420+1,Q420)</f>
        <v>202</v>
      </c>
      <c r="R421" s="63" t="e">
        <f aca="false">IF((RESET=1),0,R421+K421)</f>
        <v>#N/A</v>
      </c>
      <c r="S421" s="10" t="n">
        <f aca="false">IF(RESET=1,0,S421+N421)</f>
        <v>602.792426113521</v>
      </c>
      <c r="T421" s="0" t="e">
        <f aca="false">IF(RESET=1,0,T421+IF(H421=0,1,0))</f>
        <v>#N/A</v>
      </c>
      <c r="U421" s="0" t="n">
        <f aca="false">IF(RESET=1,0,U421+H421)</f>
        <v>30</v>
      </c>
      <c r="V421" s="10" t="e">
        <f aca="false">R421/(T421+0.00001)</f>
        <v>#N/A</v>
      </c>
      <c r="W421" s="10" t="n">
        <f aca="false">S421/(U421+0.0001)</f>
        <v>20.0930138937377</v>
      </c>
      <c r="X421" s="60" t="n">
        <f aca="false">IF(Informed=1,K421,0)</f>
        <v>0</v>
      </c>
      <c r="Y421" s="60" t="n">
        <f aca="false">IF(Informed=0,K421,0)</f>
        <v>25.0999903065226</v>
      </c>
      <c r="Z421" s="60" t="n">
        <f aca="false">IF(Informed=1,N421,0)</f>
        <v>0</v>
      </c>
      <c r="AA421" s="60" t="n">
        <f aca="false">IF(Informed=0,N421,0)</f>
        <v>0</v>
      </c>
      <c r="AB421" s="64" t="n">
        <f aca="false">IF(Arterial=0,IF(Informed=1,1,0),0)</f>
        <v>0</v>
      </c>
      <c r="AC421" s="64" t="n">
        <f aca="false">IF(Arterial=0,IF(Informed=0,1,0),0)</f>
        <v>1</v>
      </c>
      <c r="AD421" s="64" t="n">
        <f aca="false">IF(Arterial=1,IF(Informed=1,1,0),0)</f>
        <v>0</v>
      </c>
      <c r="AE421" s="64" t="n">
        <f aca="false">IF(Arterial=1,IF(Informed=0,1,0),0)</f>
        <v>0</v>
      </c>
      <c r="AF421" s="57" t="n">
        <f aca="false">IF(AB421=1,(X421-G$1030)^2,0)</f>
        <v>0</v>
      </c>
      <c r="AG421" s="57" t="n">
        <f aca="false">IF(AC421=1,(Y421-H$1030)^2,0)</f>
        <v>630.009513387529</v>
      </c>
      <c r="AH421" s="57" t="n">
        <f aca="false">IF(AD421=1,(Z421-I$1030)^2,0)</f>
        <v>0</v>
      </c>
      <c r="AI421" s="57" t="n">
        <f aca="false">IF(AE421=1,(AA421-J$1030)^2,0)</f>
        <v>0</v>
      </c>
    </row>
    <row r="422" customFormat="false" ht="12" hidden="false" customHeight="false" outlineLevel="0" collapsed="false">
      <c r="A422" s="5" t="n">
        <v>405</v>
      </c>
      <c r="B422" s="58" t="n">
        <f aca="true">IF(RAND()&lt;$D$8,1,0)</f>
        <v>1</v>
      </c>
      <c r="C422" s="47" t="n">
        <f aca="true">-LN(RAND())/$D$2</f>
        <v>1.03199668163523</v>
      </c>
      <c r="D422" s="59" t="n">
        <f aca="false">D421+C422</f>
        <v>387.709824912748</v>
      </c>
      <c r="E422" s="60" t="n">
        <f aca="false">MAX($D$3,(1+P421-VLOOKUP(VALUE(D422),$J$18:$Q421,7,TRUE()))*$D$3)</f>
        <v>28</v>
      </c>
      <c r="F422" s="60" t="n">
        <f aca="false">MAX($D$4,(1+Q421-VLOOKUP(VALUE(D422),$M$18:$Q421,5,TRUE()))*$D$4)</f>
        <v>26</v>
      </c>
      <c r="G422" s="61" t="n">
        <v>0.5</v>
      </c>
      <c r="H422" s="59" t="n">
        <f aca="true">IF((B422=1),(IF((F422&lt;E422),1,(IF((F422=E422),(IF(RAND()&lt;G422,1,0)),0)))),(IF((RAND()&lt;G422),1,0)))</f>
        <v>1</v>
      </c>
      <c r="I422" s="59" t="n">
        <f aca="true">IF((H422=1),0,$D$3+$D$5*(RAND()-0.5))</f>
        <v>0</v>
      </c>
      <c r="J422" s="59" t="n">
        <f aca="false">I422+MAX(D422,J421)</f>
        <v>411.777818537635</v>
      </c>
      <c r="K422" s="59" t="n">
        <f aca="false">IF((H422=0),J422-D422,0)</f>
        <v>0</v>
      </c>
      <c r="L422" s="59" t="n">
        <f aca="true">IF(($H422=0),0,$D$4+$D$5*(RAND()-0.5))</f>
        <v>1.96939072713438</v>
      </c>
      <c r="M422" s="59" t="n">
        <f aca="false">L422+MAX(D422,M421)</f>
        <v>412.390745699241</v>
      </c>
      <c r="N422" s="59" t="n">
        <f aca="false">IF((H422=1),M422-D422,0)</f>
        <v>24.6809207864931</v>
      </c>
      <c r="O422" s="5" t="n">
        <v>405</v>
      </c>
      <c r="P422" s="62" t="n">
        <f aca="false">IF((Arterial=0),P421+1,P421)</f>
        <v>202</v>
      </c>
      <c r="Q422" s="62" t="n">
        <f aca="false">IF((Arterial=1),Q421+1,Q421)</f>
        <v>203</v>
      </c>
      <c r="R422" s="63" t="n">
        <f aca="false">IF((RESET=1),0,R422+K422)</f>
        <v>685.719464647498</v>
      </c>
      <c r="S422" s="10" t="e">
        <f aca="false">IF(RESET=1,0,S422+N422)</f>
        <v>#N/A</v>
      </c>
      <c r="T422" s="0" t="n">
        <f aca="false">IF(RESET=1,0,T422+IF(H422=0,1,0))</f>
        <v>30</v>
      </c>
      <c r="U422" s="0" t="e">
        <f aca="false">IF(RESET=1,0,U422+H422)</f>
        <v>#N/A</v>
      </c>
      <c r="V422" s="10" t="n">
        <f aca="false">R422/(T422+0.00001)</f>
        <v>22.8573078691473</v>
      </c>
      <c r="W422" s="10" t="e">
        <f aca="false">S422/(U422+0.0001)</f>
        <v>#N/A</v>
      </c>
      <c r="X422" s="60" t="n">
        <f aca="false">IF(Informed=1,K422,0)</f>
        <v>0</v>
      </c>
      <c r="Y422" s="60" t="n">
        <f aca="false">IF(Informed=0,K422,0)</f>
        <v>0</v>
      </c>
      <c r="Z422" s="60" t="n">
        <f aca="false">IF(Informed=1,N422,0)</f>
        <v>24.6809207864931</v>
      </c>
      <c r="AA422" s="60" t="n">
        <f aca="false">IF(Informed=0,N422,0)</f>
        <v>0</v>
      </c>
      <c r="AB422" s="64" t="n">
        <f aca="false">IF(Arterial=0,IF(Informed=1,1,0),0)</f>
        <v>0</v>
      </c>
      <c r="AC422" s="64" t="n">
        <f aca="false">IF(Arterial=0,IF(Informed=0,1,0),0)</f>
        <v>0</v>
      </c>
      <c r="AD422" s="64" t="n">
        <f aca="false">IF(Arterial=1,IF(Informed=1,1,0),0)</f>
        <v>1</v>
      </c>
      <c r="AE422" s="64" t="n">
        <f aca="false">IF(Arterial=1,IF(Informed=0,1,0),0)</f>
        <v>0</v>
      </c>
      <c r="AF422" s="57" t="n">
        <f aca="false">IF(AB422=1,(X422-G$1030)^2,0)</f>
        <v>0</v>
      </c>
      <c r="AG422" s="57" t="n">
        <f aca="false">IF(AC422=1,(Y422-H$1030)^2,0)</f>
        <v>0</v>
      </c>
      <c r="AH422" s="57" t="n">
        <f aca="false">IF(AD422=1,(Z422-I$1030)^2,0)</f>
        <v>609.147850869145</v>
      </c>
      <c r="AI422" s="57" t="n">
        <f aca="false">IF(AE422=1,(AA422-J$1030)^2,0)</f>
        <v>0</v>
      </c>
    </row>
    <row r="423" customFormat="false" ht="12" hidden="false" customHeight="false" outlineLevel="0" collapsed="false">
      <c r="A423" s="5" t="n">
        <v>406</v>
      </c>
      <c r="B423" s="58" t="n">
        <f aca="true">IF(RAND()&lt;$D$8,1,0)</f>
        <v>0</v>
      </c>
      <c r="C423" s="47" t="n">
        <f aca="true">-LN(RAND())/$D$2</f>
        <v>0.0661459086343128</v>
      </c>
      <c r="D423" s="59" t="n">
        <f aca="false">D422+C423</f>
        <v>387.775970821382</v>
      </c>
      <c r="E423" s="60" t="n">
        <f aca="false">MAX($D$3,(1+P422-VLOOKUP(VALUE(D423),$J$18:$Q422,7,TRUE()))*$D$3)</f>
        <v>28</v>
      </c>
      <c r="F423" s="60" t="n">
        <f aca="false">MAX($D$4,(1+Q422-VLOOKUP(VALUE(D423),$M$18:$Q422,5,TRUE()))*$D$4)</f>
        <v>28</v>
      </c>
      <c r="G423" s="61" t="n">
        <v>0.5</v>
      </c>
      <c r="H423" s="59" t="n">
        <f aca="true">IF((B423=1),(IF((F423&lt;E423),1,(IF((F423=E423),(IF(RAND()&lt;G423,1,0)),0)))),(IF((RAND()&lt;G423),1,0)))</f>
        <v>1</v>
      </c>
      <c r="I423" s="59" t="n">
        <f aca="true">IF((H423=1),0,$D$3+$D$5*(RAND()-0.5))</f>
        <v>0</v>
      </c>
      <c r="J423" s="59" t="n">
        <f aca="false">I423+MAX(D423,J422)</f>
        <v>411.777818537635</v>
      </c>
      <c r="K423" s="59" t="n">
        <f aca="false">IF((H423=0),J423-D423,0)</f>
        <v>0</v>
      </c>
      <c r="L423" s="59" t="n">
        <f aca="true">IF(($H423=0),0,$D$4+$D$5*(RAND()-0.5))</f>
        <v>2.2154589192926</v>
      </c>
      <c r="M423" s="59" t="n">
        <f aca="false">L423+MAX(D423,M422)</f>
        <v>414.606204618533</v>
      </c>
      <c r="N423" s="59" t="n">
        <f aca="false">IF((H423=1),M423-D423,0)</f>
        <v>26.8302337971513</v>
      </c>
      <c r="O423" s="5" t="n">
        <v>406</v>
      </c>
      <c r="P423" s="62" t="n">
        <f aca="false">IF((Arterial=0),P422+1,P422)</f>
        <v>202</v>
      </c>
      <c r="Q423" s="62" t="n">
        <f aca="false">IF((Arterial=1),Q422+1,Q422)</f>
        <v>204</v>
      </c>
      <c r="R423" s="63" t="n">
        <f aca="false">IF((RESET=1),0,R423+K423)</f>
        <v>545.269744838782</v>
      </c>
      <c r="S423" s="10" t="e">
        <f aca="false">IF(RESET=1,0,S423+N423)</f>
        <v>#N/A</v>
      </c>
      <c r="T423" s="0" t="n">
        <f aca="false">IF(RESET=1,0,T423+IF(H423=0,1,0))</f>
        <v>26</v>
      </c>
      <c r="U423" s="0" t="e">
        <f aca="false">IF(RESET=1,0,U423+H423)</f>
        <v>#N/A</v>
      </c>
      <c r="V423" s="10" t="n">
        <f aca="false">R423/(T423+0.00001)</f>
        <v>20.9719051969127</v>
      </c>
      <c r="W423" s="10" t="e">
        <f aca="false">S423/(U423+0.0001)</f>
        <v>#N/A</v>
      </c>
      <c r="X423" s="60" t="n">
        <f aca="false">IF(Informed=1,K423,0)</f>
        <v>0</v>
      </c>
      <c r="Y423" s="60" t="n">
        <f aca="false">IF(Informed=0,K423,0)</f>
        <v>0</v>
      </c>
      <c r="Z423" s="60" t="n">
        <f aca="false">IF(Informed=1,N423,0)</f>
        <v>0</v>
      </c>
      <c r="AA423" s="60" t="n">
        <f aca="false">IF(Informed=0,N423,0)</f>
        <v>26.8302337971513</v>
      </c>
      <c r="AB423" s="64" t="n">
        <f aca="false">IF(Arterial=0,IF(Informed=1,1,0),0)</f>
        <v>0</v>
      </c>
      <c r="AC423" s="64" t="n">
        <f aca="false">IF(Arterial=0,IF(Informed=0,1,0),0)</f>
        <v>0</v>
      </c>
      <c r="AD423" s="64" t="n">
        <f aca="false">IF(Arterial=1,IF(Informed=1,1,0),0)</f>
        <v>0</v>
      </c>
      <c r="AE423" s="64" t="n">
        <f aca="false">IF(Arterial=1,IF(Informed=0,1,0),0)</f>
        <v>1</v>
      </c>
      <c r="AF423" s="57" t="n">
        <f aca="false">IF(AB423=1,(X423-G$1030)^2,0)</f>
        <v>0</v>
      </c>
      <c r="AG423" s="57" t="n">
        <f aca="false">IF(AC423=1,(Y423-H$1030)^2,0)</f>
        <v>0</v>
      </c>
      <c r="AH423" s="57" t="n">
        <f aca="false">IF(AD423=1,(Z423-I$1030)^2,0)</f>
        <v>0</v>
      </c>
      <c r="AI423" s="57" t="n">
        <f aca="false">IF(AE423=1,(AA423-J$1030)^2,0)</f>
        <v>719.861445609801</v>
      </c>
    </row>
    <row r="424" customFormat="false" ht="12" hidden="false" customHeight="false" outlineLevel="0" collapsed="false">
      <c r="A424" s="5" t="n">
        <v>407</v>
      </c>
      <c r="B424" s="58" t="n">
        <f aca="true">IF(RAND()&lt;$D$8,1,0)</f>
        <v>1</v>
      </c>
      <c r="C424" s="47" t="n">
        <f aca="true">-LN(RAND())/$D$2</f>
        <v>0.0618858041989846</v>
      </c>
      <c r="D424" s="59" t="n">
        <f aca="false">D423+C424</f>
        <v>387.837856625581</v>
      </c>
      <c r="E424" s="60" t="n">
        <f aca="false">MAX($D$3,(1+P423-VLOOKUP(VALUE(D424),$J$18:$Q423,7,TRUE()))*$D$3)</f>
        <v>28</v>
      </c>
      <c r="F424" s="60" t="n">
        <f aca="false">MAX($D$4,(1+Q423-VLOOKUP(VALUE(D424),$M$18:$Q423,5,TRUE()))*$D$4)</f>
        <v>30</v>
      </c>
      <c r="G424" s="61" t="n">
        <v>0.5</v>
      </c>
      <c r="H424" s="59" t="n">
        <f aca="true">IF((B424=1),(IF((F424&lt;E424),1,(IF((F424=E424),(IF(RAND()&lt;G424,1,0)),0)))),(IF((RAND()&lt;G424),1,0)))</f>
        <v>0</v>
      </c>
      <c r="I424" s="59" t="n">
        <f aca="true">IF((H424=1),0,$D$3+$D$5*(RAND()-0.5))</f>
        <v>1.9365526885403</v>
      </c>
      <c r="J424" s="59" t="n">
        <f aca="false">I424+MAX(D424,J423)</f>
        <v>413.714371226176</v>
      </c>
      <c r="K424" s="59" t="n">
        <f aca="false">IF((H424=0),J424-D424,0)</f>
        <v>25.8765146005944</v>
      </c>
      <c r="L424" s="59" t="n">
        <f aca="true">IF(($H424=0),0,$D$4+$D$5*(RAND()-0.5))</f>
        <v>0</v>
      </c>
      <c r="M424" s="59" t="n">
        <f aca="false">L424+MAX(D424,M423)</f>
        <v>414.606204618533</v>
      </c>
      <c r="N424" s="59" t="n">
        <f aca="false">IF((H424=1),M424-D424,0)</f>
        <v>0</v>
      </c>
      <c r="O424" s="5" t="n">
        <v>407</v>
      </c>
      <c r="P424" s="62" t="n">
        <f aca="false">IF((Arterial=0),P423+1,P423)</f>
        <v>203</v>
      </c>
      <c r="Q424" s="62" t="n">
        <f aca="false">IF((Arterial=1),Q423+1,Q423)</f>
        <v>204</v>
      </c>
      <c r="R424" s="63" t="e">
        <f aca="false">IF((RESET=1),0,R424+K424)</f>
        <v>#N/A</v>
      </c>
      <c r="S424" s="10" t="n">
        <f aca="false">IF(RESET=1,0,S424+N424)</f>
        <v>513.39757590128</v>
      </c>
      <c r="T424" s="0" t="e">
        <f aca="false">IF(RESET=1,0,T424+IF(H424=0,1,0))</f>
        <v>#N/A</v>
      </c>
      <c r="U424" s="0" t="n">
        <f aca="false">IF(RESET=1,0,U424+H424)</f>
        <v>24</v>
      </c>
      <c r="V424" s="10" t="e">
        <f aca="false">R424/(T424+0.00001)</f>
        <v>#N/A</v>
      </c>
      <c r="W424" s="10" t="n">
        <f aca="false">S424/(U424+0.0001)</f>
        <v>21.3914765314011</v>
      </c>
      <c r="X424" s="60" t="n">
        <f aca="false">IF(Informed=1,K424,0)</f>
        <v>25.8765146005944</v>
      </c>
      <c r="Y424" s="60" t="n">
        <f aca="false">IF(Informed=0,K424,0)</f>
        <v>0</v>
      </c>
      <c r="Z424" s="60" t="n">
        <f aca="false">IF(Informed=1,N424,0)</f>
        <v>0</v>
      </c>
      <c r="AA424" s="60" t="n">
        <f aca="false">IF(Informed=0,N424,0)</f>
        <v>0</v>
      </c>
      <c r="AB424" s="64" t="n">
        <f aca="false">IF(Arterial=0,IF(Informed=1,1,0),0)</f>
        <v>1</v>
      </c>
      <c r="AC424" s="64" t="n">
        <f aca="false">IF(Arterial=0,IF(Informed=0,1,0),0)</f>
        <v>0</v>
      </c>
      <c r="AD424" s="64" t="n">
        <f aca="false">IF(Arterial=1,IF(Informed=1,1,0),0)</f>
        <v>0</v>
      </c>
      <c r="AE424" s="64" t="n">
        <f aca="false">IF(Arterial=1,IF(Informed=0,1,0),0)</f>
        <v>0</v>
      </c>
      <c r="AF424" s="57" t="n">
        <f aca="false">IF(AB424=1,(X424-G$1030)^2,0)</f>
        <v>669.594007874773</v>
      </c>
      <c r="AG424" s="57" t="n">
        <f aca="false">IF(AC424=1,(Y424-H$1030)^2,0)</f>
        <v>0</v>
      </c>
      <c r="AH424" s="57" t="n">
        <f aca="false">IF(AD424=1,(Z424-I$1030)^2,0)</f>
        <v>0</v>
      </c>
      <c r="AI424" s="57" t="n">
        <f aca="false">IF(AE424=1,(AA424-J$1030)^2,0)</f>
        <v>0</v>
      </c>
    </row>
    <row r="425" customFormat="false" ht="12" hidden="false" customHeight="false" outlineLevel="0" collapsed="false">
      <c r="A425" s="5" t="n">
        <v>408</v>
      </c>
      <c r="B425" s="58" t="n">
        <f aca="true">IF(RAND()&lt;$D$8,1,0)</f>
        <v>1</v>
      </c>
      <c r="C425" s="47" t="n">
        <f aca="true">-LN(RAND())/$D$2</f>
        <v>3.51976898330625</v>
      </c>
      <c r="D425" s="59" t="n">
        <f aca="false">D424+C425</f>
        <v>391.357625608887</v>
      </c>
      <c r="E425" s="60" t="n">
        <f aca="false">MAX($D$3,(1+P424-VLOOKUP(VALUE(D425),$J$18:$Q424,7,TRUE()))*$D$3)</f>
        <v>26</v>
      </c>
      <c r="F425" s="60" t="n">
        <f aca="false">MAX($D$4,(1+Q424-VLOOKUP(VALUE(D425),$M$18:$Q424,5,TRUE()))*$D$4)</f>
        <v>26</v>
      </c>
      <c r="G425" s="61" t="n">
        <v>0.5</v>
      </c>
      <c r="H425" s="59" t="n">
        <f aca="true">IF((B425=1),(IF((F425&lt;E425),1,(IF((F425=E425),(IF(RAND()&lt;G425,1,0)),0)))),(IF((RAND()&lt;G425),1,0)))</f>
        <v>1</v>
      </c>
      <c r="I425" s="59" t="n">
        <f aca="true">IF((H425=1),0,$D$3+$D$5*(RAND()-0.5))</f>
        <v>0</v>
      </c>
      <c r="J425" s="59" t="n">
        <f aca="false">I425+MAX(D425,J424)</f>
        <v>413.714371226176</v>
      </c>
      <c r="K425" s="59" t="n">
        <f aca="false">IF((H425=0),J425-D425,0)</f>
        <v>0</v>
      </c>
      <c r="L425" s="59" t="n">
        <f aca="true">IF(($H425=0),0,$D$4+$D$5*(RAND()-0.5))</f>
        <v>1.8270623427517</v>
      </c>
      <c r="M425" s="59" t="n">
        <f aca="false">L425+MAX(D425,M424)</f>
        <v>416.433266961285</v>
      </c>
      <c r="N425" s="59" t="n">
        <f aca="false">IF((H425=1),M425-D425,0)</f>
        <v>25.0756413523978</v>
      </c>
      <c r="O425" s="5" t="n">
        <v>408</v>
      </c>
      <c r="P425" s="62" t="n">
        <f aca="false">IF((Arterial=0),P424+1,P424)</f>
        <v>203</v>
      </c>
      <c r="Q425" s="62" t="n">
        <f aca="false">IF((Arterial=1),Q424+1,Q424)</f>
        <v>205</v>
      </c>
      <c r="R425" s="63" t="n">
        <f aca="false">IF((RESET=1),0,R425+K425)</f>
        <v>548.589213126332</v>
      </c>
      <c r="S425" s="10" t="e">
        <f aca="false">IF(RESET=1,0,S425+N425)</f>
        <v>#N/A</v>
      </c>
      <c r="T425" s="0" t="n">
        <f aca="false">IF(RESET=1,0,T425+IF(H425=0,1,0))</f>
        <v>26</v>
      </c>
      <c r="U425" s="0" t="e">
        <f aca="false">IF(RESET=1,0,U425+H425)</f>
        <v>#N/A</v>
      </c>
      <c r="V425" s="10" t="n">
        <f aca="false">R425/(T425+0.00001)</f>
        <v>21.0995770050216</v>
      </c>
      <c r="W425" s="10" t="e">
        <f aca="false">S425/(U425+0.0001)</f>
        <v>#N/A</v>
      </c>
      <c r="X425" s="60" t="n">
        <f aca="false">IF(Informed=1,K425,0)</f>
        <v>0</v>
      </c>
      <c r="Y425" s="60" t="n">
        <f aca="false">IF(Informed=0,K425,0)</f>
        <v>0</v>
      </c>
      <c r="Z425" s="60" t="n">
        <f aca="false">IF(Informed=1,N425,0)</f>
        <v>25.0756413523978</v>
      </c>
      <c r="AA425" s="60" t="n">
        <f aca="false">IF(Informed=0,N425,0)</f>
        <v>0</v>
      </c>
      <c r="AB425" s="64" t="n">
        <f aca="false">IF(Arterial=0,IF(Informed=1,1,0),0)</f>
        <v>0</v>
      </c>
      <c r="AC425" s="64" t="n">
        <f aca="false">IF(Arterial=0,IF(Informed=0,1,0),0)</f>
        <v>0</v>
      </c>
      <c r="AD425" s="64" t="n">
        <f aca="false">IF(Arterial=1,IF(Informed=1,1,0),0)</f>
        <v>1</v>
      </c>
      <c r="AE425" s="64" t="n">
        <f aca="false">IF(Arterial=1,IF(Informed=0,1,0),0)</f>
        <v>0</v>
      </c>
      <c r="AF425" s="57" t="n">
        <f aca="false">IF(AB425=1,(X425-G$1030)^2,0)</f>
        <v>0</v>
      </c>
      <c r="AG425" s="57" t="n">
        <f aca="false">IF(AC425=1,(Y425-H$1030)^2,0)</f>
        <v>0</v>
      </c>
      <c r="AH425" s="57" t="n">
        <f aca="false">IF(AD425=1,(Z425-I$1030)^2,0)</f>
        <v>628.787789234085</v>
      </c>
      <c r="AI425" s="57" t="n">
        <f aca="false">IF(AE425=1,(AA425-J$1030)^2,0)</f>
        <v>0</v>
      </c>
    </row>
    <row r="426" customFormat="false" ht="12" hidden="false" customHeight="false" outlineLevel="0" collapsed="false">
      <c r="A426" s="5" t="n">
        <v>409</v>
      </c>
      <c r="B426" s="58" t="n">
        <f aca="true">IF(RAND()&lt;$D$8,1,0)</f>
        <v>1</v>
      </c>
      <c r="C426" s="47" t="n">
        <f aca="true">-LN(RAND())/$D$2</f>
        <v>0.163770148631604</v>
      </c>
      <c r="D426" s="59" t="n">
        <f aca="false">D425+C426</f>
        <v>391.521395757519</v>
      </c>
      <c r="E426" s="60" t="n">
        <f aca="false">MAX($D$3,(1+P425-VLOOKUP(VALUE(D426),$J$18:$Q425,7,TRUE()))*$D$3)</f>
        <v>26</v>
      </c>
      <c r="F426" s="60" t="n">
        <f aca="false">MAX($D$4,(1+Q425-VLOOKUP(VALUE(D426),$M$18:$Q425,5,TRUE()))*$D$4)</f>
        <v>28</v>
      </c>
      <c r="G426" s="61" t="n">
        <v>0.5</v>
      </c>
      <c r="H426" s="59" t="n">
        <f aca="true">IF((B426=1),(IF((F426&lt;E426),1,(IF((F426=E426),(IF(RAND()&lt;G426,1,0)),0)))),(IF((RAND()&lt;G426),1,0)))</f>
        <v>0</v>
      </c>
      <c r="I426" s="59" t="n">
        <f aca="true">IF((H426=1),0,$D$3+$D$5*(RAND()-0.5))</f>
        <v>1.81400835923902</v>
      </c>
      <c r="J426" s="59" t="n">
        <f aca="false">I426+MAX(D426,J425)</f>
        <v>415.528379585415</v>
      </c>
      <c r="K426" s="59" t="n">
        <f aca="false">IF((H426=0),J426-D426,0)</f>
        <v>24.0069838278956</v>
      </c>
      <c r="L426" s="59" t="n">
        <f aca="true">IF(($H426=0),0,$D$4+$D$5*(RAND()-0.5))</f>
        <v>0</v>
      </c>
      <c r="M426" s="59" t="n">
        <f aca="false">L426+MAX(D426,M425)</f>
        <v>416.433266961285</v>
      </c>
      <c r="N426" s="59" t="n">
        <f aca="false">IF((H426=1),M426-D426,0)</f>
        <v>0</v>
      </c>
      <c r="O426" s="5" t="n">
        <v>409</v>
      </c>
      <c r="P426" s="62" t="n">
        <f aca="false">IF((Arterial=0),P425+1,P425)</f>
        <v>204</v>
      </c>
      <c r="Q426" s="62" t="n">
        <f aca="false">IF((Arterial=1),Q425+1,Q425)</f>
        <v>205</v>
      </c>
      <c r="R426" s="63" t="e">
        <f aca="false">IF((RESET=1),0,R426+K426)</f>
        <v>#N/A</v>
      </c>
      <c r="S426" s="10" t="n">
        <f aca="false">IF(RESET=1,0,S426+N426)</f>
        <v>637.771568639487</v>
      </c>
      <c r="T426" s="0" t="e">
        <f aca="false">IF(RESET=1,0,T426+IF(H426=0,1,0))</f>
        <v>#N/A</v>
      </c>
      <c r="U426" s="0" t="n">
        <f aca="false">IF(RESET=1,0,U426+H426)</f>
        <v>30</v>
      </c>
      <c r="V426" s="10" t="e">
        <f aca="false">R426/(T426+0.00001)</f>
        <v>#N/A</v>
      </c>
      <c r="W426" s="10" t="n">
        <f aca="false">S426/(U426+0.0001)</f>
        <v>21.2589814247115</v>
      </c>
      <c r="X426" s="60" t="n">
        <f aca="false">IF(Informed=1,K426,0)</f>
        <v>24.0069838278956</v>
      </c>
      <c r="Y426" s="60" t="n">
        <f aca="false">IF(Informed=0,K426,0)</f>
        <v>0</v>
      </c>
      <c r="Z426" s="60" t="n">
        <f aca="false">IF(Informed=1,N426,0)</f>
        <v>0</v>
      </c>
      <c r="AA426" s="60" t="n">
        <f aca="false">IF(Informed=0,N426,0)</f>
        <v>0</v>
      </c>
      <c r="AB426" s="64" t="n">
        <f aca="false">IF(Arterial=0,IF(Informed=1,1,0),0)</f>
        <v>1</v>
      </c>
      <c r="AC426" s="64" t="n">
        <f aca="false">IF(Arterial=0,IF(Informed=0,1,0),0)</f>
        <v>0</v>
      </c>
      <c r="AD426" s="64" t="n">
        <f aca="false">IF(Arterial=1,IF(Informed=1,1,0),0)</f>
        <v>0</v>
      </c>
      <c r="AE426" s="64" t="n">
        <f aca="false">IF(Arterial=1,IF(Informed=0,1,0),0)</f>
        <v>0</v>
      </c>
      <c r="AF426" s="57" t="n">
        <f aca="false">IF(AB426=1,(X426-G$1030)^2,0)</f>
        <v>576.335272512839</v>
      </c>
      <c r="AG426" s="57" t="n">
        <f aca="false">IF(AC426=1,(Y426-H$1030)^2,0)</f>
        <v>0</v>
      </c>
      <c r="AH426" s="57" t="n">
        <f aca="false">IF(AD426=1,(Z426-I$1030)^2,0)</f>
        <v>0</v>
      </c>
      <c r="AI426" s="57" t="n">
        <f aca="false">IF(AE426=1,(AA426-J$1030)^2,0)</f>
        <v>0</v>
      </c>
    </row>
    <row r="427" customFormat="false" ht="12" hidden="false" customHeight="false" outlineLevel="0" collapsed="false">
      <c r="A427" s="5" t="n">
        <v>410</v>
      </c>
      <c r="B427" s="58" t="n">
        <f aca="true">IF(RAND()&lt;$D$8,1,0)</f>
        <v>1</v>
      </c>
      <c r="C427" s="47" t="n">
        <f aca="true">-LN(RAND())/$D$2</f>
        <v>0.492296984170211</v>
      </c>
      <c r="D427" s="59" t="n">
        <f aca="false">D426+C427</f>
        <v>392.013692741689</v>
      </c>
      <c r="E427" s="60" t="n">
        <f aca="false">MAX($D$3,(1+P426-VLOOKUP(VALUE(D427),$J$18:$Q426,7,TRUE()))*$D$3)</f>
        <v>28</v>
      </c>
      <c r="F427" s="60" t="n">
        <f aca="false">MAX($D$4,(1+Q426-VLOOKUP(VALUE(D427),$M$18:$Q426,5,TRUE()))*$D$4)</f>
        <v>28</v>
      </c>
      <c r="G427" s="61" t="n">
        <v>0.5</v>
      </c>
      <c r="H427" s="59" t="n">
        <f aca="true">IF((B427=1),(IF((F427&lt;E427),1,(IF((F427=E427),(IF(RAND()&lt;G427,1,0)),0)))),(IF((RAND()&lt;G427),1,0)))</f>
        <v>1</v>
      </c>
      <c r="I427" s="59" t="n">
        <f aca="true">IF((H427=1),0,$D$3+$D$5*(RAND()-0.5))</f>
        <v>0</v>
      </c>
      <c r="J427" s="59" t="n">
        <f aca="false">I427+MAX(D427,J426)</f>
        <v>415.528379585415</v>
      </c>
      <c r="K427" s="59" t="n">
        <f aca="false">IF((H427=0),J427-D427,0)</f>
        <v>0</v>
      </c>
      <c r="L427" s="59" t="n">
        <f aca="true">IF(($H427=0),0,$D$4+$D$5*(RAND()-0.5))</f>
        <v>1.93551916050458</v>
      </c>
      <c r="M427" s="59" t="n">
        <f aca="false">L427+MAX(D427,M426)</f>
        <v>418.36878612179</v>
      </c>
      <c r="N427" s="59" t="n">
        <f aca="false">IF((H427=1),M427-D427,0)</f>
        <v>26.3550933801006</v>
      </c>
      <c r="O427" s="5" t="n">
        <v>410</v>
      </c>
      <c r="P427" s="62" t="n">
        <f aca="false">IF((Arterial=0),P426+1,P426)</f>
        <v>204</v>
      </c>
      <c r="Q427" s="62" t="n">
        <f aca="false">IF((Arterial=1),Q426+1,Q426)</f>
        <v>206</v>
      </c>
      <c r="R427" s="63" t="n">
        <f aca="false">IF((RESET=1),0,R427+K427)</f>
        <v>671.147464794606</v>
      </c>
      <c r="S427" s="10" t="e">
        <f aca="false">IF(RESET=1,0,S427+N427)</f>
        <v>#N/A</v>
      </c>
      <c r="T427" s="0" t="n">
        <f aca="false">IF(RESET=1,0,T427+IF(H427=0,1,0))</f>
        <v>30</v>
      </c>
      <c r="U427" s="0" t="e">
        <f aca="false">IF(RESET=1,0,U427+H427)</f>
        <v>#N/A</v>
      </c>
      <c r="V427" s="10" t="n">
        <f aca="false">R427/(T427+0.00001)</f>
        <v>22.3715747026286</v>
      </c>
      <c r="W427" s="10" t="e">
        <f aca="false">S427/(U427+0.0001)</f>
        <v>#N/A</v>
      </c>
      <c r="X427" s="60" t="n">
        <f aca="false">IF(Informed=1,K427,0)</f>
        <v>0</v>
      </c>
      <c r="Y427" s="60" t="n">
        <f aca="false">IF(Informed=0,K427,0)</f>
        <v>0</v>
      </c>
      <c r="Z427" s="60" t="n">
        <f aca="false">IF(Informed=1,N427,0)</f>
        <v>26.3550933801006</v>
      </c>
      <c r="AA427" s="60" t="n">
        <f aca="false">IF(Informed=0,N427,0)</f>
        <v>0</v>
      </c>
      <c r="AB427" s="64" t="n">
        <f aca="false">IF(Arterial=0,IF(Informed=1,1,0),0)</f>
        <v>0</v>
      </c>
      <c r="AC427" s="64" t="n">
        <f aca="false">IF(Arterial=0,IF(Informed=0,1,0),0)</f>
        <v>0</v>
      </c>
      <c r="AD427" s="64" t="n">
        <f aca="false">IF(Arterial=1,IF(Informed=1,1,0),0)</f>
        <v>1</v>
      </c>
      <c r="AE427" s="64" t="n">
        <f aca="false">IF(Arterial=1,IF(Informed=0,1,0),0)</f>
        <v>0</v>
      </c>
      <c r="AF427" s="57" t="n">
        <f aca="false">IF(AB427=1,(X427-G$1030)^2,0)</f>
        <v>0</v>
      </c>
      <c r="AG427" s="57" t="n">
        <f aca="false">IF(AC427=1,(Y427-H$1030)^2,0)</f>
        <v>0</v>
      </c>
      <c r="AH427" s="57" t="n">
        <f aca="false">IF(AD427=1,(Z427-I$1030)^2,0)</f>
        <v>694.590947073822</v>
      </c>
      <c r="AI427" s="57" t="n">
        <f aca="false">IF(AE427=1,(AA427-J$1030)^2,0)</f>
        <v>0</v>
      </c>
    </row>
    <row r="428" customFormat="false" ht="12" hidden="false" customHeight="false" outlineLevel="0" collapsed="false">
      <c r="A428" s="5" t="n">
        <v>411</v>
      </c>
      <c r="B428" s="58" t="n">
        <f aca="true">IF(RAND()&lt;$D$8,1,0)</f>
        <v>1</v>
      </c>
      <c r="C428" s="47" t="n">
        <f aca="true">-LN(RAND())/$D$2</f>
        <v>1.47503543116518</v>
      </c>
      <c r="D428" s="59" t="n">
        <f aca="false">D427+C428</f>
        <v>393.488728172854</v>
      </c>
      <c r="E428" s="60" t="n">
        <f aca="false">MAX($D$3,(1+P427-VLOOKUP(VALUE(D428),$J$18:$Q427,7,TRUE()))*$D$3)</f>
        <v>26</v>
      </c>
      <c r="F428" s="60" t="n">
        <f aca="false">MAX($D$4,(1+Q427-VLOOKUP(VALUE(D428),$M$18:$Q427,5,TRUE()))*$D$4)</f>
        <v>28</v>
      </c>
      <c r="G428" s="61" t="n">
        <v>0.5</v>
      </c>
      <c r="H428" s="59" t="n">
        <f aca="true">IF((B428=1),(IF((F428&lt;E428),1,(IF((F428=E428),(IF(RAND()&lt;G428,1,0)),0)))),(IF((RAND()&lt;G428),1,0)))</f>
        <v>0</v>
      </c>
      <c r="I428" s="59" t="n">
        <f aca="true">IF((H428=1),0,$D$3+$D$5*(RAND()-0.5))</f>
        <v>1.94029645418684</v>
      </c>
      <c r="J428" s="59" t="n">
        <f aca="false">I428+MAX(D428,J427)</f>
        <v>417.468676039601</v>
      </c>
      <c r="K428" s="59" t="n">
        <f aca="false">IF((H428=0),J428-D428,0)</f>
        <v>23.9799478667471</v>
      </c>
      <c r="L428" s="59" t="n">
        <f aca="true">IF(($H428=0),0,$D$4+$D$5*(RAND()-0.5))</f>
        <v>0</v>
      </c>
      <c r="M428" s="59" t="n">
        <f aca="false">L428+MAX(D428,M427)</f>
        <v>418.36878612179</v>
      </c>
      <c r="N428" s="59" t="n">
        <f aca="false">IF((H428=1),M428-D428,0)</f>
        <v>0</v>
      </c>
      <c r="O428" s="5" t="n">
        <v>411</v>
      </c>
      <c r="P428" s="62" t="n">
        <f aca="false">IF((Arterial=0),P427+1,P427)</f>
        <v>205</v>
      </c>
      <c r="Q428" s="62" t="n">
        <f aca="false">IF((Arterial=1),Q427+1,Q427)</f>
        <v>206</v>
      </c>
      <c r="R428" s="63" t="e">
        <f aca="false">IF((RESET=1),0,R428+K428)</f>
        <v>#N/A</v>
      </c>
      <c r="S428" s="10" t="n">
        <f aca="false">IF(RESET=1,0,S428+N428)</f>
        <v>820.394105679481</v>
      </c>
      <c r="T428" s="0" t="e">
        <f aca="false">IF(RESET=1,0,T428+IF(H428=0,1,0))</f>
        <v>#N/A</v>
      </c>
      <c r="U428" s="0" t="n">
        <f aca="false">IF(RESET=1,0,U428+H428)</f>
        <v>36</v>
      </c>
      <c r="V428" s="10" t="e">
        <f aca="false">R428/(T428+0.00001)</f>
        <v>#N/A</v>
      </c>
      <c r="W428" s="10" t="n">
        <f aca="false">S428/(U428+0.0001)</f>
        <v>22.7886618559249</v>
      </c>
      <c r="X428" s="60" t="n">
        <f aca="false">IF(Informed=1,K428,0)</f>
        <v>23.9799478667471</v>
      </c>
      <c r="Y428" s="60" t="n">
        <f aca="false">IF(Informed=0,K428,0)</f>
        <v>0</v>
      </c>
      <c r="Z428" s="60" t="n">
        <f aca="false">IF(Informed=1,N428,0)</f>
        <v>0</v>
      </c>
      <c r="AA428" s="60" t="n">
        <f aca="false">IF(Informed=0,N428,0)</f>
        <v>0</v>
      </c>
      <c r="AB428" s="64" t="n">
        <f aca="false">IF(Arterial=0,IF(Informed=1,1,0),0)</f>
        <v>1</v>
      </c>
      <c r="AC428" s="64" t="n">
        <f aca="false">IF(Arterial=0,IF(Informed=0,1,0),0)</f>
        <v>0</v>
      </c>
      <c r="AD428" s="64" t="n">
        <f aca="false">IF(Arterial=1,IF(Informed=1,1,0),0)</f>
        <v>0</v>
      </c>
      <c r="AE428" s="64" t="n">
        <f aca="false">IF(Arterial=1,IF(Informed=0,1,0),0)</f>
        <v>0</v>
      </c>
      <c r="AF428" s="57" t="n">
        <f aca="false">IF(AB428=1,(X428-G$1030)^2,0)</f>
        <v>575.037899691907</v>
      </c>
      <c r="AG428" s="57" t="n">
        <f aca="false">IF(AC428=1,(Y428-H$1030)^2,0)</f>
        <v>0</v>
      </c>
      <c r="AH428" s="57" t="n">
        <f aca="false">IF(AD428=1,(Z428-I$1030)^2,0)</f>
        <v>0</v>
      </c>
      <c r="AI428" s="57" t="n">
        <f aca="false">IF(AE428=1,(AA428-J$1030)^2,0)</f>
        <v>0</v>
      </c>
    </row>
    <row r="429" customFormat="false" ht="12" hidden="false" customHeight="false" outlineLevel="0" collapsed="false">
      <c r="A429" s="5" t="n">
        <v>412</v>
      </c>
      <c r="B429" s="58" t="n">
        <f aca="true">IF(RAND()&lt;$D$8,1,0)</f>
        <v>1</v>
      </c>
      <c r="C429" s="47" t="n">
        <f aca="true">-LN(RAND())/$D$2</f>
        <v>0.206757775838925</v>
      </c>
      <c r="D429" s="59" t="n">
        <f aca="false">D428+C429</f>
        <v>393.695485948693</v>
      </c>
      <c r="E429" s="60" t="n">
        <f aca="false">MAX($D$3,(1+P428-VLOOKUP(VALUE(D429),$J$18:$Q428,7,TRUE()))*$D$3)</f>
        <v>28</v>
      </c>
      <c r="F429" s="60" t="n">
        <f aca="false">MAX($D$4,(1+Q428-VLOOKUP(VALUE(D429),$M$18:$Q428,5,TRUE()))*$D$4)</f>
        <v>28</v>
      </c>
      <c r="G429" s="61" t="n">
        <v>0.5</v>
      </c>
      <c r="H429" s="59" t="n">
        <f aca="true">IF((B429=1),(IF((F429&lt;E429),1,(IF((F429=E429),(IF(RAND()&lt;G429,1,0)),0)))),(IF((RAND()&lt;G429),1,0)))</f>
        <v>1</v>
      </c>
      <c r="I429" s="59" t="n">
        <f aca="true">IF((H429=1),0,$D$3+$D$5*(RAND()-0.5))</f>
        <v>0</v>
      </c>
      <c r="J429" s="59" t="n">
        <f aca="false">I429+MAX(D429,J428)</f>
        <v>417.468676039601</v>
      </c>
      <c r="K429" s="59" t="n">
        <f aca="false">IF((H429=0),J429-D429,0)</f>
        <v>0</v>
      </c>
      <c r="L429" s="59" t="n">
        <f aca="true">IF(($H429=0),0,$D$4+$D$5*(RAND()-0.5))</f>
        <v>1.89783517630014</v>
      </c>
      <c r="M429" s="59" t="n">
        <f aca="false">L429+MAX(D429,M428)</f>
        <v>420.26662129809</v>
      </c>
      <c r="N429" s="59" t="n">
        <f aca="false">IF((H429=1),M429-D429,0)</f>
        <v>26.5711353493966</v>
      </c>
      <c r="O429" s="5" t="n">
        <v>412</v>
      </c>
      <c r="P429" s="62" t="n">
        <f aca="false">IF((Arterial=0),P428+1,P428)</f>
        <v>205</v>
      </c>
      <c r="Q429" s="62" t="n">
        <f aca="false">IF((Arterial=1),Q428+1,Q428)</f>
        <v>207</v>
      </c>
      <c r="R429" s="63" t="n">
        <f aca="false">IF((RESET=1),0,R429+K429)</f>
        <v>692.700887695304</v>
      </c>
      <c r="S429" s="10" t="e">
        <f aca="false">IF(RESET=1,0,S429+N429)</f>
        <v>#N/A</v>
      </c>
      <c r="T429" s="0" t="n">
        <f aca="false">IF(RESET=1,0,T429+IF(H429=0,1,0))</f>
        <v>32</v>
      </c>
      <c r="U429" s="0" t="e">
        <f aca="false">IF(RESET=1,0,U429+H429)</f>
        <v>#N/A</v>
      </c>
      <c r="V429" s="10" t="n">
        <f aca="false">R429/(T429+0.00001)</f>
        <v>21.6468959758233</v>
      </c>
      <c r="W429" s="10" t="e">
        <f aca="false">S429/(U429+0.0001)</f>
        <v>#N/A</v>
      </c>
      <c r="X429" s="60" t="n">
        <f aca="false">IF(Informed=1,K429,0)</f>
        <v>0</v>
      </c>
      <c r="Y429" s="60" t="n">
        <f aca="false">IF(Informed=0,K429,0)</f>
        <v>0</v>
      </c>
      <c r="Z429" s="60" t="n">
        <f aca="false">IF(Informed=1,N429,0)</f>
        <v>26.5711353493966</v>
      </c>
      <c r="AA429" s="60" t="n">
        <f aca="false">IF(Informed=0,N429,0)</f>
        <v>0</v>
      </c>
      <c r="AB429" s="64" t="n">
        <f aca="false">IF(Arterial=0,IF(Informed=1,1,0),0)</f>
        <v>0</v>
      </c>
      <c r="AC429" s="64" t="n">
        <f aca="false">IF(Arterial=0,IF(Informed=0,1,0),0)</f>
        <v>0</v>
      </c>
      <c r="AD429" s="64" t="n">
        <f aca="false">IF(Arterial=1,IF(Informed=1,1,0),0)</f>
        <v>1</v>
      </c>
      <c r="AE429" s="64" t="n">
        <f aca="false">IF(Arterial=1,IF(Informed=0,1,0),0)</f>
        <v>0</v>
      </c>
      <c r="AF429" s="57" t="n">
        <f aca="false">IF(AB429=1,(X429-G$1030)^2,0)</f>
        <v>0</v>
      </c>
      <c r="AG429" s="57" t="n">
        <f aca="false">IF(AC429=1,(Y429-H$1030)^2,0)</f>
        <v>0</v>
      </c>
      <c r="AH429" s="57" t="n">
        <f aca="false">IF(AD429=1,(Z429-I$1030)^2,0)</f>
        <v>706.025233755955</v>
      </c>
      <c r="AI429" s="57" t="n">
        <f aca="false">IF(AE429=1,(AA429-J$1030)^2,0)</f>
        <v>0</v>
      </c>
    </row>
    <row r="430" customFormat="false" ht="12" hidden="false" customHeight="false" outlineLevel="0" collapsed="false">
      <c r="A430" s="5" t="n">
        <v>413</v>
      </c>
      <c r="B430" s="58" t="n">
        <f aca="true">IF(RAND()&lt;$D$8,1,0)</f>
        <v>1</v>
      </c>
      <c r="C430" s="47" t="n">
        <f aca="true">-LN(RAND())/$D$2</f>
        <v>1.0263950071566</v>
      </c>
      <c r="D430" s="59" t="n">
        <f aca="false">D429+C430</f>
        <v>394.72188095585</v>
      </c>
      <c r="E430" s="60" t="n">
        <f aca="false">MAX($D$3,(1+P429-VLOOKUP(VALUE(D430),$J$18:$Q429,7,TRUE()))*$D$3)</f>
        <v>26</v>
      </c>
      <c r="F430" s="60" t="n">
        <f aca="false">MAX($D$4,(1+Q429-VLOOKUP(VALUE(D430),$M$18:$Q429,5,TRUE()))*$D$4)</f>
        <v>28</v>
      </c>
      <c r="G430" s="61" t="n">
        <v>0.5</v>
      </c>
      <c r="H430" s="59" t="n">
        <f aca="true">IF((B430=1),(IF((F430&lt;E430),1,(IF((F430=E430),(IF(RAND()&lt;G430,1,0)),0)))),(IF((RAND()&lt;G430),1,0)))</f>
        <v>0</v>
      </c>
      <c r="I430" s="59" t="n">
        <f aca="true">IF((H430=1),0,$D$3+$D$5*(RAND()-0.5))</f>
        <v>2.11515391594104</v>
      </c>
      <c r="J430" s="59" t="n">
        <f aca="false">I430+MAX(D430,J429)</f>
        <v>419.583829955542</v>
      </c>
      <c r="K430" s="59" t="n">
        <f aca="false">IF((H430=0),J430-D430,0)</f>
        <v>24.8619489996926</v>
      </c>
      <c r="L430" s="59" t="n">
        <f aca="true">IF(($H430=0),0,$D$4+$D$5*(RAND()-0.5))</f>
        <v>0</v>
      </c>
      <c r="M430" s="59" t="n">
        <f aca="false">L430+MAX(D430,M429)</f>
        <v>420.26662129809</v>
      </c>
      <c r="N430" s="59" t="n">
        <f aca="false">IF((H430=1),M430-D430,0)</f>
        <v>0</v>
      </c>
      <c r="O430" s="5" t="n">
        <v>413</v>
      </c>
      <c r="P430" s="62" t="n">
        <f aca="false">IF((Arterial=0),P429+1,P429)</f>
        <v>206</v>
      </c>
      <c r="Q430" s="62" t="n">
        <f aca="false">IF((Arterial=1),Q429+1,Q429)</f>
        <v>207</v>
      </c>
      <c r="R430" s="63" t="e">
        <f aca="false">IF((RESET=1),0,R430+K430)</f>
        <v>#N/A</v>
      </c>
      <c r="S430" s="10" t="n">
        <f aca="false">IF(RESET=1,0,S430+N430)</f>
        <v>399.384010152806</v>
      </c>
      <c r="T430" s="0" t="e">
        <f aca="false">IF(RESET=1,0,T430+IF(H430=0,1,0))</f>
        <v>#N/A</v>
      </c>
      <c r="U430" s="0" t="n">
        <f aca="false">IF(RESET=1,0,U430+H430)</f>
        <v>25</v>
      </c>
      <c r="V430" s="10" t="e">
        <f aca="false">R430/(T430+0.00001)</f>
        <v>#N/A</v>
      </c>
      <c r="W430" s="10" t="n">
        <f aca="false">S430/(U430+0.0001)</f>
        <v>15.9752965049262</v>
      </c>
      <c r="X430" s="60" t="n">
        <f aca="false">IF(Informed=1,K430,0)</f>
        <v>24.8619489996926</v>
      </c>
      <c r="Y430" s="60" t="n">
        <f aca="false">IF(Informed=0,K430,0)</f>
        <v>0</v>
      </c>
      <c r="Z430" s="60" t="n">
        <f aca="false">IF(Informed=1,N430,0)</f>
        <v>0</v>
      </c>
      <c r="AA430" s="60" t="n">
        <f aca="false">IF(Informed=0,N430,0)</f>
        <v>0</v>
      </c>
      <c r="AB430" s="64" t="n">
        <f aca="false">IF(Arterial=0,IF(Informed=1,1,0),0)</f>
        <v>1</v>
      </c>
      <c r="AC430" s="64" t="n">
        <f aca="false">IF(Arterial=0,IF(Informed=0,1,0),0)</f>
        <v>0</v>
      </c>
      <c r="AD430" s="64" t="n">
        <f aca="false">IF(Arterial=1,IF(Informed=1,1,0),0)</f>
        <v>0</v>
      </c>
      <c r="AE430" s="64" t="n">
        <f aca="false">IF(Arterial=1,IF(Informed=0,1,0),0)</f>
        <v>0</v>
      </c>
      <c r="AF430" s="57" t="n">
        <f aca="false">IF(AB430=1,(X430-G$1030)^2,0)</f>
        <v>618.116508063315</v>
      </c>
      <c r="AG430" s="57" t="n">
        <f aca="false">IF(AC430=1,(Y430-H$1030)^2,0)</f>
        <v>0</v>
      </c>
      <c r="AH430" s="57" t="n">
        <f aca="false">IF(AD430=1,(Z430-I$1030)^2,0)</f>
        <v>0</v>
      </c>
      <c r="AI430" s="57" t="n">
        <f aca="false">IF(AE430=1,(AA430-J$1030)^2,0)</f>
        <v>0</v>
      </c>
    </row>
    <row r="431" customFormat="false" ht="12" hidden="false" customHeight="false" outlineLevel="0" collapsed="false">
      <c r="A431" s="5" t="n">
        <v>414</v>
      </c>
      <c r="B431" s="58" t="n">
        <f aca="true">IF(RAND()&lt;$D$8,1,0)</f>
        <v>0</v>
      </c>
      <c r="C431" s="47" t="n">
        <f aca="true">-LN(RAND())/$D$2</f>
        <v>1.25368652588955</v>
      </c>
      <c r="D431" s="59" t="n">
        <f aca="false">D430+C431</f>
        <v>395.975567481739</v>
      </c>
      <c r="E431" s="60" t="n">
        <f aca="false">MAX($D$3,(1+P430-VLOOKUP(VALUE(D431),$J$18:$Q430,7,TRUE()))*$D$3)</f>
        <v>28</v>
      </c>
      <c r="F431" s="60" t="n">
        <f aca="false">MAX($D$4,(1+Q430-VLOOKUP(VALUE(D431),$M$18:$Q430,5,TRUE()))*$D$4)</f>
        <v>28</v>
      </c>
      <c r="G431" s="61" t="n">
        <v>0.5</v>
      </c>
      <c r="H431" s="59" t="n">
        <f aca="true">IF((B431=1),(IF((F431&lt;E431),1,(IF((F431=E431),(IF(RAND()&lt;G431,1,0)),0)))),(IF((RAND()&lt;G431),1,0)))</f>
        <v>1</v>
      </c>
      <c r="I431" s="59" t="n">
        <f aca="true">IF((H431=1),0,$D$3+$D$5*(RAND()-0.5))</f>
        <v>0</v>
      </c>
      <c r="J431" s="59" t="n">
        <f aca="false">I431+MAX(D431,J430)</f>
        <v>419.583829955542</v>
      </c>
      <c r="K431" s="59" t="n">
        <f aca="false">IF((H431=0),J431-D431,0)</f>
        <v>0</v>
      </c>
      <c r="L431" s="59" t="n">
        <f aca="true">IF(($H431=0),0,$D$4+$D$5*(RAND()-0.5))</f>
        <v>2.01573539036658</v>
      </c>
      <c r="M431" s="59" t="n">
        <f aca="false">L431+MAX(D431,M430)</f>
        <v>422.282356688456</v>
      </c>
      <c r="N431" s="59" t="n">
        <f aca="false">IF((H431=1),M431-D431,0)</f>
        <v>26.306789206717</v>
      </c>
      <c r="O431" s="5" t="n">
        <v>414</v>
      </c>
      <c r="P431" s="62" t="n">
        <f aca="false">IF((Arterial=0),P430+1,P430)</f>
        <v>206</v>
      </c>
      <c r="Q431" s="62" t="n">
        <f aca="false">IF((Arterial=1),Q430+1,Q430)</f>
        <v>208</v>
      </c>
      <c r="R431" s="63" t="n">
        <f aca="false">IF((RESET=1),0,R431+K431)</f>
        <v>443.580970464424</v>
      </c>
      <c r="S431" s="10" t="e">
        <f aca="false">IF(RESET=1,0,S431+N431)</f>
        <v>#N/A</v>
      </c>
      <c r="T431" s="0" t="n">
        <f aca="false">IF(RESET=1,0,T431+IF(H431=0,1,0))</f>
        <v>26</v>
      </c>
      <c r="U431" s="0" t="e">
        <f aca="false">IF(RESET=1,0,U431+H431)</f>
        <v>#N/A</v>
      </c>
      <c r="V431" s="10" t="n">
        <f aca="false">R431/(T431+0.00001)</f>
        <v>17.0607999944778</v>
      </c>
      <c r="W431" s="10" t="e">
        <f aca="false">S431/(U431+0.0001)</f>
        <v>#N/A</v>
      </c>
      <c r="X431" s="60" t="n">
        <f aca="false">IF(Informed=1,K431,0)</f>
        <v>0</v>
      </c>
      <c r="Y431" s="60" t="n">
        <f aca="false">IF(Informed=0,K431,0)</f>
        <v>0</v>
      </c>
      <c r="Z431" s="60" t="n">
        <f aca="false">IF(Informed=1,N431,0)</f>
        <v>0</v>
      </c>
      <c r="AA431" s="60" t="n">
        <f aca="false">IF(Informed=0,N431,0)</f>
        <v>26.306789206717</v>
      </c>
      <c r="AB431" s="64" t="n">
        <f aca="false">IF(Arterial=0,IF(Informed=1,1,0),0)</f>
        <v>0</v>
      </c>
      <c r="AC431" s="64" t="n">
        <f aca="false">IF(Arterial=0,IF(Informed=0,1,0),0)</f>
        <v>0</v>
      </c>
      <c r="AD431" s="64" t="n">
        <f aca="false">IF(Arterial=1,IF(Informed=1,1,0),0)</f>
        <v>0</v>
      </c>
      <c r="AE431" s="64" t="n">
        <f aca="false">IF(Arterial=1,IF(Informed=0,1,0),0)</f>
        <v>1</v>
      </c>
      <c r="AF431" s="57" t="n">
        <f aca="false">IF(AB431=1,(X431-G$1030)^2,0)</f>
        <v>0</v>
      </c>
      <c r="AG431" s="57" t="n">
        <f aca="false">IF(AC431=1,(Y431-H$1030)^2,0)</f>
        <v>0</v>
      </c>
      <c r="AH431" s="57" t="n">
        <f aca="false">IF(AD431=1,(Z431-I$1030)^2,0)</f>
        <v>0</v>
      </c>
      <c r="AI431" s="57" t="n">
        <f aca="false">IF(AE431=1,(AA431-J$1030)^2,0)</f>
        <v>692.047158366644</v>
      </c>
    </row>
    <row r="432" customFormat="false" ht="12" hidden="false" customHeight="false" outlineLevel="0" collapsed="false">
      <c r="A432" s="5" t="n">
        <v>415</v>
      </c>
      <c r="B432" s="58" t="n">
        <f aca="true">IF(RAND()&lt;$D$8,1,0)</f>
        <v>1</v>
      </c>
      <c r="C432" s="47" t="n">
        <f aca="true">-LN(RAND())/$D$2</f>
        <v>0.155021602490602</v>
      </c>
      <c r="D432" s="59" t="n">
        <f aca="false">D431+C432</f>
        <v>396.13058908423</v>
      </c>
      <c r="E432" s="60" t="n">
        <f aca="false">MAX($D$3,(1+P431-VLOOKUP(VALUE(D432),$J$18:$Q431,7,TRUE()))*$D$3)</f>
        <v>28</v>
      </c>
      <c r="F432" s="60" t="n">
        <f aca="false">MAX($D$4,(1+Q431-VLOOKUP(VALUE(D432),$M$18:$Q431,5,TRUE()))*$D$4)</f>
        <v>30</v>
      </c>
      <c r="G432" s="61" t="n">
        <v>0.5</v>
      </c>
      <c r="H432" s="59" t="n">
        <f aca="true">IF((B432=1),(IF((F432&lt;E432),1,(IF((F432=E432),(IF(RAND()&lt;G432,1,0)),0)))),(IF((RAND()&lt;G432),1,0)))</f>
        <v>0</v>
      </c>
      <c r="I432" s="59" t="n">
        <f aca="true">IF((H432=1),0,$D$3+$D$5*(RAND()-0.5))</f>
        <v>1.75445418055486</v>
      </c>
      <c r="J432" s="59" t="n">
        <f aca="false">I432+MAX(D432,J431)</f>
        <v>421.338284136097</v>
      </c>
      <c r="K432" s="59" t="n">
        <f aca="false">IF((H432=0),J432-D432,0)</f>
        <v>25.2076950518673</v>
      </c>
      <c r="L432" s="59" t="n">
        <f aca="true">IF(($H432=0),0,$D$4+$D$5*(RAND()-0.5))</f>
        <v>0</v>
      </c>
      <c r="M432" s="59" t="n">
        <f aca="false">L432+MAX(D432,M431)</f>
        <v>422.282356688456</v>
      </c>
      <c r="N432" s="59" t="n">
        <f aca="false">IF((H432=1),M432-D432,0)</f>
        <v>0</v>
      </c>
      <c r="O432" s="5" t="n">
        <v>415</v>
      </c>
      <c r="P432" s="62" t="n">
        <f aca="false">IF((Arterial=0),P431+1,P431)</f>
        <v>207</v>
      </c>
      <c r="Q432" s="62" t="n">
        <f aca="false">IF((Arterial=1),Q431+1,Q431)</f>
        <v>208</v>
      </c>
      <c r="R432" s="63" t="e">
        <f aca="false">IF((RESET=1),0,R432+K432)</f>
        <v>#N/A</v>
      </c>
      <c r="S432" s="10" t="n">
        <f aca="false">IF(RESET=1,0,S432+N432)</f>
        <v>661.402761641549</v>
      </c>
      <c r="T432" s="0" t="e">
        <f aca="false">IF(RESET=1,0,T432+IF(H432=0,1,0))</f>
        <v>#N/A</v>
      </c>
      <c r="U432" s="0" t="n">
        <f aca="false">IF(RESET=1,0,U432+H432)</f>
        <v>26</v>
      </c>
      <c r="V432" s="10" t="e">
        <f aca="false">R432/(T432+0.00001)</f>
        <v>#N/A</v>
      </c>
      <c r="W432" s="10" t="n">
        <f aca="false">S432/(U432+0.0001)</f>
        <v>25.4384699151753</v>
      </c>
      <c r="X432" s="60" t="n">
        <f aca="false">IF(Informed=1,K432,0)</f>
        <v>25.2076950518673</v>
      </c>
      <c r="Y432" s="60" t="n">
        <f aca="false">IF(Informed=0,K432,0)</f>
        <v>0</v>
      </c>
      <c r="Z432" s="60" t="n">
        <f aca="false">IF(Informed=1,N432,0)</f>
        <v>0</v>
      </c>
      <c r="AA432" s="60" t="n">
        <f aca="false">IF(Informed=0,N432,0)</f>
        <v>0</v>
      </c>
      <c r="AB432" s="64" t="n">
        <f aca="false">IF(Arterial=0,IF(Informed=1,1,0),0)</f>
        <v>1</v>
      </c>
      <c r="AC432" s="64" t="n">
        <f aca="false">IF(Arterial=0,IF(Informed=0,1,0),0)</f>
        <v>0</v>
      </c>
      <c r="AD432" s="64" t="n">
        <f aca="false">IF(Arterial=1,IF(Informed=1,1,0),0)</f>
        <v>0</v>
      </c>
      <c r="AE432" s="64" t="n">
        <f aca="false">IF(Arterial=1,IF(Informed=0,1,0),0)</f>
        <v>0</v>
      </c>
      <c r="AF432" s="57" t="n">
        <f aca="false">IF(AB432=1,(X432-G$1030)^2,0)</f>
        <v>635.427889827935</v>
      </c>
      <c r="AG432" s="57" t="n">
        <f aca="false">IF(AC432=1,(Y432-H$1030)^2,0)</f>
        <v>0</v>
      </c>
      <c r="AH432" s="57" t="n">
        <f aca="false">IF(AD432=1,(Z432-I$1030)^2,0)</f>
        <v>0</v>
      </c>
      <c r="AI432" s="57" t="n">
        <f aca="false">IF(AE432=1,(AA432-J$1030)^2,0)</f>
        <v>0</v>
      </c>
    </row>
    <row r="433" customFormat="false" ht="12" hidden="false" customHeight="false" outlineLevel="0" collapsed="false">
      <c r="A433" s="5" t="n">
        <v>416</v>
      </c>
      <c r="B433" s="58" t="n">
        <f aca="true">IF(RAND()&lt;$D$8,1,0)</f>
        <v>0</v>
      </c>
      <c r="C433" s="47" t="n">
        <f aca="true">-LN(RAND())/$D$2</f>
        <v>0.984096382515454</v>
      </c>
      <c r="D433" s="59" t="n">
        <f aca="false">D432+C433</f>
        <v>397.114685466745</v>
      </c>
      <c r="E433" s="60" t="n">
        <f aca="false">MAX($D$3,(1+P432-VLOOKUP(VALUE(D433),$J$18:$Q432,7,TRUE()))*$D$3)</f>
        <v>28</v>
      </c>
      <c r="F433" s="60" t="n">
        <f aca="false">MAX($D$4,(1+Q432-VLOOKUP(VALUE(D433),$M$18:$Q432,5,TRUE()))*$D$4)</f>
        <v>28</v>
      </c>
      <c r="G433" s="61" t="n">
        <v>0.5</v>
      </c>
      <c r="H433" s="59" t="n">
        <f aca="true">IF((B433=1),(IF((F433&lt;E433),1,(IF((F433=E433),(IF(RAND()&lt;G433,1,0)),0)))),(IF((RAND()&lt;G433),1,0)))</f>
        <v>1</v>
      </c>
      <c r="I433" s="59" t="n">
        <f aca="true">IF((H433=1),0,$D$3+$D$5*(RAND()-0.5))</f>
        <v>0</v>
      </c>
      <c r="J433" s="59" t="n">
        <f aca="false">I433+MAX(D433,J432)</f>
        <v>421.338284136097</v>
      </c>
      <c r="K433" s="59" t="n">
        <f aca="false">IF((H433=0),J433-D433,0)</f>
        <v>0</v>
      </c>
      <c r="L433" s="59" t="n">
        <f aca="true">IF(($H433=0),0,$D$4+$D$5*(RAND()-0.5))</f>
        <v>1.93298483909627</v>
      </c>
      <c r="M433" s="59" t="n">
        <f aca="false">L433+MAX(D433,M432)</f>
        <v>424.215341527553</v>
      </c>
      <c r="N433" s="59" t="n">
        <f aca="false">IF((H433=1),M433-D433,0)</f>
        <v>27.1006560608072</v>
      </c>
      <c r="O433" s="5" t="n">
        <v>416</v>
      </c>
      <c r="P433" s="62" t="n">
        <f aca="false">IF((Arterial=0),P432+1,P432)</f>
        <v>207</v>
      </c>
      <c r="Q433" s="62" t="n">
        <f aca="false">IF((Arterial=1),Q432+1,Q432)</f>
        <v>209</v>
      </c>
      <c r="R433" s="63" t="n">
        <f aca="false">IF((RESET=1),0,R433+K433)</f>
        <v>633.956503115349</v>
      </c>
      <c r="S433" s="10" t="e">
        <f aca="false">IF(RESET=1,0,S433+N433)</f>
        <v>#N/A</v>
      </c>
      <c r="T433" s="0" t="n">
        <f aca="false">IF(RESET=1,0,T433+IF(H433=0,1,0))</f>
        <v>29</v>
      </c>
      <c r="U433" s="0" t="e">
        <f aca="false">IF(RESET=1,0,U433+H433)</f>
        <v>#N/A</v>
      </c>
      <c r="V433" s="10" t="n">
        <f aca="false">R433/(T433+0.00001)</f>
        <v>21.8605615348184</v>
      </c>
      <c r="W433" s="10" t="e">
        <f aca="false">S433/(U433+0.0001)</f>
        <v>#N/A</v>
      </c>
      <c r="X433" s="60" t="n">
        <f aca="false">IF(Informed=1,K433,0)</f>
        <v>0</v>
      </c>
      <c r="Y433" s="60" t="n">
        <f aca="false">IF(Informed=0,K433,0)</f>
        <v>0</v>
      </c>
      <c r="Z433" s="60" t="n">
        <f aca="false">IF(Informed=1,N433,0)</f>
        <v>0</v>
      </c>
      <c r="AA433" s="60" t="n">
        <f aca="false">IF(Informed=0,N433,0)</f>
        <v>27.1006560608072</v>
      </c>
      <c r="AB433" s="64" t="n">
        <f aca="false">IF(Arterial=0,IF(Informed=1,1,0),0)</f>
        <v>0</v>
      </c>
      <c r="AC433" s="64" t="n">
        <f aca="false">IF(Arterial=0,IF(Informed=0,1,0),0)</f>
        <v>0</v>
      </c>
      <c r="AD433" s="64" t="n">
        <f aca="false">IF(Arterial=1,IF(Informed=1,1,0),0)</f>
        <v>0</v>
      </c>
      <c r="AE433" s="64" t="n">
        <f aca="false">IF(Arterial=1,IF(Informed=0,1,0),0)</f>
        <v>1</v>
      </c>
      <c r="AF433" s="57" t="n">
        <f aca="false">IF(AB433=1,(X433-G$1030)^2,0)</f>
        <v>0</v>
      </c>
      <c r="AG433" s="57" t="n">
        <f aca="false">IF(AC433=1,(Y433-H$1030)^2,0)</f>
        <v>0</v>
      </c>
      <c r="AH433" s="57" t="n">
        <f aca="false">IF(AD433=1,(Z433-I$1030)^2,0)</f>
        <v>0</v>
      </c>
      <c r="AI433" s="57" t="n">
        <f aca="false">IF(AE433=1,(AA433-J$1030)^2,0)</f>
        <v>734.445558926168</v>
      </c>
    </row>
    <row r="434" customFormat="false" ht="12" hidden="false" customHeight="false" outlineLevel="0" collapsed="false">
      <c r="A434" s="5" t="n">
        <v>417</v>
      </c>
      <c r="B434" s="58" t="n">
        <f aca="true">IF(RAND()&lt;$D$8,1,0)</f>
        <v>1</v>
      </c>
      <c r="C434" s="47" t="n">
        <f aca="true">-LN(RAND())/$D$2</f>
        <v>0.00338564733071658</v>
      </c>
      <c r="D434" s="59" t="n">
        <f aca="false">D433+C434</f>
        <v>397.118071114076</v>
      </c>
      <c r="E434" s="60" t="n">
        <f aca="false">MAX($D$3,(1+P433-VLOOKUP(VALUE(D434),$J$18:$Q433,7,TRUE()))*$D$3)</f>
        <v>28</v>
      </c>
      <c r="F434" s="60" t="n">
        <f aca="false">MAX($D$4,(1+Q433-VLOOKUP(VALUE(D434),$M$18:$Q433,5,TRUE()))*$D$4)</f>
        <v>30</v>
      </c>
      <c r="G434" s="61" t="n">
        <v>0.5</v>
      </c>
      <c r="H434" s="59" t="n">
        <f aca="true">IF((B434=1),(IF((F434&lt;E434),1,(IF((F434=E434),(IF(RAND()&lt;G434,1,0)),0)))),(IF((RAND()&lt;G434),1,0)))</f>
        <v>0</v>
      </c>
      <c r="I434" s="59" t="n">
        <f aca="true">IF((H434=1),0,$D$3+$D$5*(RAND()-0.5))</f>
        <v>2.04062347119252</v>
      </c>
      <c r="J434" s="59" t="n">
        <f aca="false">I434+MAX(D434,J433)</f>
        <v>423.37890760729</v>
      </c>
      <c r="K434" s="59" t="n">
        <f aca="false">IF((H434=0),J434-D434,0)</f>
        <v>26.2608364932136</v>
      </c>
      <c r="L434" s="59" t="n">
        <f aca="true">IF(($H434=0),0,$D$4+$D$5*(RAND()-0.5))</f>
        <v>0</v>
      </c>
      <c r="M434" s="59" t="n">
        <f aca="false">L434+MAX(D434,M433)</f>
        <v>424.215341527553</v>
      </c>
      <c r="N434" s="59" t="n">
        <f aca="false">IF((H434=1),M434-D434,0)</f>
        <v>0</v>
      </c>
      <c r="O434" s="5" t="n">
        <v>417</v>
      </c>
      <c r="P434" s="62" t="n">
        <f aca="false">IF((Arterial=0),P433+1,P433)</f>
        <v>208</v>
      </c>
      <c r="Q434" s="62" t="n">
        <f aca="false">IF((Arterial=1),Q433+1,Q433)</f>
        <v>209</v>
      </c>
      <c r="R434" s="63" t="e">
        <f aca="false">IF((RESET=1),0,R434+K434)</f>
        <v>#N/A</v>
      </c>
      <c r="S434" s="10" t="n">
        <f aca="false">IF(RESET=1,0,S434+N434)</f>
        <v>510.296378192283</v>
      </c>
      <c r="T434" s="0" t="e">
        <f aca="false">IF(RESET=1,0,T434+IF(H434=0,1,0))</f>
        <v>#N/A</v>
      </c>
      <c r="U434" s="0" t="n">
        <f aca="false">IF(RESET=1,0,U434+H434)</f>
        <v>25</v>
      </c>
      <c r="V434" s="10" t="e">
        <f aca="false">R434/(T434+0.00001)</f>
        <v>#N/A</v>
      </c>
      <c r="W434" s="10" t="n">
        <f aca="false">S434/(U434+0.0001)</f>
        <v>20.4117734805974</v>
      </c>
      <c r="X434" s="60" t="n">
        <f aca="false">IF(Informed=1,K434,0)</f>
        <v>26.2608364932136</v>
      </c>
      <c r="Y434" s="60" t="n">
        <f aca="false">IF(Informed=0,K434,0)</f>
        <v>0</v>
      </c>
      <c r="Z434" s="60" t="n">
        <f aca="false">IF(Informed=1,N434,0)</f>
        <v>0</v>
      </c>
      <c r="AA434" s="60" t="n">
        <f aca="false">IF(Informed=0,N434,0)</f>
        <v>0</v>
      </c>
      <c r="AB434" s="64" t="n">
        <f aca="false">IF(Arterial=0,IF(Informed=1,1,0),0)</f>
        <v>1</v>
      </c>
      <c r="AC434" s="64" t="n">
        <f aca="false">IF(Arterial=0,IF(Informed=0,1,0),0)</f>
        <v>0</v>
      </c>
      <c r="AD434" s="64" t="n">
        <f aca="false">IF(Arterial=1,IF(Informed=1,1,0),0)</f>
        <v>0</v>
      </c>
      <c r="AE434" s="64" t="n">
        <f aca="false">IF(Arterial=1,IF(Informed=0,1,0),0)</f>
        <v>0</v>
      </c>
      <c r="AF434" s="57" t="n">
        <f aca="false">IF(AB434=1,(X434-G$1030)^2,0)</f>
        <v>689.6315333233</v>
      </c>
      <c r="AG434" s="57" t="n">
        <f aca="false">IF(AC434=1,(Y434-H$1030)^2,0)</f>
        <v>0</v>
      </c>
      <c r="AH434" s="57" t="n">
        <f aca="false">IF(AD434=1,(Z434-I$1030)^2,0)</f>
        <v>0</v>
      </c>
      <c r="AI434" s="57" t="n">
        <f aca="false">IF(AE434=1,(AA434-J$1030)^2,0)</f>
        <v>0</v>
      </c>
    </row>
    <row r="435" customFormat="false" ht="12" hidden="false" customHeight="false" outlineLevel="0" collapsed="false">
      <c r="A435" s="5" t="n">
        <v>418</v>
      </c>
      <c r="B435" s="58" t="n">
        <f aca="true">IF(RAND()&lt;$D$8,1,0)</f>
        <v>0</v>
      </c>
      <c r="C435" s="47" t="n">
        <f aca="true">-LN(RAND())/$D$2</f>
        <v>0.565504503127291</v>
      </c>
      <c r="D435" s="59" t="n">
        <f aca="false">D434+C435</f>
        <v>397.683575617204</v>
      </c>
      <c r="E435" s="60" t="n">
        <f aca="false">MAX($D$3,(1+P434-VLOOKUP(VALUE(D435),$J$18:$Q434,7,TRUE()))*$D$3)</f>
        <v>30</v>
      </c>
      <c r="F435" s="60" t="n">
        <f aca="false">MAX($D$4,(1+Q434-VLOOKUP(VALUE(D435),$M$18:$Q434,5,TRUE()))*$D$4)</f>
        <v>30</v>
      </c>
      <c r="G435" s="61" t="n">
        <v>0.5</v>
      </c>
      <c r="H435" s="59" t="n">
        <f aca="true">IF((B435=1),(IF((F435&lt;E435),1,(IF((F435=E435),(IF(RAND()&lt;G435,1,0)),0)))),(IF((RAND()&lt;G435),1,0)))</f>
        <v>0</v>
      </c>
      <c r="I435" s="59" t="n">
        <f aca="true">IF((H435=1),0,$D$3+$D$5*(RAND()-0.5))</f>
        <v>1.94450661366601</v>
      </c>
      <c r="J435" s="59" t="n">
        <f aca="false">I435+MAX(D435,J434)</f>
        <v>425.323414220956</v>
      </c>
      <c r="K435" s="59" t="n">
        <f aca="false">IF((H435=0),J435-D435,0)</f>
        <v>27.6398386037524</v>
      </c>
      <c r="L435" s="59" t="n">
        <f aca="true">IF(($H435=0),0,$D$4+$D$5*(RAND()-0.5))</f>
        <v>0</v>
      </c>
      <c r="M435" s="59" t="n">
        <f aca="false">L435+MAX(D435,M434)</f>
        <v>424.215341527553</v>
      </c>
      <c r="N435" s="59" t="n">
        <f aca="false">IF((H435=1),M435-D435,0)</f>
        <v>0</v>
      </c>
      <c r="O435" s="5" t="n">
        <v>418</v>
      </c>
      <c r="P435" s="62" t="n">
        <f aca="false">IF((Arterial=0),P434+1,P434)</f>
        <v>209</v>
      </c>
      <c r="Q435" s="62" t="n">
        <f aca="false">IF((Arterial=1),Q434+1,Q434)</f>
        <v>209</v>
      </c>
      <c r="R435" s="63" t="e">
        <f aca="false">IF((RESET=1),0,R435+K435)</f>
        <v>#N/A</v>
      </c>
      <c r="S435" s="10" t="n">
        <f aca="false">IF(RESET=1,0,S435+N435)</f>
        <v>538.04854300569</v>
      </c>
      <c r="T435" s="0" t="e">
        <f aca="false">IF(RESET=1,0,T435+IF(H435=0,1,0))</f>
        <v>#N/A</v>
      </c>
      <c r="U435" s="0" t="n">
        <f aca="false">IF(RESET=1,0,U435+H435)</f>
        <v>25</v>
      </c>
      <c r="V435" s="10" t="e">
        <f aca="false">R435/(T435+0.00001)</f>
        <v>#N/A</v>
      </c>
      <c r="W435" s="10" t="n">
        <f aca="false">S435/(U435+0.0001)</f>
        <v>21.5218556328051</v>
      </c>
      <c r="X435" s="60" t="n">
        <f aca="false">IF(Informed=1,K435,0)</f>
        <v>0</v>
      </c>
      <c r="Y435" s="60" t="n">
        <f aca="false">IF(Informed=0,K435,0)</f>
        <v>27.6398386037524</v>
      </c>
      <c r="Z435" s="60" t="n">
        <f aca="false">IF(Informed=1,N435,0)</f>
        <v>0</v>
      </c>
      <c r="AA435" s="60" t="n">
        <f aca="false">IF(Informed=0,N435,0)</f>
        <v>0</v>
      </c>
      <c r="AB435" s="64" t="n">
        <f aca="false">IF(Arterial=0,IF(Informed=1,1,0),0)</f>
        <v>0</v>
      </c>
      <c r="AC435" s="64" t="n">
        <f aca="false">IF(Arterial=0,IF(Informed=0,1,0),0)</f>
        <v>1</v>
      </c>
      <c r="AD435" s="64" t="n">
        <f aca="false">IF(Arterial=1,IF(Informed=1,1,0),0)</f>
        <v>0</v>
      </c>
      <c r="AE435" s="64" t="n">
        <f aca="false">IF(Arterial=1,IF(Informed=0,1,0),0)</f>
        <v>0</v>
      </c>
      <c r="AF435" s="57" t="n">
        <f aca="false">IF(AB435=1,(X435-G$1030)^2,0)</f>
        <v>0</v>
      </c>
      <c r="AG435" s="57" t="n">
        <f aca="false">IF(AC435=1,(Y435-H$1030)^2,0)</f>
        <v>763.96067804148</v>
      </c>
      <c r="AH435" s="57" t="n">
        <f aca="false">IF(AD435=1,(Z435-I$1030)^2,0)</f>
        <v>0</v>
      </c>
      <c r="AI435" s="57" t="n">
        <f aca="false">IF(AE435=1,(AA435-J$1030)^2,0)</f>
        <v>0</v>
      </c>
    </row>
    <row r="436" customFormat="false" ht="12" hidden="false" customHeight="false" outlineLevel="0" collapsed="false">
      <c r="A436" s="5" t="n">
        <v>419</v>
      </c>
      <c r="B436" s="58" t="n">
        <f aca="true">IF(RAND()&lt;$D$8,1,0)</f>
        <v>0</v>
      </c>
      <c r="C436" s="47" t="n">
        <f aca="true">-LN(RAND())/$D$2</f>
        <v>0.38302609106272</v>
      </c>
      <c r="D436" s="59" t="n">
        <f aca="false">D435+C436</f>
        <v>398.066601708266</v>
      </c>
      <c r="E436" s="60" t="n">
        <f aca="false">MAX($D$3,(1+P435-VLOOKUP(VALUE(D436),$J$18:$Q435,7,TRUE()))*$D$3)</f>
        <v>32</v>
      </c>
      <c r="F436" s="60" t="n">
        <f aca="false">MAX($D$4,(1+Q435-VLOOKUP(VALUE(D436),$M$18:$Q435,5,TRUE()))*$D$4)</f>
        <v>30</v>
      </c>
      <c r="G436" s="61" t="n">
        <v>0.5</v>
      </c>
      <c r="H436" s="59" t="n">
        <f aca="true">IF((B436=1),(IF((F436&lt;E436),1,(IF((F436=E436),(IF(RAND()&lt;G436,1,0)),0)))),(IF((RAND()&lt;G436),1,0)))</f>
        <v>0</v>
      </c>
      <c r="I436" s="59" t="n">
        <f aca="true">IF((H436=1),0,$D$3+$D$5*(RAND()-0.5))</f>
        <v>1.89251058605065</v>
      </c>
      <c r="J436" s="59" t="n">
        <f aca="false">I436+MAX(D436,J435)</f>
        <v>427.215924807007</v>
      </c>
      <c r="K436" s="59" t="n">
        <f aca="false">IF((H436=0),J436-D436,0)</f>
        <v>29.1493230987403</v>
      </c>
      <c r="L436" s="59" t="n">
        <f aca="true">IF(($H436=0),0,$D$4+$D$5*(RAND()-0.5))</f>
        <v>0</v>
      </c>
      <c r="M436" s="59" t="n">
        <f aca="false">L436+MAX(D436,M435)</f>
        <v>424.215341527553</v>
      </c>
      <c r="N436" s="59" t="n">
        <f aca="false">IF((H436=1),M436-D436,0)</f>
        <v>0</v>
      </c>
      <c r="O436" s="5" t="n">
        <v>419</v>
      </c>
      <c r="P436" s="62" t="n">
        <f aca="false">IF((Arterial=0),P435+1,P435)</f>
        <v>210</v>
      </c>
      <c r="Q436" s="62" t="n">
        <f aca="false">IF((Arterial=1),Q435+1,Q435)</f>
        <v>209</v>
      </c>
      <c r="R436" s="63" t="e">
        <f aca="false">IF((RESET=1),0,R436+K436)</f>
        <v>#N/A</v>
      </c>
      <c r="S436" s="10" t="n">
        <f aca="false">IF(RESET=1,0,S436+N436)</f>
        <v>643.885991407345</v>
      </c>
      <c r="T436" s="0" t="e">
        <f aca="false">IF(RESET=1,0,T436+IF(H436=0,1,0))</f>
        <v>#N/A</v>
      </c>
      <c r="U436" s="0" t="n">
        <f aca="false">IF(RESET=1,0,U436+H436)</f>
        <v>30</v>
      </c>
      <c r="V436" s="10" t="e">
        <f aca="false">R436/(T436+0.00001)</f>
        <v>#N/A</v>
      </c>
      <c r="W436" s="10" t="n">
        <f aca="false">S436/(U436+0.0001)</f>
        <v>21.4627948375954</v>
      </c>
      <c r="X436" s="60" t="n">
        <f aca="false">IF(Informed=1,K436,0)</f>
        <v>0</v>
      </c>
      <c r="Y436" s="60" t="n">
        <f aca="false">IF(Informed=0,K436,0)</f>
        <v>29.1493230987403</v>
      </c>
      <c r="Z436" s="60" t="n">
        <f aca="false">IF(Informed=1,N436,0)</f>
        <v>0</v>
      </c>
      <c r="AA436" s="60" t="n">
        <f aca="false">IF(Informed=0,N436,0)</f>
        <v>0</v>
      </c>
      <c r="AB436" s="64" t="n">
        <f aca="false">IF(Arterial=0,IF(Informed=1,1,0),0)</f>
        <v>0</v>
      </c>
      <c r="AC436" s="64" t="n">
        <f aca="false">IF(Arterial=0,IF(Informed=0,1,0),0)</f>
        <v>1</v>
      </c>
      <c r="AD436" s="64" t="n">
        <f aca="false">IF(Arterial=1,IF(Informed=1,1,0),0)</f>
        <v>0</v>
      </c>
      <c r="AE436" s="64" t="n">
        <f aca="false">IF(Arterial=1,IF(Informed=0,1,0),0)</f>
        <v>0</v>
      </c>
      <c r="AF436" s="57" t="n">
        <f aca="false">IF(AB436=1,(X436-G$1030)^2,0)</f>
        <v>0</v>
      </c>
      <c r="AG436" s="57" t="n">
        <f aca="false">IF(AC436=1,(Y436-H$1030)^2,0)</f>
        <v>849.683037114755</v>
      </c>
      <c r="AH436" s="57" t="n">
        <f aca="false">IF(AD436=1,(Z436-I$1030)^2,0)</f>
        <v>0</v>
      </c>
      <c r="AI436" s="57" t="n">
        <f aca="false">IF(AE436=1,(AA436-J$1030)^2,0)</f>
        <v>0</v>
      </c>
    </row>
    <row r="437" customFormat="false" ht="12" hidden="false" customHeight="false" outlineLevel="0" collapsed="false">
      <c r="A437" s="5" t="n">
        <v>420</v>
      </c>
      <c r="B437" s="58" t="n">
        <f aca="true">IF(RAND()&lt;$D$8,1,0)</f>
        <v>0</v>
      </c>
      <c r="C437" s="47" t="n">
        <f aca="true">-LN(RAND())/$D$2</f>
        <v>1.08369717800094</v>
      </c>
      <c r="D437" s="59" t="n">
        <f aca="false">D436+C437</f>
        <v>399.150298886267</v>
      </c>
      <c r="E437" s="60" t="n">
        <f aca="false">MAX($D$3,(1+P436-VLOOKUP(VALUE(D437),$J$18:$Q436,7,TRUE()))*$D$3)</f>
        <v>32</v>
      </c>
      <c r="F437" s="60" t="n">
        <f aca="false">MAX($D$4,(1+Q436-VLOOKUP(VALUE(D437),$M$18:$Q436,5,TRUE()))*$D$4)</f>
        <v>28</v>
      </c>
      <c r="G437" s="61" t="n">
        <v>0.5</v>
      </c>
      <c r="H437" s="59" t="n">
        <f aca="true">IF((B437=1),(IF((F437&lt;E437),1,(IF((F437=E437),(IF(RAND()&lt;G437,1,0)),0)))),(IF((RAND()&lt;G437),1,0)))</f>
        <v>0</v>
      </c>
      <c r="I437" s="59" t="n">
        <f aca="true">IF((H437=1),0,$D$3+$D$5*(RAND()-0.5))</f>
        <v>2.03561311717748</v>
      </c>
      <c r="J437" s="59" t="n">
        <f aca="false">I437+MAX(D437,J436)</f>
        <v>429.251537924184</v>
      </c>
      <c r="K437" s="59" t="n">
        <f aca="false">IF((H437=0),J437-D437,0)</f>
        <v>30.1012390379169</v>
      </c>
      <c r="L437" s="59" t="n">
        <f aca="true">IF(($H437=0),0,$D$4+$D$5*(RAND()-0.5))</f>
        <v>0</v>
      </c>
      <c r="M437" s="59" t="n">
        <f aca="false">L437+MAX(D437,M436)</f>
        <v>424.215341527553</v>
      </c>
      <c r="N437" s="59" t="n">
        <f aca="false">IF((H437=1),M437-D437,0)</f>
        <v>0</v>
      </c>
      <c r="O437" s="5" t="n">
        <v>420</v>
      </c>
      <c r="P437" s="62" t="n">
        <f aca="false">IF((Arterial=0),P436+1,P436)</f>
        <v>211</v>
      </c>
      <c r="Q437" s="62" t="n">
        <f aca="false">IF((Arterial=1),Q436+1,Q436)</f>
        <v>209</v>
      </c>
      <c r="R437" s="63" t="e">
        <f aca="false">IF((RESET=1),0,R437+K437)</f>
        <v>#N/A</v>
      </c>
      <c r="S437" s="10" t="n">
        <f aca="false">IF(RESET=1,0,S437+N437)</f>
        <v>694.878060750948</v>
      </c>
      <c r="T437" s="0" t="e">
        <f aca="false">IF(RESET=1,0,T437+IF(H437=0,1,0))</f>
        <v>#N/A</v>
      </c>
      <c r="U437" s="0" t="n">
        <f aca="false">IF(RESET=1,0,U437+H437)</f>
        <v>32</v>
      </c>
      <c r="V437" s="10" t="e">
        <f aca="false">R437/(T437+0.00001)</f>
        <v>#N/A</v>
      </c>
      <c r="W437" s="10" t="n">
        <f aca="false">S437/(U437+0.0001)</f>
        <v>21.7148715394936</v>
      </c>
      <c r="X437" s="60" t="n">
        <f aca="false">IF(Informed=1,K437,0)</f>
        <v>0</v>
      </c>
      <c r="Y437" s="60" t="n">
        <f aca="false">IF(Informed=0,K437,0)</f>
        <v>30.1012390379169</v>
      </c>
      <c r="Z437" s="60" t="n">
        <f aca="false">IF(Informed=1,N437,0)</f>
        <v>0</v>
      </c>
      <c r="AA437" s="60" t="n">
        <f aca="false">IF(Informed=0,N437,0)</f>
        <v>0</v>
      </c>
      <c r="AB437" s="64" t="n">
        <f aca="false">IF(Arterial=0,IF(Informed=1,1,0),0)</f>
        <v>0</v>
      </c>
      <c r="AC437" s="64" t="n">
        <f aca="false">IF(Arterial=0,IF(Informed=0,1,0),0)</f>
        <v>1</v>
      </c>
      <c r="AD437" s="64" t="n">
        <f aca="false">IF(Arterial=1,IF(Informed=1,1,0),0)</f>
        <v>0</v>
      </c>
      <c r="AE437" s="64" t="n">
        <f aca="false">IF(Arterial=1,IF(Informed=0,1,0),0)</f>
        <v>0</v>
      </c>
      <c r="AF437" s="57" t="n">
        <f aca="false">IF(AB437=1,(X437-G$1030)^2,0)</f>
        <v>0</v>
      </c>
      <c r="AG437" s="57" t="n">
        <f aca="false">IF(AC437=1,(Y437-H$1030)^2,0)</f>
        <v>906.08459161781</v>
      </c>
      <c r="AH437" s="57" t="n">
        <f aca="false">IF(AD437=1,(Z437-I$1030)^2,0)</f>
        <v>0</v>
      </c>
      <c r="AI437" s="57" t="n">
        <f aca="false">IF(AE437=1,(AA437-J$1030)^2,0)</f>
        <v>0</v>
      </c>
    </row>
    <row r="438" customFormat="false" ht="12" hidden="false" customHeight="false" outlineLevel="0" collapsed="false">
      <c r="A438" s="5" t="n">
        <v>421</v>
      </c>
      <c r="B438" s="58" t="n">
        <f aca="true">IF(RAND()&lt;$D$8,1,0)</f>
        <v>0</v>
      </c>
      <c r="C438" s="47" t="n">
        <f aca="true">-LN(RAND())/$D$2</f>
        <v>0.796607648786122</v>
      </c>
      <c r="D438" s="59" t="n">
        <f aca="false">D437+C438</f>
        <v>399.946906535053</v>
      </c>
      <c r="E438" s="60" t="n">
        <f aca="false">MAX($D$3,(1+P437-VLOOKUP(VALUE(D438),$J$18:$Q437,7,TRUE()))*$D$3)</f>
        <v>34</v>
      </c>
      <c r="F438" s="60" t="n">
        <f aca="false">MAX($D$4,(1+Q437-VLOOKUP(VALUE(D438),$M$18:$Q437,5,TRUE()))*$D$4)</f>
        <v>28</v>
      </c>
      <c r="G438" s="61" t="n">
        <v>0.5</v>
      </c>
      <c r="H438" s="59" t="n">
        <f aca="true">IF((B438=1),(IF((F438&lt;E438),1,(IF((F438=E438),(IF(RAND()&lt;G438,1,0)),0)))),(IF((RAND()&lt;G438),1,0)))</f>
        <v>1</v>
      </c>
      <c r="I438" s="59" t="n">
        <f aca="true">IF((H438=1),0,$D$3+$D$5*(RAND()-0.5))</f>
        <v>0</v>
      </c>
      <c r="J438" s="59" t="n">
        <f aca="false">I438+MAX(D438,J437)</f>
        <v>429.251537924184</v>
      </c>
      <c r="K438" s="59" t="n">
        <f aca="false">IF((H438=0),J438-D438,0)</f>
        <v>0</v>
      </c>
      <c r="L438" s="59" t="n">
        <f aca="true">IF(($H438=0),0,$D$4+$D$5*(RAND()-0.5))</f>
        <v>1.81955581682099</v>
      </c>
      <c r="M438" s="59" t="n">
        <f aca="false">L438+MAX(D438,M437)</f>
        <v>426.034897344374</v>
      </c>
      <c r="N438" s="59" t="n">
        <f aca="false">IF((H438=1),M438-D438,0)</f>
        <v>26.0879908093204</v>
      </c>
      <c r="O438" s="5" t="n">
        <v>421</v>
      </c>
      <c r="P438" s="62" t="n">
        <f aca="false">IF((Arterial=0),P437+1,P437)</f>
        <v>211</v>
      </c>
      <c r="Q438" s="62" t="n">
        <f aca="false">IF((Arterial=1),Q437+1,Q437)</f>
        <v>210</v>
      </c>
      <c r="R438" s="63" t="n">
        <f aca="false">IF((RESET=1),0,R438+K438)</f>
        <v>577.533397014646</v>
      </c>
      <c r="S438" s="10" t="e">
        <f aca="false">IF(RESET=1,0,S438+N438)</f>
        <v>#N/A</v>
      </c>
      <c r="T438" s="0" t="n">
        <f aca="false">IF(RESET=1,0,T438+IF(H438=0,1,0))</f>
        <v>27</v>
      </c>
      <c r="U438" s="0" t="e">
        <f aca="false">IF(RESET=1,0,U438+H438)</f>
        <v>#N/A</v>
      </c>
      <c r="V438" s="10" t="n">
        <f aca="false">R438/(T438+0.00001)</f>
        <v>21.3901178930914</v>
      </c>
      <c r="W438" s="10" t="e">
        <f aca="false">S438/(U438+0.0001)</f>
        <v>#N/A</v>
      </c>
      <c r="X438" s="60" t="n">
        <f aca="false">IF(Informed=1,K438,0)</f>
        <v>0</v>
      </c>
      <c r="Y438" s="60" t="n">
        <f aca="false">IF(Informed=0,K438,0)</f>
        <v>0</v>
      </c>
      <c r="Z438" s="60" t="n">
        <f aca="false">IF(Informed=1,N438,0)</f>
        <v>0</v>
      </c>
      <c r="AA438" s="60" t="n">
        <f aca="false">IF(Informed=0,N438,0)</f>
        <v>26.0879908093204</v>
      </c>
      <c r="AB438" s="64" t="n">
        <f aca="false">IF(Arterial=0,IF(Informed=1,1,0),0)</f>
        <v>0</v>
      </c>
      <c r="AC438" s="64" t="n">
        <f aca="false">IF(Arterial=0,IF(Informed=0,1,0),0)</f>
        <v>0</v>
      </c>
      <c r="AD438" s="64" t="n">
        <f aca="false">IF(Arterial=1,IF(Informed=1,1,0),0)</f>
        <v>0</v>
      </c>
      <c r="AE438" s="64" t="n">
        <f aca="false">IF(Arterial=1,IF(Informed=0,1,0),0)</f>
        <v>1</v>
      </c>
      <c r="AF438" s="57" t="n">
        <f aca="false">IF(AB438=1,(X438-G$1030)^2,0)</f>
        <v>0</v>
      </c>
      <c r="AG438" s="57" t="n">
        <f aca="false">IF(AC438=1,(Y438-H$1030)^2,0)</f>
        <v>0</v>
      </c>
      <c r="AH438" s="57" t="n">
        <f aca="false">IF(AD438=1,(Z438-I$1030)^2,0)</f>
        <v>0</v>
      </c>
      <c r="AI438" s="57" t="n">
        <f aca="false">IF(AE438=1,(AA438-J$1030)^2,0)</f>
        <v>680.583264467188</v>
      </c>
    </row>
    <row r="439" customFormat="false" ht="12" hidden="false" customHeight="false" outlineLevel="0" collapsed="false">
      <c r="A439" s="5" t="n">
        <v>422</v>
      </c>
      <c r="B439" s="58" t="n">
        <f aca="true">IF(RAND()&lt;$D$8,1,0)</f>
        <v>0</v>
      </c>
      <c r="C439" s="47" t="n">
        <f aca="true">-LN(RAND())/$D$2</f>
        <v>3.21562980401394</v>
      </c>
      <c r="D439" s="59" t="n">
        <f aca="false">D438+C439</f>
        <v>403.162536339067</v>
      </c>
      <c r="E439" s="60" t="n">
        <f aca="false">MAX($D$3,(1+P438-VLOOKUP(VALUE(D439),$J$18:$Q438,7,TRUE()))*$D$3)</f>
        <v>30</v>
      </c>
      <c r="F439" s="60" t="n">
        <f aca="false">MAX($D$4,(1+Q438-VLOOKUP(VALUE(D439),$M$18:$Q438,5,TRUE()))*$D$4)</f>
        <v>26</v>
      </c>
      <c r="G439" s="61" t="n">
        <v>0.5</v>
      </c>
      <c r="H439" s="59" t="n">
        <f aca="true">IF((B439=1),(IF((F439&lt;E439),1,(IF((F439=E439),(IF(RAND()&lt;G439,1,0)),0)))),(IF((RAND()&lt;G439),1,0)))</f>
        <v>0</v>
      </c>
      <c r="I439" s="59" t="n">
        <f aca="true">IF((H439=1),0,$D$3+$D$5*(RAND()-0.5))</f>
        <v>1.76441735190573</v>
      </c>
      <c r="J439" s="59" t="n">
        <f aca="false">I439+MAX(D439,J438)</f>
        <v>431.01595527609</v>
      </c>
      <c r="K439" s="59" t="n">
        <f aca="false">IF((H439=0),J439-D439,0)</f>
        <v>27.8534189370225</v>
      </c>
      <c r="L439" s="59" t="n">
        <f aca="true">IF(($H439=0),0,$D$4+$D$5*(RAND()-0.5))</f>
        <v>0</v>
      </c>
      <c r="M439" s="59" t="n">
        <f aca="false">L439+MAX(D439,M438)</f>
        <v>426.034897344374</v>
      </c>
      <c r="N439" s="59" t="n">
        <f aca="false">IF((H439=1),M439-D439,0)</f>
        <v>0</v>
      </c>
      <c r="O439" s="5" t="n">
        <v>422</v>
      </c>
      <c r="P439" s="62" t="n">
        <f aca="false">IF((Arterial=0),P438+1,P438)</f>
        <v>212</v>
      </c>
      <c r="Q439" s="62" t="n">
        <f aca="false">IF((Arterial=1),Q438+1,Q438)</f>
        <v>210</v>
      </c>
      <c r="R439" s="63" t="e">
        <f aca="false">IF((RESET=1),0,R439+K439)</f>
        <v>#N/A</v>
      </c>
      <c r="S439" s="10" t="n">
        <f aca="false">IF(RESET=1,0,S439+N439)</f>
        <v>485.142948513266</v>
      </c>
      <c r="T439" s="0" t="e">
        <f aca="false">IF(RESET=1,0,T439+IF(H439=0,1,0))</f>
        <v>#N/A</v>
      </c>
      <c r="U439" s="0" t="n">
        <f aca="false">IF(RESET=1,0,U439+H439)</f>
        <v>22</v>
      </c>
      <c r="V439" s="10" t="e">
        <f aca="false">R439/(T439+0.00001)</f>
        <v>#N/A</v>
      </c>
      <c r="W439" s="10" t="n">
        <f aca="false">S439/(U439+0.0001)</f>
        <v>22.0518519694577</v>
      </c>
      <c r="X439" s="60" t="n">
        <f aca="false">IF(Informed=1,K439,0)</f>
        <v>0</v>
      </c>
      <c r="Y439" s="60" t="n">
        <f aca="false">IF(Informed=0,K439,0)</f>
        <v>27.8534189370225</v>
      </c>
      <c r="Z439" s="60" t="n">
        <f aca="false">IF(Informed=1,N439,0)</f>
        <v>0</v>
      </c>
      <c r="AA439" s="60" t="n">
        <f aca="false">IF(Informed=0,N439,0)</f>
        <v>0</v>
      </c>
      <c r="AB439" s="64" t="n">
        <f aca="false">IF(Arterial=0,IF(Informed=1,1,0),0)</f>
        <v>0</v>
      </c>
      <c r="AC439" s="64" t="n">
        <f aca="false">IF(Arterial=0,IF(Informed=0,1,0),0)</f>
        <v>1</v>
      </c>
      <c r="AD439" s="64" t="n">
        <f aca="false">IF(Arterial=1,IF(Informed=1,1,0),0)</f>
        <v>0</v>
      </c>
      <c r="AE439" s="64" t="n">
        <f aca="false">IF(Arterial=1,IF(Informed=0,1,0),0)</f>
        <v>0</v>
      </c>
      <c r="AF439" s="57" t="n">
        <f aca="false">IF(AB439=1,(X439-G$1030)^2,0)</f>
        <v>0</v>
      </c>
      <c r="AG439" s="57" t="n">
        <f aca="false">IF(AC439=1,(Y439-H$1030)^2,0)</f>
        <v>775.812946481285</v>
      </c>
      <c r="AH439" s="57" t="n">
        <f aca="false">IF(AD439=1,(Z439-I$1030)^2,0)</f>
        <v>0</v>
      </c>
      <c r="AI439" s="57" t="n">
        <f aca="false">IF(AE439=1,(AA439-J$1030)^2,0)</f>
        <v>0</v>
      </c>
    </row>
    <row r="440" customFormat="false" ht="12" hidden="false" customHeight="false" outlineLevel="0" collapsed="false">
      <c r="A440" s="5" t="n">
        <v>423</v>
      </c>
      <c r="B440" s="58" t="n">
        <f aca="true">IF(RAND()&lt;$D$8,1,0)</f>
        <v>0</v>
      </c>
      <c r="C440" s="47" t="n">
        <f aca="true">-LN(RAND())/$D$2</f>
        <v>0.372789636700301</v>
      </c>
      <c r="D440" s="59" t="n">
        <f aca="false">D439+C440</f>
        <v>403.535325975768</v>
      </c>
      <c r="E440" s="60" t="n">
        <f aca="false">MAX($D$3,(1+P439-VLOOKUP(VALUE(D440),$J$18:$Q439,7,TRUE()))*$D$3)</f>
        <v>32</v>
      </c>
      <c r="F440" s="60" t="n">
        <f aca="false">MAX($D$4,(1+Q439-VLOOKUP(VALUE(D440),$M$18:$Q439,5,TRUE()))*$D$4)</f>
        <v>26</v>
      </c>
      <c r="G440" s="61" t="n">
        <v>0.5</v>
      </c>
      <c r="H440" s="59" t="n">
        <f aca="true">IF((B440=1),(IF((F440&lt;E440),1,(IF((F440=E440),(IF(RAND()&lt;G440,1,0)),0)))),(IF((RAND()&lt;G440),1,0)))</f>
        <v>0</v>
      </c>
      <c r="I440" s="59" t="n">
        <f aca="true">IF((H440=1),0,$D$3+$D$5*(RAND()-0.5))</f>
        <v>1.84300011076203</v>
      </c>
      <c r="J440" s="59" t="n">
        <f aca="false">I440+MAX(D440,J439)</f>
        <v>432.858955386852</v>
      </c>
      <c r="K440" s="59" t="n">
        <f aca="false">IF((H440=0),J440-D440,0)</f>
        <v>29.3236294110843</v>
      </c>
      <c r="L440" s="59" t="n">
        <f aca="true">IF(($H440=0),0,$D$4+$D$5*(RAND()-0.5))</f>
        <v>0</v>
      </c>
      <c r="M440" s="59" t="n">
        <f aca="false">L440+MAX(D440,M439)</f>
        <v>426.034897344374</v>
      </c>
      <c r="N440" s="59" t="n">
        <f aca="false">IF((H440=1),M440-D440,0)</f>
        <v>0</v>
      </c>
      <c r="O440" s="5" t="n">
        <v>423</v>
      </c>
      <c r="P440" s="62" t="n">
        <f aca="false">IF((Arterial=0),P439+1,P439)</f>
        <v>213</v>
      </c>
      <c r="Q440" s="62" t="n">
        <f aca="false">IF((Arterial=1),Q439+1,Q439)</f>
        <v>210</v>
      </c>
      <c r="R440" s="63" t="e">
        <f aca="false">IF((RESET=1),0,R440+K440)</f>
        <v>#N/A</v>
      </c>
      <c r="S440" s="10" t="n">
        <f aca="false">IF(RESET=1,0,S440+N440)</f>
        <v>689.515337459879</v>
      </c>
      <c r="T440" s="0" t="e">
        <f aca="false">IF(RESET=1,0,T440+IF(H440=0,1,0))</f>
        <v>#N/A</v>
      </c>
      <c r="U440" s="0" t="n">
        <f aca="false">IF(RESET=1,0,U440+H440)</f>
        <v>28</v>
      </c>
      <c r="V440" s="10" t="e">
        <f aca="false">R440/(T440+0.00001)</f>
        <v>#N/A</v>
      </c>
      <c r="W440" s="10" t="n">
        <f aca="false">S440/(U440+0.0001)</f>
        <v>24.6254598183535</v>
      </c>
      <c r="X440" s="60" t="n">
        <f aca="false">IF(Informed=1,K440,0)</f>
        <v>0</v>
      </c>
      <c r="Y440" s="60" t="n">
        <f aca="false">IF(Informed=0,K440,0)</f>
        <v>29.3236294110843</v>
      </c>
      <c r="Z440" s="60" t="n">
        <f aca="false">IF(Informed=1,N440,0)</f>
        <v>0</v>
      </c>
      <c r="AA440" s="60" t="n">
        <f aca="false">IF(Informed=0,N440,0)</f>
        <v>0</v>
      </c>
      <c r="AB440" s="64" t="n">
        <f aca="false">IF(Arterial=0,IF(Informed=1,1,0),0)</f>
        <v>0</v>
      </c>
      <c r="AC440" s="64" t="n">
        <f aca="false">IF(Arterial=0,IF(Informed=0,1,0),0)</f>
        <v>1</v>
      </c>
      <c r="AD440" s="64" t="n">
        <f aca="false">IF(Arterial=1,IF(Informed=1,1,0),0)</f>
        <v>0</v>
      </c>
      <c r="AE440" s="64" t="n">
        <f aca="false">IF(Arterial=1,IF(Informed=0,1,0),0)</f>
        <v>0</v>
      </c>
      <c r="AF440" s="57" t="n">
        <f aca="false">IF(AB440=1,(X440-G$1030)^2,0)</f>
        <v>0</v>
      </c>
      <c r="AG440" s="57" t="n">
        <f aca="false">IF(AC440=1,(Y440-H$1030)^2,0)</f>
        <v>859.875241838606</v>
      </c>
      <c r="AH440" s="57" t="n">
        <f aca="false">IF(AD440=1,(Z440-I$1030)^2,0)</f>
        <v>0</v>
      </c>
      <c r="AI440" s="57" t="n">
        <f aca="false">IF(AE440=1,(AA440-J$1030)^2,0)</f>
        <v>0</v>
      </c>
    </row>
    <row r="441" customFormat="false" ht="12" hidden="false" customHeight="false" outlineLevel="0" collapsed="false">
      <c r="A441" s="5" t="n">
        <v>424</v>
      </c>
      <c r="B441" s="58" t="n">
        <f aca="true">IF(RAND()&lt;$D$8,1,0)</f>
        <v>0</v>
      </c>
      <c r="C441" s="47" t="n">
        <f aca="true">-LN(RAND())/$D$2</f>
        <v>2.12455898060658</v>
      </c>
      <c r="D441" s="59" t="n">
        <f aca="false">D440+C441</f>
        <v>405.659884956374</v>
      </c>
      <c r="E441" s="60" t="n">
        <f aca="false">MAX($D$3,(1+P440-VLOOKUP(VALUE(D441),$J$18:$Q440,7,TRUE()))*$D$3)</f>
        <v>32</v>
      </c>
      <c r="F441" s="60" t="n">
        <f aca="false">MAX($D$4,(1+Q440-VLOOKUP(VALUE(D441),$M$18:$Q440,5,TRUE()))*$D$4)</f>
        <v>24</v>
      </c>
      <c r="G441" s="61" t="n">
        <v>0.5</v>
      </c>
      <c r="H441" s="59" t="n">
        <f aca="true">IF((B441=1),(IF((F441&lt;E441),1,(IF((F441=E441),(IF(RAND()&lt;G441,1,0)),0)))),(IF((RAND()&lt;G441),1,0)))</f>
        <v>0</v>
      </c>
      <c r="I441" s="59" t="n">
        <f aca="true">IF((H441=1),0,$D$3+$D$5*(RAND()-0.5))</f>
        <v>2.19777132189324</v>
      </c>
      <c r="J441" s="59" t="n">
        <f aca="false">I441+MAX(D441,J440)</f>
        <v>435.056726708745</v>
      </c>
      <c r="K441" s="59" t="n">
        <f aca="false">IF((H441=0),J441-D441,0)</f>
        <v>29.3968417523709</v>
      </c>
      <c r="L441" s="59" t="n">
        <f aca="true">IF(($H441=0),0,$D$4+$D$5*(RAND()-0.5))</f>
        <v>0</v>
      </c>
      <c r="M441" s="59" t="n">
        <f aca="false">L441+MAX(D441,M440)</f>
        <v>426.034897344374</v>
      </c>
      <c r="N441" s="59" t="n">
        <f aca="false">IF((H441=1),M441-D441,0)</f>
        <v>0</v>
      </c>
      <c r="O441" s="5" t="n">
        <v>424</v>
      </c>
      <c r="P441" s="62" t="n">
        <f aca="false">IF((Arterial=0),P440+1,P440)</f>
        <v>214</v>
      </c>
      <c r="Q441" s="62" t="n">
        <f aca="false">IF((Arterial=1),Q440+1,Q440)</f>
        <v>210</v>
      </c>
      <c r="R441" s="63" t="e">
        <f aca="false">IF((RESET=1),0,R441+K441)</f>
        <v>#N/A</v>
      </c>
      <c r="S441" s="10" t="n">
        <f aca="false">IF(RESET=1,0,S441+N441)</f>
        <v>787.020164564905</v>
      </c>
      <c r="T441" s="0" t="e">
        <f aca="false">IF(RESET=1,0,T441+IF(H441=0,1,0))</f>
        <v>#N/A</v>
      </c>
      <c r="U441" s="0" t="n">
        <f aca="false">IF(RESET=1,0,U441+H441)</f>
        <v>36</v>
      </c>
      <c r="V441" s="10" t="e">
        <f aca="false">R441/(T441+0.00001)</f>
        <v>#N/A</v>
      </c>
      <c r="W441" s="10" t="n">
        <f aca="false">S441/(U441+0.0001)</f>
        <v>21.8616105112182</v>
      </c>
      <c r="X441" s="60" t="n">
        <f aca="false">IF(Informed=1,K441,0)</f>
        <v>0</v>
      </c>
      <c r="Y441" s="60" t="n">
        <f aca="false">IF(Informed=0,K441,0)</f>
        <v>29.3968417523709</v>
      </c>
      <c r="Z441" s="60" t="n">
        <f aca="false">IF(Informed=1,N441,0)</f>
        <v>0</v>
      </c>
      <c r="AA441" s="60" t="n">
        <f aca="false">IF(Informed=0,N441,0)</f>
        <v>0</v>
      </c>
      <c r="AB441" s="64" t="n">
        <f aca="false">IF(Arterial=0,IF(Informed=1,1,0),0)</f>
        <v>0</v>
      </c>
      <c r="AC441" s="64" t="n">
        <f aca="false">IF(Arterial=0,IF(Informed=0,1,0),0)</f>
        <v>1</v>
      </c>
      <c r="AD441" s="64" t="n">
        <f aca="false">IF(Arterial=1,IF(Informed=1,1,0),0)</f>
        <v>0</v>
      </c>
      <c r="AE441" s="64" t="n">
        <f aca="false">IF(Arterial=1,IF(Informed=0,1,0),0)</f>
        <v>0</v>
      </c>
      <c r="AF441" s="57" t="n">
        <f aca="false">IF(AB441=1,(X441-G$1030)^2,0)</f>
        <v>0</v>
      </c>
      <c r="AG441" s="57" t="n">
        <f aca="false">IF(AC441=1,(Y441-H$1030)^2,0)</f>
        <v>864.174305013937</v>
      </c>
      <c r="AH441" s="57" t="n">
        <f aca="false">IF(AD441=1,(Z441-I$1030)^2,0)</f>
        <v>0</v>
      </c>
      <c r="AI441" s="57" t="n">
        <f aca="false">IF(AE441=1,(AA441-J$1030)^2,0)</f>
        <v>0</v>
      </c>
    </row>
    <row r="442" customFormat="false" ht="12" hidden="false" customHeight="false" outlineLevel="0" collapsed="false">
      <c r="A442" s="5" t="n">
        <v>425</v>
      </c>
      <c r="B442" s="58" t="n">
        <f aca="true">IF(RAND()&lt;$D$8,1,0)</f>
        <v>1</v>
      </c>
      <c r="C442" s="47" t="n">
        <f aca="true">-LN(RAND())/$D$2</f>
        <v>1.03047545421133</v>
      </c>
      <c r="D442" s="59" t="n">
        <f aca="false">D441+C442</f>
        <v>406.690360410585</v>
      </c>
      <c r="E442" s="60" t="n">
        <f aca="false">MAX($D$3,(1+P441-VLOOKUP(VALUE(D442),$J$18:$Q441,7,TRUE()))*$D$3)</f>
        <v>32</v>
      </c>
      <c r="F442" s="60" t="n">
        <f aca="false">MAX($D$4,(1+Q441-VLOOKUP(VALUE(D442),$M$18:$Q441,5,TRUE()))*$D$4)</f>
        <v>22</v>
      </c>
      <c r="G442" s="61" t="n">
        <v>0.5</v>
      </c>
      <c r="H442" s="59" t="n">
        <f aca="true">IF((B442=1),(IF((F442&lt;E442),1,(IF((F442=E442),(IF(RAND()&lt;G442,1,0)),0)))),(IF((RAND()&lt;G442),1,0)))</f>
        <v>1</v>
      </c>
      <c r="I442" s="59" t="n">
        <f aca="true">IF((H442=1),0,$D$3+$D$5*(RAND()-0.5))</f>
        <v>0</v>
      </c>
      <c r="J442" s="59" t="n">
        <f aca="false">I442+MAX(D442,J441)</f>
        <v>435.056726708745</v>
      </c>
      <c r="K442" s="59" t="n">
        <f aca="false">IF((H442=0),J442-D442,0)</f>
        <v>0</v>
      </c>
      <c r="L442" s="59" t="n">
        <f aca="true">IF(($H442=0),0,$D$4+$D$5*(RAND()-0.5))</f>
        <v>1.92454264693227</v>
      </c>
      <c r="M442" s="59" t="n">
        <f aca="false">L442+MAX(D442,M441)</f>
        <v>427.959439991306</v>
      </c>
      <c r="N442" s="59" t="n">
        <f aca="false">IF((H442=1),M442-D442,0)</f>
        <v>21.2690795807205</v>
      </c>
      <c r="O442" s="5" t="n">
        <v>425</v>
      </c>
      <c r="P442" s="62" t="n">
        <f aca="false">IF((Arterial=0),P441+1,P441)</f>
        <v>214</v>
      </c>
      <c r="Q442" s="62" t="n">
        <f aca="false">IF((Arterial=1),Q441+1,Q441)</f>
        <v>211</v>
      </c>
      <c r="R442" s="63" t="n">
        <f aca="false">IF((RESET=1),0,R442+K442)</f>
        <v>731.936679565133</v>
      </c>
      <c r="S442" s="10" t="e">
        <f aca="false">IF(RESET=1,0,S442+N442)</f>
        <v>#N/A</v>
      </c>
      <c r="T442" s="0" t="n">
        <f aca="false">IF(RESET=1,0,T442+IF(H442=0,1,0))</f>
        <v>27</v>
      </c>
      <c r="U442" s="0" t="e">
        <f aca="false">IF(RESET=1,0,U442+H442)</f>
        <v>#N/A</v>
      </c>
      <c r="V442" s="10" t="n">
        <f aca="false">R442/(T442+0.00001)</f>
        <v>27.1087558695398</v>
      </c>
      <c r="W442" s="10" t="e">
        <f aca="false">S442/(U442+0.0001)</f>
        <v>#N/A</v>
      </c>
      <c r="X442" s="60" t="n">
        <f aca="false">IF(Informed=1,K442,0)</f>
        <v>0</v>
      </c>
      <c r="Y442" s="60" t="n">
        <f aca="false">IF(Informed=0,K442,0)</f>
        <v>0</v>
      </c>
      <c r="Z442" s="60" t="n">
        <f aca="false">IF(Informed=1,N442,0)</f>
        <v>21.2690795807205</v>
      </c>
      <c r="AA442" s="60" t="n">
        <f aca="false">IF(Informed=0,N442,0)</f>
        <v>0</v>
      </c>
      <c r="AB442" s="64" t="n">
        <f aca="false">IF(Arterial=0,IF(Informed=1,1,0),0)</f>
        <v>0</v>
      </c>
      <c r="AC442" s="64" t="n">
        <f aca="false">IF(Arterial=0,IF(Informed=0,1,0),0)</f>
        <v>0</v>
      </c>
      <c r="AD442" s="64" t="n">
        <f aca="false">IF(Arterial=1,IF(Informed=1,1,0),0)</f>
        <v>1</v>
      </c>
      <c r="AE442" s="64" t="n">
        <f aca="false">IF(Arterial=1,IF(Informed=0,1,0),0)</f>
        <v>0</v>
      </c>
      <c r="AF442" s="57" t="n">
        <f aca="false">IF(AB442=1,(X442-G$1030)^2,0)</f>
        <v>0</v>
      </c>
      <c r="AG442" s="57" t="n">
        <f aca="false">IF(AC442=1,(Y442-H$1030)^2,0)</f>
        <v>0</v>
      </c>
      <c r="AH442" s="57" t="n">
        <f aca="false">IF(AD442=1,(Z442-I$1030)^2,0)</f>
        <v>452.373746211023</v>
      </c>
      <c r="AI442" s="57" t="n">
        <f aca="false">IF(AE442=1,(AA442-J$1030)^2,0)</f>
        <v>0</v>
      </c>
    </row>
    <row r="443" customFormat="false" ht="12" hidden="false" customHeight="false" outlineLevel="0" collapsed="false">
      <c r="A443" s="5" t="n">
        <v>426</v>
      </c>
      <c r="B443" s="58" t="n">
        <f aca="true">IF(RAND()&lt;$D$8,1,0)</f>
        <v>0</v>
      </c>
      <c r="C443" s="47" t="n">
        <f aca="true">-LN(RAND())/$D$2</f>
        <v>0.847625785257728</v>
      </c>
      <c r="D443" s="59" t="n">
        <f aca="false">D442+C443</f>
        <v>407.537986195843</v>
      </c>
      <c r="E443" s="60" t="n">
        <f aca="false">MAX($D$3,(1+P442-VLOOKUP(VALUE(D443),$J$18:$Q442,7,TRUE()))*$D$3)</f>
        <v>32</v>
      </c>
      <c r="F443" s="60" t="n">
        <f aca="false">MAX($D$4,(1+Q442-VLOOKUP(VALUE(D443),$M$18:$Q442,5,TRUE()))*$D$4)</f>
        <v>24</v>
      </c>
      <c r="G443" s="61" t="n">
        <v>0.5</v>
      </c>
      <c r="H443" s="59" t="n">
        <f aca="true">IF((B443=1),(IF((F443&lt;E443),1,(IF((F443=E443),(IF(RAND()&lt;G443,1,0)),0)))),(IF((RAND()&lt;G443),1,0)))</f>
        <v>0</v>
      </c>
      <c r="I443" s="59" t="n">
        <f aca="true">IF((H443=1),0,$D$3+$D$5*(RAND()-0.5))</f>
        <v>2.01489208544914</v>
      </c>
      <c r="J443" s="59" t="n">
        <f aca="false">I443+MAX(D443,J442)</f>
        <v>437.071618794194</v>
      </c>
      <c r="K443" s="59" t="n">
        <f aca="false">IF((H443=0),J443-D443,0)</f>
        <v>29.533632598351</v>
      </c>
      <c r="L443" s="59" t="n">
        <f aca="true">IF(($H443=0),0,$D$4+$D$5*(RAND()-0.5))</f>
        <v>0</v>
      </c>
      <c r="M443" s="59" t="n">
        <f aca="false">L443+MAX(D443,M442)</f>
        <v>427.959439991306</v>
      </c>
      <c r="N443" s="59" t="n">
        <f aca="false">IF((H443=1),M443-D443,0)</f>
        <v>0</v>
      </c>
      <c r="O443" s="5" t="n">
        <v>426</v>
      </c>
      <c r="P443" s="62" t="n">
        <f aca="false">IF((Arterial=0),P442+1,P442)</f>
        <v>215</v>
      </c>
      <c r="Q443" s="62" t="n">
        <f aca="false">IF((Arterial=1),Q442+1,Q442)</f>
        <v>211</v>
      </c>
      <c r="R443" s="63" t="e">
        <f aca="false">IF((RESET=1),0,R443+K443)</f>
        <v>#N/A</v>
      </c>
      <c r="S443" s="10" t="n">
        <f aca="false">IF(RESET=1,0,S443+N443)</f>
        <v>502.18093498343</v>
      </c>
      <c r="T443" s="0" t="e">
        <f aca="false">IF(RESET=1,0,T443+IF(H443=0,1,0))</f>
        <v>#N/A</v>
      </c>
      <c r="U443" s="0" t="n">
        <f aca="false">IF(RESET=1,0,U443+H443)</f>
        <v>23</v>
      </c>
      <c r="V443" s="10" t="e">
        <f aca="false">R443/(T443+0.00001)</f>
        <v>#N/A</v>
      </c>
      <c r="W443" s="10" t="n">
        <f aca="false">S443/(U443+0.0001)</f>
        <v>21.833858765111</v>
      </c>
      <c r="X443" s="60" t="n">
        <f aca="false">IF(Informed=1,K443,0)</f>
        <v>0</v>
      </c>
      <c r="Y443" s="60" t="n">
        <f aca="false">IF(Informed=0,K443,0)</f>
        <v>29.533632598351</v>
      </c>
      <c r="Z443" s="60" t="n">
        <f aca="false">IF(Informed=1,N443,0)</f>
        <v>0</v>
      </c>
      <c r="AA443" s="60" t="n">
        <f aca="false">IF(Informed=0,N443,0)</f>
        <v>0</v>
      </c>
      <c r="AB443" s="64" t="n">
        <f aca="false">IF(Arterial=0,IF(Informed=1,1,0),0)</f>
        <v>0</v>
      </c>
      <c r="AC443" s="64" t="n">
        <f aca="false">IF(Arterial=0,IF(Informed=0,1,0),0)</f>
        <v>1</v>
      </c>
      <c r="AD443" s="64" t="n">
        <f aca="false">IF(Arterial=1,IF(Informed=1,1,0),0)</f>
        <v>0</v>
      </c>
      <c r="AE443" s="64" t="n">
        <f aca="false">IF(Arterial=1,IF(Informed=0,1,0),0)</f>
        <v>0</v>
      </c>
      <c r="AF443" s="57" t="n">
        <f aca="false">IF(AB443=1,(X443-G$1030)^2,0)</f>
        <v>0</v>
      </c>
      <c r="AG443" s="57" t="n">
        <f aca="false">IF(AC443=1,(Y443-H$1030)^2,0)</f>
        <v>872.235454454381</v>
      </c>
      <c r="AH443" s="57" t="n">
        <f aca="false">IF(AD443=1,(Z443-I$1030)^2,0)</f>
        <v>0</v>
      </c>
      <c r="AI443" s="57" t="n">
        <f aca="false">IF(AE443=1,(AA443-J$1030)^2,0)</f>
        <v>0</v>
      </c>
    </row>
    <row r="444" customFormat="false" ht="12" hidden="false" customHeight="false" outlineLevel="0" collapsed="false">
      <c r="A444" s="5" t="n">
        <v>427</v>
      </c>
      <c r="B444" s="58" t="n">
        <f aca="true">IF(RAND()&lt;$D$8,1,0)</f>
        <v>0</v>
      </c>
      <c r="C444" s="47" t="n">
        <f aca="true">-LN(RAND())/$D$2</f>
        <v>1.2824240954995</v>
      </c>
      <c r="D444" s="59" t="n">
        <f aca="false">D443+C444</f>
        <v>408.820410291343</v>
      </c>
      <c r="E444" s="60" t="n">
        <f aca="false">MAX($D$3,(1+P443-VLOOKUP(VALUE(D444),$J$18:$Q443,7,TRUE()))*$D$3)</f>
        <v>32</v>
      </c>
      <c r="F444" s="60" t="n">
        <f aca="false">MAX($D$4,(1+Q443-VLOOKUP(VALUE(D444),$M$18:$Q443,5,TRUE()))*$D$4)</f>
        <v>22</v>
      </c>
      <c r="G444" s="61" t="n">
        <v>0.5</v>
      </c>
      <c r="H444" s="59" t="n">
        <f aca="true">IF((B444=1),(IF((F444&lt;E444),1,(IF((F444=E444),(IF(RAND()&lt;G444,1,0)),0)))),(IF((RAND()&lt;G444),1,0)))</f>
        <v>1</v>
      </c>
      <c r="I444" s="59" t="n">
        <f aca="true">IF((H444=1),0,$D$3+$D$5*(RAND()-0.5))</f>
        <v>0</v>
      </c>
      <c r="J444" s="59" t="n">
        <f aca="false">I444+MAX(D444,J443)</f>
        <v>437.071618794194</v>
      </c>
      <c r="K444" s="59" t="n">
        <f aca="false">IF((H444=0),J444-D444,0)</f>
        <v>0</v>
      </c>
      <c r="L444" s="59" t="n">
        <f aca="true">IF(($H444=0),0,$D$4+$D$5*(RAND()-0.5))</f>
        <v>2.07450771170567</v>
      </c>
      <c r="M444" s="59" t="n">
        <f aca="false">L444+MAX(D444,M443)</f>
        <v>430.033947703012</v>
      </c>
      <c r="N444" s="59" t="n">
        <f aca="false">IF((H444=1),M444-D444,0)</f>
        <v>21.213537411669</v>
      </c>
      <c r="O444" s="5" t="n">
        <v>427</v>
      </c>
      <c r="P444" s="62" t="n">
        <f aca="false">IF((Arterial=0),P443+1,P443)</f>
        <v>215</v>
      </c>
      <c r="Q444" s="62" t="n">
        <f aca="false">IF((Arterial=1),Q443+1,Q443)</f>
        <v>212</v>
      </c>
      <c r="R444" s="63" t="n">
        <f aca="false">IF((RESET=1),0,R444+K444)</f>
        <v>530.47642312443</v>
      </c>
      <c r="S444" s="10" t="e">
        <f aca="false">IF(RESET=1,0,S444+N444)</f>
        <v>#N/A</v>
      </c>
      <c r="T444" s="0" t="n">
        <f aca="false">IF(RESET=1,0,T444+IF(H444=0,1,0))</f>
        <v>29</v>
      </c>
      <c r="U444" s="0" t="e">
        <f aca="false">IF(RESET=1,0,U444+H444)</f>
        <v>#N/A</v>
      </c>
      <c r="V444" s="10" t="n">
        <f aca="false">R444/(T444+0.00001)</f>
        <v>18.2922841448824</v>
      </c>
      <c r="W444" s="10" t="e">
        <f aca="false">S444/(U444+0.0001)</f>
        <v>#N/A</v>
      </c>
      <c r="X444" s="60" t="n">
        <f aca="false">IF(Informed=1,K444,0)</f>
        <v>0</v>
      </c>
      <c r="Y444" s="60" t="n">
        <f aca="false">IF(Informed=0,K444,0)</f>
        <v>0</v>
      </c>
      <c r="Z444" s="60" t="n">
        <f aca="false">IF(Informed=1,N444,0)</f>
        <v>0</v>
      </c>
      <c r="AA444" s="60" t="n">
        <f aca="false">IF(Informed=0,N444,0)</f>
        <v>21.213537411669</v>
      </c>
      <c r="AB444" s="64" t="n">
        <f aca="false">IF(Arterial=0,IF(Informed=1,1,0),0)</f>
        <v>0</v>
      </c>
      <c r="AC444" s="64" t="n">
        <f aca="false">IF(Arterial=0,IF(Informed=0,1,0),0)</f>
        <v>0</v>
      </c>
      <c r="AD444" s="64" t="n">
        <f aca="false">IF(Arterial=1,IF(Informed=1,1,0),0)</f>
        <v>0</v>
      </c>
      <c r="AE444" s="64" t="n">
        <f aca="false">IF(Arterial=1,IF(Informed=0,1,0),0)</f>
        <v>1</v>
      </c>
      <c r="AF444" s="57" t="n">
        <f aca="false">IF(AB444=1,(X444-G$1030)^2,0)</f>
        <v>0</v>
      </c>
      <c r="AG444" s="57" t="n">
        <f aca="false">IF(AC444=1,(Y444-H$1030)^2,0)</f>
        <v>0</v>
      </c>
      <c r="AH444" s="57" t="n">
        <f aca="false">IF(AD444=1,(Z444-I$1030)^2,0)</f>
        <v>0</v>
      </c>
      <c r="AI444" s="57" t="n">
        <f aca="false">IF(AE444=1,(AA444-J$1030)^2,0)</f>
        <v>450.01416951628</v>
      </c>
    </row>
    <row r="445" customFormat="false" ht="12" hidden="false" customHeight="false" outlineLevel="0" collapsed="false">
      <c r="A445" s="5" t="n">
        <v>428</v>
      </c>
      <c r="B445" s="58" t="n">
        <f aca="true">IF(RAND()&lt;$D$8,1,0)</f>
        <v>1</v>
      </c>
      <c r="C445" s="47" t="n">
        <f aca="true">-LN(RAND())/$D$2</f>
        <v>1.21057208069435</v>
      </c>
      <c r="D445" s="59" t="n">
        <f aca="false">D444+C445</f>
        <v>410.030982372037</v>
      </c>
      <c r="E445" s="60" t="n">
        <f aca="false">MAX($D$3,(1+P444-VLOOKUP(VALUE(D445),$J$18:$Q444,7,TRUE()))*$D$3)</f>
        <v>30</v>
      </c>
      <c r="F445" s="60" t="n">
        <f aca="false">MAX($D$4,(1+Q444-VLOOKUP(VALUE(D445),$M$18:$Q444,5,TRUE()))*$D$4)</f>
        <v>24</v>
      </c>
      <c r="G445" s="61" t="n">
        <v>0.5</v>
      </c>
      <c r="H445" s="59" t="n">
        <f aca="true">IF((B445=1),(IF((F445&lt;E445),1,(IF((F445=E445),(IF(RAND()&lt;G445,1,0)),0)))),(IF((RAND()&lt;G445),1,0)))</f>
        <v>1</v>
      </c>
      <c r="I445" s="59" t="n">
        <f aca="true">IF((H445=1),0,$D$3+$D$5*(RAND()-0.5))</f>
        <v>0</v>
      </c>
      <c r="J445" s="59" t="n">
        <f aca="false">I445+MAX(D445,J444)</f>
        <v>437.071618794194</v>
      </c>
      <c r="K445" s="59" t="n">
        <f aca="false">IF((H445=0),J445-D445,0)</f>
        <v>0</v>
      </c>
      <c r="L445" s="59" t="n">
        <f aca="true">IF(($H445=0),0,$D$4+$D$5*(RAND()-0.5))</f>
        <v>1.97457437265471</v>
      </c>
      <c r="M445" s="59" t="n">
        <f aca="false">L445+MAX(D445,M444)</f>
        <v>432.008522075666</v>
      </c>
      <c r="N445" s="59" t="n">
        <f aca="false">IF((H445=1),M445-D445,0)</f>
        <v>21.9775397036294</v>
      </c>
      <c r="O445" s="5" t="n">
        <v>428</v>
      </c>
      <c r="P445" s="62" t="n">
        <f aca="false">IF((Arterial=0),P444+1,P444)</f>
        <v>215</v>
      </c>
      <c r="Q445" s="62" t="n">
        <f aca="false">IF((Arterial=1),Q444+1,Q444)</f>
        <v>213</v>
      </c>
      <c r="R445" s="63" t="n">
        <f aca="false">IF((RESET=1),0,R445+K445)</f>
        <v>729.121127278568</v>
      </c>
      <c r="S445" s="10" t="e">
        <f aca="false">IF(RESET=1,0,S445+N445)</f>
        <v>#N/A</v>
      </c>
      <c r="T445" s="0" t="n">
        <f aca="false">IF(RESET=1,0,T445+IF(H445=0,1,0))</f>
        <v>32</v>
      </c>
      <c r="U445" s="0" t="e">
        <f aca="false">IF(RESET=1,0,U445+H445)</f>
        <v>#N/A</v>
      </c>
      <c r="V445" s="10" t="n">
        <f aca="false">R445/(T445+0.00001)</f>
        <v>22.785028107134</v>
      </c>
      <c r="W445" s="10" t="e">
        <f aca="false">S445/(U445+0.0001)</f>
        <v>#N/A</v>
      </c>
      <c r="X445" s="60" t="n">
        <f aca="false">IF(Informed=1,K445,0)</f>
        <v>0</v>
      </c>
      <c r="Y445" s="60" t="n">
        <f aca="false">IF(Informed=0,K445,0)</f>
        <v>0</v>
      </c>
      <c r="Z445" s="60" t="n">
        <f aca="false">IF(Informed=1,N445,0)</f>
        <v>21.9775397036294</v>
      </c>
      <c r="AA445" s="60" t="n">
        <f aca="false">IF(Informed=0,N445,0)</f>
        <v>0</v>
      </c>
      <c r="AB445" s="64" t="n">
        <f aca="false">IF(Arterial=0,IF(Informed=1,1,0),0)</f>
        <v>0</v>
      </c>
      <c r="AC445" s="64" t="n">
        <f aca="false">IF(Arterial=0,IF(Informed=0,1,0),0)</f>
        <v>0</v>
      </c>
      <c r="AD445" s="64" t="n">
        <f aca="false">IF(Arterial=1,IF(Informed=1,1,0),0)</f>
        <v>1</v>
      </c>
      <c r="AE445" s="64" t="n">
        <f aca="false">IF(Arterial=1,IF(Informed=0,1,0),0)</f>
        <v>0</v>
      </c>
      <c r="AF445" s="57" t="n">
        <f aca="false">IF(AB445=1,(X445-G$1030)^2,0)</f>
        <v>0</v>
      </c>
      <c r="AG445" s="57" t="n">
        <f aca="false">IF(AC445=1,(Y445-H$1030)^2,0)</f>
        <v>0</v>
      </c>
      <c r="AH445" s="57" t="n">
        <f aca="false">IF(AD445=1,(Z445-I$1030)^2,0)</f>
        <v>483.012251424605</v>
      </c>
      <c r="AI445" s="57" t="n">
        <f aca="false">IF(AE445=1,(AA445-J$1030)^2,0)</f>
        <v>0</v>
      </c>
    </row>
    <row r="446" customFormat="false" ht="12" hidden="false" customHeight="false" outlineLevel="0" collapsed="false">
      <c r="A446" s="5" t="n">
        <v>429</v>
      </c>
      <c r="B446" s="58" t="n">
        <f aca="true">IF(RAND()&lt;$D$8,1,0)</f>
        <v>0</v>
      </c>
      <c r="C446" s="47" t="n">
        <f aca="true">-LN(RAND())/$D$2</f>
        <v>0.397623890295411</v>
      </c>
      <c r="D446" s="59" t="n">
        <f aca="false">D445+C446</f>
        <v>410.428606262332</v>
      </c>
      <c r="E446" s="60" t="n">
        <f aca="false">MAX($D$3,(1+P445-VLOOKUP(VALUE(D446),$J$18:$Q445,7,TRUE()))*$D$3)</f>
        <v>30</v>
      </c>
      <c r="F446" s="60" t="n">
        <f aca="false">MAX($D$4,(1+Q445-VLOOKUP(VALUE(D446),$M$18:$Q445,5,TRUE()))*$D$4)</f>
        <v>24</v>
      </c>
      <c r="G446" s="61" t="n">
        <v>0.5</v>
      </c>
      <c r="H446" s="59" t="n">
        <f aca="true">IF((B446=1),(IF((F446&lt;E446),1,(IF((F446=E446),(IF(RAND()&lt;G446,1,0)),0)))),(IF((RAND()&lt;G446),1,0)))</f>
        <v>1</v>
      </c>
      <c r="I446" s="59" t="n">
        <f aca="true">IF((H446=1),0,$D$3+$D$5*(RAND()-0.5))</f>
        <v>0</v>
      </c>
      <c r="J446" s="59" t="n">
        <f aca="false">I446+MAX(D446,J445)</f>
        <v>437.071618794194</v>
      </c>
      <c r="K446" s="59" t="n">
        <f aca="false">IF((H446=0),J446-D446,0)</f>
        <v>0</v>
      </c>
      <c r="L446" s="59" t="n">
        <f aca="true">IF(($H446=0),0,$D$4+$D$5*(RAND()-0.5))</f>
        <v>1.78283682666103</v>
      </c>
      <c r="M446" s="59" t="n">
        <f aca="false">L446+MAX(D446,M445)</f>
        <v>433.791358902327</v>
      </c>
      <c r="N446" s="59" t="n">
        <f aca="false">IF((H446=1),M446-D446,0)</f>
        <v>23.362752639995</v>
      </c>
      <c r="O446" s="5" t="n">
        <v>429</v>
      </c>
      <c r="P446" s="62" t="n">
        <f aca="false">IF((Arterial=0),P445+1,P445)</f>
        <v>215</v>
      </c>
      <c r="Q446" s="62" t="n">
        <f aca="false">IF((Arterial=1),Q445+1,Q445)</f>
        <v>214</v>
      </c>
      <c r="R446" s="63" t="n">
        <f aca="false">IF((RESET=1),0,R446+K446)</f>
        <v>697.070295213281</v>
      </c>
      <c r="S446" s="10" t="e">
        <f aca="false">IF(RESET=1,0,S446+N446)</f>
        <v>#N/A</v>
      </c>
      <c r="T446" s="0" t="n">
        <f aca="false">IF(RESET=1,0,T446+IF(H446=0,1,0))</f>
        <v>27</v>
      </c>
      <c r="U446" s="0" t="e">
        <f aca="false">IF(RESET=1,0,U446+H446)</f>
        <v>#N/A</v>
      </c>
      <c r="V446" s="10" t="n">
        <f aca="false">R446/(T446+0.00001)</f>
        <v>25.8174087792294</v>
      </c>
      <c r="W446" s="10" t="e">
        <f aca="false">S446/(U446+0.0001)</f>
        <v>#N/A</v>
      </c>
      <c r="X446" s="60" t="n">
        <f aca="false">IF(Informed=1,K446,0)</f>
        <v>0</v>
      </c>
      <c r="Y446" s="60" t="n">
        <f aca="false">IF(Informed=0,K446,0)</f>
        <v>0</v>
      </c>
      <c r="Z446" s="60" t="n">
        <f aca="false">IF(Informed=1,N446,0)</f>
        <v>0</v>
      </c>
      <c r="AA446" s="60" t="n">
        <f aca="false">IF(Informed=0,N446,0)</f>
        <v>23.362752639995</v>
      </c>
      <c r="AB446" s="64" t="n">
        <f aca="false">IF(Arterial=0,IF(Informed=1,1,0),0)</f>
        <v>0</v>
      </c>
      <c r="AC446" s="64" t="n">
        <f aca="false">IF(Arterial=0,IF(Informed=0,1,0),0)</f>
        <v>0</v>
      </c>
      <c r="AD446" s="64" t="n">
        <f aca="false">IF(Arterial=1,IF(Informed=1,1,0),0)</f>
        <v>0</v>
      </c>
      <c r="AE446" s="64" t="n">
        <f aca="false">IF(Arterial=1,IF(Informed=0,1,0),0)</f>
        <v>1</v>
      </c>
      <c r="AF446" s="57" t="n">
        <f aca="false">IF(AB446=1,(X446-G$1030)^2,0)</f>
        <v>0</v>
      </c>
      <c r="AG446" s="57" t="n">
        <f aca="false">IF(AC446=1,(Y446-H$1030)^2,0)</f>
        <v>0</v>
      </c>
      <c r="AH446" s="57" t="n">
        <f aca="false">IF(AD446=1,(Z446-I$1030)^2,0)</f>
        <v>0</v>
      </c>
      <c r="AI446" s="57" t="n">
        <f aca="false">IF(AE446=1,(AA446-J$1030)^2,0)</f>
        <v>545.818210917593</v>
      </c>
    </row>
    <row r="447" customFormat="false" ht="12" hidden="false" customHeight="false" outlineLevel="0" collapsed="false">
      <c r="A447" s="5" t="n">
        <v>430</v>
      </c>
      <c r="B447" s="58" t="n">
        <f aca="true">IF(RAND()&lt;$D$8,1,0)</f>
        <v>0</v>
      </c>
      <c r="C447" s="47" t="n">
        <f aca="true">-LN(RAND())/$D$2</f>
        <v>0.786247582199877</v>
      </c>
      <c r="D447" s="59" t="n">
        <f aca="false">D446+C447</f>
        <v>411.214853844532</v>
      </c>
      <c r="E447" s="60" t="n">
        <f aca="false">MAX($D$3,(1+P446-VLOOKUP(VALUE(D447),$J$18:$Q446,7,TRUE()))*$D$3)</f>
        <v>30</v>
      </c>
      <c r="F447" s="60" t="n">
        <f aca="false">MAX($D$4,(1+Q446-VLOOKUP(VALUE(D447),$M$18:$Q446,5,TRUE()))*$D$4)</f>
        <v>26</v>
      </c>
      <c r="G447" s="61" t="n">
        <v>0.5</v>
      </c>
      <c r="H447" s="59" t="n">
        <f aca="true">IF((B447=1),(IF((F447&lt;E447),1,(IF((F447=E447),(IF(RAND()&lt;G447,1,0)),0)))),(IF((RAND()&lt;G447),1,0)))</f>
        <v>0</v>
      </c>
      <c r="I447" s="59" t="n">
        <f aca="true">IF((H447=1),0,$D$3+$D$5*(RAND()-0.5))</f>
        <v>1.93274406927363</v>
      </c>
      <c r="J447" s="59" t="n">
        <f aca="false">I447+MAX(D447,J446)</f>
        <v>439.004362863468</v>
      </c>
      <c r="K447" s="59" t="n">
        <f aca="false">IF((H447=0),J447-D447,0)</f>
        <v>27.7895090189355</v>
      </c>
      <c r="L447" s="59" t="n">
        <f aca="true">IF(($H447=0),0,$D$4+$D$5*(RAND()-0.5))</f>
        <v>0</v>
      </c>
      <c r="M447" s="59" t="n">
        <f aca="false">L447+MAX(D447,M446)</f>
        <v>433.791358902327</v>
      </c>
      <c r="N447" s="59" t="n">
        <f aca="false">IF((H447=1),M447-D447,0)</f>
        <v>0</v>
      </c>
      <c r="O447" s="5" t="n">
        <v>430</v>
      </c>
      <c r="P447" s="62" t="n">
        <f aca="false">IF((Arterial=0),P446+1,P446)</f>
        <v>216</v>
      </c>
      <c r="Q447" s="62" t="n">
        <f aca="false">IF((Arterial=1),Q446+1,Q446)</f>
        <v>214</v>
      </c>
      <c r="R447" s="63" t="e">
        <f aca="false">IF((RESET=1),0,R447+K447)</f>
        <v>#N/A</v>
      </c>
      <c r="S447" s="10" t="n">
        <f aca="false">IF(RESET=1,0,S447+N447)</f>
        <v>871.829942477694</v>
      </c>
      <c r="T447" s="0" t="e">
        <f aca="false">IF(RESET=1,0,T447+IF(H447=0,1,0))</f>
        <v>#N/A</v>
      </c>
      <c r="U447" s="0" t="n">
        <f aca="false">IF(RESET=1,0,U447+H447)</f>
        <v>35</v>
      </c>
      <c r="V447" s="10" t="e">
        <f aca="false">R447/(T447+0.00001)</f>
        <v>#N/A</v>
      </c>
      <c r="W447" s="10" t="n">
        <f aca="false">S447/(U447+0.0001)</f>
        <v>24.9093557583462</v>
      </c>
      <c r="X447" s="60" t="n">
        <f aca="false">IF(Informed=1,K447,0)</f>
        <v>0</v>
      </c>
      <c r="Y447" s="60" t="n">
        <f aca="false">IF(Informed=0,K447,0)</f>
        <v>27.7895090189355</v>
      </c>
      <c r="Z447" s="60" t="n">
        <f aca="false">IF(Informed=1,N447,0)</f>
        <v>0</v>
      </c>
      <c r="AA447" s="60" t="n">
        <f aca="false">IF(Informed=0,N447,0)</f>
        <v>0</v>
      </c>
      <c r="AB447" s="64" t="n">
        <f aca="false">IF(Arterial=0,IF(Informed=1,1,0),0)</f>
        <v>0</v>
      </c>
      <c r="AC447" s="64" t="n">
        <f aca="false">IF(Arterial=0,IF(Informed=0,1,0),0)</f>
        <v>1</v>
      </c>
      <c r="AD447" s="64" t="n">
        <f aca="false">IF(Arterial=1,IF(Informed=1,1,0),0)</f>
        <v>0</v>
      </c>
      <c r="AE447" s="64" t="n">
        <f aca="false">IF(Arterial=1,IF(Informed=0,1,0),0)</f>
        <v>0</v>
      </c>
      <c r="AF447" s="57" t="n">
        <f aca="false">IF(AB447=1,(X447-G$1030)^2,0)</f>
        <v>0</v>
      </c>
      <c r="AG447" s="57" t="n">
        <f aca="false">IF(AC447=1,(Y447-H$1030)^2,0)</f>
        <v>772.256811513495</v>
      </c>
      <c r="AH447" s="57" t="n">
        <f aca="false">IF(AD447=1,(Z447-I$1030)^2,0)</f>
        <v>0</v>
      </c>
      <c r="AI447" s="57" t="n">
        <f aca="false">IF(AE447=1,(AA447-J$1030)^2,0)</f>
        <v>0</v>
      </c>
    </row>
    <row r="448" customFormat="false" ht="12" hidden="false" customHeight="false" outlineLevel="0" collapsed="false">
      <c r="A448" s="5" t="n">
        <v>431</v>
      </c>
      <c r="B448" s="58" t="n">
        <f aca="true">IF(RAND()&lt;$D$8,1,0)</f>
        <v>1</v>
      </c>
      <c r="C448" s="47" t="n">
        <f aca="true">-LN(RAND())/$D$2</f>
        <v>2.82389372090035</v>
      </c>
      <c r="D448" s="59" t="n">
        <f aca="false">D447+C448</f>
        <v>414.038747565433</v>
      </c>
      <c r="E448" s="60" t="n">
        <f aca="false">MAX($D$3,(1+P447-VLOOKUP(VALUE(D448),$J$18:$Q447,7,TRUE()))*$D$3)</f>
        <v>28</v>
      </c>
      <c r="F448" s="60" t="n">
        <f aca="false">MAX($D$4,(1+Q447-VLOOKUP(VALUE(D448),$M$18:$Q447,5,TRUE()))*$D$4)</f>
        <v>24</v>
      </c>
      <c r="G448" s="61" t="n">
        <v>0.5</v>
      </c>
      <c r="H448" s="59" t="n">
        <f aca="true">IF((B448=1),(IF((F448&lt;E448),1,(IF((F448=E448),(IF(RAND()&lt;G448,1,0)),0)))),(IF((RAND()&lt;G448),1,0)))</f>
        <v>1</v>
      </c>
      <c r="I448" s="59" t="n">
        <f aca="true">IF((H448=1),0,$D$3+$D$5*(RAND()-0.5))</f>
        <v>0</v>
      </c>
      <c r="J448" s="59" t="n">
        <f aca="false">I448+MAX(D448,J447)</f>
        <v>439.004362863468</v>
      </c>
      <c r="K448" s="59" t="n">
        <f aca="false">IF((H448=0),J448-D448,0)</f>
        <v>0</v>
      </c>
      <c r="L448" s="59" t="n">
        <f aca="true">IF(($H448=0),0,$D$4+$D$5*(RAND()-0.5))</f>
        <v>1.93760010906188</v>
      </c>
      <c r="M448" s="59" t="n">
        <f aca="false">L448+MAX(D448,M447)</f>
        <v>435.728959011389</v>
      </c>
      <c r="N448" s="59" t="n">
        <f aca="false">IF((H448=1),M448-D448,0)</f>
        <v>21.6902114459566</v>
      </c>
      <c r="O448" s="5" t="n">
        <v>431</v>
      </c>
      <c r="P448" s="62" t="n">
        <f aca="false">IF((Arterial=0),P447+1,P447)</f>
        <v>216</v>
      </c>
      <c r="Q448" s="62" t="n">
        <f aca="false">IF((Arterial=1),Q447+1,Q447)</f>
        <v>215</v>
      </c>
      <c r="R448" s="63" t="n">
        <f aca="false">IF((RESET=1),0,R448+K448)</f>
        <v>734.639862691808</v>
      </c>
      <c r="S448" s="10" t="e">
        <f aca="false">IF(RESET=1,0,S448+N448)</f>
        <v>#N/A</v>
      </c>
      <c r="T448" s="0" t="n">
        <f aca="false">IF(RESET=1,0,T448+IF(H448=0,1,0))</f>
        <v>32</v>
      </c>
      <c r="U448" s="0" t="e">
        <f aca="false">IF(RESET=1,0,U448+H448)</f>
        <v>#N/A</v>
      </c>
      <c r="V448" s="10" t="n">
        <f aca="false">R448/(T448+0.00001)</f>
        <v>22.9574885349038</v>
      </c>
      <c r="W448" s="10" t="e">
        <f aca="false">S448/(U448+0.0001)</f>
        <v>#N/A</v>
      </c>
      <c r="X448" s="60" t="n">
        <f aca="false">IF(Informed=1,K448,0)</f>
        <v>0</v>
      </c>
      <c r="Y448" s="60" t="n">
        <f aca="false">IF(Informed=0,K448,0)</f>
        <v>0</v>
      </c>
      <c r="Z448" s="60" t="n">
        <f aca="false">IF(Informed=1,N448,0)</f>
        <v>21.6902114459566</v>
      </c>
      <c r="AA448" s="60" t="n">
        <f aca="false">IF(Informed=0,N448,0)</f>
        <v>0</v>
      </c>
      <c r="AB448" s="64" t="n">
        <f aca="false">IF(Arterial=0,IF(Informed=1,1,0),0)</f>
        <v>0</v>
      </c>
      <c r="AC448" s="64" t="n">
        <f aca="false">IF(Arterial=0,IF(Informed=0,1,0),0)</f>
        <v>0</v>
      </c>
      <c r="AD448" s="64" t="n">
        <f aca="false">IF(Arterial=1,IF(Informed=1,1,0),0)</f>
        <v>1</v>
      </c>
      <c r="AE448" s="64" t="n">
        <f aca="false">IF(Arterial=1,IF(Informed=0,1,0),0)</f>
        <v>0</v>
      </c>
      <c r="AF448" s="57" t="n">
        <f aca="false">IF(AB448=1,(X448-G$1030)^2,0)</f>
        <v>0</v>
      </c>
      <c r="AG448" s="57" t="n">
        <f aca="false">IF(AC448=1,(Y448-H$1030)^2,0)</f>
        <v>0</v>
      </c>
      <c r="AH448" s="57" t="n">
        <f aca="false">IF(AD448=1,(Z448-I$1030)^2,0)</f>
        <v>470.465272570307</v>
      </c>
      <c r="AI448" s="57" t="n">
        <f aca="false">IF(AE448=1,(AA448-J$1030)^2,0)</f>
        <v>0</v>
      </c>
    </row>
    <row r="449" customFormat="false" ht="12" hidden="false" customHeight="false" outlineLevel="0" collapsed="false">
      <c r="A449" s="5" t="n">
        <v>432</v>
      </c>
      <c r="B449" s="58" t="n">
        <f aca="true">IF(RAND()&lt;$D$8,1,0)</f>
        <v>1</v>
      </c>
      <c r="C449" s="47" t="n">
        <f aca="true">-LN(RAND())/$D$2</f>
        <v>0.239776871167665</v>
      </c>
      <c r="D449" s="59" t="n">
        <f aca="false">D448+C449</f>
        <v>414.2785244366</v>
      </c>
      <c r="E449" s="60" t="n">
        <f aca="false">MAX($D$3,(1+P448-VLOOKUP(VALUE(D449),$J$18:$Q448,7,TRUE()))*$D$3)</f>
        <v>28</v>
      </c>
      <c r="F449" s="60" t="n">
        <f aca="false">MAX($D$4,(1+Q448-VLOOKUP(VALUE(D449),$M$18:$Q448,5,TRUE()))*$D$4)</f>
        <v>26</v>
      </c>
      <c r="G449" s="61" t="n">
        <v>0.5</v>
      </c>
      <c r="H449" s="59" t="n">
        <f aca="true">IF((B449=1),(IF((F449&lt;E449),1,(IF((F449=E449),(IF(RAND()&lt;G449,1,0)),0)))),(IF((RAND()&lt;G449),1,0)))</f>
        <v>1</v>
      </c>
      <c r="I449" s="59" t="n">
        <f aca="true">IF((H449=1),0,$D$3+$D$5*(RAND()-0.5))</f>
        <v>0</v>
      </c>
      <c r="J449" s="59" t="n">
        <f aca="false">I449+MAX(D449,J448)</f>
        <v>439.004362863468</v>
      </c>
      <c r="K449" s="59" t="n">
        <f aca="false">IF((H449=0),J449-D449,0)</f>
        <v>0</v>
      </c>
      <c r="L449" s="59" t="n">
        <f aca="true">IF(($H449=0),0,$D$4+$D$5*(RAND()-0.5))</f>
        <v>1.9251703889047</v>
      </c>
      <c r="M449" s="59" t="n">
        <f aca="false">L449+MAX(D449,M448)</f>
        <v>437.654129400294</v>
      </c>
      <c r="N449" s="59" t="n">
        <f aca="false">IF((H449=1),M449-D449,0)</f>
        <v>23.3756049636936</v>
      </c>
      <c r="O449" s="5" t="n">
        <v>432</v>
      </c>
      <c r="P449" s="62" t="n">
        <f aca="false">IF((Arterial=0),P448+1,P448)</f>
        <v>216</v>
      </c>
      <c r="Q449" s="62" t="n">
        <f aca="false">IF((Arterial=1),Q448+1,Q448)</f>
        <v>216</v>
      </c>
      <c r="R449" s="63" t="n">
        <f aca="false">IF((RESET=1),0,R449+K449)</f>
        <v>803.177024018801</v>
      </c>
      <c r="S449" s="10" t="e">
        <f aca="false">IF(RESET=1,0,S449+N449)</f>
        <v>#N/A</v>
      </c>
      <c r="T449" s="0" t="n">
        <f aca="false">IF(RESET=1,0,T449+IF(H449=0,1,0))</f>
        <v>32</v>
      </c>
      <c r="U449" s="0" t="e">
        <f aca="false">IF(RESET=1,0,U449+H449)</f>
        <v>#N/A</v>
      </c>
      <c r="V449" s="10" t="n">
        <f aca="false">R449/(T449+0.00001)</f>
        <v>25.0992741570643</v>
      </c>
      <c r="W449" s="10" t="e">
        <f aca="false">S449/(U449+0.0001)</f>
        <v>#N/A</v>
      </c>
      <c r="X449" s="60" t="n">
        <f aca="false">IF(Informed=1,K449,0)</f>
        <v>0</v>
      </c>
      <c r="Y449" s="60" t="n">
        <f aca="false">IF(Informed=0,K449,0)</f>
        <v>0</v>
      </c>
      <c r="Z449" s="60" t="n">
        <f aca="false">IF(Informed=1,N449,0)</f>
        <v>23.3756049636936</v>
      </c>
      <c r="AA449" s="60" t="n">
        <f aca="false">IF(Informed=0,N449,0)</f>
        <v>0</v>
      </c>
      <c r="AB449" s="64" t="n">
        <f aca="false">IF(Arterial=0,IF(Informed=1,1,0),0)</f>
        <v>0</v>
      </c>
      <c r="AC449" s="64" t="n">
        <f aca="false">IF(Arterial=0,IF(Informed=0,1,0),0)</f>
        <v>0</v>
      </c>
      <c r="AD449" s="64" t="n">
        <f aca="false">IF(Arterial=1,IF(Informed=1,1,0),0)</f>
        <v>1</v>
      </c>
      <c r="AE449" s="64" t="n">
        <f aca="false">IF(Arterial=1,IF(Informed=0,1,0),0)</f>
        <v>0</v>
      </c>
      <c r="AF449" s="57" t="n">
        <f aca="false">IF(AB449=1,(X449-G$1030)^2,0)</f>
        <v>0</v>
      </c>
      <c r="AG449" s="57" t="n">
        <f aca="false">IF(AC449=1,(Y449-H$1030)^2,0)</f>
        <v>0</v>
      </c>
      <c r="AH449" s="57" t="n">
        <f aca="false">IF(AD449=1,(Z449-I$1030)^2,0)</f>
        <v>546.418907418657</v>
      </c>
      <c r="AI449" s="57" t="n">
        <f aca="false">IF(AE449=1,(AA449-J$1030)^2,0)</f>
        <v>0</v>
      </c>
    </row>
    <row r="450" customFormat="false" ht="12" hidden="false" customHeight="false" outlineLevel="0" collapsed="false">
      <c r="A450" s="5" t="n">
        <v>433</v>
      </c>
      <c r="B450" s="58" t="n">
        <f aca="true">IF(RAND()&lt;$D$8,1,0)</f>
        <v>0</v>
      </c>
      <c r="C450" s="47" t="n">
        <f aca="true">-LN(RAND())/$D$2</f>
        <v>0.106335768351458</v>
      </c>
      <c r="D450" s="59" t="n">
        <f aca="false">D449+C450</f>
        <v>414.384860204952</v>
      </c>
      <c r="E450" s="60" t="n">
        <f aca="false">MAX($D$3,(1+P449-VLOOKUP(VALUE(D450),$J$18:$Q449,7,TRUE()))*$D$3)</f>
        <v>28</v>
      </c>
      <c r="F450" s="60" t="n">
        <f aca="false">MAX($D$4,(1+Q449-VLOOKUP(VALUE(D450),$M$18:$Q449,5,TRUE()))*$D$4)</f>
        <v>28</v>
      </c>
      <c r="G450" s="61" t="n">
        <v>0.5</v>
      </c>
      <c r="H450" s="59" t="n">
        <f aca="true">IF((B450=1),(IF((F450&lt;E450),1,(IF((F450=E450),(IF(RAND()&lt;G450,1,0)),0)))),(IF((RAND()&lt;G450),1,0)))</f>
        <v>0</v>
      </c>
      <c r="I450" s="59" t="n">
        <f aca="true">IF((H450=1),0,$D$3+$D$5*(RAND()-0.5))</f>
        <v>2.03256954634946</v>
      </c>
      <c r="J450" s="59" t="n">
        <f aca="false">I450+MAX(D450,J449)</f>
        <v>441.036932409817</v>
      </c>
      <c r="K450" s="59" t="n">
        <f aca="false">IF((H450=0),J450-D450,0)</f>
        <v>26.6520722048654</v>
      </c>
      <c r="L450" s="59" t="n">
        <f aca="true">IF(($H450=0),0,$D$4+$D$5*(RAND()-0.5))</f>
        <v>0</v>
      </c>
      <c r="M450" s="59" t="n">
        <f aca="false">L450+MAX(D450,M449)</f>
        <v>437.654129400294</v>
      </c>
      <c r="N450" s="59" t="n">
        <f aca="false">IF((H450=1),M450-D450,0)</f>
        <v>0</v>
      </c>
      <c r="O450" s="5" t="n">
        <v>433</v>
      </c>
      <c r="P450" s="62" t="n">
        <f aca="false">IF((Arterial=0),P449+1,P449)</f>
        <v>217</v>
      </c>
      <c r="Q450" s="62" t="n">
        <f aca="false">IF((Arterial=1),Q449+1,Q449)</f>
        <v>216</v>
      </c>
      <c r="R450" s="63" t="e">
        <f aca="false">IF((RESET=1),0,R450+K450)</f>
        <v>#N/A</v>
      </c>
      <c r="S450" s="10" t="n">
        <f aca="false">IF(RESET=1,0,S450+N450)</f>
        <v>766.839621167031</v>
      </c>
      <c r="T450" s="0" t="e">
        <f aca="false">IF(RESET=1,0,T450+IF(H450=0,1,0))</f>
        <v>#N/A</v>
      </c>
      <c r="U450" s="0" t="n">
        <f aca="false">IF(RESET=1,0,U450+H450)</f>
        <v>33</v>
      </c>
      <c r="V450" s="10" t="e">
        <f aca="false">R450/(T450+0.00001)</f>
        <v>#N/A</v>
      </c>
      <c r="W450" s="10" t="n">
        <f aca="false">S450/(U450+0.0001)</f>
        <v>23.2374938611407</v>
      </c>
      <c r="X450" s="60" t="n">
        <f aca="false">IF(Informed=1,K450,0)</f>
        <v>0</v>
      </c>
      <c r="Y450" s="60" t="n">
        <f aca="false">IF(Informed=0,K450,0)</f>
        <v>26.6520722048654</v>
      </c>
      <c r="Z450" s="60" t="n">
        <f aca="false">IF(Informed=1,N450,0)</f>
        <v>0</v>
      </c>
      <c r="AA450" s="60" t="n">
        <f aca="false">IF(Informed=0,N450,0)</f>
        <v>0</v>
      </c>
      <c r="AB450" s="64" t="n">
        <f aca="false">IF(Arterial=0,IF(Informed=1,1,0),0)</f>
        <v>0</v>
      </c>
      <c r="AC450" s="64" t="n">
        <f aca="false">IF(Arterial=0,IF(Informed=0,1,0),0)</f>
        <v>1</v>
      </c>
      <c r="AD450" s="64" t="n">
        <f aca="false">IF(Arterial=1,IF(Informed=1,1,0),0)</f>
        <v>0</v>
      </c>
      <c r="AE450" s="64" t="n">
        <f aca="false">IF(Arterial=1,IF(Informed=0,1,0),0)</f>
        <v>0</v>
      </c>
      <c r="AF450" s="57" t="n">
        <f aca="false">IF(AB450=1,(X450-G$1030)^2,0)</f>
        <v>0</v>
      </c>
      <c r="AG450" s="57" t="n">
        <f aca="false">IF(AC450=1,(Y450-H$1030)^2,0)</f>
        <v>710.33295281336</v>
      </c>
      <c r="AH450" s="57" t="n">
        <f aca="false">IF(AD450=1,(Z450-I$1030)^2,0)</f>
        <v>0</v>
      </c>
      <c r="AI450" s="57" t="n">
        <f aca="false">IF(AE450=1,(AA450-J$1030)^2,0)</f>
        <v>0</v>
      </c>
    </row>
    <row r="451" customFormat="false" ht="12" hidden="false" customHeight="false" outlineLevel="0" collapsed="false">
      <c r="A451" s="5" t="n">
        <v>434</v>
      </c>
      <c r="B451" s="58" t="n">
        <f aca="true">IF(RAND()&lt;$D$8,1,0)</f>
        <v>0</v>
      </c>
      <c r="C451" s="47" t="n">
        <f aca="true">-LN(RAND())/$D$2</f>
        <v>0.533112399923452</v>
      </c>
      <c r="D451" s="59" t="n">
        <f aca="false">D450+C451</f>
        <v>414.917972604875</v>
      </c>
      <c r="E451" s="60" t="n">
        <f aca="false">MAX($D$3,(1+P450-VLOOKUP(VALUE(D451),$J$18:$Q450,7,TRUE()))*$D$3)</f>
        <v>30</v>
      </c>
      <c r="F451" s="60" t="n">
        <f aca="false">MAX($D$4,(1+Q450-VLOOKUP(VALUE(D451),$M$18:$Q450,5,TRUE()))*$D$4)</f>
        <v>26</v>
      </c>
      <c r="G451" s="61" t="n">
        <v>0.5</v>
      </c>
      <c r="H451" s="59" t="n">
        <f aca="true">IF((B451=1),(IF((F451&lt;E451),1,(IF((F451=E451),(IF(RAND()&lt;G451,1,0)),0)))),(IF((RAND()&lt;G451),1,0)))</f>
        <v>1</v>
      </c>
      <c r="I451" s="59" t="n">
        <f aca="true">IF((H451=1),0,$D$3+$D$5*(RAND()-0.5))</f>
        <v>0</v>
      </c>
      <c r="J451" s="59" t="n">
        <f aca="false">I451+MAX(D451,J450)</f>
        <v>441.036932409817</v>
      </c>
      <c r="K451" s="59" t="n">
        <f aca="false">IF((H451=0),J451-D451,0)</f>
        <v>0</v>
      </c>
      <c r="L451" s="59" t="n">
        <f aca="true">IF(($H451=0),0,$D$4+$D$5*(RAND()-0.5))</f>
        <v>1.99814274476435</v>
      </c>
      <c r="M451" s="59" t="n">
        <f aca="false">L451+MAX(D451,M450)</f>
        <v>439.652272145058</v>
      </c>
      <c r="N451" s="59" t="n">
        <f aca="false">IF((H451=1),M451-D451,0)</f>
        <v>24.734299540183</v>
      </c>
      <c r="O451" s="5" t="n">
        <v>434</v>
      </c>
      <c r="P451" s="62" t="n">
        <f aca="false">IF((Arterial=0),P450+1,P450)</f>
        <v>217</v>
      </c>
      <c r="Q451" s="62" t="n">
        <f aca="false">IF((Arterial=1),Q450+1,Q450)</f>
        <v>217</v>
      </c>
      <c r="R451" s="63" t="n">
        <f aca="false">IF((RESET=1),0,R451+K451)</f>
        <v>835.467119268172</v>
      </c>
      <c r="S451" s="10" t="e">
        <f aca="false">IF(RESET=1,0,S451+N451)</f>
        <v>#N/A</v>
      </c>
      <c r="T451" s="0" t="n">
        <f aca="false">IF(RESET=1,0,T451+IF(H451=0,1,0))</f>
        <v>33</v>
      </c>
      <c r="U451" s="0" t="e">
        <f aca="false">IF(RESET=1,0,U451+H451)</f>
        <v>#N/A</v>
      </c>
      <c r="V451" s="10" t="n">
        <f aca="false">R451/(T451+0.00001)</f>
        <v>25.3171777604968</v>
      </c>
      <c r="W451" s="10" t="e">
        <f aca="false">S451/(U451+0.0001)</f>
        <v>#N/A</v>
      </c>
      <c r="X451" s="60" t="n">
        <f aca="false">IF(Informed=1,K451,0)</f>
        <v>0</v>
      </c>
      <c r="Y451" s="60" t="n">
        <f aca="false">IF(Informed=0,K451,0)</f>
        <v>0</v>
      </c>
      <c r="Z451" s="60" t="n">
        <f aca="false">IF(Informed=1,N451,0)</f>
        <v>0</v>
      </c>
      <c r="AA451" s="60" t="n">
        <f aca="false">IF(Informed=0,N451,0)</f>
        <v>24.734299540183</v>
      </c>
      <c r="AB451" s="64" t="n">
        <f aca="false">IF(Arterial=0,IF(Informed=1,1,0),0)</f>
        <v>0</v>
      </c>
      <c r="AC451" s="64" t="n">
        <f aca="false">IF(Arterial=0,IF(Informed=0,1,0),0)</f>
        <v>0</v>
      </c>
      <c r="AD451" s="64" t="n">
        <f aca="false">IF(Arterial=1,IF(Informed=1,1,0),0)</f>
        <v>0</v>
      </c>
      <c r="AE451" s="64" t="n">
        <f aca="false">IF(Arterial=1,IF(Informed=0,1,0),0)</f>
        <v>1</v>
      </c>
      <c r="AF451" s="57" t="n">
        <f aca="false">IF(AB451=1,(X451-G$1030)^2,0)</f>
        <v>0</v>
      </c>
      <c r="AG451" s="57" t="n">
        <f aca="false">IF(AC451=1,(Y451-H$1030)^2,0)</f>
        <v>0</v>
      </c>
      <c r="AH451" s="57" t="n">
        <f aca="false">IF(AD451=1,(Z451-I$1030)^2,0)</f>
        <v>0</v>
      </c>
      <c r="AI451" s="57" t="n">
        <f aca="false">IF(AE451=1,(AA451-J$1030)^2,0)</f>
        <v>611.785573743499</v>
      </c>
    </row>
    <row r="452" customFormat="false" ht="12" hidden="false" customHeight="false" outlineLevel="0" collapsed="false">
      <c r="A452" s="5" t="n">
        <v>435</v>
      </c>
      <c r="B452" s="58" t="n">
        <f aca="true">IF(RAND()&lt;$D$8,1,0)</f>
        <v>0</v>
      </c>
      <c r="C452" s="47" t="n">
        <f aca="true">-LN(RAND())/$D$2</f>
        <v>3.01389001831886</v>
      </c>
      <c r="D452" s="59" t="n">
        <f aca="false">D451+C452</f>
        <v>417.931862623194</v>
      </c>
      <c r="E452" s="60" t="n">
        <f aca="false">MAX($D$3,(1+P451-VLOOKUP(VALUE(D452),$J$18:$Q451,7,TRUE()))*$D$3)</f>
        <v>26</v>
      </c>
      <c r="F452" s="60" t="n">
        <f aca="false">MAX($D$4,(1+Q451-VLOOKUP(VALUE(D452),$M$18:$Q451,5,TRUE()))*$D$4)</f>
        <v>26</v>
      </c>
      <c r="G452" s="61" t="n">
        <v>0.5</v>
      </c>
      <c r="H452" s="59" t="n">
        <f aca="true">IF((B452=1),(IF((F452&lt;E452),1,(IF((F452=E452),(IF(RAND()&lt;G452,1,0)),0)))),(IF((RAND()&lt;G452),1,0)))</f>
        <v>1</v>
      </c>
      <c r="I452" s="59" t="n">
        <f aca="true">IF((H452=1),0,$D$3+$D$5*(RAND()-0.5))</f>
        <v>0</v>
      </c>
      <c r="J452" s="59" t="n">
        <f aca="false">I452+MAX(D452,J451)</f>
        <v>441.036932409817</v>
      </c>
      <c r="K452" s="59" t="n">
        <f aca="false">IF((H452=0),J452-D452,0)</f>
        <v>0</v>
      </c>
      <c r="L452" s="59" t="n">
        <f aca="true">IF(($H452=0),0,$D$4+$D$5*(RAND()-0.5))</f>
        <v>2.15299271506274</v>
      </c>
      <c r="M452" s="59" t="n">
        <f aca="false">L452+MAX(D452,M451)</f>
        <v>441.805264860121</v>
      </c>
      <c r="N452" s="59" t="n">
        <f aca="false">IF((H452=1),M452-D452,0)</f>
        <v>23.8734022369269</v>
      </c>
      <c r="O452" s="5" t="n">
        <v>435</v>
      </c>
      <c r="P452" s="62" t="n">
        <f aca="false">IF((Arterial=0),P451+1,P451)</f>
        <v>217</v>
      </c>
      <c r="Q452" s="62" t="n">
        <f aca="false">IF((Arterial=1),Q451+1,Q451)</f>
        <v>218</v>
      </c>
      <c r="R452" s="63" t="n">
        <f aca="false">IF((RESET=1),0,R452+K452)</f>
        <v>468.979793424399</v>
      </c>
      <c r="S452" s="10" t="e">
        <f aca="false">IF(RESET=1,0,S452+N452)</f>
        <v>#N/A</v>
      </c>
      <c r="T452" s="0" t="n">
        <f aca="false">IF(RESET=1,0,T452+IF(H452=0,1,0))</f>
        <v>22</v>
      </c>
      <c r="U452" s="0" t="e">
        <f aca="false">IF(RESET=1,0,U452+H452)</f>
        <v>#N/A</v>
      </c>
      <c r="V452" s="10" t="n">
        <f aca="false">R452/(T452+0.00001)</f>
        <v>21.3172536478119</v>
      </c>
      <c r="W452" s="10" t="e">
        <f aca="false">S452/(U452+0.0001)</f>
        <v>#N/A</v>
      </c>
      <c r="X452" s="60" t="n">
        <f aca="false">IF(Informed=1,K452,0)</f>
        <v>0</v>
      </c>
      <c r="Y452" s="60" t="n">
        <f aca="false">IF(Informed=0,K452,0)</f>
        <v>0</v>
      </c>
      <c r="Z452" s="60" t="n">
        <f aca="false">IF(Informed=1,N452,0)</f>
        <v>0</v>
      </c>
      <c r="AA452" s="60" t="n">
        <f aca="false">IF(Informed=0,N452,0)</f>
        <v>23.8734022369269</v>
      </c>
      <c r="AB452" s="64" t="n">
        <f aca="false">IF(Arterial=0,IF(Informed=1,1,0),0)</f>
        <v>0</v>
      </c>
      <c r="AC452" s="64" t="n">
        <f aca="false">IF(Arterial=0,IF(Informed=0,1,0),0)</f>
        <v>0</v>
      </c>
      <c r="AD452" s="64" t="n">
        <f aca="false">IF(Arterial=1,IF(Informed=1,1,0),0)</f>
        <v>0</v>
      </c>
      <c r="AE452" s="64" t="n">
        <f aca="false">IF(Arterial=1,IF(Informed=0,1,0),0)</f>
        <v>1</v>
      </c>
      <c r="AF452" s="57" t="n">
        <f aca="false">IF(AB452=1,(X452-G$1030)^2,0)</f>
        <v>0</v>
      </c>
      <c r="AG452" s="57" t="n">
        <f aca="false">IF(AC452=1,(Y452-H$1030)^2,0)</f>
        <v>0</v>
      </c>
      <c r="AH452" s="57" t="n">
        <f aca="false">IF(AD452=1,(Z452-I$1030)^2,0)</f>
        <v>0</v>
      </c>
      <c r="AI452" s="57" t="n">
        <f aca="false">IF(AE452=1,(AA452-J$1030)^2,0)</f>
        <v>569.939334366106</v>
      </c>
    </row>
    <row r="453" customFormat="false" ht="12" hidden="false" customHeight="false" outlineLevel="0" collapsed="false">
      <c r="A453" s="5" t="n">
        <v>436</v>
      </c>
      <c r="B453" s="58" t="n">
        <f aca="true">IF(RAND()&lt;$D$8,1,0)</f>
        <v>1</v>
      </c>
      <c r="C453" s="47" t="n">
        <f aca="true">-LN(RAND())/$D$2</f>
        <v>0.14228933268105</v>
      </c>
      <c r="D453" s="59" t="n">
        <f aca="false">D452+C453</f>
        <v>418.074151955875</v>
      </c>
      <c r="E453" s="60" t="n">
        <f aca="false">MAX($D$3,(1+P452-VLOOKUP(VALUE(D453),$J$18:$Q452,7,TRUE()))*$D$3)</f>
        <v>26</v>
      </c>
      <c r="F453" s="60" t="n">
        <f aca="false">MAX($D$4,(1+Q452-VLOOKUP(VALUE(D453),$M$18:$Q452,5,TRUE()))*$D$4)</f>
        <v>28</v>
      </c>
      <c r="G453" s="61" t="n">
        <v>0.5</v>
      </c>
      <c r="H453" s="59" t="n">
        <f aca="true">IF((B453=1),(IF((F453&lt;E453),1,(IF((F453=E453),(IF(RAND()&lt;G453,1,0)),0)))),(IF((RAND()&lt;G453),1,0)))</f>
        <v>0</v>
      </c>
      <c r="I453" s="59" t="n">
        <f aca="true">IF((H453=1),0,$D$3+$D$5*(RAND()-0.5))</f>
        <v>2.23785531710728</v>
      </c>
      <c r="J453" s="59" t="n">
        <f aca="false">I453+MAX(D453,J452)</f>
        <v>443.274787726925</v>
      </c>
      <c r="K453" s="59" t="n">
        <f aca="false">IF((H453=0),J453-D453,0)</f>
        <v>25.2006357710494</v>
      </c>
      <c r="L453" s="59" t="n">
        <f aca="true">IF(($H453=0),0,$D$4+$D$5*(RAND()-0.5))</f>
        <v>0</v>
      </c>
      <c r="M453" s="59" t="n">
        <f aca="false">L453+MAX(D453,M452)</f>
        <v>441.805264860121</v>
      </c>
      <c r="N453" s="59" t="n">
        <f aca="false">IF((H453=1),M453-D453,0)</f>
        <v>0</v>
      </c>
      <c r="O453" s="5" t="n">
        <v>436</v>
      </c>
      <c r="P453" s="62" t="n">
        <f aca="false">IF((Arterial=0),P452+1,P452)</f>
        <v>218</v>
      </c>
      <c r="Q453" s="62" t="n">
        <f aca="false">IF((Arterial=1),Q452+1,Q452)</f>
        <v>218</v>
      </c>
      <c r="R453" s="63" t="e">
        <f aca="false">IF((RESET=1),0,R453+K453)</f>
        <v>#N/A</v>
      </c>
      <c r="S453" s="10" t="n">
        <f aca="false">IF(RESET=1,0,S453+N453)</f>
        <v>650.486350943929</v>
      </c>
      <c r="T453" s="0" t="e">
        <f aca="false">IF(RESET=1,0,T453+IF(H453=0,1,0))</f>
        <v>#N/A</v>
      </c>
      <c r="U453" s="0" t="n">
        <f aca="false">IF(RESET=1,0,U453+H453)</f>
        <v>26</v>
      </c>
      <c r="V453" s="10" t="e">
        <f aca="false">R453/(T453+0.00001)</f>
        <v>#N/A</v>
      </c>
      <c r="W453" s="10" t="n">
        <f aca="false">S453/(U453+0.0001)</f>
        <v>25.0186095801143</v>
      </c>
      <c r="X453" s="60" t="n">
        <f aca="false">IF(Informed=1,K453,0)</f>
        <v>25.2006357710494</v>
      </c>
      <c r="Y453" s="60" t="n">
        <f aca="false">IF(Informed=0,K453,0)</f>
        <v>0</v>
      </c>
      <c r="Z453" s="60" t="n">
        <f aca="false">IF(Informed=1,N453,0)</f>
        <v>0</v>
      </c>
      <c r="AA453" s="60" t="n">
        <f aca="false">IF(Informed=0,N453,0)</f>
        <v>0</v>
      </c>
      <c r="AB453" s="64" t="n">
        <f aca="false">IF(Arterial=0,IF(Informed=1,1,0),0)</f>
        <v>1</v>
      </c>
      <c r="AC453" s="64" t="n">
        <f aca="false">IF(Arterial=0,IF(Informed=0,1,0),0)</f>
        <v>0</v>
      </c>
      <c r="AD453" s="64" t="n">
        <f aca="false">IF(Arterial=1,IF(Informed=1,1,0),0)</f>
        <v>0</v>
      </c>
      <c r="AE453" s="64" t="n">
        <f aca="false">IF(Arterial=1,IF(Informed=0,1,0),0)</f>
        <v>0</v>
      </c>
      <c r="AF453" s="57" t="n">
        <f aca="false">IF(AB453=1,(X453-G$1030)^2,0)</f>
        <v>635.072043265092</v>
      </c>
      <c r="AG453" s="57" t="n">
        <f aca="false">IF(AC453=1,(Y453-H$1030)^2,0)</f>
        <v>0</v>
      </c>
      <c r="AH453" s="57" t="n">
        <f aca="false">IF(AD453=1,(Z453-I$1030)^2,0)</f>
        <v>0</v>
      </c>
      <c r="AI453" s="57" t="n">
        <f aca="false">IF(AE453=1,(AA453-J$1030)^2,0)</f>
        <v>0</v>
      </c>
    </row>
    <row r="454" customFormat="false" ht="12" hidden="false" customHeight="false" outlineLevel="0" collapsed="false">
      <c r="A454" s="5" t="n">
        <v>437</v>
      </c>
      <c r="B454" s="58" t="n">
        <f aca="true">IF(RAND()&lt;$D$8,1,0)</f>
        <v>0</v>
      </c>
      <c r="C454" s="47" t="n">
        <f aca="true">-LN(RAND())/$D$2</f>
        <v>1.69820950595325</v>
      </c>
      <c r="D454" s="59" t="n">
        <f aca="false">D453+C454</f>
        <v>419.772361461828</v>
      </c>
      <c r="E454" s="60" t="n">
        <f aca="false">MAX($D$3,(1+P453-VLOOKUP(VALUE(D454),$J$18:$Q453,7,TRUE()))*$D$3)</f>
        <v>26</v>
      </c>
      <c r="F454" s="60" t="n">
        <f aca="false">MAX($D$4,(1+Q453-VLOOKUP(VALUE(D454),$M$18:$Q453,5,TRUE()))*$D$4)</f>
        <v>26</v>
      </c>
      <c r="G454" s="61" t="n">
        <v>0.5</v>
      </c>
      <c r="H454" s="59" t="n">
        <f aca="true">IF((B454=1),(IF((F454&lt;E454),1,(IF((F454=E454),(IF(RAND()&lt;G454,1,0)),0)))),(IF((RAND()&lt;G454),1,0)))</f>
        <v>0</v>
      </c>
      <c r="I454" s="59" t="n">
        <f aca="true">IF((H454=1),0,$D$3+$D$5*(RAND()-0.5))</f>
        <v>1.89080320830003</v>
      </c>
      <c r="J454" s="59" t="n">
        <f aca="false">I454+MAX(D454,J453)</f>
        <v>445.165590935225</v>
      </c>
      <c r="K454" s="59" t="n">
        <f aca="false">IF((H454=0),J454-D454,0)</f>
        <v>25.3932294733962</v>
      </c>
      <c r="L454" s="59" t="n">
        <f aca="true">IF(($H454=0),0,$D$4+$D$5*(RAND()-0.5))</f>
        <v>0</v>
      </c>
      <c r="M454" s="59" t="n">
        <f aca="false">L454+MAX(D454,M453)</f>
        <v>441.805264860121</v>
      </c>
      <c r="N454" s="59" t="n">
        <f aca="false">IF((H454=1),M454-D454,0)</f>
        <v>0</v>
      </c>
      <c r="O454" s="5" t="n">
        <v>437</v>
      </c>
      <c r="P454" s="62" t="n">
        <f aca="false">IF((Arterial=0),P453+1,P453)</f>
        <v>219</v>
      </c>
      <c r="Q454" s="62" t="n">
        <f aca="false">IF((Arterial=1),Q453+1,Q453)</f>
        <v>218</v>
      </c>
      <c r="R454" s="63" t="e">
        <f aca="false">IF((RESET=1),0,R454+K454)</f>
        <v>#N/A</v>
      </c>
      <c r="S454" s="10" t="n">
        <f aca="false">IF(RESET=1,0,S454+N454)</f>
        <v>692.983073049373</v>
      </c>
      <c r="T454" s="0" t="e">
        <f aca="false">IF(RESET=1,0,T454+IF(H454=0,1,0))</f>
        <v>#N/A</v>
      </c>
      <c r="U454" s="0" t="n">
        <f aca="false">IF(RESET=1,0,U454+H454)</f>
        <v>28</v>
      </c>
      <c r="V454" s="10" t="e">
        <f aca="false">R454/(T454+0.00001)</f>
        <v>#N/A</v>
      </c>
      <c r="W454" s="10" t="n">
        <f aca="false">S454/(U454+0.0001)</f>
        <v>24.7493070756666</v>
      </c>
      <c r="X454" s="60" t="n">
        <f aca="false">IF(Informed=1,K454,0)</f>
        <v>0</v>
      </c>
      <c r="Y454" s="60" t="n">
        <f aca="false">IF(Informed=0,K454,0)</f>
        <v>25.3932294733962</v>
      </c>
      <c r="Z454" s="60" t="n">
        <f aca="false">IF(Informed=1,N454,0)</f>
        <v>0</v>
      </c>
      <c r="AA454" s="60" t="n">
        <f aca="false">IF(Informed=0,N454,0)</f>
        <v>0</v>
      </c>
      <c r="AB454" s="64" t="n">
        <f aca="false">IF(Arterial=0,IF(Informed=1,1,0),0)</f>
        <v>0</v>
      </c>
      <c r="AC454" s="64" t="n">
        <f aca="false">IF(Arterial=0,IF(Informed=0,1,0),0)</f>
        <v>1</v>
      </c>
      <c r="AD454" s="64" t="n">
        <f aca="false">IF(Arterial=1,IF(Informed=1,1,0),0)</f>
        <v>0</v>
      </c>
      <c r="AE454" s="64" t="n">
        <f aca="false">IF(Arterial=1,IF(Informed=0,1,0),0)</f>
        <v>0</v>
      </c>
      <c r="AF454" s="57" t="n">
        <f aca="false">IF(AB454=1,(X454-G$1030)^2,0)</f>
        <v>0</v>
      </c>
      <c r="AG454" s="57" t="n">
        <f aca="false">IF(AC454=1,(Y454-H$1030)^2,0)</f>
        <v>644.816103088556</v>
      </c>
      <c r="AH454" s="57" t="n">
        <f aca="false">IF(AD454=1,(Z454-I$1030)^2,0)</f>
        <v>0</v>
      </c>
      <c r="AI454" s="57" t="n">
        <f aca="false">IF(AE454=1,(AA454-J$1030)^2,0)</f>
        <v>0</v>
      </c>
    </row>
    <row r="455" customFormat="false" ht="12" hidden="false" customHeight="false" outlineLevel="0" collapsed="false">
      <c r="A455" s="5" t="n">
        <v>438</v>
      </c>
      <c r="B455" s="58" t="n">
        <f aca="true">IF(RAND()&lt;$D$8,1,0)</f>
        <v>0</v>
      </c>
      <c r="C455" s="47" t="n">
        <f aca="true">-LN(RAND())/$D$2</f>
        <v>0.453006643515981</v>
      </c>
      <c r="D455" s="59" t="n">
        <f aca="false">D454+C455</f>
        <v>420.225368105344</v>
      </c>
      <c r="E455" s="60" t="n">
        <f aca="false">MAX($D$3,(1+P454-VLOOKUP(VALUE(D455),$J$18:$Q454,7,TRUE()))*$D$3)</f>
        <v>28</v>
      </c>
      <c r="F455" s="60" t="n">
        <f aca="false">MAX($D$4,(1+Q454-VLOOKUP(VALUE(D455),$M$18:$Q454,5,TRUE()))*$D$4)</f>
        <v>26</v>
      </c>
      <c r="G455" s="61" t="n">
        <v>0.5</v>
      </c>
      <c r="H455" s="59" t="n">
        <f aca="true">IF((B455=1),(IF((F455&lt;E455),1,(IF((F455=E455),(IF(RAND()&lt;G455,1,0)),0)))),(IF((RAND()&lt;G455),1,0)))</f>
        <v>0</v>
      </c>
      <c r="I455" s="59" t="n">
        <f aca="true">IF((H455=1),0,$D$3+$D$5*(RAND()-0.5))</f>
        <v>1.83240540665069</v>
      </c>
      <c r="J455" s="59" t="n">
        <f aca="false">I455+MAX(D455,J454)</f>
        <v>446.997996341875</v>
      </c>
      <c r="K455" s="59" t="n">
        <f aca="false">IF((H455=0),J455-D455,0)</f>
        <v>26.7726282365309</v>
      </c>
      <c r="L455" s="59" t="n">
        <f aca="true">IF(($H455=0),0,$D$4+$D$5*(RAND()-0.5))</f>
        <v>0</v>
      </c>
      <c r="M455" s="59" t="n">
        <f aca="false">L455+MAX(D455,M454)</f>
        <v>441.805264860121</v>
      </c>
      <c r="N455" s="59" t="n">
        <f aca="false">IF((H455=1),M455-D455,0)</f>
        <v>0</v>
      </c>
      <c r="O455" s="5" t="n">
        <v>438</v>
      </c>
      <c r="P455" s="62" t="n">
        <f aca="false">IF((Arterial=0),P454+1,P454)</f>
        <v>220</v>
      </c>
      <c r="Q455" s="62" t="n">
        <f aca="false">IF((Arterial=1),Q454+1,Q454)</f>
        <v>218</v>
      </c>
      <c r="R455" s="63" t="e">
        <f aca="false">IF((RESET=1),0,R455+K455)</f>
        <v>#N/A</v>
      </c>
      <c r="S455" s="10" t="n">
        <f aca="false">IF(RESET=1,0,S455+N455)</f>
        <v>702.326747480895</v>
      </c>
      <c r="T455" s="0" t="e">
        <f aca="false">IF(RESET=1,0,T455+IF(H455=0,1,0))</f>
        <v>#N/A</v>
      </c>
      <c r="U455" s="0" t="n">
        <f aca="false">IF(RESET=1,0,U455+H455)</f>
        <v>30</v>
      </c>
      <c r="V455" s="10" t="e">
        <f aca="false">R455/(T455+0.00001)</f>
        <v>#N/A</v>
      </c>
      <c r="W455" s="10" t="n">
        <f aca="false">S455/(U455+0.0001)</f>
        <v>23.4108135466514</v>
      </c>
      <c r="X455" s="60" t="n">
        <f aca="false">IF(Informed=1,K455,0)</f>
        <v>0</v>
      </c>
      <c r="Y455" s="60" t="n">
        <f aca="false">IF(Informed=0,K455,0)</f>
        <v>26.7726282365309</v>
      </c>
      <c r="Z455" s="60" t="n">
        <f aca="false">IF(Informed=1,N455,0)</f>
        <v>0</v>
      </c>
      <c r="AA455" s="60" t="n">
        <f aca="false">IF(Informed=0,N455,0)</f>
        <v>0</v>
      </c>
      <c r="AB455" s="64" t="n">
        <f aca="false">IF(Arterial=0,IF(Informed=1,1,0),0)</f>
        <v>0</v>
      </c>
      <c r="AC455" s="64" t="n">
        <f aca="false">IF(Arterial=0,IF(Informed=0,1,0),0)</f>
        <v>1</v>
      </c>
      <c r="AD455" s="64" t="n">
        <f aca="false">IF(Arterial=1,IF(Informed=1,1,0),0)</f>
        <v>0</v>
      </c>
      <c r="AE455" s="64" t="n">
        <f aca="false">IF(Arterial=1,IF(Informed=0,1,0),0)</f>
        <v>0</v>
      </c>
      <c r="AF455" s="57" t="n">
        <f aca="false">IF(AB455=1,(X455-G$1030)^2,0)</f>
        <v>0</v>
      </c>
      <c r="AG455" s="57" t="n">
        <f aca="false">IF(AC455=1,(Y455-H$1030)^2,0)</f>
        <v>716.77362269149</v>
      </c>
      <c r="AH455" s="57" t="n">
        <f aca="false">IF(AD455=1,(Z455-I$1030)^2,0)</f>
        <v>0</v>
      </c>
      <c r="AI455" s="57" t="n">
        <f aca="false">IF(AE455=1,(AA455-J$1030)^2,0)</f>
        <v>0</v>
      </c>
    </row>
    <row r="456" customFormat="false" ht="12" hidden="false" customHeight="false" outlineLevel="0" collapsed="false">
      <c r="A456" s="5" t="n">
        <v>439</v>
      </c>
      <c r="B456" s="58" t="n">
        <f aca="true">IF(RAND()&lt;$D$8,1,0)</f>
        <v>1</v>
      </c>
      <c r="C456" s="47" t="n">
        <f aca="true">-LN(RAND())/$D$2</f>
        <v>2.21860897830983</v>
      </c>
      <c r="D456" s="59" t="n">
        <f aca="false">D455+C456</f>
        <v>422.443977083654</v>
      </c>
      <c r="E456" s="60" t="n">
        <f aca="false">MAX($D$3,(1+P455-VLOOKUP(VALUE(D456),$J$18:$Q455,7,TRUE()))*$D$3)</f>
        <v>28</v>
      </c>
      <c r="F456" s="60" t="n">
        <f aca="false">MAX($D$4,(1+Q455-VLOOKUP(VALUE(D456),$M$18:$Q455,5,TRUE()))*$D$4)</f>
        <v>22</v>
      </c>
      <c r="G456" s="61" t="n">
        <v>0.5</v>
      </c>
      <c r="H456" s="59" t="n">
        <f aca="true">IF((B456=1),(IF((F456&lt;E456),1,(IF((F456=E456),(IF(RAND()&lt;G456,1,0)),0)))),(IF((RAND()&lt;G456),1,0)))</f>
        <v>1</v>
      </c>
      <c r="I456" s="59" t="n">
        <f aca="true">IF((H456=1),0,$D$3+$D$5*(RAND()-0.5))</f>
        <v>0</v>
      </c>
      <c r="J456" s="59" t="n">
        <f aca="false">I456+MAX(D456,J455)</f>
        <v>446.997996341875</v>
      </c>
      <c r="K456" s="59" t="n">
        <f aca="false">IF((H456=0),J456-D456,0)</f>
        <v>0</v>
      </c>
      <c r="L456" s="59" t="n">
        <f aca="true">IF(($H456=0),0,$D$4+$D$5*(RAND()-0.5))</f>
        <v>2.00072692953114</v>
      </c>
      <c r="M456" s="59" t="n">
        <f aca="false">L456+MAX(D456,M455)</f>
        <v>443.805991789652</v>
      </c>
      <c r="N456" s="59" t="n">
        <f aca="false">IF((H456=1),M456-D456,0)</f>
        <v>21.3620147059979</v>
      </c>
      <c r="O456" s="5" t="n">
        <v>439</v>
      </c>
      <c r="P456" s="62" t="n">
        <f aca="false">IF((Arterial=0),P455+1,P455)</f>
        <v>220</v>
      </c>
      <c r="Q456" s="62" t="n">
        <f aca="false">IF((Arterial=1),Q455+1,Q455)</f>
        <v>219</v>
      </c>
      <c r="R456" s="63" t="n">
        <f aca="false">IF((RESET=1),0,R456+K456)</f>
        <v>635.777089020804</v>
      </c>
      <c r="S456" s="10" t="e">
        <f aca="false">IF(RESET=1,0,S456+N456)</f>
        <v>#N/A</v>
      </c>
      <c r="T456" s="0" t="n">
        <f aca="false">IF(RESET=1,0,T456+IF(H456=0,1,0))</f>
        <v>24</v>
      </c>
      <c r="U456" s="0" t="e">
        <f aca="false">IF(RESET=1,0,U456+H456)</f>
        <v>#N/A</v>
      </c>
      <c r="V456" s="10" t="n">
        <f aca="false">R456/(T456+0.00001)</f>
        <v>26.4907010047414</v>
      </c>
      <c r="W456" s="10" t="e">
        <f aca="false">S456/(U456+0.0001)</f>
        <v>#N/A</v>
      </c>
      <c r="X456" s="60" t="n">
        <f aca="false">IF(Informed=1,K456,0)</f>
        <v>0</v>
      </c>
      <c r="Y456" s="60" t="n">
        <f aca="false">IF(Informed=0,K456,0)</f>
        <v>0</v>
      </c>
      <c r="Z456" s="60" t="n">
        <f aca="false">IF(Informed=1,N456,0)</f>
        <v>21.3620147059979</v>
      </c>
      <c r="AA456" s="60" t="n">
        <f aca="false">IF(Informed=0,N456,0)</f>
        <v>0</v>
      </c>
      <c r="AB456" s="64" t="n">
        <f aca="false">IF(Arterial=0,IF(Informed=1,1,0),0)</f>
        <v>0</v>
      </c>
      <c r="AC456" s="64" t="n">
        <f aca="false">IF(Arterial=0,IF(Informed=0,1,0),0)</f>
        <v>0</v>
      </c>
      <c r="AD456" s="64" t="n">
        <f aca="false">IF(Arterial=1,IF(Informed=1,1,0),0)</f>
        <v>1</v>
      </c>
      <c r="AE456" s="64" t="n">
        <f aca="false">IF(Arterial=1,IF(Informed=0,1,0),0)</f>
        <v>0</v>
      </c>
      <c r="AF456" s="57" t="n">
        <f aca="false">IF(AB456=1,(X456-G$1030)^2,0)</f>
        <v>0</v>
      </c>
      <c r="AG456" s="57" t="n">
        <f aca="false">IF(AC456=1,(Y456-H$1030)^2,0)</f>
        <v>0</v>
      </c>
      <c r="AH456" s="57" t="n">
        <f aca="false">IF(AD456=1,(Z456-I$1030)^2,0)</f>
        <v>456.335672299272</v>
      </c>
      <c r="AI456" s="57" t="n">
        <f aca="false">IF(AE456=1,(AA456-J$1030)^2,0)</f>
        <v>0</v>
      </c>
    </row>
    <row r="457" customFormat="false" ht="12" hidden="false" customHeight="false" outlineLevel="0" collapsed="false">
      <c r="A457" s="5" t="n">
        <v>440</v>
      </c>
      <c r="B457" s="58" t="n">
        <f aca="true">IF(RAND()&lt;$D$8,1,0)</f>
        <v>1</v>
      </c>
      <c r="C457" s="47" t="n">
        <f aca="true">-LN(RAND())/$D$2</f>
        <v>0.29678909487216</v>
      </c>
      <c r="D457" s="59" t="n">
        <f aca="false">D456+C457</f>
        <v>422.740766178526</v>
      </c>
      <c r="E457" s="60" t="n">
        <f aca="false">MAX($D$3,(1+P456-VLOOKUP(VALUE(D457),$J$18:$Q456,7,TRUE()))*$D$3)</f>
        <v>28</v>
      </c>
      <c r="F457" s="60" t="n">
        <f aca="false">MAX($D$4,(1+Q456-VLOOKUP(VALUE(D457),$M$18:$Q456,5,TRUE()))*$D$4)</f>
        <v>24</v>
      </c>
      <c r="G457" s="61" t="n">
        <v>0.5</v>
      </c>
      <c r="H457" s="59" t="n">
        <f aca="true">IF((B457=1),(IF((F457&lt;E457),1,(IF((F457=E457),(IF(RAND()&lt;G457,1,0)),0)))),(IF((RAND()&lt;G457),1,0)))</f>
        <v>1</v>
      </c>
      <c r="I457" s="59" t="n">
        <f aca="true">IF((H457=1),0,$D$3+$D$5*(RAND()-0.5))</f>
        <v>0</v>
      </c>
      <c r="J457" s="59" t="n">
        <f aca="false">I457+MAX(D457,J456)</f>
        <v>446.997996341875</v>
      </c>
      <c r="K457" s="59" t="n">
        <f aca="false">IF((H457=0),J457-D457,0)</f>
        <v>0</v>
      </c>
      <c r="L457" s="59" t="n">
        <f aca="true">IF(($H457=0),0,$D$4+$D$5*(RAND()-0.5))</f>
        <v>2.18943735525495</v>
      </c>
      <c r="M457" s="59" t="n">
        <f aca="false">L457+MAX(D457,M456)</f>
        <v>445.995429144907</v>
      </c>
      <c r="N457" s="59" t="n">
        <f aca="false">IF((H457=1),M457-D457,0)</f>
        <v>23.2546629663807</v>
      </c>
      <c r="O457" s="5" t="n">
        <v>440</v>
      </c>
      <c r="P457" s="62" t="n">
        <f aca="false">IF((Arterial=0),P456+1,P456)</f>
        <v>220</v>
      </c>
      <c r="Q457" s="62" t="n">
        <f aca="false">IF((Arterial=1),Q456+1,Q456)</f>
        <v>220</v>
      </c>
      <c r="R457" s="63" t="n">
        <f aca="false">IF((RESET=1),0,R457+K457)</f>
        <v>630.69461733532</v>
      </c>
      <c r="S457" s="10" t="e">
        <f aca="false">IF(RESET=1,0,S457+N457)</f>
        <v>#N/A</v>
      </c>
      <c r="T457" s="0" t="n">
        <f aca="false">IF(RESET=1,0,T457+IF(H457=0,1,0))</f>
        <v>31</v>
      </c>
      <c r="U457" s="0" t="e">
        <f aca="false">IF(RESET=1,0,U457+H457)</f>
        <v>#N/A</v>
      </c>
      <c r="V457" s="10" t="n">
        <f aca="false">R457/(T457+0.00001)</f>
        <v>20.3449810930809</v>
      </c>
      <c r="W457" s="10" t="e">
        <f aca="false">S457/(U457+0.0001)</f>
        <v>#N/A</v>
      </c>
      <c r="X457" s="60" t="n">
        <f aca="false">IF(Informed=1,K457,0)</f>
        <v>0</v>
      </c>
      <c r="Y457" s="60" t="n">
        <f aca="false">IF(Informed=0,K457,0)</f>
        <v>0</v>
      </c>
      <c r="Z457" s="60" t="n">
        <f aca="false">IF(Informed=1,N457,0)</f>
        <v>23.2546629663807</v>
      </c>
      <c r="AA457" s="60" t="n">
        <f aca="false">IF(Informed=0,N457,0)</f>
        <v>0</v>
      </c>
      <c r="AB457" s="64" t="n">
        <f aca="false">IF(Arterial=0,IF(Informed=1,1,0),0)</f>
        <v>0</v>
      </c>
      <c r="AC457" s="64" t="n">
        <f aca="false">IF(Arterial=0,IF(Informed=0,1,0),0)</f>
        <v>0</v>
      </c>
      <c r="AD457" s="64" t="n">
        <f aca="false">IF(Arterial=1,IF(Informed=1,1,0),0)</f>
        <v>1</v>
      </c>
      <c r="AE457" s="64" t="n">
        <f aca="false">IF(Arterial=1,IF(Informed=0,1,0),0)</f>
        <v>0</v>
      </c>
      <c r="AF457" s="57" t="n">
        <f aca="false">IF(AB457=1,(X457-G$1030)^2,0)</f>
        <v>0</v>
      </c>
      <c r="AG457" s="57" t="n">
        <f aca="false">IF(AC457=1,(Y457-H$1030)^2,0)</f>
        <v>0</v>
      </c>
      <c r="AH457" s="57" t="n">
        <f aca="false">IF(AD457=1,(Z457-I$1030)^2,0)</f>
        <v>540.779349679958</v>
      </c>
      <c r="AI457" s="57" t="n">
        <f aca="false">IF(AE457=1,(AA457-J$1030)^2,0)</f>
        <v>0</v>
      </c>
    </row>
    <row r="458" customFormat="false" ht="12" hidden="false" customHeight="false" outlineLevel="0" collapsed="false">
      <c r="A458" s="5" t="n">
        <v>441</v>
      </c>
      <c r="B458" s="58" t="n">
        <f aca="true">IF(RAND()&lt;$D$8,1,0)</f>
        <v>1</v>
      </c>
      <c r="C458" s="47" t="n">
        <f aca="true">-LN(RAND())/$D$2</f>
        <v>1.34841055440687</v>
      </c>
      <c r="D458" s="59" t="n">
        <f aca="false">D457+C458</f>
        <v>424.089176732933</v>
      </c>
      <c r="E458" s="60" t="n">
        <f aca="false">MAX($D$3,(1+P457-VLOOKUP(VALUE(D458),$J$18:$Q457,7,TRUE()))*$D$3)</f>
        <v>26</v>
      </c>
      <c r="F458" s="60" t="n">
        <f aca="false">MAX($D$4,(1+Q457-VLOOKUP(VALUE(D458),$M$18:$Q457,5,TRUE()))*$D$4)</f>
        <v>26</v>
      </c>
      <c r="G458" s="61" t="n">
        <v>0.5</v>
      </c>
      <c r="H458" s="59" t="n">
        <f aca="true">IF((B458=1),(IF((F458&lt;E458),1,(IF((F458=E458),(IF(RAND()&lt;G458,1,0)),0)))),(IF((RAND()&lt;G458),1,0)))</f>
        <v>1</v>
      </c>
      <c r="I458" s="59" t="n">
        <f aca="true">IF((H458=1),0,$D$3+$D$5*(RAND()-0.5))</f>
        <v>0</v>
      </c>
      <c r="J458" s="59" t="n">
        <f aca="false">I458+MAX(D458,J457)</f>
        <v>446.997996341875</v>
      </c>
      <c r="K458" s="59" t="n">
        <f aca="false">IF((H458=0),J458-D458,0)</f>
        <v>0</v>
      </c>
      <c r="L458" s="59" t="n">
        <f aca="true">IF(($H458=0),0,$D$4+$D$5*(RAND()-0.5))</f>
        <v>1.9040683290918</v>
      </c>
      <c r="M458" s="59" t="n">
        <f aca="false">L458+MAX(D458,M457)</f>
        <v>447.899497473999</v>
      </c>
      <c r="N458" s="59" t="n">
        <f aca="false">IF((H458=1),M458-D458,0)</f>
        <v>23.8103207410656</v>
      </c>
      <c r="O458" s="5" t="n">
        <v>441</v>
      </c>
      <c r="P458" s="62" t="n">
        <f aca="false">IF((Arterial=0),P457+1,P457)</f>
        <v>220</v>
      </c>
      <c r="Q458" s="62" t="n">
        <f aca="false">IF((Arterial=1),Q457+1,Q457)</f>
        <v>221</v>
      </c>
      <c r="R458" s="63" t="n">
        <f aca="false">IF((RESET=1),0,R458+K458)</f>
        <v>584.701188158944</v>
      </c>
      <c r="S458" s="10" t="e">
        <f aca="false">IF(RESET=1,0,S458+N458)</f>
        <v>#N/A</v>
      </c>
      <c r="T458" s="0" t="n">
        <f aca="false">IF(RESET=1,0,T458+IF(H458=0,1,0))</f>
        <v>23</v>
      </c>
      <c r="U458" s="0" t="e">
        <f aca="false">IF(RESET=1,0,U458+H458)</f>
        <v>#N/A</v>
      </c>
      <c r="V458" s="10" t="n">
        <f aca="false">R458/(T458+0.00001)</f>
        <v>25.4217797365716</v>
      </c>
      <c r="W458" s="10" t="e">
        <f aca="false">S458/(U458+0.0001)</f>
        <v>#N/A</v>
      </c>
      <c r="X458" s="60" t="n">
        <f aca="false">IF(Informed=1,K458,0)</f>
        <v>0</v>
      </c>
      <c r="Y458" s="60" t="n">
        <f aca="false">IF(Informed=0,K458,0)</f>
        <v>0</v>
      </c>
      <c r="Z458" s="60" t="n">
        <f aca="false">IF(Informed=1,N458,0)</f>
        <v>23.8103207410656</v>
      </c>
      <c r="AA458" s="60" t="n">
        <f aca="false">IF(Informed=0,N458,0)</f>
        <v>0</v>
      </c>
      <c r="AB458" s="64" t="n">
        <f aca="false">IF(Arterial=0,IF(Informed=1,1,0),0)</f>
        <v>0</v>
      </c>
      <c r="AC458" s="64" t="n">
        <f aca="false">IF(Arterial=0,IF(Informed=0,1,0),0)</f>
        <v>0</v>
      </c>
      <c r="AD458" s="64" t="n">
        <f aca="false">IF(Arterial=1,IF(Informed=1,1,0),0)</f>
        <v>1</v>
      </c>
      <c r="AE458" s="64" t="n">
        <f aca="false">IF(Arterial=1,IF(Informed=0,1,0),0)</f>
        <v>0</v>
      </c>
      <c r="AF458" s="57" t="n">
        <f aca="false">IF(AB458=1,(X458-G$1030)^2,0)</f>
        <v>0</v>
      </c>
      <c r="AG458" s="57" t="n">
        <f aca="false">IF(AC458=1,(Y458-H$1030)^2,0)</f>
        <v>0</v>
      </c>
      <c r="AH458" s="57" t="n">
        <f aca="false">IF(AD458=1,(Z458-I$1030)^2,0)</f>
        <v>566.931373792419</v>
      </c>
      <c r="AI458" s="57" t="n">
        <f aca="false">IF(AE458=1,(AA458-J$1030)^2,0)</f>
        <v>0</v>
      </c>
    </row>
    <row r="459" customFormat="false" ht="12" hidden="false" customHeight="false" outlineLevel="0" collapsed="false">
      <c r="A459" s="5" t="n">
        <v>442</v>
      </c>
      <c r="B459" s="58" t="n">
        <f aca="true">IF(RAND()&lt;$D$8,1,0)</f>
        <v>1</v>
      </c>
      <c r="C459" s="47" t="n">
        <f aca="true">-LN(RAND())/$D$2</f>
        <v>3.22466943556627</v>
      </c>
      <c r="D459" s="59" t="n">
        <f aca="false">D458+C459</f>
        <v>427.3138461685</v>
      </c>
      <c r="E459" s="60" t="n">
        <f aca="false">MAX($D$3,(1+P458-VLOOKUP(VALUE(D459),$J$18:$Q458,7,TRUE()))*$D$3)</f>
        <v>22</v>
      </c>
      <c r="F459" s="60" t="n">
        <f aca="false">MAX($D$4,(1+Q458-VLOOKUP(VALUE(D459),$M$18:$Q458,5,TRUE()))*$D$4)</f>
        <v>24</v>
      </c>
      <c r="G459" s="61" t="n">
        <v>0.5</v>
      </c>
      <c r="H459" s="59" t="n">
        <f aca="true">IF((B459=1),(IF((F459&lt;E459),1,(IF((F459=E459),(IF(RAND()&lt;G459,1,0)),0)))),(IF((RAND()&lt;G459),1,0)))</f>
        <v>0</v>
      </c>
      <c r="I459" s="59" t="n">
        <f aca="true">IF((H459=1),0,$D$3+$D$5*(RAND()-0.5))</f>
        <v>1.78948767109311</v>
      </c>
      <c r="J459" s="59" t="n">
        <f aca="false">I459+MAX(D459,J458)</f>
        <v>448.787484012968</v>
      </c>
      <c r="K459" s="59" t="n">
        <f aca="false">IF((H459=0),J459-D459,0)</f>
        <v>21.4736378444688</v>
      </c>
      <c r="L459" s="59" t="n">
        <f aca="true">IF(($H459=0),0,$D$4+$D$5*(RAND()-0.5))</f>
        <v>0</v>
      </c>
      <c r="M459" s="59" t="n">
        <f aca="false">L459+MAX(D459,M458)</f>
        <v>447.899497473999</v>
      </c>
      <c r="N459" s="59" t="n">
        <f aca="false">IF((H459=1),M459-D459,0)</f>
        <v>0</v>
      </c>
      <c r="O459" s="5" t="n">
        <v>442</v>
      </c>
      <c r="P459" s="62" t="n">
        <f aca="false">IF((Arterial=0),P458+1,P458)</f>
        <v>221</v>
      </c>
      <c r="Q459" s="62" t="n">
        <f aca="false">IF((Arterial=1),Q458+1,Q458)</f>
        <v>221</v>
      </c>
      <c r="R459" s="63" t="e">
        <f aca="false">IF((RESET=1),0,R459+K459)</f>
        <v>#N/A</v>
      </c>
      <c r="S459" s="10" t="n">
        <f aca="false">IF(RESET=1,0,S459+N459)</f>
        <v>652.617544231526</v>
      </c>
      <c r="T459" s="0" t="e">
        <f aca="false">IF(RESET=1,0,T459+IF(H459=0,1,0))</f>
        <v>#N/A</v>
      </c>
      <c r="U459" s="0" t="n">
        <f aca="false">IF(RESET=1,0,U459+H459)</f>
        <v>29</v>
      </c>
      <c r="V459" s="10" t="e">
        <f aca="false">R459/(T459+0.00001)</f>
        <v>#N/A</v>
      </c>
      <c r="W459" s="10" t="n">
        <f aca="false">S459/(U459+0.0001)</f>
        <v>22.5039756494469</v>
      </c>
      <c r="X459" s="60" t="n">
        <f aca="false">IF(Informed=1,K459,0)</f>
        <v>21.4736378444688</v>
      </c>
      <c r="Y459" s="60" t="n">
        <f aca="false">IF(Informed=0,K459,0)</f>
        <v>0</v>
      </c>
      <c r="Z459" s="60" t="n">
        <f aca="false">IF(Informed=1,N459,0)</f>
        <v>0</v>
      </c>
      <c r="AA459" s="60" t="n">
        <f aca="false">IF(Informed=0,N459,0)</f>
        <v>0</v>
      </c>
      <c r="AB459" s="64" t="n">
        <f aca="false">IF(Arterial=0,IF(Informed=1,1,0),0)</f>
        <v>1</v>
      </c>
      <c r="AC459" s="64" t="n">
        <f aca="false">IF(Arterial=0,IF(Informed=0,1,0),0)</f>
        <v>0</v>
      </c>
      <c r="AD459" s="64" t="n">
        <f aca="false">IF(Arterial=1,IF(Informed=1,1,0),0)</f>
        <v>0</v>
      </c>
      <c r="AE459" s="64" t="n">
        <f aca="false">IF(Arterial=1,IF(Informed=0,1,0),0)</f>
        <v>0</v>
      </c>
      <c r="AF459" s="57" t="n">
        <f aca="false">IF(AB459=1,(X459-G$1030)^2,0)</f>
        <v>461.117122275404</v>
      </c>
      <c r="AG459" s="57" t="n">
        <f aca="false">IF(AC459=1,(Y459-H$1030)^2,0)</f>
        <v>0</v>
      </c>
      <c r="AH459" s="57" t="n">
        <f aca="false">IF(AD459=1,(Z459-I$1030)^2,0)</f>
        <v>0</v>
      </c>
      <c r="AI459" s="57" t="n">
        <f aca="false">IF(AE459=1,(AA459-J$1030)^2,0)</f>
        <v>0</v>
      </c>
    </row>
    <row r="460" customFormat="false" ht="12" hidden="false" customHeight="false" outlineLevel="0" collapsed="false">
      <c r="A460" s="5" t="n">
        <v>443</v>
      </c>
      <c r="B460" s="58" t="n">
        <f aca="true">IF(RAND()&lt;$D$8,1,0)</f>
        <v>0</v>
      </c>
      <c r="C460" s="47" t="n">
        <f aca="true">-LN(RAND())/$D$2</f>
        <v>0.186008193012991</v>
      </c>
      <c r="D460" s="59" t="n">
        <f aca="false">D459+C460</f>
        <v>427.499854361513</v>
      </c>
      <c r="E460" s="60" t="n">
        <f aca="false">MAX($D$3,(1+P459-VLOOKUP(VALUE(D460),$J$18:$Q459,7,TRUE()))*$D$3)</f>
        <v>24</v>
      </c>
      <c r="F460" s="60" t="n">
        <f aca="false">MAX($D$4,(1+Q459-VLOOKUP(VALUE(D460),$M$18:$Q459,5,TRUE()))*$D$4)</f>
        <v>24</v>
      </c>
      <c r="G460" s="61" t="n">
        <v>0.5</v>
      </c>
      <c r="H460" s="59" t="n">
        <f aca="true">IF((B460=1),(IF((F460&lt;E460),1,(IF((F460=E460),(IF(RAND()&lt;G460,1,0)),0)))),(IF((RAND()&lt;G460),1,0)))</f>
        <v>1</v>
      </c>
      <c r="I460" s="59" t="n">
        <f aca="true">IF((H460=1),0,$D$3+$D$5*(RAND()-0.5))</f>
        <v>0</v>
      </c>
      <c r="J460" s="59" t="n">
        <f aca="false">I460+MAX(D460,J459)</f>
        <v>448.787484012968</v>
      </c>
      <c r="K460" s="59" t="n">
        <f aca="false">IF((H460=0),J460-D460,0)</f>
        <v>0</v>
      </c>
      <c r="L460" s="59" t="n">
        <f aca="true">IF(($H460=0),0,$D$4+$D$5*(RAND()-0.5))</f>
        <v>1.89209662552168</v>
      </c>
      <c r="M460" s="59" t="n">
        <f aca="false">L460+MAX(D460,M459)</f>
        <v>449.791594099521</v>
      </c>
      <c r="N460" s="59" t="n">
        <f aca="false">IF((H460=1),M460-D460,0)</f>
        <v>22.291739738008</v>
      </c>
      <c r="O460" s="5" t="n">
        <v>443</v>
      </c>
      <c r="P460" s="62" t="n">
        <f aca="false">IF((Arterial=0),P459+1,P459)</f>
        <v>221</v>
      </c>
      <c r="Q460" s="62" t="n">
        <f aca="false">IF((Arterial=1),Q459+1,Q459)</f>
        <v>222</v>
      </c>
      <c r="R460" s="63" t="n">
        <f aca="false">IF((RESET=1),0,R460+K460)</f>
        <v>637.408601394398</v>
      </c>
      <c r="S460" s="10" t="e">
        <f aca="false">IF(RESET=1,0,S460+N460)</f>
        <v>#N/A</v>
      </c>
      <c r="T460" s="0" t="n">
        <f aca="false">IF(RESET=1,0,T460+IF(H460=0,1,0))</f>
        <v>30</v>
      </c>
      <c r="U460" s="0" t="e">
        <f aca="false">IF(RESET=1,0,U460+H460)</f>
        <v>#N/A</v>
      </c>
      <c r="V460" s="10" t="n">
        <f aca="false">R460/(T460+0.00001)</f>
        <v>21.2469462974978</v>
      </c>
      <c r="W460" s="10" t="e">
        <f aca="false">S460/(U460+0.0001)</f>
        <v>#N/A</v>
      </c>
      <c r="X460" s="60" t="n">
        <f aca="false">IF(Informed=1,K460,0)</f>
        <v>0</v>
      </c>
      <c r="Y460" s="60" t="n">
        <f aca="false">IF(Informed=0,K460,0)</f>
        <v>0</v>
      </c>
      <c r="Z460" s="60" t="n">
        <f aca="false">IF(Informed=1,N460,0)</f>
        <v>0</v>
      </c>
      <c r="AA460" s="60" t="n">
        <f aca="false">IF(Informed=0,N460,0)</f>
        <v>22.291739738008</v>
      </c>
      <c r="AB460" s="64" t="n">
        <f aca="false">IF(Arterial=0,IF(Informed=1,1,0),0)</f>
        <v>0</v>
      </c>
      <c r="AC460" s="64" t="n">
        <f aca="false">IF(Arterial=0,IF(Informed=0,1,0),0)</f>
        <v>0</v>
      </c>
      <c r="AD460" s="64" t="n">
        <f aca="false">IF(Arterial=1,IF(Informed=1,1,0),0)</f>
        <v>0</v>
      </c>
      <c r="AE460" s="64" t="n">
        <f aca="false">IF(Arterial=1,IF(Informed=0,1,0),0)</f>
        <v>1</v>
      </c>
      <c r="AF460" s="57" t="n">
        <f aca="false">IF(AB460=1,(X460-G$1030)^2,0)</f>
        <v>0</v>
      </c>
      <c r="AG460" s="57" t="n">
        <f aca="false">IF(AC460=1,(Y460-H$1030)^2,0)</f>
        <v>0</v>
      </c>
      <c r="AH460" s="57" t="n">
        <f aca="false">IF(AD460=1,(Z460-I$1030)^2,0)</f>
        <v>0</v>
      </c>
      <c r="AI460" s="57" t="n">
        <f aca="false">IF(AE460=1,(AA460-J$1030)^2,0)</f>
        <v>496.921660547085</v>
      </c>
    </row>
    <row r="461" customFormat="false" ht="12" hidden="false" customHeight="false" outlineLevel="0" collapsed="false">
      <c r="A461" s="5" t="n">
        <v>444</v>
      </c>
      <c r="B461" s="58" t="n">
        <f aca="true">IF(RAND()&lt;$D$8,1,0)</f>
        <v>0</v>
      </c>
      <c r="C461" s="47" t="n">
        <f aca="true">-LN(RAND())/$D$2</f>
        <v>0.191689705099675</v>
      </c>
      <c r="D461" s="59" t="n">
        <f aca="false">D460+C461</f>
        <v>427.691544066612</v>
      </c>
      <c r="E461" s="60" t="n">
        <f aca="false">MAX($D$3,(1+P460-VLOOKUP(VALUE(D461),$J$18:$Q460,7,TRUE()))*$D$3)</f>
        <v>24</v>
      </c>
      <c r="F461" s="60" t="n">
        <f aca="false">MAX($D$4,(1+Q460-VLOOKUP(VALUE(D461),$M$18:$Q460,5,TRUE()))*$D$4)</f>
        <v>26</v>
      </c>
      <c r="G461" s="61" t="n">
        <v>0.5</v>
      </c>
      <c r="H461" s="59" t="n">
        <f aca="true">IF((B461=1),(IF((F461&lt;E461),1,(IF((F461=E461),(IF(RAND()&lt;G461,1,0)),0)))),(IF((RAND()&lt;G461),1,0)))</f>
        <v>1</v>
      </c>
      <c r="I461" s="59" t="n">
        <f aca="true">IF((H461=1),0,$D$3+$D$5*(RAND()-0.5))</f>
        <v>0</v>
      </c>
      <c r="J461" s="59" t="n">
        <f aca="false">I461+MAX(D461,J460)</f>
        <v>448.787484012968</v>
      </c>
      <c r="K461" s="59" t="n">
        <f aca="false">IF((H461=0),J461-D461,0)</f>
        <v>0</v>
      </c>
      <c r="L461" s="59" t="n">
        <f aca="true">IF(($H461=0),0,$D$4+$D$5*(RAND()-0.5))</f>
        <v>1.85454162916756</v>
      </c>
      <c r="M461" s="59" t="n">
        <f aca="false">L461+MAX(D461,M460)</f>
        <v>451.646135728688</v>
      </c>
      <c r="N461" s="59" t="n">
        <f aca="false">IF((H461=1),M461-D461,0)</f>
        <v>23.9545916620759</v>
      </c>
      <c r="O461" s="5" t="n">
        <v>444</v>
      </c>
      <c r="P461" s="62" t="n">
        <f aca="false">IF((Arterial=0),P460+1,P460)</f>
        <v>221</v>
      </c>
      <c r="Q461" s="62" t="n">
        <f aca="false">IF((Arterial=1),Q460+1,Q460)</f>
        <v>223</v>
      </c>
      <c r="R461" s="63" t="n">
        <f aca="false">IF((RESET=1),0,R461+K461)</f>
        <v>784.121863764707</v>
      </c>
      <c r="S461" s="10" t="e">
        <f aca="false">IF(RESET=1,0,S461+N461)</f>
        <v>#N/A</v>
      </c>
      <c r="T461" s="0" t="n">
        <f aca="false">IF(RESET=1,0,T461+IF(H461=0,1,0))</f>
        <v>31</v>
      </c>
      <c r="U461" s="0" t="e">
        <f aca="false">IF(RESET=1,0,U461+H461)</f>
        <v>#N/A</v>
      </c>
      <c r="V461" s="10" t="n">
        <f aca="false">R461/(T461+0.00001)</f>
        <v>25.2942455103952</v>
      </c>
      <c r="W461" s="10" t="e">
        <f aca="false">S461/(U461+0.0001)</f>
        <v>#N/A</v>
      </c>
      <c r="X461" s="60" t="n">
        <f aca="false">IF(Informed=1,K461,0)</f>
        <v>0</v>
      </c>
      <c r="Y461" s="60" t="n">
        <f aca="false">IF(Informed=0,K461,0)</f>
        <v>0</v>
      </c>
      <c r="Z461" s="60" t="n">
        <f aca="false">IF(Informed=1,N461,0)</f>
        <v>0</v>
      </c>
      <c r="AA461" s="60" t="n">
        <f aca="false">IF(Informed=0,N461,0)</f>
        <v>23.9545916620759</v>
      </c>
      <c r="AB461" s="64" t="n">
        <f aca="false">IF(Arterial=0,IF(Informed=1,1,0),0)</f>
        <v>0</v>
      </c>
      <c r="AC461" s="64" t="n">
        <f aca="false">IF(Arterial=0,IF(Informed=0,1,0),0)</f>
        <v>0</v>
      </c>
      <c r="AD461" s="64" t="n">
        <f aca="false">IF(Arterial=1,IF(Informed=1,1,0),0)</f>
        <v>0</v>
      </c>
      <c r="AE461" s="64" t="n">
        <f aca="false">IF(Arterial=1,IF(Informed=0,1,0),0)</f>
        <v>1</v>
      </c>
      <c r="AF461" s="57" t="n">
        <f aca="false">IF(AB461=1,(X461-G$1030)^2,0)</f>
        <v>0</v>
      </c>
      <c r="AG461" s="57" t="n">
        <f aca="false">IF(AC461=1,(Y461-H$1030)^2,0)</f>
        <v>0</v>
      </c>
      <c r="AH461" s="57" t="n">
        <f aca="false">IF(AD461=1,(Z461-I$1030)^2,0)</f>
        <v>0</v>
      </c>
      <c r="AI461" s="57" t="n">
        <f aca="false">IF(AE461=1,(AA461-J$1030)^2,0)</f>
        <v>573.822461696795</v>
      </c>
    </row>
    <row r="462" customFormat="false" ht="12" hidden="false" customHeight="false" outlineLevel="0" collapsed="false">
      <c r="A462" s="5" t="n">
        <v>445</v>
      </c>
      <c r="B462" s="58" t="n">
        <f aca="true">IF(RAND()&lt;$D$8,1,0)</f>
        <v>1</v>
      </c>
      <c r="C462" s="47" t="n">
        <f aca="true">-LN(RAND())/$D$2</f>
        <v>0.47635634465532</v>
      </c>
      <c r="D462" s="59" t="n">
        <f aca="false">D461+C462</f>
        <v>428.167900411268</v>
      </c>
      <c r="E462" s="60" t="n">
        <f aca="false">MAX($D$3,(1+P461-VLOOKUP(VALUE(D462),$J$18:$Q461,7,TRUE()))*$D$3)</f>
        <v>24</v>
      </c>
      <c r="F462" s="60" t="n">
        <f aca="false">MAX($D$4,(1+Q461-VLOOKUP(VALUE(D462),$M$18:$Q461,5,TRUE()))*$D$4)</f>
        <v>26</v>
      </c>
      <c r="G462" s="61" t="n">
        <v>0.5</v>
      </c>
      <c r="H462" s="59" t="n">
        <f aca="true">IF((B462=1),(IF((F462&lt;E462),1,(IF((F462=E462),(IF(RAND()&lt;G462,1,0)),0)))),(IF((RAND()&lt;G462),1,0)))</f>
        <v>0</v>
      </c>
      <c r="I462" s="59" t="n">
        <f aca="true">IF((H462=1),0,$D$3+$D$5*(RAND()-0.5))</f>
        <v>1.81812796938715</v>
      </c>
      <c r="J462" s="59" t="n">
        <f aca="false">I462+MAX(D462,J461)</f>
        <v>450.605611982356</v>
      </c>
      <c r="K462" s="59" t="n">
        <f aca="false">IF((H462=0),J462-D462,0)</f>
        <v>22.437711571088</v>
      </c>
      <c r="L462" s="59" t="n">
        <f aca="true">IF(($H462=0),0,$D$4+$D$5*(RAND()-0.5))</f>
        <v>0</v>
      </c>
      <c r="M462" s="59" t="n">
        <f aca="false">L462+MAX(D462,M461)</f>
        <v>451.646135728688</v>
      </c>
      <c r="N462" s="59" t="n">
        <f aca="false">IF((H462=1),M462-D462,0)</f>
        <v>0</v>
      </c>
      <c r="O462" s="5" t="n">
        <v>445</v>
      </c>
      <c r="P462" s="62" t="n">
        <f aca="false">IF((Arterial=0),P461+1,P461)</f>
        <v>222</v>
      </c>
      <c r="Q462" s="62" t="n">
        <f aca="false">IF((Arterial=1),Q461+1,Q461)</f>
        <v>223</v>
      </c>
      <c r="R462" s="63" t="e">
        <f aca="false">IF((RESET=1),0,R462+K462)</f>
        <v>#N/A</v>
      </c>
      <c r="S462" s="10" t="n">
        <f aca="false">IF(RESET=1,0,S462+N462)</f>
        <v>620.798276431177</v>
      </c>
      <c r="T462" s="0" t="e">
        <f aca="false">IF(RESET=1,0,T462+IF(H462=0,1,0))</f>
        <v>#N/A</v>
      </c>
      <c r="U462" s="0" t="n">
        <f aca="false">IF(RESET=1,0,U462+H462)</f>
        <v>26</v>
      </c>
      <c r="V462" s="10" t="e">
        <f aca="false">R462/(T462+0.00001)</f>
        <v>#N/A</v>
      </c>
      <c r="W462" s="10" t="n">
        <f aca="false">S462/(U462+0.0001)</f>
        <v>23.8767649521032</v>
      </c>
      <c r="X462" s="60" t="n">
        <f aca="false">IF(Informed=1,K462,0)</f>
        <v>22.437711571088</v>
      </c>
      <c r="Y462" s="60" t="n">
        <f aca="false">IF(Informed=0,K462,0)</f>
        <v>0</v>
      </c>
      <c r="Z462" s="60" t="n">
        <f aca="false">IF(Informed=1,N462,0)</f>
        <v>0</v>
      </c>
      <c r="AA462" s="60" t="n">
        <f aca="false">IF(Informed=0,N462,0)</f>
        <v>0</v>
      </c>
      <c r="AB462" s="64" t="n">
        <f aca="false">IF(Arterial=0,IF(Informed=1,1,0),0)</f>
        <v>1</v>
      </c>
      <c r="AC462" s="64" t="n">
        <f aca="false">IF(Arterial=0,IF(Informed=0,1,0),0)</f>
        <v>0</v>
      </c>
      <c r="AD462" s="64" t="n">
        <f aca="false">IF(Arterial=1,IF(Informed=1,1,0),0)</f>
        <v>0</v>
      </c>
      <c r="AE462" s="64" t="n">
        <f aca="false">IF(Arterial=1,IF(Informed=0,1,0),0)</f>
        <v>0</v>
      </c>
      <c r="AF462" s="57" t="n">
        <f aca="false">IF(AB462=1,(X462-G$1030)^2,0)</f>
        <v>503.450900547337</v>
      </c>
      <c r="AG462" s="57" t="n">
        <f aca="false">IF(AC462=1,(Y462-H$1030)^2,0)</f>
        <v>0</v>
      </c>
      <c r="AH462" s="57" t="n">
        <f aca="false">IF(AD462=1,(Z462-I$1030)^2,0)</f>
        <v>0</v>
      </c>
      <c r="AI462" s="57" t="n">
        <f aca="false">IF(AE462=1,(AA462-J$1030)^2,0)</f>
        <v>0</v>
      </c>
    </row>
    <row r="463" customFormat="false" ht="12" hidden="false" customHeight="false" outlineLevel="0" collapsed="false">
      <c r="A463" s="5" t="n">
        <v>446</v>
      </c>
      <c r="B463" s="58" t="n">
        <f aca="true">IF(RAND()&lt;$D$8,1,0)</f>
        <v>0</v>
      </c>
      <c r="C463" s="47" t="n">
        <f aca="true">-LN(RAND())/$D$2</f>
        <v>0.503346261700894</v>
      </c>
      <c r="D463" s="59" t="n">
        <f aca="false">D462+C463</f>
        <v>428.671246672968</v>
      </c>
      <c r="E463" s="60" t="n">
        <f aca="false">MAX($D$3,(1+P462-VLOOKUP(VALUE(D463),$J$18:$Q462,7,TRUE()))*$D$3)</f>
        <v>26</v>
      </c>
      <c r="F463" s="60" t="n">
        <f aca="false">MAX($D$4,(1+Q462-VLOOKUP(VALUE(D463),$M$18:$Q462,5,TRUE()))*$D$4)</f>
        <v>26</v>
      </c>
      <c r="G463" s="61" t="n">
        <v>0.5</v>
      </c>
      <c r="H463" s="59" t="n">
        <f aca="true">IF((B463=1),(IF((F463&lt;E463),1,(IF((F463=E463),(IF(RAND()&lt;G463,1,0)),0)))),(IF((RAND()&lt;G463),1,0)))</f>
        <v>0</v>
      </c>
      <c r="I463" s="59" t="n">
        <f aca="true">IF((H463=1),0,$D$3+$D$5*(RAND()-0.5))</f>
        <v>1.79050430257761</v>
      </c>
      <c r="J463" s="59" t="n">
        <f aca="false">I463+MAX(D463,J462)</f>
        <v>452.396116284933</v>
      </c>
      <c r="K463" s="59" t="n">
        <f aca="false">IF((H463=0),J463-D463,0)</f>
        <v>23.7248696119648</v>
      </c>
      <c r="L463" s="59" t="n">
        <f aca="true">IF(($H463=0),0,$D$4+$D$5*(RAND()-0.5))</f>
        <v>0</v>
      </c>
      <c r="M463" s="59" t="n">
        <f aca="false">L463+MAX(D463,M462)</f>
        <v>451.646135728688</v>
      </c>
      <c r="N463" s="59" t="n">
        <f aca="false">IF((H463=1),M463-D463,0)</f>
        <v>0</v>
      </c>
      <c r="O463" s="5" t="n">
        <v>446</v>
      </c>
      <c r="P463" s="62" t="n">
        <f aca="false">IF((Arterial=0),P462+1,P462)</f>
        <v>223</v>
      </c>
      <c r="Q463" s="62" t="n">
        <f aca="false">IF((Arterial=1),Q462+1,Q462)</f>
        <v>223</v>
      </c>
      <c r="R463" s="63" t="e">
        <f aca="false">IF((RESET=1),0,R463+K463)</f>
        <v>#N/A</v>
      </c>
      <c r="S463" s="10" t="n">
        <f aca="false">IF(RESET=1,0,S463+N463)</f>
        <v>769.006017610474</v>
      </c>
      <c r="T463" s="0" t="e">
        <f aca="false">IF(RESET=1,0,T463+IF(H463=0,1,0))</f>
        <v>#N/A</v>
      </c>
      <c r="U463" s="0" t="n">
        <f aca="false">IF(RESET=1,0,U463+H463)</f>
        <v>29</v>
      </c>
      <c r="V463" s="10" t="e">
        <f aca="false">R463/(T463+0.00001)</f>
        <v>#N/A</v>
      </c>
      <c r="W463" s="10" t="n">
        <f aca="false">S463/(U463+0.0001)</f>
        <v>26.5173574439562</v>
      </c>
      <c r="X463" s="60" t="n">
        <f aca="false">IF(Informed=1,K463,0)</f>
        <v>0</v>
      </c>
      <c r="Y463" s="60" t="n">
        <f aca="false">IF(Informed=0,K463,0)</f>
        <v>23.7248696119648</v>
      </c>
      <c r="Z463" s="60" t="n">
        <f aca="false">IF(Informed=1,N463,0)</f>
        <v>0</v>
      </c>
      <c r="AA463" s="60" t="n">
        <f aca="false">IF(Informed=0,N463,0)</f>
        <v>0</v>
      </c>
      <c r="AB463" s="64" t="n">
        <f aca="false">IF(Arterial=0,IF(Informed=1,1,0),0)</f>
        <v>0</v>
      </c>
      <c r="AC463" s="64" t="n">
        <f aca="false">IF(Arterial=0,IF(Informed=0,1,0),0)</f>
        <v>1</v>
      </c>
      <c r="AD463" s="64" t="n">
        <f aca="false">IF(Arterial=1,IF(Informed=1,1,0),0)</f>
        <v>0</v>
      </c>
      <c r="AE463" s="64" t="n">
        <f aca="false">IF(Arterial=1,IF(Informed=0,1,0),0)</f>
        <v>0</v>
      </c>
      <c r="AF463" s="57" t="n">
        <f aca="false">IF(AB463=1,(X463-G$1030)^2,0)</f>
        <v>0</v>
      </c>
      <c r="AG463" s="57" t="n">
        <f aca="false">IF(AC463=1,(Y463-H$1030)^2,0)</f>
        <v>562.86943810473</v>
      </c>
      <c r="AH463" s="57" t="n">
        <f aca="false">IF(AD463=1,(Z463-I$1030)^2,0)</f>
        <v>0</v>
      </c>
      <c r="AI463" s="57" t="n">
        <f aca="false">IF(AE463=1,(AA463-J$1030)^2,0)</f>
        <v>0</v>
      </c>
    </row>
    <row r="464" customFormat="false" ht="12" hidden="false" customHeight="false" outlineLevel="0" collapsed="false">
      <c r="A464" s="5" t="n">
        <v>447</v>
      </c>
      <c r="B464" s="58" t="n">
        <f aca="true">IF(RAND()&lt;$D$8,1,0)</f>
        <v>0</v>
      </c>
      <c r="C464" s="47" t="n">
        <f aca="true">-LN(RAND())/$D$2</f>
        <v>1.26768635802742</v>
      </c>
      <c r="D464" s="59" t="n">
        <f aca="false">D463+C464</f>
        <v>429.938933030996</v>
      </c>
      <c r="E464" s="60" t="n">
        <f aca="false">MAX($D$3,(1+P463-VLOOKUP(VALUE(D464),$J$18:$Q463,7,TRUE()))*$D$3)</f>
        <v>26</v>
      </c>
      <c r="F464" s="60" t="n">
        <f aca="false">MAX($D$4,(1+Q463-VLOOKUP(VALUE(D464),$M$18:$Q463,5,TRUE()))*$D$4)</f>
        <v>26</v>
      </c>
      <c r="G464" s="61" t="n">
        <v>0.5</v>
      </c>
      <c r="H464" s="59" t="n">
        <f aca="true">IF((B464=1),(IF((F464&lt;E464),1,(IF((F464=E464),(IF(RAND()&lt;G464,1,0)),0)))),(IF((RAND()&lt;G464),1,0)))</f>
        <v>0</v>
      </c>
      <c r="I464" s="59" t="n">
        <f aca="true">IF((H464=1),0,$D$3+$D$5*(RAND()-0.5))</f>
        <v>2.15756660244558</v>
      </c>
      <c r="J464" s="59" t="n">
        <f aca="false">I464+MAX(D464,J463)</f>
        <v>454.553682887379</v>
      </c>
      <c r="K464" s="59" t="n">
        <f aca="false">IF((H464=0),J464-D464,0)</f>
        <v>24.6147498563829</v>
      </c>
      <c r="L464" s="59" t="n">
        <f aca="true">IF(($H464=0),0,$D$4+$D$5*(RAND()-0.5))</f>
        <v>0</v>
      </c>
      <c r="M464" s="59" t="n">
        <f aca="false">L464+MAX(D464,M463)</f>
        <v>451.646135728688</v>
      </c>
      <c r="N464" s="59" t="n">
        <f aca="false">IF((H464=1),M464-D464,0)</f>
        <v>0</v>
      </c>
      <c r="O464" s="5" t="n">
        <v>447</v>
      </c>
      <c r="P464" s="62" t="n">
        <f aca="false">IF((Arterial=0),P463+1,P463)</f>
        <v>224</v>
      </c>
      <c r="Q464" s="62" t="n">
        <f aca="false">IF((Arterial=1),Q463+1,Q463)</f>
        <v>223</v>
      </c>
      <c r="R464" s="63" t="e">
        <f aca="false">IF((RESET=1),0,R464+K464)</f>
        <v>#N/A</v>
      </c>
      <c r="S464" s="10" t="n">
        <f aca="false">IF(RESET=1,0,S464+N464)</f>
        <v>609.741435045666</v>
      </c>
      <c r="T464" s="0" t="e">
        <f aca="false">IF(RESET=1,0,T464+IF(H464=0,1,0))</f>
        <v>#N/A</v>
      </c>
      <c r="U464" s="0" t="n">
        <f aca="false">IF(RESET=1,0,U464+H464)</f>
        <v>28</v>
      </c>
      <c r="V464" s="10" t="e">
        <f aca="false">R464/(T464+0.00001)</f>
        <v>#N/A</v>
      </c>
      <c r="W464" s="10" t="n">
        <f aca="false">S464/(U464+0.0001)</f>
        <v>21.776402050195</v>
      </c>
      <c r="X464" s="60" t="n">
        <f aca="false">IF(Informed=1,K464,0)</f>
        <v>0</v>
      </c>
      <c r="Y464" s="60" t="n">
        <f aca="false">IF(Informed=0,K464,0)</f>
        <v>24.6147498563829</v>
      </c>
      <c r="Z464" s="60" t="n">
        <f aca="false">IF(Informed=1,N464,0)</f>
        <v>0</v>
      </c>
      <c r="AA464" s="60" t="n">
        <f aca="false">IF(Informed=0,N464,0)</f>
        <v>0</v>
      </c>
      <c r="AB464" s="64" t="n">
        <f aca="false">IF(Arterial=0,IF(Informed=1,1,0),0)</f>
        <v>0</v>
      </c>
      <c r="AC464" s="64" t="n">
        <f aca="false">IF(Arterial=0,IF(Informed=0,1,0),0)</f>
        <v>1</v>
      </c>
      <c r="AD464" s="64" t="n">
        <f aca="false">IF(Arterial=1,IF(Informed=1,1,0),0)</f>
        <v>0</v>
      </c>
      <c r="AE464" s="64" t="n">
        <f aca="false">IF(Arterial=1,IF(Informed=0,1,0),0)</f>
        <v>0</v>
      </c>
      <c r="AF464" s="57" t="n">
        <f aca="false">IF(AB464=1,(X464-G$1030)^2,0)</f>
        <v>0</v>
      </c>
      <c r="AG464" s="57" t="n">
        <f aca="false">IF(AC464=1,(Y464-H$1030)^2,0)</f>
        <v>605.885910492302</v>
      </c>
      <c r="AH464" s="57" t="n">
        <f aca="false">IF(AD464=1,(Z464-I$1030)^2,0)</f>
        <v>0</v>
      </c>
      <c r="AI464" s="57" t="n">
        <f aca="false">IF(AE464=1,(AA464-J$1030)^2,0)</f>
        <v>0</v>
      </c>
    </row>
    <row r="465" customFormat="false" ht="12" hidden="false" customHeight="false" outlineLevel="0" collapsed="false">
      <c r="A465" s="5" t="n">
        <v>448</v>
      </c>
      <c r="B465" s="58" t="n">
        <f aca="true">IF(RAND()&lt;$D$8,1,0)</f>
        <v>0</v>
      </c>
      <c r="C465" s="47" t="n">
        <f aca="true">-LN(RAND())/$D$2</f>
        <v>1.83734942797108</v>
      </c>
      <c r="D465" s="59" t="n">
        <f aca="false">D464+C465</f>
        <v>431.776282458967</v>
      </c>
      <c r="E465" s="60" t="n">
        <f aca="false">MAX($D$3,(1+P464-VLOOKUP(VALUE(D465),$J$18:$Q464,7,TRUE()))*$D$3)</f>
        <v>26</v>
      </c>
      <c r="F465" s="60" t="n">
        <f aca="false">MAX($D$4,(1+Q464-VLOOKUP(VALUE(D465),$M$18:$Q464,5,TRUE()))*$D$4)</f>
        <v>24</v>
      </c>
      <c r="G465" s="61" t="n">
        <v>0.5</v>
      </c>
      <c r="H465" s="59" t="n">
        <f aca="true">IF((B465=1),(IF((F465&lt;E465),1,(IF((F465=E465),(IF(RAND()&lt;G465,1,0)),0)))),(IF((RAND()&lt;G465),1,0)))</f>
        <v>0</v>
      </c>
      <c r="I465" s="59" t="n">
        <f aca="true">IF((H465=1),0,$D$3+$D$5*(RAND()-0.5))</f>
        <v>2.11284025429624</v>
      </c>
      <c r="J465" s="59" t="n">
        <f aca="false">I465+MAX(D465,J464)</f>
        <v>456.666523141675</v>
      </c>
      <c r="K465" s="59" t="n">
        <f aca="false">IF((H465=0),J465-D465,0)</f>
        <v>24.8902406827081</v>
      </c>
      <c r="L465" s="59" t="n">
        <f aca="true">IF(($H465=0),0,$D$4+$D$5*(RAND()-0.5))</f>
        <v>0</v>
      </c>
      <c r="M465" s="59" t="n">
        <f aca="false">L465+MAX(D465,M464)</f>
        <v>451.646135728688</v>
      </c>
      <c r="N465" s="59" t="n">
        <f aca="false">IF((H465=1),M465-D465,0)</f>
        <v>0</v>
      </c>
      <c r="O465" s="5" t="n">
        <v>448</v>
      </c>
      <c r="P465" s="62" t="n">
        <f aca="false">IF((Arterial=0),P464+1,P464)</f>
        <v>225</v>
      </c>
      <c r="Q465" s="62" t="n">
        <f aca="false">IF((Arterial=1),Q464+1,Q464)</f>
        <v>223</v>
      </c>
      <c r="R465" s="63" t="e">
        <f aca="false">IF((RESET=1),0,R465+K465)</f>
        <v>#N/A</v>
      </c>
      <c r="S465" s="10" t="n">
        <f aca="false">IF(RESET=1,0,S465+N465)</f>
        <v>485.306468039129</v>
      </c>
      <c r="T465" s="0" t="e">
        <f aca="false">IF(RESET=1,0,T465+IF(H465=0,1,0))</f>
        <v>#N/A</v>
      </c>
      <c r="U465" s="0" t="n">
        <f aca="false">IF(RESET=1,0,U465+H465)</f>
        <v>20</v>
      </c>
      <c r="V465" s="10" t="e">
        <f aca="false">R465/(T465+0.00001)</f>
        <v>#N/A</v>
      </c>
      <c r="W465" s="10" t="n">
        <f aca="false">S465/(U465+0.0001)</f>
        <v>24.2652020759461</v>
      </c>
      <c r="X465" s="60" t="n">
        <f aca="false">IF(Informed=1,K465,0)</f>
        <v>0</v>
      </c>
      <c r="Y465" s="60" t="n">
        <f aca="false">IF(Informed=0,K465,0)</f>
        <v>24.8902406827081</v>
      </c>
      <c r="Z465" s="60" t="n">
        <f aca="false">IF(Informed=1,N465,0)</f>
        <v>0</v>
      </c>
      <c r="AA465" s="60" t="n">
        <f aca="false">IF(Informed=0,N465,0)</f>
        <v>0</v>
      </c>
      <c r="AB465" s="64" t="n">
        <f aca="false">IF(Arterial=0,IF(Informed=1,1,0),0)</f>
        <v>0</v>
      </c>
      <c r="AC465" s="64" t="n">
        <f aca="false">IF(Arterial=0,IF(Informed=0,1,0),0)</f>
        <v>1</v>
      </c>
      <c r="AD465" s="64" t="n">
        <f aca="false">IF(Arterial=1,IF(Informed=1,1,0),0)</f>
        <v>0</v>
      </c>
      <c r="AE465" s="64" t="n">
        <f aca="false">IF(Arterial=1,IF(Informed=0,1,0),0)</f>
        <v>0</v>
      </c>
      <c r="AF465" s="57" t="n">
        <f aca="false">IF(AB465=1,(X465-G$1030)^2,0)</f>
        <v>0</v>
      </c>
      <c r="AG465" s="57" t="n">
        <f aca="false">IF(AC465=1,(Y465-H$1030)^2,0)</f>
        <v>619.524081243135</v>
      </c>
      <c r="AH465" s="57" t="n">
        <f aca="false">IF(AD465=1,(Z465-I$1030)^2,0)</f>
        <v>0</v>
      </c>
      <c r="AI465" s="57" t="n">
        <f aca="false">IF(AE465=1,(AA465-J$1030)^2,0)</f>
        <v>0</v>
      </c>
    </row>
    <row r="466" customFormat="false" ht="12" hidden="false" customHeight="false" outlineLevel="0" collapsed="false">
      <c r="A466" s="5" t="n">
        <v>449</v>
      </c>
      <c r="B466" s="58" t="n">
        <f aca="true">IF(RAND()&lt;$D$8,1,0)</f>
        <v>0</v>
      </c>
      <c r="C466" s="47" t="n">
        <f aca="true">-LN(RAND())/$D$2</f>
        <v>1.09269912869948</v>
      </c>
      <c r="D466" s="59" t="n">
        <f aca="false">D465+C466</f>
        <v>432.868981587666</v>
      </c>
      <c r="E466" s="60" t="n">
        <f aca="false">MAX($D$3,(1+P465-VLOOKUP(VALUE(D466),$J$18:$Q465,7,TRUE()))*$D$3)</f>
        <v>26</v>
      </c>
      <c r="F466" s="60" t="n">
        <f aca="false">MAX($D$4,(1+Q465-VLOOKUP(VALUE(D466),$M$18:$Q465,5,TRUE()))*$D$4)</f>
        <v>22</v>
      </c>
      <c r="G466" s="61" t="n">
        <v>0.5</v>
      </c>
      <c r="H466" s="59" t="n">
        <f aca="true">IF((B466=1),(IF((F466&lt;E466),1,(IF((F466=E466),(IF(RAND()&lt;G466,1,0)),0)))),(IF((RAND()&lt;G466),1,0)))</f>
        <v>0</v>
      </c>
      <c r="I466" s="59" t="n">
        <f aca="true">IF((H466=1),0,$D$3+$D$5*(RAND()-0.5))</f>
        <v>2.12128891192165</v>
      </c>
      <c r="J466" s="59" t="n">
        <f aca="false">I466+MAX(D466,J465)</f>
        <v>458.787812053597</v>
      </c>
      <c r="K466" s="59" t="n">
        <f aca="false">IF((H466=0),J466-D466,0)</f>
        <v>25.9188304659302</v>
      </c>
      <c r="L466" s="59" t="n">
        <f aca="true">IF(($H466=0),0,$D$4+$D$5*(RAND()-0.5))</f>
        <v>0</v>
      </c>
      <c r="M466" s="59" t="n">
        <f aca="false">L466+MAX(D466,M465)</f>
        <v>451.646135728688</v>
      </c>
      <c r="N466" s="59" t="n">
        <f aca="false">IF((H466=1),M466-D466,0)</f>
        <v>0</v>
      </c>
      <c r="O466" s="5" t="n">
        <v>449</v>
      </c>
      <c r="P466" s="62" t="n">
        <f aca="false">IF((Arterial=0),P465+1,P465)</f>
        <v>226</v>
      </c>
      <c r="Q466" s="62" t="n">
        <f aca="false">IF((Arterial=1),Q465+1,Q465)</f>
        <v>223</v>
      </c>
      <c r="R466" s="63" t="e">
        <f aca="false">IF((RESET=1),0,R466+K466)</f>
        <v>#N/A</v>
      </c>
      <c r="S466" s="10" t="n">
        <f aca="false">IF(RESET=1,0,S466+N466)</f>
        <v>799.364183100533</v>
      </c>
      <c r="T466" s="0" t="e">
        <f aca="false">IF(RESET=1,0,T466+IF(H466=0,1,0))</f>
        <v>#N/A</v>
      </c>
      <c r="U466" s="0" t="n">
        <f aca="false">IF(RESET=1,0,U466+H466)</f>
        <v>33</v>
      </c>
      <c r="V466" s="10" t="e">
        <f aca="false">R466/(T466+0.00001)</f>
        <v>#N/A</v>
      </c>
      <c r="W466" s="10" t="n">
        <f aca="false">S466/(U466+0.0001)</f>
        <v>24.2230836603687</v>
      </c>
      <c r="X466" s="60" t="n">
        <f aca="false">IF(Informed=1,K466,0)</f>
        <v>0</v>
      </c>
      <c r="Y466" s="60" t="n">
        <f aca="false">IF(Informed=0,K466,0)</f>
        <v>25.9188304659302</v>
      </c>
      <c r="Z466" s="60" t="n">
        <f aca="false">IF(Informed=1,N466,0)</f>
        <v>0</v>
      </c>
      <c r="AA466" s="60" t="n">
        <f aca="false">IF(Informed=0,N466,0)</f>
        <v>0</v>
      </c>
      <c r="AB466" s="64" t="n">
        <f aca="false">IF(Arterial=0,IF(Informed=1,1,0),0)</f>
        <v>0</v>
      </c>
      <c r="AC466" s="64" t="n">
        <f aca="false">IF(Arterial=0,IF(Informed=0,1,0),0)</f>
        <v>1</v>
      </c>
      <c r="AD466" s="64" t="n">
        <f aca="false">IF(Arterial=1,IF(Informed=1,1,0),0)</f>
        <v>0</v>
      </c>
      <c r="AE466" s="64" t="n">
        <f aca="false">IF(Arterial=1,IF(Informed=0,1,0),0)</f>
        <v>0</v>
      </c>
      <c r="AF466" s="57" t="n">
        <f aca="false">IF(AB466=1,(X466-G$1030)^2,0)</f>
        <v>0</v>
      </c>
      <c r="AG466" s="57" t="n">
        <f aca="false">IF(AC466=1,(Y466-H$1030)^2,0)</f>
        <v>671.785772721633</v>
      </c>
      <c r="AH466" s="57" t="n">
        <f aca="false">IF(AD466=1,(Z466-I$1030)^2,0)</f>
        <v>0</v>
      </c>
      <c r="AI466" s="57" t="n">
        <f aca="false">IF(AE466=1,(AA466-J$1030)^2,0)</f>
        <v>0</v>
      </c>
    </row>
    <row r="467" customFormat="false" ht="12" hidden="false" customHeight="false" outlineLevel="0" collapsed="false">
      <c r="A467" s="5" t="n">
        <v>450</v>
      </c>
      <c r="B467" s="58" t="n">
        <f aca="true">IF(RAND()&lt;$D$8,1,0)</f>
        <v>0</v>
      </c>
      <c r="C467" s="47" t="n">
        <f aca="true">-LN(RAND())/$D$2</f>
        <v>1.60869561768394</v>
      </c>
      <c r="D467" s="59" t="n">
        <f aca="false">D466+C467</f>
        <v>434.47767720535</v>
      </c>
      <c r="E467" s="60" t="n">
        <f aca="false">MAX($D$3,(1+P466-VLOOKUP(VALUE(D467),$J$18:$Q466,7,TRUE()))*$D$3)</f>
        <v>28</v>
      </c>
      <c r="F467" s="60" t="n">
        <f aca="false">MAX($D$4,(1+Q466-VLOOKUP(VALUE(D467),$M$18:$Q466,5,TRUE()))*$D$4)</f>
        <v>20</v>
      </c>
      <c r="G467" s="61" t="n">
        <v>0.5</v>
      </c>
      <c r="H467" s="59" t="n">
        <f aca="true">IF((B467=1),(IF((F467&lt;E467),1,(IF((F467=E467),(IF(RAND()&lt;G467,1,0)),0)))),(IF((RAND()&lt;G467),1,0)))</f>
        <v>0</v>
      </c>
      <c r="I467" s="59" t="n">
        <f aca="true">IF((H467=1),0,$D$3+$D$5*(RAND()-0.5))</f>
        <v>2.04816346944727</v>
      </c>
      <c r="J467" s="59" t="n">
        <f aca="false">I467+MAX(D467,J466)</f>
        <v>460.835975523044</v>
      </c>
      <c r="K467" s="59" t="n">
        <f aca="false">IF((H467=0),J467-D467,0)</f>
        <v>26.3582983176935</v>
      </c>
      <c r="L467" s="59" t="n">
        <f aca="true">IF(($H467=0),0,$D$4+$D$5*(RAND()-0.5))</f>
        <v>0</v>
      </c>
      <c r="M467" s="59" t="n">
        <f aca="false">L467+MAX(D467,M466)</f>
        <v>451.646135728688</v>
      </c>
      <c r="N467" s="59" t="n">
        <f aca="false">IF((H467=1),M467-D467,0)</f>
        <v>0</v>
      </c>
      <c r="O467" s="5" t="n">
        <v>450</v>
      </c>
      <c r="P467" s="62" t="n">
        <f aca="false">IF((Arterial=0),P466+1,P466)</f>
        <v>227</v>
      </c>
      <c r="Q467" s="62" t="n">
        <f aca="false">IF((Arterial=1),Q466+1,Q466)</f>
        <v>223</v>
      </c>
      <c r="R467" s="63" t="e">
        <f aca="false">IF((RESET=1),0,R467+K467)</f>
        <v>#N/A</v>
      </c>
      <c r="S467" s="10" t="n">
        <f aca="false">IF(RESET=1,0,S467+N467)</f>
        <v>630.921291695194</v>
      </c>
      <c r="T467" s="0" t="e">
        <f aca="false">IF(RESET=1,0,T467+IF(H467=0,1,0))</f>
        <v>#N/A</v>
      </c>
      <c r="U467" s="0" t="n">
        <f aca="false">IF(RESET=1,0,U467+H467)</f>
        <v>29</v>
      </c>
      <c r="V467" s="10" t="e">
        <f aca="false">R467/(T467+0.00001)</f>
        <v>#N/A</v>
      </c>
      <c r="W467" s="10" t="n">
        <f aca="false">S467/(U467+0.0001)</f>
        <v>21.7558315900702</v>
      </c>
      <c r="X467" s="60" t="n">
        <f aca="false">IF(Informed=1,K467,0)</f>
        <v>0</v>
      </c>
      <c r="Y467" s="60" t="n">
        <f aca="false">IF(Informed=0,K467,0)</f>
        <v>26.3582983176935</v>
      </c>
      <c r="Z467" s="60" t="n">
        <f aca="false">IF(Informed=1,N467,0)</f>
        <v>0</v>
      </c>
      <c r="AA467" s="60" t="n">
        <f aca="false">IF(Informed=0,N467,0)</f>
        <v>0</v>
      </c>
      <c r="AB467" s="64" t="n">
        <f aca="false">IF(Arterial=0,IF(Informed=1,1,0),0)</f>
        <v>0</v>
      </c>
      <c r="AC467" s="64" t="n">
        <f aca="false">IF(Arterial=0,IF(Informed=0,1,0),0)</f>
        <v>1</v>
      </c>
      <c r="AD467" s="64" t="n">
        <f aca="false">IF(Arterial=1,IF(Informed=1,1,0),0)</f>
        <v>0</v>
      </c>
      <c r="AE467" s="64" t="n">
        <f aca="false">IF(Arterial=1,IF(Informed=0,1,0),0)</f>
        <v>0</v>
      </c>
      <c r="AF467" s="57" t="n">
        <f aca="false">IF(AB467=1,(X467-G$1030)^2,0)</f>
        <v>0</v>
      </c>
      <c r="AG467" s="57" t="n">
        <f aca="false">IF(AC467=1,(Y467-H$1030)^2,0)</f>
        <v>694.759890204526</v>
      </c>
      <c r="AH467" s="57" t="n">
        <f aca="false">IF(AD467=1,(Z467-I$1030)^2,0)</f>
        <v>0</v>
      </c>
      <c r="AI467" s="57" t="n">
        <f aca="false">IF(AE467=1,(AA467-J$1030)^2,0)</f>
        <v>0</v>
      </c>
    </row>
    <row r="468" customFormat="false" ht="12" hidden="false" customHeight="false" outlineLevel="0" collapsed="false">
      <c r="A468" s="5" t="n">
        <v>451</v>
      </c>
      <c r="B468" s="58" t="n">
        <f aca="true">IF(RAND()&lt;$D$8,1,0)</f>
        <v>1</v>
      </c>
      <c r="C468" s="47" t="n">
        <f aca="true">-LN(RAND())/$D$2</f>
        <v>0.569852270903394</v>
      </c>
      <c r="D468" s="59" t="n">
        <f aca="false">D467+C468</f>
        <v>435.047529476254</v>
      </c>
      <c r="E468" s="60" t="n">
        <f aca="false">MAX($D$3,(1+P467-VLOOKUP(VALUE(D468),$J$18:$Q467,7,TRUE()))*$D$3)</f>
        <v>30</v>
      </c>
      <c r="F468" s="60" t="n">
        <f aca="false">MAX($D$4,(1+Q467-VLOOKUP(VALUE(D468),$M$18:$Q467,5,TRUE()))*$D$4)</f>
        <v>20</v>
      </c>
      <c r="G468" s="61" t="n">
        <v>0.5</v>
      </c>
      <c r="H468" s="59" t="n">
        <f aca="true">IF((B468=1),(IF((F468&lt;E468),1,(IF((F468=E468),(IF(RAND()&lt;G468,1,0)),0)))),(IF((RAND()&lt;G468),1,0)))</f>
        <v>1</v>
      </c>
      <c r="I468" s="59" t="n">
        <f aca="true">IF((H468=1),0,$D$3+$D$5*(RAND()-0.5))</f>
        <v>0</v>
      </c>
      <c r="J468" s="59" t="n">
        <f aca="false">I468+MAX(D468,J467)</f>
        <v>460.835975523044</v>
      </c>
      <c r="K468" s="59" t="n">
        <f aca="false">IF((H468=0),J468-D468,0)</f>
        <v>0</v>
      </c>
      <c r="L468" s="59" t="n">
        <f aca="true">IF(($H468=0),0,$D$4+$D$5*(RAND()-0.5))</f>
        <v>1.80211665407305</v>
      </c>
      <c r="M468" s="59" t="n">
        <f aca="false">L468+MAX(D468,M467)</f>
        <v>453.448252382761</v>
      </c>
      <c r="N468" s="59" t="n">
        <f aca="false">IF((H468=1),M468-D468,0)</f>
        <v>18.4007229065074</v>
      </c>
      <c r="O468" s="5" t="n">
        <v>451</v>
      </c>
      <c r="P468" s="62" t="n">
        <f aca="false">IF((Arterial=0),P467+1,P467)</f>
        <v>227</v>
      </c>
      <c r="Q468" s="62" t="n">
        <f aca="false">IF((Arterial=1),Q467+1,Q467)</f>
        <v>224</v>
      </c>
      <c r="R468" s="63" t="n">
        <f aca="false">IF((RESET=1),0,R468+K468)</f>
        <v>621.15140591089</v>
      </c>
      <c r="S468" s="10" t="e">
        <f aca="false">IF(RESET=1,0,S468+N468)</f>
        <v>#N/A</v>
      </c>
      <c r="T468" s="0" t="n">
        <f aca="false">IF(RESET=1,0,T468+IF(H468=0,1,0))</f>
        <v>27</v>
      </c>
      <c r="U468" s="0" t="e">
        <f aca="false">IF(RESET=1,0,U468+H468)</f>
        <v>#N/A</v>
      </c>
      <c r="V468" s="10" t="n">
        <f aca="false">R468/(T468+0.00001)</f>
        <v>23.005599105737</v>
      </c>
      <c r="W468" s="10" t="e">
        <f aca="false">S468/(U468+0.0001)</f>
        <v>#N/A</v>
      </c>
      <c r="X468" s="60" t="n">
        <f aca="false">IF(Informed=1,K468,0)</f>
        <v>0</v>
      </c>
      <c r="Y468" s="60" t="n">
        <f aca="false">IF(Informed=0,K468,0)</f>
        <v>0</v>
      </c>
      <c r="Z468" s="60" t="n">
        <f aca="false">IF(Informed=1,N468,0)</f>
        <v>18.4007229065074</v>
      </c>
      <c r="AA468" s="60" t="n">
        <f aca="false">IF(Informed=0,N468,0)</f>
        <v>0</v>
      </c>
      <c r="AB468" s="64" t="n">
        <f aca="false">IF(Arterial=0,IF(Informed=1,1,0),0)</f>
        <v>0</v>
      </c>
      <c r="AC468" s="64" t="n">
        <f aca="false">IF(Arterial=0,IF(Informed=0,1,0),0)</f>
        <v>0</v>
      </c>
      <c r="AD468" s="64" t="n">
        <f aca="false">IF(Arterial=1,IF(Informed=1,1,0),0)</f>
        <v>1</v>
      </c>
      <c r="AE468" s="64" t="n">
        <f aca="false">IF(Arterial=1,IF(Informed=0,1,0),0)</f>
        <v>0</v>
      </c>
      <c r="AF468" s="57" t="n">
        <f aca="false">IF(AB468=1,(X468-G$1030)^2,0)</f>
        <v>0</v>
      </c>
      <c r="AG468" s="57" t="n">
        <f aca="false">IF(AC468=1,(Y468-H$1030)^2,0)</f>
        <v>0</v>
      </c>
      <c r="AH468" s="57" t="n">
        <f aca="false">IF(AD468=1,(Z468-I$1030)^2,0)</f>
        <v>338.586603482068</v>
      </c>
      <c r="AI468" s="57" t="n">
        <f aca="false">IF(AE468=1,(AA468-J$1030)^2,0)</f>
        <v>0</v>
      </c>
    </row>
    <row r="469" customFormat="false" ht="12" hidden="false" customHeight="false" outlineLevel="0" collapsed="false">
      <c r="A469" s="5" t="n">
        <v>452</v>
      </c>
      <c r="B469" s="58" t="n">
        <f aca="true">IF(RAND()&lt;$D$8,1,0)</f>
        <v>1</v>
      </c>
      <c r="C469" s="47" t="n">
        <f aca="true">-LN(RAND())/$D$2</f>
        <v>0.184986520852899</v>
      </c>
      <c r="D469" s="59" t="n">
        <f aca="false">D468+C469</f>
        <v>435.232515997107</v>
      </c>
      <c r="E469" s="60" t="n">
        <f aca="false">MAX($D$3,(1+P468-VLOOKUP(VALUE(D469),$J$18:$Q468,7,TRUE()))*$D$3)</f>
        <v>28</v>
      </c>
      <c r="F469" s="60" t="n">
        <f aca="false">MAX($D$4,(1+Q468-VLOOKUP(VALUE(D469),$M$18:$Q468,5,TRUE()))*$D$4)</f>
        <v>22</v>
      </c>
      <c r="G469" s="61" t="n">
        <v>0.5</v>
      </c>
      <c r="H469" s="59" t="n">
        <f aca="true">IF((B469=1),(IF((F469&lt;E469),1,(IF((F469=E469),(IF(RAND()&lt;G469,1,0)),0)))),(IF((RAND()&lt;G469),1,0)))</f>
        <v>1</v>
      </c>
      <c r="I469" s="59" t="n">
        <f aca="true">IF((H469=1),0,$D$3+$D$5*(RAND()-0.5))</f>
        <v>0</v>
      </c>
      <c r="J469" s="59" t="n">
        <f aca="false">I469+MAX(D469,J468)</f>
        <v>460.835975523044</v>
      </c>
      <c r="K469" s="59" t="n">
        <f aca="false">IF((H469=0),J469-D469,0)</f>
        <v>0</v>
      </c>
      <c r="L469" s="59" t="n">
        <f aca="true">IF(($H469=0),0,$D$4+$D$5*(RAND()-0.5))</f>
        <v>1.94322093287192</v>
      </c>
      <c r="M469" s="59" t="n">
        <f aca="false">L469+MAX(D469,M468)</f>
        <v>455.391473315633</v>
      </c>
      <c r="N469" s="59" t="n">
        <f aca="false">IF((H469=1),M469-D469,0)</f>
        <v>20.1589573185265</v>
      </c>
      <c r="O469" s="5" t="n">
        <v>452</v>
      </c>
      <c r="P469" s="62" t="n">
        <f aca="false">IF((Arterial=0),P468+1,P468)</f>
        <v>227</v>
      </c>
      <c r="Q469" s="62" t="n">
        <f aca="false">IF((Arterial=1),Q468+1,Q468)</f>
        <v>225</v>
      </c>
      <c r="R469" s="63" t="n">
        <f aca="false">IF((RESET=1),0,R469+K469)</f>
        <v>689.030379832279</v>
      </c>
      <c r="S469" s="10" t="e">
        <f aca="false">IF(RESET=1,0,S469+N469)</f>
        <v>#N/A</v>
      </c>
      <c r="T469" s="0" t="n">
        <f aca="false">IF(RESET=1,0,T469+IF(H469=0,1,0))</f>
        <v>28</v>
      </c>
      <c r="U469" s="0" t="e">
        <f aca="false">IF(RESET=1,0,U469+H469)</f>
        <v>#N/A</v>
      </c>
      <c r="V469" s="10" t="n">
        <f aca="false">R469/(T469+0.00001)</f>
        <v>24.6082190625031</v>
      </c>
      <c r="W469" s="10" t="e">
        <f aca="false">S469/(U469+0.0001)</f>
        <v>#N/A</v>
      </c>
      <c r="X469" s="60" t="n">
        <f aca="false">IF(Informed=1,K469,0)</f>
        <v>0</v>
      </c>
      <c r="Y469" s="60" t="n">
        <f aca="false">IF(Informed=0,K469,0)</f>
        <v>0</v>
      </c>
      <c r="Z469" s="60" t="n">
        <f aca="false">IF(Informed=1,N469,0)</f>
        <v>20.1589573185265</v>
      </c>
      <c r="AA469" s="60" t="n">
        <f aca="false">IF(Informed=0,N469,0)</f>
        <v>0</v>
      </c>
      <c r="AB469" s="64" t="n">
        <f aca="false">IF(Arterial=0,IF(Informed=1,1,0),0)</f>
        <v>0</v>
      </c>
      <c r="AC469" s="64" t="n">
        <f aca="false">IF(Arterial=0,IF(Informed=0,1,0),0)</f>
        <v>0</v>
      </c>
      <c r="AD469" s="64" t="n">
        <f aca="false">IF(Arterial=1,IF(Informed=1,1,0),0)</f>
        <v>1</v>
      </c>
      <c r="AE469" s="64" t="n">
        <f aca="false">IF(Arterial=1,IF(Informed=0,1,0),0)</f>
        <v>0</v>
      </c>
      <c r="AF469" s="57" t="n">
        <f aca="false">IF(AB469=1,(X469-G$1030)^2,0)</f>
        <v>0</v>
      </c>
      <c r="AG469" s="57" t="n">
        <f aca="false">IF(AC469=1,(Y469-H$1030)^2,0)</f>
        <v>0</v>
      </c>
      <c r="AH469" s="57" t="n">
        <f aca="false">IF(AD469=1,(Z469-I$1030)^2,0)</f>
        <v>406.383560170174</v>
      </c>
      <c r="AI469" s="57" t="n">
        <f aca="false">IF(AE469=1,(AA469-J$1030)^2,0)</f>
        <v>0</v>
      </c>
    </row>
    <row r="470" customFormat="false" ht="12" hidden="false" customHeight="false" outlineLevel="0" collapsed="false">
      <c r="A470" s="5" t="n">
        <v>453</v>
      </c>
      <c r="B470" s="58" t="n">
        <f aca="true">IF(RAND()&lt;$D$8,1,0)</f>
        <v>0</v>
      </c>
      <c r="C470" s="47" t="n">
        <f aca="true">-LN(RAND())/$D$2</f>
        <v>0.41474822354272</v>
      </c>
      <c r="D470" s="59" t="n">
        <f aca="false">D469+C470</f>
        <v>435.647264220649</v>
      </c>
      <c r="E470" s="60" t="n">
        <f aca="false">MAX($D$3,(1+P469-VLOOKUP(VALUE(D470),$J$18:$Q469,7,TRUE()))*$D$3)</f>
        <v>28</v>
      </c>
      <c r="F470" s="60" t="n">
        <f aca="false">MAX($D$4,(1+Q469-VLOOKUP(VALUE(D470),$M$18:$Q469,5,TRUE()))*$D$4)</f>
        <v>24</v>
      </c>
      <c r="G470" s="61" t="n">
        <v>0.5</v>
      </c>
      <c r="H470" s="59" t="n">
        <f aca="true">IF((B470=1),(IF((F470&lt;E470),1,(IF((F470=E470),(IF(RAND()&lt;G470,1,0)),0)))),(IF((RAND()&lt;G470),1,0)))</f>
        <v>1</v>
      </c>
      <c r="I470" s="59" t="n">
        <f aca="true">IF((H470=1),0,$D$3+$D$5*(RAND()-0.5))</f>
        <v>0</v>
      </c>
      <c r="J470" s="59" t="n">
        <f aca="false">I470+MAX(D470,J469)</f>
        <v>460.835975523044</v>
      </c>
      <c r="K470" s="59" t="n">
        <f aca="false">IF((H470=0),J470-D470,0)</f>
        <v>0</v>
      </c>
      <c r="L470" s="59" t="n">
        <f aca="true">IF(($H470=0),0,$D$4+$D$5*(RAND()-0.5))</f>
        <v>1.99908575753258</v>
      </c>
      <c r="M470" s="59" t="n">
        <f aca="false">L470+MAX(D470,M469)</f>
        <v>457.390559073166</v>
      </c>
      <c r="N470" s="59" t="n">
        <f aca="false">IF((H470=1),M470-D470,0)</f>
        <v>21.7432948525163</v>
      </c>
      <c r="O470" s="5" t="n">
        <v>453</v>
      </c>
      <c r="P470" s="62" t="n">
        <f aca="false">IF((Arterial=0),P469+1,P469)</f>
        <v>227</v>
      </c>
      <c r="Q470" s="62" t="n">
        <f aca="false">IF((Arterial=1),Q469+1,Q469)</f>
        <v>226</v>
      </c>
      <c r="R470" s="63" t="n">
        <f aca="false">IF((RESET=1),0,R470+K470)</f>
        <v>730.474572832336</v>
      </c>
      <c r="S470" s="10" t="e">
        <f aca="false">IF(RESET=1,0,S470+N470)</f>
        <v>#N/A</v>
      </c>
      <c r="T470" s="0" t="n">
        <f aca="false">IF(RESET=1,0,T470+IF(H470=0,1,0))</f>
        <v>33</v>
      </c>
      <c r="U470" s="0" t="e">
        <f aca="false">IF(RESET=1,0,U470+H470)</f>
        <v>#N/A</v>
      </c>
      <c r="V470" s="10" t="n">
        <f aca="false">R470/(T470+0.00001)</f>
        <v>22.1355864083779</v>
      </c>
      <c r="W470" s="10" t="e">
        <f aca="false">S470/(U470+0.0001)</f>
        <v>#N/A</v>
      </c>
      <c r="X470" s="60" t="n">
        <f aca="false">IF(Informed=1,K470,0)</f>
        <v>0</v>
      </c>
      <c r="Y470" s="60" t="n">
        <f aca="false">IF(Informed=0,K470,0)</f>
        <v>0</v>
      </c>
      <c r="Z470" s="60" t="n">
        <f aca="false">IF(Informed=1,N470,0)</f>
        <v>0</v>
      </c>
      <c r="AA470" s="60" t="n">
        <f aca="false">IF(Informed=0,N470,0)</f>
        <v>21.7432948525163</v>
      </c>
      <c r="AB470" s="64" t="n">
        <f aca="false">IF(Arterial=0,IF(Informed=1,1,0),0)</f>
        <v>0</v>
      </c>
      <c r="AC470" s="64" t="n">
        <f aca="false">IF(Arterial=0,IF(Informed=0,1,0),0)</f>
        <v>0</v>
      </c>
      <c r="AD470" s="64" t="n">
        <f aca="false">IF(Arterial=1,IF(Informed=1,1,0),0)</f>
        <v>0</v>
      </c>
      <c r="AE470" s="64" t="n">
        <f aca="false">IF(Arterial=1,IF(Informed=0,1,0),0)</f>
        <v>1</v>
      </c>
      <c r="AF470" s="57" t="n">
        <f aca="false">IF(AB470=1,(X470-G$1030)^2,0)</f>
        <v>0</v>
      </c>
      <c r="AG470" s="57" t="n">
        <f aca="false">IF(AC470=1,(Y470-H$1030)^2,0)</f>
        <v>0</v>
      </c>
      <c r="AH470" s="57" t="n">
        <f aca="false">IF(AD470=1,(Z470-I$1030)^2,0)</f>
        <v>0</v>
      </c>
      <c r="AI470" s="57" t="n">
        <f aca="false">IF(AE470=1,(AA470-J$1030)^2,0)</f>
        <v>472.770871043463</v>
      </c>
    </row>
    <row r="471" customFormat="false" ht="12" hidden="false" customHeight="false" outlineLevel="0" collapsed="false">
      <c r="A471" s="5" t="n">
        <v>454</v>
      </c>
      <c r="B471" s="58" t="n">
        <f aca="true">IF(RAND()&lt;$D$8,1,0)</f>
        <v>1</v>
      </c>
      <c r="C471" s="47" t="n">
        <f aca="true">-LN(RAND())/$D$2</f>
        <v>0.277171729188572</v>
      </c>
      <c r="D471" s="59" t="n">
        <f aca="false">D470+C471</f>
        <v>435.924435949838</v>
      </c>
      <c r="E471" s="60" t="n">
        <f aca="false">MAX($D$3,(1+P470-VLOOKUP(VALUE(D471),$J$18:$Q470,7,TRUE()))*$D$3)</f>
        <v>28</v>
      </c>
      <c r="F471" s="60" t="n">
        <f aca="false">MAX($D$4,(1+Q470-VLOOKUP(VALUE(D471),$M$18:$Q470,5,TRUE()))*$D$4)</f>
        <v>24</v>
      </c>
      <c r="G471" s="61" t="n">
        <v>0.5</v>
      </c>
      <c r="H471" s="59" t="n">
        <f aca="true">IF((B471=1),(IF((F471&lt;E471),1,(IF((F471=E471),(IF(RAND()&lt;G471,1,0)),0)))),(IF((RAND()&lt;G471),1,0)))</f>
        <v>1</v>
      </c>
      <c r="I471" s="59" t="n">
        <f aca="true">IF((H471=1),0,$D$3+$D$5*(RAND()-0.5))</f>
        <v>0</v>
      </c>
      <c r="J471" s="59" t="n">
        <f aca="false">I471+MAX(D471,J470)</f>
        <v>460.835975523044</v>
      </c>
      <c r="K471" s="59" t="n">
        <f aca="false">IF((H471=0),J471-D471,0)</f>
        <v>0</v>
      </c>
      <c r="L471" s="59" t="n">
        <f aca="true">IF(($H471=0),0,$D$4+$D$5*(RAND()-0.5))</f>
        <v>2.04055367891382</v>
      </c>
      <c r="M471" s="59" t="n">
        <f aca="false">L471+MAX(D471,M470)</f>
        <v>459.431112752079</v>
      </c>
      <c r="N471" s="59" t="n">
        <f aca="false">IF((H471=1),M471-D471,0)</f>
        <v>23.5066768022415</v>
      </c>
      <c r="O471" s="5" t="n">
        <v>454</v>
      </c>
      <c r="P471" s="62" t="n">
        <f aca="false">IF((Arterial=0),P470+1,P470)</f>
        <v>227</v>
      </c>
      <c r="Q471" s="62" t="n">
        <f aca="false">IF((Arterial=1),Q470+1,Q470)</f>
        <v>227</v>
      </c>
      <c r="R471" s="63" t="n">
        <f aca="false">IF((RESET=1),0,R471+K471)</f>
        <v>467.541319737548</v>
      </c>
      <c r="S471" s="10" t="e">
        <f aca="false">IF(RESET=1,0,S471+N471)</f>
        <v>#N/A</v>
      </c>
      <c r="T471" s="0" t="n">
        <f aca="false">IF(RESET=1,0,T471+IF(H471=0,1,0))</f>
        <v>19</v>
      </c>
      <c r="U471" s="0" t="e">
        <f aca="false">IF(RESET=1,0,U471+H471)</f>
        <v>#N/A</v>
      </c>
      <c r="V471" s="10" t="n">
        <f aca="false">R471/(T471+0.00001)</f>
        <v>24.6074249296473</v>
      </c>
      <c r="W471" s="10" t="e">
        <f aca="false">S471/(U471+0.0001)</f>
        <v>#N/A</v>
      </c>
      <c r="X471" s="60" t="n">
        <f aca="false">IF(Informed=1,K471,0)</f>
        <v>0</v>
      </c>
      <c r="Y471" s="60" t="n">
        <f aca="false">IF(Informed=0,K471,0)</f>
        <v>0</v>
      </c>
      <c r="Z471" s="60" t="n">
        <f aca="false">IF(Informed=1,N471,0)</f>
        <v>23.5066768022415</v>
      </c>
      <c r="AA471" s="60" t="n">
        <f aca="false">IF(Informed=0,N471,0)</f>
        <v>0</v>
      </c>
      <c r="AB471" s="64" t="n">
        <f aca="false">IF(Arterial=0,IF(Informed=1,1,0),0)</f>
        <v>0</v>
      </c>
      <c r="AC471" s="64" t="n">
        <f aca="false">IF(Arterial=0,IF(Informed=0,1,0),0)</f>
        <v>0</v>
      </c>
      <c r="AD471" s="64" t="n">
        <f aca="false">IF(Arterial=1,IF(Informed=1,1,0),0)</f>
        <v>1</v>
      </c>
      <c r="AE471" s="64" t="n">
        <f aca="false">IF(Arterial=1,IF(Informed=0,1,0),0)</f>
        <v>0</v>
      </c>
      <c r="AF471" s="57" t="n">
        <f aca="false">IF(AB471=1,(X471-G$1030)^2,0)</f>
        <v>0</v>
      </c>
      <c r="AG471" s="57" t="n">
        <f aca="false">IF(AC471=1,(Y471-H$1030)^2,0)</f>
        <v>0</v>
      </c>
      <c r="AH471" s="57" t="n">
        <f aca="false">IF(AD471=1,(Z471-I$1030)^2,0)</f>
        <v>552.563854285041</v>
      </c>
      <c r="AI471" s="57" t="n">
        <f aca="false">IF(AE471=1,(AA471-J$1030)^2,0)</f>
        <v>0</v>
      </c>
    </row>
    <row r="472" customFormat="false" ht="12" hidden="false" customHeight="false" outlineLevel="0" collapsed="false">
      <c r="A472" s="5" t="n">
        <v>455</v>
      </c>
      <c r="B472" s="58" t="n">
        <f aca="true">IF(RAND()&lt;$D$8,1,0)</f>
        <v>1</v>
      </c>
      <c r="C472" s="47" t="n">
        <f aca="true">-LN(RAND())/$D$2</f>
        <v>0.167788785214731</v>
      </c>
      <c r="D472" s="59" t="n">
        <f aca="false">D471+C472</f>
        <v>436.092224735053</v>
      </c>
      <c r="E472" s="60" t="n">
        <f aca="false">MAX($D$3,(1+P471-VLOOKUP(VALUE(D472),$J$18:$Q471,7,TRUE()))*$D$3)</f>
        <v>28</v>
      </c>
      <c r="F472" s="60" t="n">
        <f aca="false">MAX($D$4,(1+Q471-VLOOKUP(VALUE(D472),$M$18:$Q471,5,TRUE()))*$D$4)</f>
        <v>26</v>
      </c>
      <c r="G472" s="61" t="n">
        <v>0.5</v>
      </c>
      <c r="H472" s="59" t="n">
        <f aca="true">IF((B472=1),(IF((F472&lt;E472),1,(IF((F472=E472),(IF(RAND()&lt;G472,1,0)),0)))),(IF((RAND()&lt;G472),1,0)))</f>
        <v>1</v>
      </c>
      <c r="I472" s="59" t="n">
        <f aca="true">IF((H472=1),0,$D$3+$D$5*(RAND()-0.5))</f>
        <v>0</v>
      </c>
      <c r="J472" s="59" t="n">
        <f aca="false">I472+MAX(D472,J471)</f>
        <v>460.835975523044</v>
      </c>
      <c r="K472" s="59" t="n">
        <f aca="false">IF((H472=0),J472-D472,0)</f>
        <v>0</v>
      </c>
      <c r="L472" s="59" t="n">
        <f aca="true">IF(($H472=0),0,$D$4+$D$5*(RAND()-0.5))</f>
        <v>2.1793240315054</v>
      </c>
      <c r="M472" s="59" t="n">
        <f aca="false">L472+MAX(D472,M471)</f>
        <v>461.610436783585</v>
      </c>
      <c r="N472" s="59" t="n">
        <f aca="false">IF((H472=1),M472-D472,0)</f>
        <v>25.5182120485322</v>
      </c>
      <c r="O472" s="5" t="n">
        <v>455</v>
      </c>
      <c r="P472" s="62" t="n">
        <f aca="false">IF((Arterial=0),P471+1,P471)</f>
        <v>227</v>
      </c>
      <c r="Q472" s="62" t="n">
        <f aca="false">IF((Arterial=1),Q471+1,Q471)</f>
        <v>228</v>
      </c>
      <c r="R472" s="63" t="n">
        <f aca="false">IF((RESET=1),0,R472+K472)</f>
        <v>755.013798341307</v>
      </c>
      <c r="S472" s="10" t="e">
        <f aca="false">IF(RESET=1,0,S472+N472)</f>
        <v>#N/A</v>
      </c>
      <c r="T472" s="0" t="n">
        <f aca="false">IF(RESET=1,0,T472+IF(H472=0,1,0))</f>
        <v>27</v>
      </c>
      <c r="U472" s="0" t="e">
        <f aca="false">IF(RESET=1,0,U472+H472)</f>
        <v>#N/A</v>
      </c>
      <c r="V472" s="10" t="n">
        <f aca="false">R472/(T472+0.00001)</f>
        <v>27.9634636558026</v>
      </c>
      <c r="W472" s="10" t="e">
        <f aca="false">S472/(U472+0.0001)</f>
        <v>#N/A</v>
      </c>
      <c r="X472" s="60" t="n">
        <f aca="false">IF(Informed=1,K472,0)</f>
        <v>0</v>
      </c>
      <c r="Y472" s="60" t="n">
        <f aca="false">IF(Informed=0,K472,0)</f>
        <v>0</v>
      </c>
      <c r="Z472" s="60" t="n">
        <f aca="false">IF(Informed=1,N472,0)</f>
        <v>25.5182120485322</v>
      </c>
      <c r="AA472" s="60" t="n">
        <f aca="false">IF(Informed=0,N472,0)</f>
        <v>0</v>
      </c>
      <c r="AB472" s="64" t="n">
        <f aca="false">IF(Arterial=0,IF(Informed=1,1,0),0)</f>
        <v>0</v>
      </c>
      <c r="AC472" s="64" t="n">
        <f aca="false">IF(Arterial=0,IF(Informed=0,1,0),0)</f>
        <v>0</v>
      </c>
      <c r="AD472" s="64" t="n">
        <f aca="false">IF(Arterial=1,IF(Informed=1,1,0),0)</f>
        <v>1</v>
      </c>
      <c r="AE472" s="64" t="n">
        <f aca="false">IF(Arterial=1,IF(Informed=0,1,0),0)</f>
        <v>0</v>
      </c>
      <c r="AF472" s="57" t="n">
        <f aca="false">IF(AB472=1,(X472-G$1030)^2,0)</f>
        <v>0</v>
      </c>
      <c r="AG472" s="57" t="n">
        <f aca="false">IF(AC472=1,(Y472-H$1030)^2,0)</f>
        <v>0</v>
      </c>
      <c r="AH472" s="57" t="n">
        <f aca="false">IF(AD472=1,(Z472-I$1030)^2,0)</f>
        <v>651.179146153856</v>
      </c>
      <c r="AI472" s="57" t="n">
        <f aca="false">IF(AE472=1,(AA472-J$1030)^2,0)</f>
        <v>0</v>
      </c>
    </row>
    <row r="473" customFormat="false" ht="12" hidden="false" customHeight="false" outlineLevel="0" collapsed="false">
      <c r="A473" s="5" t="n">
        <v>456</v>
      </c>
      <c r="B473" s="58" t="n">
        <f aca="true">IF(RAND()&lt;$D$8,1,0)</f>
        <v>0</v>
      </c>
      <c r="C473" s="47" t="n">
        <f aca="true">-LN(RAND())/$D$2</f>
        <v>0.301146787707045</v>
      </c>
      <c r="D473" s="59" t="n">
        <f aca="false">D472+C473</f>
        <v>436.39337152276</v>
      </c>
      <c r="E473" s="60" t="n">
        <f aca="false">MAX($D$3,(1+P472-VLOOKUP(VALUE(D473),$J$18:$Q472,7,TRUE()))*$D$3)</f>
        <v>28</v>
      </c>
      <c r="F473" s="60" t="n">
        <f aca="false">MAX($D$4,(1+Q472-VLOOKUP(VALUE(D473),$M$18:$Q472,5,TRUE()))*$D$4)</f>
        <v>28</v>
      </c>
      <c r="G473" s="61" t="n">
        <v>0.5</v>
      </c>
      <c r="H473" s="59" t="n">
        <f aca="true">IF((B473=1),(IF((F473&lt;E473),1,(IF((F473=E473),(IF(RAND()&lt;G473,1,0)),0)))),(IF((RAND()&lt;G473),1,0)))</f>
        <v>1</v>
      </c>
      <c r="I473" s="59" t="n">
        <f aca="true">IF((H473=1),0,$D$3+$D$5*(RAND()-0.5))</f>
        <v>0</v>
      </c>
      <c r="J473" s="59" t="n">
        <f aca="false">I473+MAX(D473,J472)</f>
        <v>460.835975523044</v>
      </c>
      <c r="K473" s="59" t="n">
        <f aca="false">IF((H473=0),J473-D473,0)</f>
        <v>0</v>
      </c>
      <c r="L473" s="59" t="n">
        <f aca="true">IF(($H473=0),0,$D$4+$D$5*(RAND()-0.5))</f>
        <v>1.98282894219132</v>
      </c>
      <c r="M473" s="59" t="n">
        <f aca="false">L473+MAX(D473,M472)</f>
        <v>463.593265725776</v>
      </c>
      <c r="N473" s="59" t="n">
        <f aca="false">IF((H473=1),M473-D473,0)</f>
        <v>27.1998942030165</v>
      </c>
      <c r="O473" s="5" t="n">
        <v>456</v>
      </c>
      <c r="P473" s="62" t="n">
        <f aca="false">IF((Arterial=0),P472+1,P472)</f>
        <v>227</v>
      </c>
      <c r="Q473" s="62" t="n">
        <f aca="false">IF((Arterial=1),Q472+1,Q472)</f>
        <v>229</v>
      </c>
      <c r="R473" s="63" t="n">
        <f aca="false">IF((RESET=1),0,R473+K473)</f>
        <v>634.895110321012</v>
      </c>
      <c r="S473" s="10" t="e">
        <f aca="false">IF(RESET=1,0,S473+N473)</f>
        <v>#N/A</v>
      </c>
      <c r="T473" s="0" t="n">
        <f aca="false">IF(RESET=1,0,T473+IF(H473=0,1,0))</f>
        <v>28</v>
      </c>
      <c r="U473" s="0" t="e">
        <f aca="false">IF(RESET=1,0,U473+H473)</f>
        <v>#N/A</v>
      </c>
      <c r="V473" s="10" t="n">
        <f aca="false">R473/(T473+0.00001)</f>
        <v>22.6748172704585</v>
      </c>
      <c r="W473" s="10" t="e">
        <f aca="false">S473/(U473+0.0001)</f>
        <v>#N/A</v>
      </c>
      <c r="X473" s="60" t="n">
        <f aca="false">IF(Informed=1,K473,0)</f>
        <v>0</v>
      </c>
      <c r="Y473" s="60" t="n">
        <f aca="false">IF(Informed=0,K473,0)</f>
        <v>0</v>
      </c>
      <c r="Z473" s="60" t="n">
        <f aca="false">IF(Informed=1,N473,0)</f>
        <v>0</v>
      </c>
      <c r="AA473" s="60" t="n">
        <f aca="false">IF(Informed=0,N473,0)</f>
        <v>27.1998942030165</v>
      </c>
      <c r="AB473" s="64" t="n">
        <f aca="false">IF(Arterial=0,IF(Informed=1,1,0),0)</f>
        <v>0</v>
      </c>
      <c r="AC473" s="64" t="n">
        <f aca="false">IF(Arterial=0,IF(Informed=0,1,0),0)</f>
        <v>0</v>
      </c>
      <c r="AD473" s="64" t="n">
        <f aca="false">IF(Arterial=1,IF(Informed=1,1,0),0)</f>
        <v>0</v>
      </c>
      <c r="AE473" s="64" t="n">
        <f aca="false">IF(Arterial=1,IF(Informed=0,1,0),0)</f>
        <v>1</v>
      </c>
      <c r="AF473" s="57" t="n">
        <f aca="false">IF(AB473=1,(X473-G$1030)^2,0)</f>
        <v>0</v>
      </c>
      <c r="AG473" s="57" t="n">
        <f aca="false">IF(AC473=1,(Y473-H$1030)^2,0)</f>
        <v>0</v>
      </c>
      <c r="AH473" s="57" t="n">
        <f aca="false">IF(AD473=1,(Z473-I$1030)^2,0)</f>
        <v>0</v>
      </c>
      <c r="AI473" s="57" t="n">
        <f aca="false">IF(AE473=1,(AA473-J$1030)^2,0)</f>
        <v>739.834244655289</v>
      </c>
    </row>
    <row r="474" customFormat="false" ht="12" hidden="false" customHeight="false" outlineLevel="0" collapsed="false">
      <c r="A474" s="5" t="n">
        <v>457</v>
      </c>
      <c r="B474" s="58" t="n">
        <f aca="true">IF(RAND()&lt;$D$8,1,0)</f>
        <v>0</v>
      </c>
      <c r="C474" s="47" t="n">
        <f aca="true">-LN(RAND())/$D$2</f>
        <v>1.20620342162163</v>
      </c>
      <c r="D474" s="59" t="n">
        <f aca="false">D473+C474</f>
        <v>437.599574944381</v>
      </c>
      <c r="E474" s="60" t="n">
        <f aca="false">MAX($D$3,(1+P473-VLOOKUP(VALUE(D474),$J$18:$Q473,7,TRUE()))*$D$3)</f>
        <v>26</v>
      </c>
      <c r="F474" s="60" t="n">
        <f aca="false">MAX($D$4,(1+Q473-VLOOKUP(VALUE(D474),$M$18:$Q473,5,TRUE()))*$D$4)</f>
        <v>30</v>
      </c>
      <c r="G474" s="61" t="n">
        <v>0.5</v>
      </c>
      <c r="H474" s="59" t="n">
        <f aca="true">IF((B474=1),(IF((F474&lt;E474),1,(IF((F474=E474),(IF(RAND()&lt;G474,1,0)),0)))),(IF((RAND()&lt;G474),1,0)))</f>
        <v>1</v>
      </c>
      <c r="I474" s="59" t="n">
        <f aca="true">IF((H474=1),0,$D$3+$D$5*(RAND()-0.5))</f>
        <v>0</v>
      </c>
      <c r="J474" s="59" t="n">
        <f aca="false">I474+MAX(D474,J473)</f>
        <v>460.835975523044</v>
      </c>
      <c r="K474" s="59" t="n">
        <f aca="false">IF((H474=0),J474-D474,0)</f>
        <v>0</v>
      </c>
      <c r="L474" s="59" t="n">
        <f aca="true">IF(($H474=0),0,$D$4+$D$5*(RAND()-0.5))</f>
        <v>2.22810259883284</v>
      </c>
      <c r="M474" s="59" t="n">
        <f aca="false">L474+MAX(D474,M473)</f>
        <v>465.821368324609</v>
      </c>
      <c r="N474" s="59" t="n">
        <f aca="false">IF((H474=1),M474-D474,0)</f>
        <v>28.2217933802277</v>
      </c>
      <c r="O474" s="5" t="n">
        <v>457</v>
      </c>
      <c r="P474" s="62" t="n">
        <f aca="false">IF((Arterial=0),P473+1,P473)</f>
        <v>227</v>
      </c>
      <c r="Q474" s="62" t="n">
        <f aca="false">IF((Arterial=1),Q473+1,Q473)</f>
        <v>230</v>
      </c>
      <c r="R474" s="63" t="n">
        <f aca="false">IF((RESET=1),0,R474+K474)</f>
        <v>737.427515970795</v>
      </c>
      <c r="S474" s="10" t="e">
        <f aca="false">IF(RESET=1,0,S474+N474)</f>
        <v>#N/A</v>
      </c>
      <c r="T474" s="0" t="n">
        <f aca="false">IF(RESET=1,0,T474+IF(H474=0,1,0))</f>
        <v>28</v>
      </c>
      <c r="U474" s="0" t="e">
        <f aca="false">IF(RESET=1,0,U474+H474)</f>
        <v>#N/A</v>
      </c>
      <c r="V474" s="10" t="n">
        <f aca="false">R474/(T474+0.00001)</f>
        <v>26.3366875929971</v>
      </c>
      <c r="W474" s="10" t="e">
        <f aca="false">S474/(U474+0.0001)</f>
        <v>#N/A</v>
      </c>
      <c r="X474" s="60" t="n">
        <f aca="false">IF(Informed=1,K474,0)</f>
        <v>0</v>
      </c>
      <c r="Y474" s="60" t="n">
        <f aca="false">IF(Informed=0,K474,0)</f>
        <v>0</v>
      </c>
      <c r="Z474" s="60" t="n">
        <f aca="false">IF(Informed=1,N474,0)</f>
        <v>0</v>
      </c>
      <c r="AA474" s="60" t="n">
        <f aca="false">IF(Informed=0,N474,0)</f>
        <v>28.2217933802277</v>
      </c>
      <c r="AB474" s="64" t="n">
        <f aca="false">IF(Arterial=0,IF(Informed=1,1,0),0)</f>
        <v>0</v>
      </c>
      <c r="AC474" s="64" t="n">
        <f aca="false">IF(Arterial=0,IF(Informed=0,1,0),0)</f>
        <v>0</v>
      </c>
      <c r="AD474" s="64" t="n">
        <f aca="false">IF(Arterial=1,IF(Informed=1,1,0),0)</f>
        <v>0</v>
      </c>
      <c r="AE474" s="64" t="n">
        <f aca="false">IF(Arterial=1,IF(Informed=0,1,0),0)</f>
        <v>1</v>
      </c>
      <c r="AF474" s="57" t="n">
        <f aca="false">IF(AB474=1,(X474-G$1030)^2,0)</f>
        <v>0</v>
      </c>
      <c r="AG474" s="57" t="n">
        <f aca="false">IF(AC474=1,(Y474-H$1030)^2,0)</f>
        <v>0</v>
      </c>
      <c r="AH474" s="57" t="n">
        <f aca="false">IF(AD474=1,(Z474-I$1030)^2,0)</f>
        <v>0</v>
      </c>
      <c r="AI474" s="57" t="n">
        <f aca="false">IF(AE474=1,(AA474-J$1030)^2,0)</f>
        <v>796.469621596262</v>
      </c>
    </row>
    <row r="475" customFormat="false" ht="12" hidden="false" customHeight="false" outlineLevel="0" collapsed="false">
      <c r="A475" s="5" t="n">
        <v>458</v>
      </c>
      <c r="B475" s="58" t="n">
        <f aca="true">IF(RAND()&lt;$D$8,1,0)</f>
        <v>0</v>
      </c>
      <c r="C475" s="47" t="n">
        <f aca="true">-LN(RAND())/$D$2</f>
        <v>2.24590235512133</v>
      </c>
      <c r="D475" s="59" t="n">
        <f aca="false">D474+C475</f>
        <v>439.845477299503</v>
      </c>
      <c r="E475" s="60" t="n">
        <f aca="false">MAX($D$3,(1+P474-VLOOKUP(VALUE(D475),$J$18:$Q474,7,TRUE()))*$D$3)</f>
        <v>24</v>
      </c>
      <c r="F475" s="60" t="n">
        <f aca="false">MAX($D$4,(1+Q474-VLOOKUP(VALUE(D475),$M$18:$Q474,5,TRUE()))*$D$4)</f>
        <v>28</v>
      </c>
      <c r="G475" s="61" t="n">
        <v>0.5</v>
      </c>
      <c r="H475" s="59" t="n">
        <f aca="true">IF((B475=1),(IF((F475&lt;E475),1,(IF((F475=E475),(IF(RAND()&lt;G475,1,0)),0)))),(IF((RAND()&lt;G475),1,0)))</f>
        <v>0</v>
      </c>
      <c r="I475" s="59" t="n">
        <f aca="true">IF((H475=1),0,$D$3+$D$5*(RAND()-0.5))</f>
        <v>2.06050645715366</v>
      </c>
      <c r="J475" s="59" t="n">
        <f aca="false">I475+MAX(D475,J474)</f>
        <v>462.896481980198</v>
      </c>
      <c r="K475" s="59" t="n">
        <f aca="false">IF((H475=0),J475-D475,0)</f>
        <v>23.0510046806949</v>
      </c>
      <c r="L475" s="59" t="n">
        <f aca="true">IF(($H475=0),0,$D$4+$D$5*(RAND()-0.5))</f>
        <v>0</v>
      </c>
      <c r="M475" s="59" t="n">
        <f aca="false">L475+MAX(D475,M474)</f>
        <v>465.821368324609</v>
      </c>
      <c r="N475" s="59" t="n">
        <f aca="false">IF((H475=1),M475-D475,0)</f>
        <v>0</v>
      </c>
      <c r="O475" s="5" t="n">
        <v>458</v>
      </c>
      <c r="P475" s="62" t="n">
        <f aca="false">IF((Arterial=0),P474+1,P474)</f>
        <v>228</v>
      </c>
      <c r="Q475" s="62" t="n">
        <f aca="false">IF((Arterial=1),Q474+1,Q474)</f>
        <v>230</v>
      </c>
      <c r="R475" s="63" t="e">
        <f aca="false">IF((RESET=1),0,R475+K475)</f>
        <v>#N/A</v>
      </c>
      <c r="S475" s="10" t="n">
        <f aca="false">IF(RESET=1,0,S475+N475)</f>
        <v>634.930010634824</v>
      </c>
      <c r="T475" s="0" t="e">
        <f aca="false">IF(RESET=1,0,T475+IF(H475=0,1,0))</f>
        <v>#N/A</v>
      </c>
      <c r="U475" s="0" t="n">
        <f aca="false">IF(RESET=1,0,U475+H475)</f>
        <v>26</v>
      </c>
      <c r="V475" s="10" t="e">
        <f aca="false">R475/(T475+0.00001)</f>
        <v>#N/A</v>
      </c>
      <c r="W475" s="10" t="n">
        <f aca="false">S475/(U475+0.0001)</f>
        <v>24.4202911002198</v>
      </c>
      <c r="X475" s="60" t="n">
        <f aca="false">IF(Informed=1,K475,0)</f>
        <v>0</v>
      </c>
      <c r="Y475" s="60" t="n">
        <f aca="false">IF(Informed=0,K475,0)</f>
        <v>23.0510046806949</v>
      </c>
      <c r="Z475" s="60" t="n">
        <f aca="false">IF(Informed=1,N475,0)</f>
        <v>0</v>
      </c>
      <c r="AA475" s="60" t="n">
        <f aca="false">IF(Informed=0,N475,0)</f>
        <v>0</v>
      </c>
      <c r="AB475" s="64" t="n">
        <f aca="false">IF(Arterial=0,IF(Informed=1,1,0),0)</f>
        <v>0</v>
      </c>
      <c r="AC475" s="64" t="n">
        <f aca="false">IF(Arterial=0,IF(Informed=0,1,0),0)</f>
        <v>1</v>
      </c>
      <c r="AD475" s="64" t="n">
        <f aca="false">IF(Arterial=1,IF(Informed=1,1,0),0)</f>
        <v>0</v>
      </c>
      <c r="AE475" s="64" t="n">
        <f aca="false">IF(Arterial=1,IF(Informed=0,1,0),0)</f>
        <v>0</v>
      </c>
      <c r="AF475" s="57" t="n">
        <f aca="false">IF(AB475=1,(X475-G$1030)^2,0)</f>
        <v>0</v>
      </c>
      <c r="AG475" s="57" t="n">
        <f aca="false">IF(AC475=1,(Y475-H$1030)^2,0)</f>
        <v>531.348816789419</v>
      </c>
      <c r="AH475" s="57" t="n">
        <f aca="false">IF(AD475=1,(Z475-I$1030)^2,0)</f>
        <v>0</v>
      </c>
      <c r="AI475" s="57" t="n">
        <f aca="false">IF(AE475=1,(AA475-J$1030)^2,0)</f>
        <v>0</v>
      </c>
    </row>
    <row r="476" customFormat="false" ht="12" hidden="false" customHeight="false" outlineLevel="0" collapsed="false">
      <c r="A476" s="5" t="n">
        <v>459</v>
      </c>
      <c r="B476" s="58" t="n">
        <f aca="true">IF(RAND()&lt;$D$8,1,0)</f>
        <v>1</v>
      </c>
      <c r="C476" s="47" t="n">
        <f aca="true">-LN(RAND())/$D$2</f>
        <v>1.73225767321828</v>
      </c>
      <c r="D476" s="59" t="n">
        <f aca="false">D475+C476</f>
        <v>441.577734972721</v>
      </c>
      <c r="E476" s="60" t="n">
        <f aca="false">MAX($D$3,(1+P475-VLOOKUP(VALUE(D476),$J$18:$Q475,7,TRUE()))*$D$3)</f>
        <v>24</v>
      </c>
      <c r="F476" s="60" t="n">
        <f aca="false">MAX($D$4,(1+Q475-VLOOKUP(VALUE(D476),$M$18:$Q475,5,TRUE()))*$D$4)</f>
        <v>28</v>
      </c>
      <c r="G476" s="61" t="n">
        <v>0.5</v>
      </c>
      <c r="H476" s="59" t="n">
        <f aca="true">IF((B476=1),(IF((F476&lt;E476),1,(IF((F476=E476),(IF(RAND()&lt;G476,1,0)),0)))),(IF((RAND()&lt;G476),1,0)))</f>
        <v>0</v>
      </c>
      <c r="I476" s="59" t="n">
        <f aca="true">IF((H476=1),0,$D$3+$D$5*(RAND()-0.5))</f>
        <v>1.78532022044424</v>
      </c>
      <c r="J476" s="59" t="n">
        <f aca="false">I476+MAX(D476,J475)</f>
        <v>464.681802200642</v>
      </c>
      <c r="K476" s="59" t="n">
        <f aca="false">IF((H476=0),J476-D476,0)</f>
        <v>23.1040672279209</v>
      </c>
      <c r="L476" s="59" t="n">
        <f aca="true">IF(($H476=0),0,$D$4+$D$5*(RAND()-0.5))</f>
        <v>0</v>
      </c>
      <c r="M476" s="59" t="n">
        <f aca="false">L476+MAX(D476,M475)</f>
        <v>465.821368324609</v>
      </c>
      <c r="N476" s="59" t="n">
        <f aca="false">IF((H476=1),M476-D476,0)</f>
        <v>0</v>
      </c>
      <c r="O476" s="5" t="n">
        <v>459</v>
      </c>
      <c r="P476" s="62" t="n">
        <f aca="false">IF((Arterial=0),P475+1,P475)</f>
        <v>229</v>
      </c>
      <c r="Q476" s="62" t="n">
        <f aca="false">IF((Arterial=1),Q475+1,Q475)</f>
        <v>230</v>
      </c>
      <c r="R476" s="63" t="e">
        <f aca="false">IF((RESET=1),0,R476+K476)</f>
        <v>#N/A</v>
      </c>
      <c r="S476" s="10" t="n">
        <f aca="false">IF(RESET=1,0,S476+N476)</f>
        <v>618.097260996115</v>
      </c>
      <c r="T476" s="0" t="e">
        <f aca="false">IF(RESET=1,0,T476+IF(H476=0,1,0))</f>
        <v>#N/A</v>
      </c>
      <c r="U476" s="0" t="n">
        <f aca="false">IF(RESET=1,0,U476+H476)</f>
        <v>26</v>
      </c>
      <c r="V476" s="10" t="e">
        <f aca="false">R476/(T476+0.00001)</f>
        <v>#N/A</v>
      </c>
      <c r="W476" s="10" t="n">
        <f aca="false">S476/(U476+0.0001)</f>
        <v>23.7728801426193</v>
      </c>
      <c r="X476" s="60" t="n">
        <f aca="false">IF(Informed=1,K476,0)</f>
        <v>23.1040672279209</v>
      </c>
      <c r="Y476" s="60" t="n">
        <f aca="false">IF(Informed=0,K476,0)</f>
        <v>0</v>
      </c>
      <c r="Z476" s="60" t="n">
        <f aca="false">IF(Informed=1,N476,0)</f>
        <v>0</v>
      </c>
      <c r="AA476" s="60" t="n">
        <f aca="false">IF(Informed=0,N476,0)</f>
        <v>0</v>
      </c>
      <c r="AB476" s="64" t="n">
        <f aca="false">IF(Arterial=0,IF(Informed=1,1,0),0)</f>
        <v>1</v>
      </c>
      <c r="AC476" s="64" t="n">
        <f aca="false">IF(Arterial=0,IF(Informed=0,1,0),0)</f>
        <v>0</v>
      </c>
      <c r="AD476" s="64" t="n">
        <f aca="false">IF(Arterial=1,IF(Informed=1,1,0),0)</f>
        <v>0</v>
      </c>
      <c r="AE476" s="64" t="n">
        <f aca="false">IF(Arterial=1,IF(Informed=0,1,0),0)</f>
        <v>0</v>
      </c>
      <c r="AF476" s="57" t="n">
        <f aca="false">IF(AB476=1,(X476-G$1030)^2,0)</f>
        <v>533.797922472288</v>
      </c>
      <c r="AG476" s="57" t="n">
        <f aca="false">IF(AC476=1,(Y476-H$1030)^2,0)</f>
        <v>0</v>
      </c>
      <c r="AH476" s="57" t="n">
        <f aca="false">IF(AD476=1,(Z476-I$1030)^2,0)</f>
        <v>0</v>
      </c>
      <c r="AI476" s="57" t="n">
        <f aca="false">IF(AE476=1,(AA476-J$1030)^2,0)</f>
        <v>0</v>
      </c>
    </row>
    <row r="477" customFormat="false" ht="12" hidden="false" customHeight="false" outlineLevel="0" collapsed="false">
      <c r="A477" s="5" t="n">
        <v>460</v>
      </c>
      <c r="B477" s="58" t="n">
        <f aca="true">IF(RAND()&lt;$D$8,1,0)</f>
        <v>0</v>
      </c>
      <c r="C477" s="47" t="n">
        <f aca="true">-LN(RAND())/$D$2</f>
        <v>1.0788023326607</v>
      </c>
      <c r="D477" s="59" t="n">
        <f aca="false">D476+C477</f>
        <v>442.656537305382</v>
      </c>
      <c r="E477" s="60" t="n">
        <f aca="false">MAX($D$3,(1+P476-VLOOKUP(VALUE(D477),$J$18:$Q476,7,TRUE()))*$D$3)</f>
        <v>26</v>
      </c>
      <c r="F477" s="60" t="n">
        <f aca="false">MAX($D$4,(1+Q476-VLOOKUP(VALUE(D477),$M$18:$Q476,5,TRUE()))*$D$4)</f>
        <v>26</v>
      </c>
      <c r="G477" s="61" t="n">
        <v>0.5</v>
      </c>
      <c r="H477" s="59" t="n">
        <f aca="true">IF((B477=1),(IF((F477&lt;E477),1,(IF((F477=E477),(IF(RAND()&lt;G477,1,0)),0)))),(IF((RAND()&lt;G477),1,0)))</f>
        <v>0</v>
      </c>
      <c r="I477" s="59" t="n">
        <f aca="true">IF((H477=1),0,$D$3+$D$5*(RAND()-0.5))</f>
        <v>1.81614808246715</v>
      </c>
      <c r="J477" s="59" t="n">
        <f aca="false">I477+MAX(D477,J476)</f>
        <v>466.497950283109</v>
      </c>
      <c r="K477" s="59" t="n">
        <f aca="false">IF((H477=0),J477-D477,0)</f>
        <v>23.8414129777273</v>
      </c>
      <c r="L477" s="59" t="n">
        <f aca="true">IF(($H477=0),0,$D$4+$D$5*(RAND()-0.5))</f>
        <v>0</v>
      </c>
      <c r="M477" s="59" t="n">
        <f aca="false">L477+MAX(D477,M476)</f>
        <v>465.821368324609</v>
      </c>
      <c r="N477" s="59" t="n">
        <f aca="false">IF((H477=1),M477-D477,0)</f>
        <v>0</v>
      </c>
      <c r="O477" s="5" t="n">
        <v>460</v>
      </c>
      <c r="P477" s="62" t="n">
        <f aca="false">IF((Arterial=0),P476+1,P476)</f>
        <v>230</v>
      </c>
      <c r="Q477" s="62" t="n">
        <f aca="false">IF((Arterial=1),Q476+1,Q476)</f>
        <v>230</v>
      </c>
      <c r="R477" s="63" t="e">
        <f aca="false">IF((RESET=1),0,R477+K477)</f>
        <v>#N/A</v>
      </c>
      <c r="S477" s="10" t="n">
        <f aca="false">IF(RESET=1,0,S477+N477)</f>
        <v>845.918202523803</v>
      </c>
      <c r="T477" s="0" t="e">
        <f aca="false">IF(RESET=1,0,T477+IF(H477=0,1,0))</f>
        <v>#N/A</v>
      </c>
      <c r="U477" s="0" t="n">
        <f aca="false">IF(RESET=1,0,U477+H477)</f>
        <v>34</v>
      </c>
      <c r="V477" s="10" t="e">
        <f aca="false">R477/(T477+0.00001)</f>
        <v>#N/A</v>
      </c>
      <c r="W477" s="10" t="n">
        <f aca="false">S477/(U477+0.0001)</f>
        <v>24.8798739569531</v>
      </c>
      <c r="X477" s="60" t="n">
        <f aca="false">IF(Informed=1,K477,0)</f>
        <v>0</v>
      </c>
      <c r="Y477" s="60" t="n">
        <f aca="false">IF(Informed=0,K477,0)</f>
        <v>23.8414129777273</v>
      </c>
      <c r="Z477" s="60" t="n">
        <f aca="false">IF(Informed=1,N477,0)</f>
        <v>0</v>
      </c>
      <c r="AA477" s="60" t="n">
        <f aca="false">IF(Informed=0,N477,0)</f>
        <v>0</v>
      </c>
      <c r="AB477" s="64" t="n">
        <f aca="false">IF(Arterial=0,IF(Informed=1,1,0),0)</f>
        <v>0</v>
      </c>
      <c r="AC477" s="64" t="n">
        <f aca="false">IF(Arterial=0,IF(Informed=0,1,0),0)</f>
        <v>1</v>
      </c>
      <c r="AD477" s="64" t="n">
        <f aca="false">IF(Arterial=1,IF(Informed=1,1,0),0)</f>
        <v>0</v>
      </c>
      <c r="AE477" s="64" t="n">
        <f aca="false">IF(Arterial=1,IF(Informed=0,1,0),0)</f>
        <v>0</v>
      </c>
      <c r="AF477" s="57" t="n">
        <f aca="false">IF(AB477=1,(X477-G$1030)^2,0)</f>
        <v>0</v>
      </c>
      <c r="AG477" s="57" t="n">
        <f aca="false">IF(AC477=1,(Y477-H$1030)^2,0)</f>
        <v>568.412972774545</v>
      </c>
      <c r="AH477" s="57" t="n">
        <f aca="false">IF(AD477=1,(Z477-I$1030)^2,0)</f>
        <v>0</v>
      </c>
      <c r="AI477" s="57" t="n">
        <f aca="false">IF(AE477=1,(AA477-J$1030)^2,0)</f>
        <v>0</v>
      </c>
    </row>
    <row r="478" customFormat="false" ht="12" hidden="false" customHeight="false" outlineLevel="0" collapsed="false">
      <c r="A478" s="5" t="n">
        <v>461</v>
      </c>
      <c r="B478" s="58" t="n">
        <f aca="true">IF(RAND()&lt;$D$8,1,0)</f>
        <v>0</v>
      </c>
      <c r="C478" s="47" t="n">
        <f aca="true">-LN(RAND())/$D$2</f>
        <v>6.08556951107261</v>
      </c>
      <c r="D478" s="59" t="n">
        <f aca="false">D477+C478</f>
        <v>448.742106816454</v>
      </c>
      <c r="E478" s="60" t="n">
        <f aca="false">MAX($D$3,(1+P477-VLOOKUP(VALUE(D478),$J$18:$Q477,7,TRUE()))*$D$3)</f>
        <v>22</v>
      </c>
      <c r="F478" s="60" t="n">
        <f aca="false">MAX($D$4,(1+Q477-VLOOKUP(VALUE(D478),$M$18:$Q477,5,TRUE()))*$D$4)</f>
        <v>20</v>
      </c>
      <c r="G478" s="61" t="n">
        <v>0.5</v>
      </c>
      <c r="H478" s="59" t="n">
        <f aca="true">IF((B478=1),(IF((F478&lt;E478),1,(IF((F478=E478),(IF(RAND()&lt;G478,1,0)),0)))),(IF((RAND()&lt;G478),1,0)))</f>
        <v>1</v>
      </c>
      <c r="I478" s="59" t="n">
        <f aca="true">IF((H478=1),0,$D$3+$D$5*(RAND()-0.5))</f>
        <v>0</v>
      </c>
      <c r="J478" s="59" t="n">
        <f aca="false">I478+MAX(D478,J477)</f>
        <v>466.497950283109</v>
      </c>
      <c r="K478" s="59" t="n">
        <f aca="false">IF((H478=0),J478-D478,0)</f>
        <v>0</v>
      </c>
      <c r="L478" s="59" t="n">
        <f aca="true">IF(($H478=0),0,$D$4+$D$5*(RAND()-0.5))</f>
        <v>2.05604696015029</v>
      </c>
      <c r="M478" s="59" t="n">
        <f aca="false">L478+MAX(D478,M477)</f>
        <v>467.877415284759</v>
      </c>
      <c r="N478" s="59" t="n">
        <f aca="false">IF((H478=1),M478-D478,0)</f>
        <v>19.1353084683051</v>
      </c>
      <c r="O478" s="5" t="n">
        <v>461</v>
      </c>
      <c r="P478" s="62" t="n">
        <f aca="false">IF((Arterial=0),P477+1,P477)</f>
        <v>230</v>
      </c>
      <c r="Q478" s="62" t="n">
        <f aca="false">IF((Arterial=1),Q477+1,Q477)</f>
        <v>231</v>
      </c>
      <c r="R478" s="63" t="n">
        <f aca="false">IF((RESET=1),0,R478+K478)</f>
        <v>800.109988116803</v>
      </c>
      <c r="S478" s="10" t="e">
        <f aca="false">IF(RESET=1,0,S478+N478)</f>
        <v>#N/A</v>
      </c>
      <c r="T478" s="0" t="n">
        <f aca="false">IF(RESET=1,0,T478+IF(H478=0,1,0))</f>
        <v>32</v>
      </c>
      <c r="U478" s="0" t="e">
        <f aca="false">IF(RESET=1,0,U478+H478)</f>
        <v>#N/A</v>
      </c>
      <c r="V478" s="10" t="n">
        <f aca="false">R478/(T478+0.00001)</f>
        <v>25.0034293150784</v>
      </c>
      <c r="W478" s="10" t="e">
        <f aca="false">S478/(U478+0.0001)</f>
        <v>#N/A</v>
      </c>
      <c r="X478" s="60" t="n">
        <f aca="false">IF(Informed=1,K478,0)</f>
        <v>0</v>
      </c>
      <c r="Y478" s="60" t="n">
        <f aca="false">IF(Informed=0,K478,0)</f>
        <v>0</v>
      </c>
      <c r="Z478" s="60" t="n">
        <f aca="false">IF(Informed=1,N478,0)</f>
        <v>0</v>
      </c>
      <c r="AA478" s="60" t="n">
        <f aca="false">IF(Informed=0,N478,0)</f>
        <v>19.1353084683051</v>
      </c>
      <c r="AB478" s="64" t="n">
        <f aca="false">IF(Arterial=0,IF(Informed=1,1,0),0)</f>
        <v>0</v>
      </c>
      <c r="AC478" s="64" t="n">
        <f aca="false">IF(Arterial=0,IF(Informed=0,1,0),0)</f>
        <v>0</v>
      </c>
      <c r="AD478" s="64" t="n">
        <f aca="false">IF(Arterial=1,IF(Informed=1,1,0),0)</f>
        <v>0</v>
      </c>
      <c r="AE478" s="64" t="n">
        <f aca="false">IF(Arterial=1,IF(Informed=0,1,0),0)</f>
        <v>1</v>
      </c>
      <c r="AF478" s="57" t="n">
        <f aca="false">IF(AB478=1,(X478-G$1030)^2,0)</f>
        <v>0</v>
      </c>
      <c r="AG478" s="57" t="n">
        <f aca="false">IF(AC478=1,(Y478-H$1030)^2,0)</f>
        <v>0</v>
      </c>
      <c r="AH478" s="57" t="n">
        <f aca="false">IF(AD478=1,(Z478-I$1030)^2,0)</f>
        <v>0</v>
      </c>
      <c r="AI478" s="57" t="n">
        <f aca="false">IF(AE478=1,(AA478-J$1030)^2,0)</f>
        <v>366.160030177188</v>
      </c>
    </row>
    <row r="479" customFormat="false" ht="12" hidden="false" customHeight="false" outlineLevel="0" collapsed="false">
      <c r="A479" s="5" t="n">
        <v>462</v>
      </c>
      <c r="B479" s="58" t="n">
        <f aca="true">IF(RAND()&lt;$D$8,1,0)</f>
        <v>0</v>
      </c>
      <c r="C479" s="47" t="n">
        <f aca="true">-LN(RAND())/$D$2</f>
        <v>0.522099780689007</v>
      </c>
      <c r="D479" s="59" t="n">
        <f aca="false">D478+C479</f>
        <v>449.264206597143</v>
      </c>
      <c r="E479" s="60" t="n">
        <f aca="false">MAX($D$3,(1+P478-VLOOKUP(VALUE(D479),$J$18:$Q478,7,TRUE()))*$D$3)</f>
        <v>20</v>
      </c>
      <c r="F479" s="60" t="n">
        <f aca="false">MAX($D$4,(1+Q478-VLOOKUP(VALUE(D479),$M$18:$Q478,5,TRUE()))*$D$4)</f>
        <v>22</v>
      </c>
      <c r="G479" s="61" t="n">
        <v>0.5</v>
      </c>
      <c r="H479" s="59" t="n">
        <f aca="true">IF((B479=1),(IF((F479&lt;E479),1,(IF((F479=E479),(IF(RAND()&lt;G479,1,0)),0)))),(IF((RAND()&lt;G479),1,0)))</f>
        <v>0</v>
      </c>
      <c r="I479" s="59" t="n">
        <f aca="true">IF((H479=1),0,$D$3+$D$5*(RAND()-0.5))</f>
        <v>1.87659261278043</v>
      </c>
      <c r="J479" s="59" t="n">
        <f aca="false">I479+MAX(D479,J478)</f>
        <v>468.374542895889</v>
      </c>
      <c r="K479" s="59" t="n">
        <f aca="false">IF((H479=0),J479-D479,0)</f>
        <v>19.1103362987461</v>
      </c>
      <c r="L479" s="59" t="n">
        <f aca="true">IF(($H479=0),0,$D$4+$D$5*(RAND()-0.5))</f>
        <v>0</v>
      </c>
      <c r="M479" s="59" t="n">
        <f aca="false">L479+MAX(D479,M478)</f>
        <v>467.877415284759</v>
      </c>
      <c r="N479" s="59" t="n">
        <f aca="false">IF((H479=1),M479-D479,0)</f>
        <v>0</v>
      </c>
      <c r="O479" s="5" t="n">
        <v>462</v>
      </c>
      <c r="P479" s="62" t="n">
        <f aca="false">IF((Arterial=0),P478+1,P478)</f>
        <v>231</v>
      </c>
      <c r="Q479" s="62" t="n">
        <f aca="false">IF((Arterial=1),Q478+1,Q478)</f>
        <v>231</v>
      </c>
      <c r="R479" s="63" t="e">
        <f aca="false">IF((RESET=1),0,R479+K479)</f>
        <v>#N/A</v>
      </c>
      <c r="S479" s="10" t="n">
        <f aca="false">IF(RESET=1,0,S479+N479)</f>
        <v>710.234632243606</v>
      </c>
      <c r="T479" s="0" t="e">
        <f aca="false">IF(RESET=1,0,T479+IF(H479=0,1,0))</f>
        <v>#N/A</v>
      </c>
      <c r="U479" s="0" t="n">
        <f aca="false">IF(RESET=1,0,U479+H479)</f>
        <v>29</v>
      </c>
      <c r="V479" s="10" t="e">
        <f aca="false">R479/(T479+0.00001)</f>
        <v>#N/A</v>
      </c>
      <c r="W479" s="10" t="n">
        <f aca="false">S479/(U479+0.0001)</f>
        <v>24.490764936797</v>
      </c>
      <c r="X479" s="60" t="n">
        <f aca="false">IF(Informed=1,K479,0)</f>
        <v>0</v>
      </c>
      <c r="Y479" s="60" t="n">
        <f aca="false">IF(Informed=0,K479,0)</f>
        <v>19.1103362987461</v>
      </c>
      <c r="Z479" s="60" t="n">
        <f aca="false">IF(Informed=1,N479,0)</f>
        <v>0</v>
      </c>
      <c r="AA479" s="60" t="n">
        <f aca="false">IF(Informed=0,N479,0)</f>
        <v>0</v>
      </c>
      <c r="AB479" s="64" t="n">
        <f aca="false">IF(Arterial=0,IF(Informed=1,1,0),0)</f>
        <v>0</v>
      </c>
      <c r="AC479" s="64" t="n">
        <f aca="false">IF(Arterial=0,IF(Informed=0,1,0),0)</f>
        <v>1</v>
      </c>
      <c r="AD479" s="64" t="n">
        <f aca="false">IF(Arterial=1,IF(Informed=1,1,0),0)</f>
        <v>0</v>
      </c>
      <c r="AE479" s="64" t="n">
        <f aca="false">IF(Arterial=1,IF(Informed=0,1,0),0)</f>
        <v>0</v>
      </c>
      <c r="AF479" s="57" t="n">
        <f aca="false">IF(AB479=1,(X479-G$1030)^2,0)</f>
        <v>0</v>
      </c>
      <c r="AG479" s="57" t="n">
        <f aca="false">IF(AC479=1,(Y479-H$1030)^2,0)</f>
        <v>365.204953451174</v>
      </c>
      <c r="AH479" s="57" t="n">
        <f aca="false">IF(AD479=1,(Z479-I$1030)^2,0)</f>
        <v>0</v>
      </c>
      <c r="AI479" s="57" t="n">
        <f aca="false">IF(AE479=1,(AA479-J$1030)^2,0)</f>
        <v>0</v>
      </c>
    </row>
    <row r="480" customFormat="false" ht="12" hidden="false" customHeight="false" outlineLevel="0" collapsed="false">
      <c r="A480" s="5" t="n">
        <v>463</v>
      </c>
      <c r="B480" s="58" t="n">
        <f aca="true">IF(RAND()&lt;$D$8,1,0)</f>
        <v>0</v>
      </c>
      <c r="C480" s="47" t="n">
        <f aca="true">-LN(RAND())/$D$2</f>
        <v>1.13558512424673</v>
      </c>
      <c r="D480" s="59" t="n">
        <f aca="false">D479+C480</f>
        <v>450.39979172139</v>
      </c>
      <c r="E480" s="60" t="n">
        <f aca="false">MAX($D$3,(1+P479-VLOOKUP(VALUE(D480),$J$18:$Q479,7,TRUE()))*$D$3)</f>
        <v>22</v>
      </c>
      <c r="F480" s="60" t="n">
        <f aca="false">MAX($D$4,(1+Q479-VLOOKUP(VALUE(D480),$M$18:$Q479,5,TRUE()))*$D$4)</f>
        <v>20</v>
      </c>
      <c r="G480" s="61" t="n">
        <v>0.5</v>
      </c>
      <c r="H480" s="59" t="n">
        <f aca="true">IF((B480=1),(IF((F480&lt;E480),1,(IF((F480=E480),(IF(RAND()&lt;G480,1,0)),0)))),(IF((RAND()&lt;G480),1,0)))</f>
        <v>0</v>
      </c>
      <c r="I480" s="59" t="n">
        <f aca="true">IF((H480=1),0,$D$3+$D$5*(RAND()-0.5))</f>
        <v>2.21426861507275</v>
      </c>
      <c r="J480" s="59" t="n">
        <f aca="false">I480+MAX(D480,J479)</f>
        <v>470.588811510962</v>
      </c>
      <c r="K480" s="59" t="n">
        <f aca="false">IF((H480=0),J480-D480,0)</f>
        <v>20.1890197895721</v>
      </c>
      <c r="L480" s="59" t="n">
        <f aca="true">IF(($H480=0),0,$D$4+$D$5*(RAND()-0.5))</f>
        <v>0</v>
      </c>
      <c r="M480" s="59" t="n">
        <f aca="false">L480+MAX(D480,M479)</f>
        <v>467.877415284759</v>
      </c>
      <c r="N480" s="59" t="n">
        <f aca="false">IF((H480=1),M480-D480,0)</f>
        <v>0</v>
      </c>
      <c r="O480" s="5" t="n">
        <v>463</v>
      </c>
      <c r="P480" s="62" t="n">
        <f aca="false">IF((Arterial=0),P479+1,P479)</f>
        <v>232</v>
      </c>
      <c r="Q480" s="62" t="n">
        <f aca="false">IF((Arterial=1),Q479+1,Q479)</f>
        <v>231</v>
      </c>
      <c r="R480" s="63" t="e">
        <f aca="false">IF((RESET=1),0,R480+K480)</f>
        <v>#N/A</v>
      </c>
      <c r="S480" s="10" t="n">
        <f aca="false">IF(RESET=1,0,S480+N480)</f>
        <v>484.153304345216</v>
      </c>
      <c r="T480" s="0" t="e">
        <f aca="false">IF(RESET=1,0,T480+IF(H480=0,1,0))</f>
        <v>#N/A</v>
      </c>
      <c r="U480" s="0" t="n">
        <f aca="false">IF(RESET=1,0,U480+H480)</f>
        <v>21</v>
      </c>
      <c r="V480" s="10" t="e">
        <f aca="false">R480/(T480+0.00001)</f>
        <v>#N/A</v>
      </c>
      <c r="W480" s="10" t="n">
        <f aca="false">S480/(U480+0.0001)</f>
        <v>23.0548094697271</v>
      </c>
      <c r="X480" s="60" t="n">
        <f aca="false">IF(Informed=1,K480,0)</f>
        <v>0</v>
      </c>
      <c r="Y480" s="60" t="n">
        <f aca="false">IF(Informed=0,K480,0)</f>
        <v>20.1890197895721</v>
      </c>
      <c r="Z480" s="60" t="n">
        <f aca="false">IF(Informed=1,N480,0)</f>
        <v>0</v>
      </c>
      <c r="AA480" s="60" t="n">
        <f aca="false">IF(Informed=0,N480,0)</f>
        <v>0</v>
      </c>
      <c r="AB480" s="64" t="n">
        <f aca="false">IF(Arterial=0,IF(Informed=1,1,0),0)</f>
        <v>0</v>
      </c>
      <c r="AC480" s="64" t="n">
        <f aca="false">IF(Arterial=0,IF(Informed=0,1,0),0)</f>
        <v>1</v>
      </c>
      <c r="AD480" s="64" t="n">
        <f aca="false">IF(Arterial=1,IF(Informed=1,1,0),0)</f>
        <v>0</v>
      </c>
      <c r="AE480" s="64" t="n">
        <f aca="false">IF(Arterial=1,IF(Informed=0,1,0),0)</f>
        <v>0</v>
      </c>
      <c r="AF480" s="57" t="n">
        <f aca="false">IF(AB480=1,(X480-G$1030)^2,0)</f>
        <v>0</v>
      </c>
      <c r="AG480" s="57" t="n">
        <f aca="false">IF(AC480=1,(Y480-H$1030)^2,0)</f>
        <v>407.596520063735</v>
      </c>
      <c r="AH480" s="57" t="n">
        <f aca="false">IF(AD480=1,(Z480-I$1030)^2,0)</f>
        <v>0</v>
      </c>
      <c r="AI480" s="57" t="n">
        <f aca="false">IF(AE480=1,(AA480-J$1030)^2,0)</f>
        <v>0</v>
      </c>
    </row>
    <row r="481" customFormat="false" ht="12" hidden="false" customHeight="false" outlineLevel="0" collapsed="false">
      <c r="A481" s="5" t="n">
        <v>464</v>
      </c>
      <c r="B481" s="58" t="n">
        <f aca="true">IF(RAND()&lt;$D$8,1,0)</f>
        <v>0</v>
      </c>
      <c r="C481" s="47" t="n">
        <f aca="true">-LN(RAND())/$D$2</f>
        <v>0.794772395762759</v>
      </c>
      <c r="D481" s="59" t="n">
        <f aca="false">D480+C481</f>
        <v>451.194564117153</v>
      </c>
      <c r="E481" s="60" t="n">
        <f aca="false">MAX($D$3,(1+P480-VLOOKUP(VALUE(D481),$J$18:$Q480,7,TRUE()))*$D$3)</f>
        <v>22</v>
      </c>
      <c r="F481" s="60" t="n">
        <f aca="false">MAX($D$4,(1+Q480-VLOOKUP(VALUE(D481),$M$18:$Q480,5,TRUE()))*$D$4)</f>
        <v>20</v>
      </c>
      <c r="G481" s="61" t="n">
        <v>0.5</v>
      </c>
      <c r="H481" s="59" t="n">
        <f aca="true">IF((B481=1),(IF((F481&lt;E481),1,(IF((F481=E481),(IF(RAND()&lt;G481,1,0)),0)))),(IF((RAND()&lt;G481),1,0)))</f>
        <v>1</v>
      </c>
      <c r="I481" s="59" t="n">
        <f aca="true">IF((H481=1),0,$D$3+$D$5*(RAND()-0.5))</f>
        <v>0</v>
      </c>
      <c r="J481" s="59" t="n">
        <f aca="false">I481+MAX(D481,J480)</f>
        <v>470.588811510962</v>
      </c>
      <c r="K481" s="59" t="n">
        <f aca="false">IF((H481=0),J481-D481,0)</f>
        <v>0</v>
      </c>
      <c r="L481" s="59" t="n">
        <f aca="true">IF(($H481=0),0,$D$4+$D$5*(RAND()-0.5))</f>
        <v>1.81349909171574</v>
      </c>
      <c r="M481" s="59" t="n">
        <f aca="false">L481+MAX(D481,M480)</f>
        <v>469.690914376475</v>
      </c>
      <c r="N481" s="59" t="n">
        <f aca="false">IF((H481=1),M481-D481,0)</f>
        <v>18.4963502593223</v>
      </c>
      <c r="O481" s="5" t="n">
        <v>464</v>
      </c>
      <c r="P481" s="62" t="n">
        <f aca="false">IF((Arterial=0),P480+1,P480)</f>
        <v>232</v>
      </c>
      <c r="Q481" s="62" t="n">
        <f aca="false">IF((Arterial=1),Q480+1,Q480)</f>
        <v>232</v>
      </c>
      <c r="R481" s="63" t="n">
        <f aca="false">IF((RESET=1),0,R481+K481)</f>
        <v>414.221274878699</v>
      </c>
      <c r="S481" s="10" t="e">
        <f aca="false">IF(RESET=1,0,S481+N481)</f>
        <v>#N/A</v>
      </c>
      <c r="T481" s="0" t="n">
        <f aca="false">IF(RESET=1,0,T481+IF(H481=0,1,0))</f>
        <v>23</v>
      </c>
      <c r="U481" s="0" t="e">
        <f aca="false">IF(RESET=1,0,U481+H481)</f>
        <v>#N/A</v>
      </c>
      <c r="V481" s="10" t="n">
        <f aca="false">R481/(T481+0.00001)</f>
        <v>18.0096128166335</v>
      </c>
      <c r="W481" s="10" t="e">
        <f aca="false">S481/(U481+0.0001)</f>
        <v>#N/A</v>
      </c>
      <c r="X481" s="60" t="n">
        <f aca="false">IF(Informed=1,K481,0)</f>
        <v>0</v>
      </c>
      <c r="Y481" s="60" t="n">
        <f aca="false">IF(Informed=0,K481,0)</f>
        <v>0</v>
      </c>
      <c r="Z481" s="60" t="n">
        <f aca="false">IF(Informed=1,N481,0)</f>
        <v>0</v>
      </c>
      <c r="AA481" s="60" t="n">
        <f aca="false">IF(Informed=0,N481,0)</f>
        <v>18.4963502593223</v>
      </c>
      <c r="AB481" s="64" t="n">
        <f aca="false">IF(Arterial=0,IF(Informed=1,1,0),0)</f>
        <v>0</v>
      </c>
      <c r="AC481" s="64" t="n">
        <f aca="false">IF(Arterial=0,IF(Informed=0,1,0),0)</f>
        <v>0</v>
      </c>
      <c r="AD481" s="64" t="n">
        <f aca="false">IF(Arterial=1,IF(Informed=1,1,0),0)</f>
        <v>0</v>
      </c>
      <c r="AE481" s="64" t="n">
        <f aca="false">IF(Arterial=1,IF(Informed=0,1,0),0)</f>
        <v>1</v>
      </c>
      <c r="AF481" s="57" t="n">
        <f aca="false">IF(AB481=1,(X481-G$1030)^2,0)</f>
        <v>0</v>
      </c>
      <c r="AG481" s="57" t="n">
        <f aca="false">IF(AC481=1,(Y481-H$1030)^2,0)</f>
        <v>0</v>
      </c>
      <c r="AH481" s="57" t="n">
        <f aca="false">IF(AD481=1,(Z481-I$1030)^2,0)</f>
        <v>0</v>
      </c>
      <c r="AI481" s="57" t="n">
        <f aca="false">IF(AE481=1,(AA481-J$1030)^2,0)</f>
        <v>342.114972915532</v>
      </c>
    </row>
    <row r="482" customFormat="false" ht="12" hidden="false" customHeight="false" outlineLevel="0" collapsed="false">
      <c r="A482" s="5" t="n">
        <v>465</v>
      </c>
      <c r="B482" s="58" t="n">
        <f aca="true">IF(RAND()&lt;$D$8,1,0)</f>
        <v>1</v>
      </c>
      <c r="C482" s="47" t="n">
        <f aca="true">-LN(RAND())/$D$2</f>
        <v>0.302111228311827</v>
      </c>
      <c r="D482" s="59" t="n">
        <f aca="false">D481+C482</f>
        <v>451.496675345465</v>
      </c>
      <c r="E482" s="60" t="n">
        <f aca="false">MAX($D$3,(1+P481-VLOOKUP(VALUE(D482),$J$18:$Q481,7,TRUE()))*$D$3)</f>
        <v>22</v>
      </c>
      <c r="F482" s="60" t="n">
        <f aca="false">MAX($D$4,(1+Q481-VLOOKUP(VALUE(D482),$M$18:$Q481,5,TRUE()))*$D$4)</f>
        <v>22</v>
      </c>
      <c r="G482" s="61" t="n">
        <v>0.5</v>
      </c>
      <c r="H482" s="59" t="n">
        <f aca="true">IF((B482=1),(IF((F482&lt;E482),1,(IF((F482=E482),(IF(RAND()&lt;G482,1,0)),0)))),(IF((RAND()&lt;G482),1,0)))</f>
        <v>1</v>
      </c>
      <c r="I482" s="59" t="n">
        <f aca="true">IF((H482=1),0,$D$3+$D$5*(RAND()-0.5))</f>
        <v>0</v>
      </c>
      <c r="J482" s="59" t="n">
        <f aca="false">I482+MAX(D482,J481)</f>
        <v>470.588811510962</v>
      </c>
      <c r="K482" s="59" t="n">
        <f aca="false">IF((H482=0),J482-D482,0)</f>
        <v>0</v>
      </c>
      <c r="L482" s="59" t="n">
        <f aca="true">IF(($H482=0),0,$D$4+$D$5*(RAND()-0.5))</f>
        <v>1.87262742077351</v>
      </c>
      <c r="M482" s="59" t="n">
        <f aca="false">L482+MAX(D482,M481)</f>
        <v>471.563541797249</v>
      </c>
      <c r="N482" s="59" t="n">
        <f aca="false">IF((H482=1),M482-D482,0)</f>
        <v>20.0668664517839</v>
      </c>
      <c r="O482" s="5" t="n">
        <v>465</v>
      </c>
      <c r="P482" s="62" t="n">
        <f aca="false">IF((Arterial=0),P481+1,P481)</f>
        <v>232</v>
      </c>
      <c r="Q482" s="62" t="n">
        <f aca="false">IF((Arterial=1),Q481+1,Q481)</f>
        <v>233</v>
      </c>
      <c r="R482" s="63" t="n">
        <f aca="false">IF((RESET=1),0,R482+K482)</f>
        <v>811.185844906549</v>
      </c>
      <c r="S482" s="10" t="e">
        <f aca="false">IF(RESET=1,0,S482+N482)</f>
        <v>#N/A</v>
      </c>
      <c r="T482" s="0" t="n">
        <f aca="false">IF(RESET=1,0,T482+IF(H482=0,1,0))</f>
        <v>31</v>
      </c>
      <c r="U482" s="0" t="e">
        <f aca="false">IF(RESET=1,0,U482+H482)</f>
        <v>#N/A</v>
      </c>
      <c r="V482" s="10" t="n">
        <f aca="false">R482/(T482+0.00001)</f>
        <v>26.167276878509</v>
      </c>
      <c r="W482" s="10" t="e">
        <f aca="false">S482/(U482+0.0001)</f>
        <v>#N/A</v>
      </c>
      <c r="X482" s="60" t="n">
        <f aca="false">IF(Informed=1,K482,0)</f>
        <v>0</v>
      </c>
      <c r="Y482" s="60" t="n">
        <f aca="false">IF(Informed=0,K482,0)</f>
        <v>0</v>
      </c>
      <c r="Z482" s="60" t="n">
        <f aca="false">IF(Informed=1,N482,0)</f>
        <v>20.0668664517839</v>
      </c>
      <c r="AA482" s="60" t="n">
        <f aca="false">IF(Informed=0,N482,0)</f>
        <v>0</v>
      </c>
      <c r="AB482" s="64" t="n">
        <f aca="false">IF(Arterial=0,IF(Informed=1,1,0),0)</f>
        <v>0</v>
      </c>
      <c r="AC482" s="64" t="n">
        <f aca="false">IF(Arterial=0,IF(Informed=0,1,0),0)</f>
        <v>0</v>
      </c>
      <c r="AD482" s="64" t="n">
        <f aca="false">IF(Arterial=1,IF(Informed=1,1,0),0)</f>
        <v>1</v>
      </c>
      <c r="AE482" s="64" t="n">
        <f aca="false">IF(Arterial=1,IF(Informed=0,1,0),0)</f>
        <v>0</v>
      </c>
      <c r="AF482" s="57" t="n">
        <f aca="false">IF(AB482=1,(X482-G$1030)^2,0)</f>
        <v>0</v>
      </c>
      <c r="AG482" s="57" t="n">
        <f aca="false">IF(AC482=1,(Y482-H$1030)^2,0)</f>
        <v>0</v>
      </c>
      <c r="AH482" s="57" t="n">
        <f aca="false">IF(AD482=1,(Z482-I$1030)^2,0)</f>
        <v>402.679129193732</v>
      </c>
      <c r="AI482" s="57" t="n">
        <f aca="false">IF(AE482=1,(AA482-J$1030)^2,0)</f>
        <v>0</v>
      </c>
    </row>
    <row r="483" customFormat="false" ht="12" hidden="false" customHeight="false" outlineLevel="0" collapsed="false">
      <c r="A483" s="5" t="n">
        <v>466</v>
      </c>
      <c r="B483" s="58" t="n">
        <f aca="true">IF(RAND()&lt;$D$8,1,0)</f>
        <v>0</v>
      </c>
      <c r="C483" s="47" t="n">
        <f aca="true">-LN(RAND())/$D$2</f>
        <v>1.30433549072191</v>
      </c>
      <c r="D483" s="59" t="n">
        <f aca="false">D482+C483</f>
        <v>452.801010836187</v>
      </c>
      <c r="E483" s="60" t="n">
        <f aca="false">MAX($D$3,(1+P482-VLOOKUP(VALUE(D483),$J$18:$Q482,7,TRUE()))*$D$3)</f>
        <v>20</v>
      </c>
      <c r="F483" s="60" t="n">
        <f aca="false">MAX($D$4,(1+Q482-VLOOKUP(VALUE(D483),$M$18:$Q482,5,TRUE()))*$D$4)</f>
        <v>22</v>
      </c>
      <c r="G483" s="61" t="n">
        <v>0.5</v>
      </c>
      <c r="H483" s="59" t="n">
        <f aca="true">IF((B483=1),(IF((F483&lt;E483),1,(IF((F483=E483),(IF(RAND()&lt;G483,1,0)),0)))),(IF((RAND()&lt;G483),1,0)))</f>
        <v>0</v>
      </c>
      <c r="I483" s="59" t="n">
        <f aca="true">IF((H483=1),0,$D$3+$D$5*(RAND()-0.5))</f>
        <v>2.2245668538684</v>
      </c>
      <c r="J483" s="59" t="n">
        <f aca="false">I483+MAX(D483,J482)</f>
        <v>472.813378364831</v>
      </c>
      <c r="K483" s="59" t="n">
        <f aca="false">IF((H483=0),J483-D483,0)</f>
        <v>20.012367528644</v>
      </c>
      <c r="L483" s="59" t="n">
        <f aca="true">IF(($H483=0),0,$D$4+$D$5*(RAND()-0.5))</f>
        <v>0</v>
      </c>
      <c r="M483" s="59" t="n">
        <f aca="false">L483+MAX(D483,M482)</f>
        <v>471.563541797249</v>
      </c>
      <c r="N483" s="59" t="n">
        <f aca="false">IF((H483=1),M483-D483,0)</f>
        <v>0</v>
      </c>
      <c r="O483" s="5" t="n">
        <v>466</v>
      </c>
      <c r="P483" s="62" t="n">
        <f aca="false">IF((Arterial=0),P482+1,P482)</f>
        <v>233</v>
      </c>
      <c r="Q483" s="62" t="n">
        <f aca="false">IF((Arterial=1),Q482+1,Q482)</f>
        <v>233</v>
      </c>
      <c r="R483" s="63" t="e">
        <f aca="false">IF((RESET=1),0,R483+K483)</f>
        <v>#N/A</v>
      </c>
      <c r="S483" s="10" t="n">
        <f aca="false">IF(RESET=1,0,S483+N483)</f>
        <v>647.94303922355</v>
      </c>
      <c r="T483" s="0" t="e">
        <f aca="false">IF(RESET=1,0,T483+IF(H483=0,1,0))</f>
        <v>#N/A</v>
      </c>
      <c r="U483" s="0" t="n">
        <f aca="false">IF(RESET=1,0,U483+H483)</f>
        <v>28</v>
      </c>
      <c r="V483" s="10" t="e">
        <f aca="false">R483/(T483+0.00001)</f>
        <v>#N/A</v>
      </c>
      <c r="W483" s="10" t="n">
        <f aca="false">S483/(U483+0.0001)</f>
        <v>23.1407401839119</v>
      </c>
      <c r="X483" s="60" t="n">
        <f aca="false">IF(Informed=1,K483,0)</f>
        <v>0</v>
      </c>
      <c r="Y483" s="60" t="n">
        <f aca="false">IF(Informed=0,K483,0)</f>
        <v>20.012367528644</v>
      </c>
      <c r="Z483" s="60" t="n">
        <f aca="false">IF(Informed=1,N483,0)</f>
        <v>0</v>
      </c>
      <c r="AA483" s="60" t="n">
        <f aca="false">IF(Informed=0,N483,0)</f>
        <v>0</v>
      </c>
      <c r="AB483" s="64" t="n">
        <f aca="false">IF(Arterial=0,IF(Informed=1,1,0),0)</f>
        <v>0</v>
      </c>
      <c r="AC483" s="64" t="n">
        <f aca="false">IF(Arterial=0,IF(Informed=0,1,0),0)</f>
        <v>1</v>
      </c>
      <c r="AD483" s="64" t="n">
        <f aca="false">IF(Arterial=1,IF(Informed=1,1,0),0)</f>
        <v>0</v>
      </c>
      <c r="AE483" s="64" t="n">
        <f aca="false">IF(Arterial=1,IF(Informed=0,1,0),0)</f>
        <v>0</v>
      </c>
      <c r="AF483" s="57" t="n">
        <f aca="false">IF(AB483=1,(X483-G$1030)^2,0)</f>
        <v>0</v>
      </c>
      <c r="AG483" s="57" t="n">
        <f aca="false">IF(AC483=1,(Y483-H$1030)^2,0)</f>
        <v>400.494854101525</v>
      </c>
      <c r="AH483" s="57" t="n">
        <f aca="false">IF(AD483=1,(Z483-I$1030)^2,0)</f>
        <v>0</v>
      </c>
      <c r="AI483" s="57" t="n">
        <f aca="false">IF(AE483=1,(AA483-J$1030)^2,0)</f>
        <v>0</v>
      </c>
    </row>
    <row r="484" customFormat="false" ht="12" hidden="false" customHeight="false" outlineLevel="0" collapsed="false">
      <c r="A484" s="5" t="n">
        <v>467</v>
      </c>
      <c r="B484" s="58" t="n">
        <f aca="true">IF(RAND()&lt;$D$8,1,0)</f>
        <v>1</v>
      </c>
      <c r="C484" s="47" t="n">
        <f aca="true">-LN(RAND())/$D$2</f>
        <v>0.256715761245067</v>
      </c>
      <c r="D484" s="59" t="n">
        <f aca="false">D483+C484</f>
        <v>453.057726597432</v>
      </c>
      <c r="E484" s="60" t="n">
        <f aca="false">MAX($D$3,(1+P483-VLOOKUP(VALUE(D484),$J$18:$Q483,7,TRUE()))*$D$3)</f>
        <v>22</v>
      </c>
      <c r="F484" s="60" t="n">
        <f aca="false">MAX($D$4,(1+Q483-VLOOKUP(VALUE(D484),$M$18:$Q483,5,TRUE()))*$D$4)</f>
        <v>22</v>
      </c>
      <c r="G484" s="61" t="n">
        <v>0.5</v>
      </c>
      <c r="H484" s="59" t="n">
        <f aca="true">IF((B484=1),(IF((F484&lt;E484),1,(IF((F484=E484),(IF(RAND()&lt;G484,1,0)),0)))),(IF((RAND()&lt;G484),1,0)))</f>
        <v>0</v>
      </c>
      <c r="I484" s="59" t="n">
        <f aca="true">IF((H484=1),0,$D$3+$D$5*(RAND()-0.5))</f>
        <v>1.86185188498275</v>
      </c>
      <c r="J484" s="59" t="n">
        <f aca="false">I484+MAX(D484,J483)</f>
        <v>474.675230249813</v>
      </c>
      <c r="K484" s="59" t="n">
        <f aca="false">IF((H484=0),J484-D484,0)</f>
        <v>21.6175036523817</v>
      </c>
      <c r="L484" s="59" t="n">
        <f aca="true">IF(($H484=0),0,$D$4+$D$5*(RAND()-0.5))</f>
        <v>0</v>
      </c>
      <c r="M484" s="59" t="n">
        <f aca="false">L484+MAX(D484,M483)</f>
        <v>471.563541797249</v>
      </c>
      <c r="N484" s="59" t="n">
        <f aca="false">IF((H484=1),M484-D484,0)</f>
        <v>0</v>
      </c>
      <c r="O484" s="5" t="n">
        <v>467</v>
      </c>
      <c r="P484" s="62" t="n">
        <f aca="false">IF((Arterial=0),P483+1,P483)</f>
        <v>234</v>
      </c>
      <c r="Q484" s="62" t="n">
        <f aca="false">IF((Arterial=1),Q483+1,Q483)</f>
        <v>233</v>
      </c>
      <c r="R484" s="63" t="e">
        <f aca="false">IF((RESET=1),0,R484+K484)</f>
        <v>#N/A</v>
      </c>
      <c r="S484" s="10" t="n">
        <f aca="false">IF(RESET=1,0,S484+N484)</f>
        <v>629.270499724559</v>
      </c>
      <c r="T484" s="0" t="e">
        <f aca="false">IF(RESET=1,0,T484+IF(H484=0,1,0))</f>
        <v>#N/A</v>
      </c>
      <c r="U484" s="0" t="n">
        <f aca="false">IF(RESET=1,0,U484+H484)</f>
        <v>30</v>
      </c>
      <c r="V484" s="10" t="e">
        <f aca="false">R484/(T484+0.00001)</f>
        <v>#N/A</v>
      </c>
      <c r="W484" s="10" t="n">
        <f aca="false">S484/(U484+0.0001)</f>
        <v>20.9756134054406</v>
      </c>
      <c r="X484" s="60" t="n">
        <f aca="false">IF(Informed=1,K484,0)</f>
        <v>21.6175036523817</v>
      </c>
      <c r="Y484" s="60" t="n">
        <f aca="false">IF(Informed=0,K484,0)</f>
        <v>0</v>
      </c>
      <c r="Z484" s="60" t="n">
        <f aca="false">IF(Informed=1,N484,0)</f>
        <v>0</v>
      </c>
      <c r="AA484" s="60" t="n">
        <f aca="false">IF(Informed=0,N484,0)</f>
        <v>0</v>
      </c>
      <c r="AB484" s="64" t="n">
        <f aca="false">IF(Arterial=0,IF(Informed=1,1,0),0)</f>
        <v>1</v>
      </c>
      <c r="AC484" s="64" t="n">
        <f aca="false">IF(Arterial=0,IF(Informed=0,1,0),0)</f>
        <v>0</v>
      </c>
      <c r="AD484" s="64" t="n">
        <f aca="false">IF(Arterial=1,IF(Informed=1,1,0),0)</f>
        <v>0</v>
      </c>
      <c r="AE484" s="64" t="n">
        <f aca="false">IF(Arterial=1,IF(Informed=0,1,0),0)</f>
        <v>0</v>
      </c>
      <c r="AF484" s="57" t="n">
        <f aca="false">IF(AB484=1,(X484-G$1030)^2,0)</f>
        <v>467.316464160736</v>
      </c>
      <c r="AG484" s="57" t="n">
        <f aca="false">IF(AC484=1,(Y484-H$1030)^2,0)</f>
        <v>0</v>
      </c>
      <c r="AH484" s="57" t="n">
        <f aca="false">IF(AD484=1,(Z484-I$1030)^2,0)</f>
        <v>0</v>
      </c>
      <c r="AI484" s="57" t="n">
        <f aca="false">IF(AE484=1,(AA484-J$1030)^2,0)</f>
        <v>0</v>
      </c>
    </row>
    <row r="485" customFormat="false" ht="12" hidden="false" customHeight="false" outlineLevel="0" collapsed="false">
      <c r="A485" s="5" t="n">
        <v>468</v>
      </c>
      <c r="B485" s="58" t="n">
        <f aca="true">IF(RAND()&lt;$D$8,1,0)</f>
        <v>1</v>
      </c>
      <c r="C485" s="47" t="n">
        <f aca="true">-LN(RAND())/$D$2</f>
        <v>0.493085710128606</v>
      </c>
      <c r="D485" s="59" t="n">
        <f aca="false">D484+C485</f>
        <v>453.55081230756</v>
      </c>
      <c r="E485" s="60" t="n">
        <f aca="false">MAX($D$3,(1+P484-VLOOKUP(VALUE(D485),$J$18:$Q484,7,TRUE()))*$D$3)</f>
        <v>24</v>
      </c>
      <c r="F485" s="60" t="n">
        <f aca="false">MAX($D$4,(1+Q484-VLOOKUP(VALUE(D485),$M$18:$Q484,5,TRUE()))*$D$4)</f>
        <v>20</v>
      </c>
      <c r="G485" s="61" t="n">
        <v>0.5</v>
      </c>
      <c r="H485" s="59" t="n">
        <f aca="true">IF((B485=1),(IF((F485&lt;E485),1,(IF((F485=E485),(IF(RAND()&lt;G485,1,0)),0)))),(IF((RAND()&lt;G485),1,0)))</f>
        <v>1</v>
      </c>
      <c r="I485" s="59" t="n">
        <f aca="true">IF((H485=1),0,$D$3+$D$5*(RAND()-0.5))</f>
        <v>0</v>
      </c>
      <c r="J485" s="59" t="n">
        <f aca="false">I485+MAX(D485,J484)</f>
        <v>474.675230249813</v>
      </c>
      <c r="K485" s="59" t="n">
        <f aca="false">IF((H485=0),J485-D485,0)</f>
        <v>0</v>
      </c>
      <c r="L485" s="59" t="n">
        <f aca="true">IF(($H485=0),0,$D$4+$D$5*(RAND()-0.5))</f>
        <v>1.83212591573762</v>
      </c>
      <c r="M485" s="59" t="n">
        <f aca="false">L485+MAX(D485,M484)</f>
        <v>473.395667712986</v>
      </c>
      <c r="N485" s="59" t="n">
        <f aca="false">IF((H485=1),M485-D485,0)</f>
        <v>19.844855405426</v>
      </c>
      <c r="O485" s="5" t="n">
        <v>468</v>
      </c>
      <c r="P485" s="62" t="n">
        <f aca="false">IF((Arterial=0),P484+1,P484)</f>
        <v>234</v>
      </c>
      <c r="Q485" s="62" t="n">
        <f aca="false">IF((Arterial=1),Q484+1,Q484)</f>
        <v>234</v>
      </c>
      <c r="R485" s="63" t="n">
        <f aca="false">IF((RESET=1),0,R485+K485)</f>
        <v>490.93476958992</v>
      </c>
      <c r="S485" s="10" t="e">
        <f aca="false">IF(RESET=1,0,S485+N485)</f>
        <v>#N/A</v>
      </c>
      <c r="T485" s="0" t="n">
        <f aca="false">IF(RESET=1,0,T485+IF(H485=0,1,0))</f>
        <v>22</v>
      </c>
      <c r="U485" s="0" t="e">
        <f aca="false">IF(RESET=1,0,U485+H485)</f>
        <v>#N/A</v>
      </c>
      <c r="V485" s="10" t="n">
        <f aca="false">R485/(T485+0.00001)</f>
        <v>22.315206656266</v>
      </c>
      <c r="W485" s="10" t="e">
        <f aca="false">S485/(U485+0.0001)</f>
        <v>#N/A</v>
      </c>
      <c r="X485" s="60" t="n">
        <f aca="false">IF(Informed=1,K485,0)</f>
        <v>0</v>
      </c>
      <c r="Y485" s="60" t="n">
        <f aca="false">IF(Informed=0,K485,0)</f>
        <v>0</v>
      </c>
      <c r="Z485" s="60" t="n">
        <f aca="false">IF(Informed=1,N485,0)</f>
        <v>19.844855405426</v>
      </c>
      <c r="AA485" s="60" t="n">
        <f aca="false">IF(Informed=0,N485,0)</f>
        <v>0</v>
      </c>
      <c r="AB485" s="64" t="n">
        <f aca="false">IF(Arterial=0,IF(Informed=1,1,0),0)</f>
        <v>0</v>
      </c>
      <c r="AC485" s="64" t="n">
        <f aca="false">IF(Arterial=0,IF(Informed=0,1,0),0)</f>
        <v>0</v>
      </c>
      <c r="AD485" s="64" t="n">
        <f aca="false">IF(Arterial=1,IF(Informed=1,1,0),0)</f>
        <v>1</v>
      </c>
      <c r="AE485" s="64" t="n">
        <f aca="false">IF(Arterial=1,IF(Informed=0,1,0),0)</f>
        <v>0</v>
      </c>
      <c r="AF485" s="57" t="n">
        <f aca="false">IF(AB485=1,(X485-G$1030)^2,0)</f>
        <v>0</v>
      </c>
      <c r="AG485" s="57" t="n">
        <f aca="false">IF(AC485=1,(Y485-H$1030)^2,0)</f>
        <v>0</v>
      </c>
      <c r="AH485" s="57" t="n">
        <f aca="false">IF(AD485=1,(Z485-I$1030)^2,0)</f>
        <v>393.818286062266</v>
      </c>
      <c r="AI485" s="57" t="n">
        <f aca="false">IF(AE485=1,(AA485-J$1030)^2,0)</f>
        <v>0</v>
      </c>
    </row>
    <row r="486" customFormat="false" ht="12" hidden="false" customHeight="false" outlineLevel="0" collapsed="false">
      <c r="A486" s="5" t="n">
        <v>469</v>
      </c>
      <c r="B486" s="58" t="n">
        <f aca="true">IF(RAND()&lt;$D$8,1,0)</f>
        <v>1</v>
      </c>
      <c r="C486" s="47" t="n">
        <f aca="true">-LN(RAND())/$D$2</f>
        <v>1.55486339540065</v>
      </c>
      <c r="D486" s="59" t="n">
        <f aca="false">D485+C486</f>
        <v>455.105675702961</v>
      </c>
      <c r="E486" s="60" t="n">
        <f aca="false">MAX($D$3,(1+P485-VLOOKUP(VALUE(D486),$J$18:$Q485,7,TRUE()))*$D$3)</f>
        <v>22</v>
      </c>
      <c r="F486" s="60" t="n">
        <f aca="false">MAX($D$4,(1+Q485-VLOOKUP(VALUE(D486),$M$18:$Q485,5,TRUE()))*$D$4)</f>
        <v>22</v>
      </c>
      <c r="G486" s="61" t="n">
        <v>0.5</v>
      </c>
      <c r="H486" s="59" t="n">
        <f aca="true">IF((B486=1),(IF((F486&lt;E486),1,(IF((F486=E486),(IF(RAND()&lt;G486,1,0)),0)))),(IF((RAND()&lt;G486),1,0)))</f>
        <v>0</v>
      </c>
      <c r="I486" s="59" t="n">
        <f aca="true">IF((H486=1),0,$D$3+$D$5*(RAND()-0.5))</f>
        <v>2.05944412288772</v>
      </c>
      <c r="J486" s="59" t="n">
        <f aca="false">I486+MAX(D486,J485)</f>
        <v>476.734674372701</v>
      </c>
      <c r="K486" s="59" t="n">
        <f aca="false">IF((H486=0),J486-D486,0)</f>
        <v>21.6289986697402</v>
      </c>
      <c r="L486" s="59" t="n">
        <f aca="true">IF(($H486=0),0,$D$4+$D$5*(RAND()-0.5))</f>
        <v>0</v>
      </c>
      <c r="M486" s="59" t="n">
        <f aca="false">L486+MAX(D486,M485)</f>
        <v>473.395667712986</v>
      </c>
      <c r="N486" s="59" t="n">
        <f aca="false">IF((H486=1),M486-D486,0)</f>
        <v>0</v>
      </c>
      <c r="O486" s="5" t="n">
        <v>469</v>
      </c>
      <c r="P486" s="62" t="n">
        <f aca="false">IF((Arterial=0),P485+1,P485)</f>
        <v>235</v>
      </c>
      <c r="Q486" s="62" t="n">
        <f aca="false">IF((Arterial=1),Q485+1,Q485)</f>
        <v>234</v>
      </c>
      <c r="R486" s="63" t="e">
        <f aca="false">IF((RESET=1),0,R486+K486)</f>
        <v>#N/A</v>
      </c>
      <c r="S486" s="10" t="n">
        <f aca="false">IF(RESET=1,0,S486+N486)</f>
        <v>663.585983847684</v>
      </c>
      <c r="T486" s="0" t="e">
        <f aca="false">IF(RESET=1,0,T486+IF(H486=0,1,0))</f>
        <v>#N/A</v>
      </c>
      <c r="U486" s="0" t="n">
        <f aca="false">IF(RESET=1,0,U486+H486)</f>
        <v>23</v>
      </c>
      <c r="V486" s="10" t="e">
        <f aca="false">R486/(T486+0.00001)</f>
        <v>#N/A</v>
      </c>
      <c r="W486" s="10" t="n">
        <f aca="false">S486/(U486+0.0001)</f>
        <v>28.8514390740773</v>
      </c>
      <c r="X486" s="60" t="n">
        <f aca="false">IF(Informed=1,K486,0)</f>
        <v>21.6289986697402</v>
      </c>
      <c r="Y486" s="60" t="n">
        <f aca="false">IF(Informed=0,K486,0)</f>
        <v>0</v>
      </c>
      <c r="Z486" s="60" t="n">
        <f aca="false">IF(Informed=1,N486,0)</f>
        <v>0</v>
      </c>
      <c r="AA486" s="60" t="n">
        <f aca="false">IF(Informed=0,N486,0)</f>
        <v>0</v>
      </c>
      <c r="AB486" s="64" t="n">
        <f aca="false">IF(Arterial=0,IF(Informed=1,1,0),0)</f>
        <v>1</v>
      </c>
      <c r="AC486" s="64" t="n">
        <f aca="false">IF(Arterial=0,IF(Informed=0,1,0),0)</f>
        <v>0</v>
      </c>
      <c r="AD486" s="64" t="n">
        <f aca="false">IF(Arterial=1,IF(Informed=1,1,0),0)</f>
        <v>0</v>
      </c>
      <c r="AE486" s="64" t="n">
        <f aca="false">IF(Arterial=1,IF(Informed=0,1,0),0)</f>
        <v>0</v>
      </c>
      <c r="AF486" s="57" t="n">
        <f aca="false">IF(AB486=1,(X486-G$1030)^2,0)</f>
        <v>467.813583455621</v>
      </c>
      <c r="AG486" s="57" t="n">
        <f aca="false">IF(AC486=1,(Y486-H$1030)^2,0)</f>
        <v>0</v>
      </c>
      <c r="AH486" s="57" t="n">
        <f aca="false">IF(AD486=1,(Z486-I$1030)^2,0)</f>
        <v>0</v>
      </c>
      <c r="AI486" s="57" t="n">
        <f aca="false">IF(AE486=1,(AA486-J$1030)^2,0)</f>
        <v>0</v>
      </c>
    </row>
    <row r="487" customFormat="false" ht="12" hidden="false" customHeight="false" outlineLevel="0" collapsed="false">
      <c r="A487" s="5" t="n">
        <v>470</v>
      </c>
      <c r="B487" s="58" t="n">
        <f aca="true">IF(RAND()&lt;$D$8,1,0)</f>
        <v>0</v>
      </c>
      <c r="C487" s="47" t="n">
        <f aca="true">-LN(RAND())/$D$2</f>
        <v>0.491921469074549</v>
      </c>
      <c r="D487" s="59" t="n">
        <f aca="false">D486+C487</f>
        <v>455.597597172035</v>
      </c>
      <c r="E487" s="60" t="n">
        <f aca="false">MAX($D$3,(1+P486-VLOOKUP(VALUE(D487),$J$18:$Q486,7,TRUE()))*$D$3)</f>
        <v>24</v>
      </c>
      <c r="F487" s="60" t="n">
        <f aca="false">MAX($D$4,(1+Q486-VLOOKUP(VALUE(D487),$M$18:$Q486,5,TRUE()))*$D$4)</f>
        <v>20</v>
      </c>
      <c r="G487" s="61" t="n">
        <v>0.5</v>
      </c>
      <c r="H487" s="59" t="n">
        <f aca="true">IF((B487=1),(IF((F487&lt;E487),1,(IF((F487=E487),(IF(RAND()&lt;G487,1,0)),0)))),(IF((RAND()&lt;G487),1,0)))</f>
        <v>1</v>
      </c>
      <c r="I487" s="59" t="n">
        <f aca="true">IF((H487=1),0,$D$3+$D$5*(RAND()-0.5))</f>
        <v>0</v>
      </c>
      <c r="J487" s="59" t="n">
        <f aca="false">I487+MAX(D487,J486)</f>
        <v>476.734674372701</v>
      </c>
      <c r="K487" s="59" t="n">
        <f aca="false">IF((H487=0),J487-D487,0)</f>
        <v>0</v>
      </c>
      <c r="L487" s="59" t="n">
        <f aca="true">IF(($H487=0),0,$D$4+$D$5*(RAND()-0.5))</f>
        <v>2.12805505244779</v>
      </c>
      <c r="M487" s="59" t="n">
        <f aca="false">L487+MAX(D487,M486)</f>
        <v>475.523722765434</v>
      </c>
      <c r="N487" s="59" t="n">
        <f aca="false">IF((H487=1),M487-D487,0)</f>
        <v>19.9261255933986</v>
      </c>
      <c r="O487" s="5" t="n">
        <v>470</v>
      </c>
      <c r="P487" s="62" t="n">
        <f aca="false">IF((Arterial=0),P486+1,P486)</f>
        <v>235</v>
      </c>
      <c r="Q487" s="62" t="n">
        <f aca="false">IF((Arterial=1),Q486+1,Q486)</f>
        <v>235</v>
      </c>
      <c r="R487" s="63" t="n">
        <f aca="false">IF((RESET=1),0,R487+K487)</f>
        <v>761.428676763915</v>
      </c>
      <c r="S487" s="10" t="e">
        <f aca="false">IF(RESET=1,0,S487+N487)</f>
        <v>#N/A</v>
      </c>
      <c r="T487" s="0" t="n">
        <f aca="false">IF(RESET=1,0,T487+IF(H487=0,1,0))</f>
        <v>30</v>
      </c>
      <c r="U487" s="0" t="e">
        <f aca="false">IF(RESET=1,0,U487+H487)</f>
        <v>#N/A</v>
      </c>
      <c r="V487" s="10" t="n">
        <f aca="false">R487/(T487+0.00001)</f>
        <v>25.3809474318147</v>
      </c>
      <c r="W487" s="10" t="e">
        <f aca="false">S487/(U487+0.0001)</f>
        <v>#N/A</v>
      </c>
      <c r="X487" s="60" t="n">
        <f aca="false">IF(Informed=1,K487,0)</f>
        <v>0</v>
      </c>
      <c r="Y487" s="60" t="n">
        <f aca="false">IF(Informed=0,K487,0)</f>
        <v>0</v>
      </c>
      <c r="Z487" s="60" t="n">
        <f aca="false">IF(Informed=1,N487,0)</f>
        <v>0</v>
      </c>
      <c r="AA487" s="60" t="n">
        <f aca="false">IF(Informed=0,N487,0)</f>
        <v>19.9261255933986</v>
      </c>
      <c r="AB487" s="64" t="n">
        <f aca="false">IF(Arterial=0,IF(Informed=1,1,0),0)</f>
        <v>0</v>
      </c>
      <c r="AC487" s="64" t="n">
        <f aca="false">IF(Arterial=0,IF(Informed=0,1,0),0)</f>
        <v>0</v>
      </c>
      <c r="AD487" s="64" t="n">
        <f aca="false">IF(Arterial=1,IF(Informed=1,1,0),0)</f>
        <v>0</v>
      </c>
      <c r="AE487" s="64" t="n">
        <f aca="false">IF(Arterial=1,IF(Informed=0,1,0),0)</f>
        <v>1</v>
      </c>
      <c r="AF487" s="57" t="n">
        <f aca="false">IF(AB487=1,(X487-G$1030)^2,0)</f>
        <v>0</v>
      </c>
      <c r="AG487" s="57" t="n">
        <f aca="false">IF(AC487=1,(Y487-H$1030)^2,0)</f>
        <v>0</v>
      </c>
      <c r="AH487" s="57" t="n">
        <f aca="false">IF(AD487=1,(Z487-I$1030)^2,0)</f>
        <v>0</v>
      </c>
      <c r="AI487" s="57" t="n">
        <f aca="false">IF(AE487=1,(AA487-J$1030)^2,0)</f>
        <v>397.050481163894</v>
      </c>
    </row>
    <row r="488" customFormat="false" ht="12" hidden="false" customHeight="false" outlineLevel="0" collapsed="false">
      <c r="A488" s="5" t="n">
        <v>471</v>
      </c>
      <c r="B488" s="58" t="n">
        <f aca="true">IF(RAND()&lt;$D$8,1,0)</f>
        <v>0</v>
      </c>
      <c r="C488" s="47" t="n">
        <f aca="true">-LN(RAND())/$D$2</f>
        <v>0.548053826408607</v>
      </c>
      <c r="D488" s="59" t="n">
        <f aca="false">D487+C488</f>
        <v>456.145650998444</v>
      </c>
      <c r="E488" s="60" t="n">
        <f aca="false">MAX($D$3,(1+P487-VLOOKUP(VALUE(D488),$J$18:$Q487,7,TRUE()))*$D$3)</f>
        <v>24</v>
      </c>
      <c r="F488" s="60" t="n">
        <f aca="false">MAX($D$4,(1+Q487-VLOOKUP(VALUE(D488),$M$18:$Q487,5,TRUE()))*$D$4)</f>
        <v>22</v>
      </c>
      <c r="G488" s="61" t="n">
        <v>0.5</v>
      </c>
      <c r="H488" s="59" t="n">
        <f aca="true">IF((B488=1),(IF((F488&lt;E488),1,(IF((F488=E488),(IF(RAND()&lt;G488,1,0)),0)))),(IF((RAND()&lt;G488),1,0)))</f>
        <v>0</v>
      </c>
      <c r="I488" s="59" t="n">
        <f aca="true">IF((H488=1),0,$D$3+$D$5*(RAND()-0.5))</f>
        <v>1.98901049430688</v>
      </c>
      <c r="J488" s="59" t="n">
        <f aca="false">I488+MAX(D488,J487)</f>
        <v>478.723684867008</v>
      </c>
      <c r="K488" s="59" t="n">
        <f aca="false">IF((H488=0),J488-D488,0)</f>
        <v>22.5780338685639</v>
      </c>
      <c r="L488" s="59" t="n">
        <f aca="true">IF(($H488=0),0,$D$4+$D$5*(RAND()-0.5))</f>
        <v>0</v>
      </c>
      <c r="M488" s="59" t="n">
        <f aca="false">L488+MAX(D488,M487)</f>
        <v>475.523722765434</v>
      </c>
      <c r="N488" s="59" t="n">
        <f aca="false">IF((H488=1),M488-D488,0)</f>
        <v>0</v>
      </c>
      <c r="O488" s="5" t="n">
        <v>471</v>
      </c>
      <c r="P488" s="62" t="n">
        <f aca="false">IF((Arterial=0),P487+1,P487)</f>
        <v>236</v>
      </c>
      <c r="Q488" s="62" t="n">
        <f aca="false">IF((Arterial=1),Q487+1,Q487)</f>
        <v>235</v>
      </c>
      <c r="R488" s="63" t="e">
        <f aca="false">IF((RESET=1),0,R488+K488)</f>
        <v>#N/A</v>
      </c>
      <c r="S488" s="10" t="n">
        <f aca="false">IF(RESET=1,0,S488+N488)</f>
        <v>716.43296403117</v>
      </c>
      <c r="T488" s="0" t="e">
        <f aca="false">IF(RESET=1,0,T488+IF(H488=0,1,0))</f>
        <v>#N/A</v>
      </c>
      <c r="U488" s="0" t="n">
        <f aca="false">IF(RESET=1,0,U488+H488)</f>
        <v>30</v>
      </c>
      <c r="V488" s="10" t="e">
        <f aca="false">R488/(T488+0.00001)</f>
        <v>#N/A</v>
      </c>
      <c r="W488" s="10" t="n">
        <f aca="false">S488/(U488+0.0001)</f>
        <v>23.8810191976417</v>
      </c>
      <c r="X488" s="60" t="n">
        <f aca="false">IF(Informed=1,K488,0)</f>
        <v>0</v>
      </c>
      <c r="Y488" s="60" t="n">
        <f aca="false">IF(Informed=0,K488,0)</f>
        <v>22.5780338685639</v>
      </c>
      <c r="Z488" s="60" t="n">
        <f aca="false">IF(Informed=1,N488,0)</f>
        <v>0</v>
      </c>
      <c r="AA488" s="60" t="n">
        <f aca="false">IF(Informed=0,N488,0)</f>
        <v>0</v>
      </c>
      <c r="AB488" s="64" t="n">
        <f aca="false">IF(Arterial=0,IF(Informed=1,1,0),0)</f>
        <v>0</v>
      </c>
      <c r="AC488" s="64" t="n">
        <f aca="false">IF(Arterial=0,IF(Informed=0,1,0),0)</f>
        <v>1</v>
      </c>
      <c r="AD488" s="64" t="n">
        <f aca="false">IF(Arterial=1,IF(Informed=1,1,0),0)</f>
        <v>0</v>
      </c>
      <c r="AE488" s="64" t="n">
        <f aca="false">IF(Arterial=1,IF(Informed=0,1,0),0)</f>
        <v>0</v>
      </c>
      <c r="AF488" s="57" t="n">
        <f aca="false">IF(AB488=1,(X488-G$1030)^2,0)</f>
        <v>0</v>
      </c>
      <c r="AG488" s="57" t="n">
        <f aca="false">IF(AC488=1,(Y488-H$1030)^2,0)</f>
        <v>509.76761337002</v>
      </c>
      <c r="AH488" s="57" t="n">
        <f aca="false">IF(AD488=1,(Z488-I$1030)^2,0)</f>
        <v>0</v>
      </c>
      <c r="AI488" s="57" t="n">
        <f aca="false">IF(AE488=1,(AA488-J$1030)^2,0)</f>
        <v>0</v>
      </c>
    </row>
    <row r="489" customFormat="false" ht="12" hidden="false" customHeight="false" outlineLevel="0" collapsed="false">
      <c r="A489" s="5" t="n">
        <v>472</v>
      </c>
      <c r="B489" s="58" t="n">
        <f aca="true">IF(RAND()&lt;$D$8,1,0)</f>
        <v>1</v>
      </c>
      <c r="C489" s="47" t="n">
        <f aca="true">-LN(RAND())/$D$2</f>
        <v>0.354345501027531</v>
      </c>
      <c r="D489" s="59" t="n">
        <f aca="false">D488+C489</f>
        <v>456.499996499472</v>
      </c>
      <c r="E489" s="60" t="n">
        <f aca="false">MAX($D$3,(1+P488-VLOOKUP(VALUE(D489),$J$18:$Q488,7,TRUE()))*$D$3)</f>
        <v>26</v>
      </c>
      <c r="F489" s="60" t="n">
        <f aca="false">MAX($D$4,(1+Q488-VLOOKUP(VALUE(D489),$M$18:$Q488,5,TRUE()))*$D$4)</f>
        <v>22</v>
      </c>
      <c r="G489" s="61" t="n">
        <v>0.5</v>
      </c>
      <c r="H489" s="59" t="n">
        <f aca="true">IF((B489=1),(IF((F489&lt;E489),1,(IF((F489=E489),(IF(RAND()&lt;G489,1,0)),0)))),(IF((RAND()&lt;G489),1,0)))</f>
        <v>1</v>
      </c>
      <c r="I489" s="59" t="n">
        <f aca="true">IF((H489=1),0,$D$3+$D$5*(RAND()-0.5))</f>
        <v>0</v>
      </c>
      <c r="J489" s="59" t="n">
        <f aca="false">I489+MAX(D489,J488)</f>
        <v>478.723684867008</v>
      </c>
      <c r="K489" s="59" t="n">
        <f aca="false">IF((H489=0),J489-D489,0)</f>
        <v>0</v>
      </c>
      <c r="L489" s="59" t="n">
        <f aca="true">IF(($H489=0),0,$D$4+$D$5*(RAND()-0.5))</f>
        <v>2.20167883569767</v>
      </c>
      <c r="M489" s="59" t="n">
        <f aca="false">L489+MAX(D489,M488)</f>
        <v>477.725401601132</v>
      </c>
      <c r="N489" s="59" t="n">
        <f aca="false">IF((H489=1),M489-D489,0)</f>
        <v>21.2254051016602</v>
      </c>
      <c r="O489" s="5" t="n">
        <v>472</v>
      </c>
      <c r="P489" s="62" t="n">
        <f aca="false">IF((Arterial=0),P488+1,P488)</f>
        <v>236</v>
      </c>
      <c r="Q489" s="62" t="n">
        <f aca="false">IF((Arterial=1),Q488+1,Q488)</f>
        <v>236</v>
      </c>
      <c r="R489" s="63" t="n">
        <f aca="false">IF((RESET=1),0,R489+K489)</f>
        <v>697.463791304249</v>
      </c>
      <c r="S489" s="10" t="e">
        <f aca="false">IF(RESET=1,0,S489+N489)</f>
        <v>#N/A</v>
      </c>
      <c r="T489" s="0" t="n">
        <f aca="false">IF(RESET=1,0,T489+IF(H489=0,1,0))</f>
        <v>26</v>
      </c>
      <c r="U489" s="0" t="e">
        <f aca="false">IF(RESET=1,0,U489+H489)</f>
        <v>#N/A</v>
      </c>
      <c r="V489" s="10" t="n">
        <f aca="false">R489/(T489+0.00001)</f>
        <v>26.8255201172711</v>
      </c>
      <c r="W489" s="10" t="e">
        <f aca="false">S489/(U489+0.0001)</f>
        <v>#N/A</v>
      </c>
      <c r="X489" s="60" t="n">
        <f aca="false">IF(Informed=1,K489,0)</f>
        <v>0</v>
      </c>
      <c r="Y489" s="60" t="n">
        <f aca="false">IF(Informed=0,K489,0)</f>
        <v>0</v>
      </c>
      <c r="Z489" s="60" t="n">
        <f aca="false">IF(Informed=1,N489,0)</f>
        <v>21.2254051016602</v>
      </c>
      <c r="AA489" s="60" t="n">
        <f aca="false">IF(Informed=0,N489,0)</f>
        <v>0</v>
      </c>
      <c r="AB489" s="64" t="n">
        <f aca="false">IF(Arterial=0,IF(Informed=1,1,0),0)</f>
        <v>0</v>
      </c>
      <c r="AC489" s="64" t="n">
        <f aca="false">IF(Arterial=0,IF(Informed=0,1,0),0)</f>
        <v>0</v>
      </c>
      <c r="AD489" s="64" t="n">
        <f aca="false">IF(Arterial=1,IF(Informed=1,1,0),0)</f>
        <v>1</v>
      </c>
      <c r="AE489" s="64" t="n">
        <f aca="false">IF(Arterial=1,IF(Informed=0,1,0),0)</f>
        <v>0</v>
      </c>
      <c r="AF489" s="57" t="n">
        <f aca="false">IF(AB489=1,(X489-G$1030)^2,0)</f>
        <v>0</v>
      </c>
      <c r="AG489" s="57" t="n">
        <f aca="false">IF(AC489=1,(Y489-H$1030)^2,0)</f>
        <v>0</v>
      </c>
      <c r="AH489" s="57" t="n">
        <f aca="false">IF(AD489=1,(Z489-I$1030)^2,0)</f>
        <v>450.517821729581</v>
      </c>
      <c r="AI489" s="57" t="n">
        <f aca="false">IF(AE489=1,(AA489-J$1030)^2,0)</f>
        <v>0</v>
      </c>
    </row>
    <row r="490" customFormat="false" ht="12" hidden="false" customHeight="false" outlineLevel="0" collapsed="false">
      <c r="A490" s="5" t="n">
        <v>473</v>
      </c>
      <c r="B490" s="58" t="n">
        <f aca="true">IF(RAND()&lt;$D$8,1,0)</f>
        <v>0</v>
      </c>
      <c r="C490" s="47" t="n">
        <f aca="true">-LN(RAND())/$D$2</f>
        <v>3.47858967351077</v>
      </c>
      <c r="D490" s="59" t="n">
        <f aca="false">D489+C490</f>
        <v>459.978586172982</v>
      </c>
      <c r="E490" s="60" t="n">
        <f aca="false">MAX($D$3,(1+P489-VLOOKUP(VALUE(D490),$J$18:$Q489,7,TRUE()))*$D$3)</f>
        <v>22</v>
      </c>
      <c r="F490" s="60" t="n">
        <f aca="false">MAX($D$4,(1+Q489-VLOOKUP(VALUE(D490),$M$18:$Q489,5,TRUE()))*$D$4)</f>
        <v>20</v>
      </c>
      <c r="G490" s="61" t="n">
        <v>0.5</v>
      </c>
      <c r="H490" s="59" t="n">
        <f aca="true">IF((B490=1),(IF((F490&lt;E490),1,(IF((F490=E490),(IF(RAND()&lt;G490,1,0)),0)))),(IF((RAND()&lt;G490),1,0)))</f>
        <v>0</v>
      </c>
      <c r="I490" s="59" t="n">
        <f aca="true">IF((H490=1),0,$D$3+$D$5*(RAND()-0.5))</f>
        <v>2.0684963508689</v>
      </c>
      <c r="J490" s="59" t="n">
        <f aca="false">I490+MAX(D490,J489)</f>
        <v>480.792181217877</v>
      </c>
      <c r="K490" s="59" t="n">
        <f aca="false">IF((H490=0),J490-D490,0)</f>
        <v>20.8135950448945</v>
      </c>
      <c r="L490" s="59" t="n">
        <f aca="true">IF(($H490=0),0,$D$4+$D$5*(RAND()-0.5))</f>
        <v>0</v>
      </c>
      <c r="M490" s="59" t="n">
        <f aca="false">L490+MAX(D490,M489)</f>
        <v>477.725401601132</v>
      </c>
      <c r="N490" s="59" t="n">
        <f aca="false">IF((H490=1),M490-D490,0)</f>
        <v>0</v>
      </c>
      <c r="O490" s="5" t="n">
        <v>473</v>
      </c>
      <c r="P490" s="62" t="n">
        <f aca="false">IF((Arterial=0),P489+1,P489)</f>
        <v>237</v>
      </c>
      <c r="Q490" s="62" t="n">
        <f aca="false">IF((Arterial=1),Q489+1,Q489)</f>
        <v>236</v>
      </c>
      <c r="R490" s="63" t="e">
        <f aca="false">IF((RESET=1),0,R490+K490)</f>
        <v>#N/A</v>
      </c>
      <c r="S490" s="10" t="n">
        <f aca="false">IF(RESET=1,0,S490+N490)</f>
        <v>551.435233785336</v>
      </c>
      <c r="T490" s="0" t="e">
        <f aca="false">IF(RESET=1,0,T490+IF(H490=0,1,0))</f>
        <v>#N/A</v>
      </c>
      <c r="U490" s="0" t="n">
        <f aca="false">IF(RESET=1,0,U490+H490)</f>
        <v>22</v>
      </c>
      <c r="V490" s="10" t="e">
        <f aca="false">R490/(T490+0.00001)</f>
        <v>#N/A</v>
      </c>
      <c r="W490" s="10" t="n">
        <f aca="false">S490/(U490+0.0001)</f>
        <v>25.0651239669518</v>
      </c>
      <c r="X490" s="60" t="n">
        <f aca="false">IF(Informed=1,K490,0)</f>
        <v>0</v>
      </c>
      <c r="Y490" s="60" t="n">
        <f aca="false">IF(Informed=0,K490,0)</f>
        <v>20.8135950448945</v>
      </c>
      <c r="Z490" s="60" t="n">
        <f aca="false">IF(Informed=1,N490,0)</f>
        <v>0</v>
      </c>
      <c r="AA490" s="60" t="n">
        <f aca="false">IF(Informed=0,N490,0)</f>
        <v>0</v>
      </c>
      <c r="AB490" s="64" t="n">
        <f aca="false">IF(Arterial=0,IF(Informed=1,1,0),0)</f>
        <v>0</v>
      </c>
      <c r="AC490" s="64" t="n">
        <f aca="false">IF(Arterial=0,IF(Informed=0,1,0),0)</f>
        <v>1</v>
      </c>
      <c r="AD490" s="64" t="n">
        <f aca="false">IF(Arterial=1,IF(Informed=1,1,0),0)</f>
        <v>0</v>
      </c>
      <c r="AE490" s="64" t="n">
        <f aca="false">IF(Arterial=1,IF(Informed=0,1,0),0)</f>
        <v>0</v>
      </c>
      <c r="AF490" s="57" t="n">
        <f aca="false">IF(AB490=1,(X490-G$1030)^2,0)</f>
        <v>0</v>
      </c>
      <c r="AG490" s="57" t="n">
        <f aca="false">IF(AC490=1,(Y490-H$1030)^2,0)</f>
        <v>433.205738692857</v>
      </c>
      <c r="AH490" s="57" t="n">
        <f aca="false">IF(AD490=1,(Z490-I$1030)^2,0)</f>
        <v>0</v>
      </c>
      <c r="AI490" s="57" t="n">
        <f aca="false">IF(AE490=1,(AA490-J$1030)^2,0)</f>
        <v>0</v>
      </c>
    </row>
    <row r="491" customFormat="false" ht="12" hidden="false" customHeight="false" outlineLevel="0" collapsed="false">
      <c r="A491" s="5" t="n">
        <v>474</v>
      </c>
      <c r="B491" s="58" t="n">
        <f aca="true">IF(RAND()&lt;$D$8,1,0)</f>
        <v>0</v>
      </c>
      <c r="C491" s="47" t="n">
        <f aca="true">-LN(RAND())/$D$2</f>
        <v>0.685926200594196</v>
      </c>
      <c r="D491" s="59" t="n">
        <f aca="false">D490+C491</f>
        <v>460.664512373577</v>
      </c>
      <c r="E491" s="60" t="n">
        <f aca="false">MAX($D$3,(1+P490-VLOOKUP(VALUE(D491),$J$18:$Q490,7,TRUE()))*$D$3)</f>
        <v>24</v>
      </c>
      <c r="F491" s="60" t="n">
        <f aca="false">MAX($D$4,(1+Q490-VLOOKUP(VALUE(D491),$M$18:$Q490,5,TRUE()))*$D$4)</f>
        <v>20</v>
      </c>
      <c r="G491" s="61" t="n">
        <v>0.5</v>
      </c>
      <c r="H491" s="59" t="n">
        <f aca="true">IF((B491=1),(IF((F491&lt;E491),1,(IF((F491=E491),(IF(RAND()&lt;G491,1,0)),0)))),(IF((RAND()&lt;G491),1,0)))</f>
        <v>0</v>
      </c>
      <c r="I491" s="59" t="n">
        <f aca="true">IF((H491=1),0,$D$3+$D$5*(RAND()-0.5))</f>
        <v>2.10340290418742</v>
      </c>
      <c r="J491" s="59" t="n">
        <f aca="false">I491+MAX(D491,J490)</f>
        <v>482.895584122064</v>
      </c>
      <c r="K491" s="59" t="n">
        <f aca="false">IF((H491=0),J491-D491,0)</f>
        <v>22.2310717484877</v>
      </c>
      <c r="L491" s="59" t="n">
        <f aca="true">IF(($H491=0),0,$D$4+$D$5*(RAND()-0.5))</f>
        <v>0</v>
      </c>
      <c r="M491" s="59" t="n">
        <f aca="false">L491+MAX(D491,M490)</f>
        <v>477.725401601132</v>
      </c>
      <c r="N491" s="59" t="n">
        <f aca="false">IF((H491=1),M491-D491,0)</f>
        <v>0</v>
      </c>
      <c r="O491" s="5" t="n">
        <v>474</v>
      </c>
      <c r="P491" s="62" t="n">
        <f aca="false">IF((Arterial=0),P490+1,P490)</f>
        <v>238</v>
      </c>
      <c r="Q491" s="62" t="n">
        <f aca="false">IF((Arterial=1),Q490+1,Q490)</f>
        <v>236</v>
      </c>
      <c r="R491" s="63" t="e">
        <f aca="false">IF((RESET=1),0,R491+K491)</f>
        <v>#N/A</v>
      </c>
      <c r="S491" s="10" t="n">
        <f aca="false">IF(RESET=1,0,S491+N491)</f>
        <v>791.382482216774</v>
      </c>
      <c r="T491" s="0" t="e">
        <f aca="false">IF(RESET=1,0,T491+IF(H491=0,1,0))</f>
        <v>#N/A</v>
      </c>
      <c r="U491" s="0" t="n">
        <f aca="false">IF(RESET=1,0,U491+H491)</f>
        <v>31</v>
      </c>
      <c r="V491" s="10" t="e">
        <f aca="false">R491/(T491+0.00001)</f>
        <v>#N/A</v>
      </c>
      <c r="W491" s="10" t="n">
        <f aca="false">S491/(U491+0.0001)</f>
        <v>25.5283848186546</v>
      </c>
      <c r="X491" s="60" t="n">
        <f aca="false">IF(Informed=1,K491,0)</f>
        <v>0</v>
      </c>
      <c r="Y491" s="60" t="n">
        <f aca="false">IF(Informed=0,K491,0)</f>
        <v>22.2310717484877</v>
      </c>
      <c r="Z491" s="60" t="n">
        <f aca="false">IF(Informed=1,N491,0)</f>
        <v>0</v>
      </c>
      <c r="AA491" s="60" t="n">
        <f aca="false">IF(Informed=0,N491,0)</f>
        <v>0</v>
      </c>
      <c r="AB491" s="64" t="n">
        <f aca="false">IF(Arterial=0,IF(Informed=1,1,0),0)</f>
        <v>0</v>
      </c>
      <c r="AC491" s="64" t="n">
        <f aca="false">IF(Arterial=0,IF(Informed=0,1,0),0)</f>
        <v>1</v>
      </c>
      <c r="AD491" s="64" t="n">
        <f aca="false">IF(Arterial=1,IF(Informed=1,1,0),0)</f>
        <v>0</v>
      </c>
      <c r="AE491" s="64" t="n">
        <f aca="false">IF(Arterial=1,IF(Informed=0,1,0),0)</f>
        <v>0</v>
      </c>
      <c r="AF491" s="57" t="n">
        <f aca="false">IF(AB491=1,(X491-G$1030)^2,0)</f>
        <v>0</v>
      </c>
      <c r="AG491" s="57" t="n">
        <f aca="false">IF(AC491=1,(Y491-H$1030)^2,0)</f>
        <v>494.220551086408</v>
      </c>
      <c r="AH491" s="57" t="n">
        <f aca="false">IF(AD491=1,(Z491-I$1030)^2,0)</f>
        <v>0</v>
      </c>
      <c r="AI491" s="57" t="n">
        <f aca="false">IF(AE491=1,(AA491-J$1030)^2,0)</f>
        <v>0</v>
      </c>
    </row>
    <row r="492" customFormat="false" ht="12" hidden="false" customHeight="false" outlineLevel="0" collapsed="false">
      <c r="A492" s="5" t="n">
        <v>475</v>
      </c>
      <c r="B492" s="58" t="n">
        <f aca="true">IF(RAND()&lt;$D$8,1,0)</f>
        <v>0</v>
      </c>
      <c r="C492" s="47" t="n">
        <f aca="true">-LN(RAND())/$D$2</f>
        <v>1.3070715254896</v>
      </c>
      <c r="D492" s="59" t="n">
        <f aca="false">D491+C492</f>
        <v>461.971583899066</v>
      </c>
      <c r="E492" s="60" t="n">
        <f aca="false">MAX($D$3,(1+P491-VLOOKUP(VALUE(D492),$J$18:$Q491,7,TRUE()))*$D$3)</f>
        <v>24</v>
      </c>
      <c r="F492" s="60" t="n">
        <f aca="false">MAX($D$4,(1+Q491-VLOOKUP(VALUE(D492),$M$18:$Q491,5,TRUE()))*$D$4)</f>
        <v>18</v>
      </c>
      <c r="G492" s="61" t="n">
        <v>0.5</v>
      </c>
      <c r="H492" s="59" t="n">
        <f aca="true">IF((B492=1),(IF((F492&lt;E492),1,(IF((F492=E492),(IF(RAND()&lt;G492,1,0)),0)))),(IF((RAND()&lt;G492),1,0)))</f>
        <v>1</v>
      </c>
      <c r="I492" s="59" t="n">
        <f aca="true">IF((H492=1),0,$D$3+$D$5*(RAND()-0.5))</f>
        <v>0</v>
      </c>
      <c r="J492" s="59" t="n">
        <f aca="false">I492+MAX(D492,J491)</f>
        <v>482.895584122064</v>
      </c>
      <c r="K492" s="59" t="n">
        <f aca="false">IF((H492=0),J492-D492,0)</f>
        <v>0</v>
      </c>
      <c r="L492" s="59" t="n">
        <f aca="true">IF(($H492=0),0,$D$4+$D$5*(RAND()-0.5))</f>
        <v>2.03643953766501</v>
      </c>
      <c r="M492" s="59" t="n">
        <f aca="false">L492+MAX(D492,M491)</f>
        <v>479.761841138797</v>
      </c>
      <c r="N492" s="59" t="n">
        <f aca="false">IF((H492=1),M492-D492,0)</f>
        <v>17.7902572397305</v>
      </c>
      <c r="O492" s="5" t="n">
        <v>475</v>
      </c>
      <c r="P492" s="62" t="n">
        <f aca="false">IF((Arterial=0),P491+1,P491)</f>
        <v>238</v>
      </c>
      <c r="Q492" s="62" t="n">
        <f aca="false">IF((Arterial=1),Q491+1,Q491)</f>
        <v>237</v>
      </c>
      <c r="R492" s="63" t="n">
        <f aca="false">IF((RESET=1),0,R492+K492)</f>
        <v>620.563112206386</v>
      </c>
      <c r="S492" s="10" t="e">
        <f aca="false">IF(RESET=1,0,S492+N492)</f>
        <v>#N/A</v>
      </c>
      <c r="T492" s="0" t="n">
        <f aca="false">IF(RESET=1,0,T492+IF(H492=0,1,0))</f>
        <v>26</v>
      </c>
      <c r="U492" s="0" t="e">
        <f aca="false">IF(RESET=1,0,U492+H492)</f>
        <v>#N/A</v>
      </c>
      <c r="V492" s="10" t="n">
        <f aca="false">R492/(T492+0.00001)</f>
        <v>23.8678028280138</v>
      </c>
      <c r="W492" s="10" t="e">
        <f aca="false">S492/(U492+0.0001)</f>
        <v>#N/A</v>
      </c>
      <c r="X492" s="60" t="n">
        <f aca="false">IF(Informed=1,K492,0)</f>
        <v>0</v>
      </c>
      <c r="Y492" s="60" t="n">
        <f aca="false">IF(Informed=0,K492,0)</f>
        <v>0</v>
      </c>
      <c r="Z492" s="60" t="n">
        <f aca="false">IF(Informed=1,N492,0)</f>
        <v>0</v>
      </c>
      <c r="AA492" s="60" t="n">
        <f aca="false">IF(Informed=0,N492,0)</f>
        <v>17.7902572397305</v>
      </c>
      <c r="AB492" s="64" t="n">
        <f aca="false">IF(Arterial=0,IF(Informed=1,1,0),0)</f>
        <v>0</v>
      </c>
      <c r="AC492" s="64" t="n">
        <f aca="false">IF(Arterial=0,IF(Informed=0,1,0),0)</f>
        <v>0</v>
      </c>
      <c r="AD492" s="64" t="n">
        <f aca="false">IF(Arterial=1,IF(Informed=1,1,0),0)</f>
        <v>0</v>
      </c>
      <c r="AE492" s="64" t="n">
        <f aca="false">IF(Arterial=1,IF(Informed=0,1,0),0)</f>
        <v>1</v>
      </c>
      <c r="AF492" s="57" t="n">
        <f aca="false">IF(AB492=1,(X492-G$1030)^2,0)</f>
        <v>0</v>
      </c>
      <c r="AG492" s="57" t="n">
        <f aca="false">IF(AC492=1,(Y492-H$1030)^2,0)</f>
        <v>0</v>
      </c>
      <c r="AH492" s="57" t="n">
        <f aca="false">IF(AD492=1,(Z492-I$1030)^2,0)</f>
        <v>0</v>
      </c>
      <c r="AI492" s="57" t="n">
        <f aca="false">IF(AE492=1,(AA492-J$1030)^2,0)</f>
        <v>316.493252655784</v>
      </c>
    </row>
    <row r="493" customFormat="false" ht="12" hidden="false" customHeight="false" outlineLevel="0" collapsed="false">
      <c r="A493" s="5" t="n">
        <v>476</v>
      </c>
      <c r="B493" s="58" t="n">
        <f aca="true">IF(RAND()&lt;$D$8,1,0)</f>
        <v>0</v>
      </c>
      <c r="C493" s="47" t="n">
        <f aca="true">-LN(RAND())/$D$2</f>
        <v>0.15628598710017</v>
      </c>
      <c r="D493" s="59" t="n">
        <f aca="false">D492+C493</f>
        <v>462.127869886166</v>
      </c>
      <c r="E493" s="60" t="n">
        <f aca="false">MAX($D$3,(1+P492-VLOOKUP(VALUE(D493),$J$18:$Q492,7,TRUE()))*$D$3)</f>
        <v>24</v>
      </c>
      <c r="F493" s="60" t="n">
        <f aca="false">MAX($D$4,(1+Q492-VLOOKUP(VALUE(D493),$M$18:$Q492,5,TRUE()))*$D$4)</f>
        <v>20</v>
      </c>
      <c r="G493" s="61" t="n">
        <v>0.5</v>
      </c>
      <c r="H493" s="59" t="n">
        <f aca="true">IF((B493=1),(IF((F493&lt;E493),1,(IF((F493=E493),(IF(RAND()&lt;G493,1,0)),0)))),(IF((RAND()&lt;G493),1,0)))</f>
        <v>0</v>
      </c>
      <c r="I493" s="59" t="n">
        <f aca="true">IF((H493=1),0,$D$3+$D$5*(RAND()-0.5))</f>
        <v>1.9271797207392</v>
      </c>
      <c r="J493" s="59" t="n">
        <f aca="false">I493+MAX(D493,J492)</f>
        <v>484.822763842803</v>
      </c>
      <c r="K493" s="59" t="n">
        <f aca="false">IF((H493=0),J493-D493,0)</f>
        <v>22.6948939566371</v>
      </c>
      <c r="L493" s="59" t="n">
        <f aca="true">IF(($H493=0),0,$D$4+$D$5*(RAND()-0.5))</f>
        <v>0</v>
      </c>
      <c r="M493" s="59" t="n">
        <f aca="false">L493+MAX(D493,M492)</f>
        <v>479.761841138797</v>
      </c>
      <c r="N493" s="59" t="n">
        <f aca="false">IF((H493=1),M493-D493,0)</f>
        <v>0</v>
      </c>
      <c r="O493" s="5" t="n">
        <v>476</v>
      </c>
      <c r="P493" s="62" t="n">
        <f aca="false">IF((Arterial=0),P492+1,P492)</f>
        <v>239</v>
      </c>
      <c r="Q493" s="62" t="n">
        <f aca="false">IF((Arterial=1),Q492+1,Q492)</f>
        <v>237</v>
      </c>
      <c r="R493" s="63" t="e">
        <f aca="false">IF((RESET=1),0,R493+K493)</f>
        <v>#N/A</v>
      </c>
      <c r="S493" s="10" t="n">
        <f aca="false">IF(RESET=1,0,S493+N493)</f>
        <v>698.313947813426</v>
      </c>
      <c r="T493" s="0" t="e">
        <f aca="false">IF(RESET=1,0,T493+IF(H493=0,1,0))</f>
        <v>#N/A</v>
      </c>
      <c r="U493" s="0" t="n">
        <f aca="false">IF(RESET=1,0,U493+H493)</f>
        <v>28</v>
      </c>
      <c r="V493" s="10" t="e">
        <f aca="false">R493/(T493+0.00001)</f>
        <v>#N/A</v>
      </c>
      <c r="W493" s="10" t="n">
        <f aca="false">S493/(U493+0.0001)</f>
        <v>24.939694780141</v>
      </c>
      <c r="X493" s="60" t="n">
        <f aca="false">IF(Informed=1,K493,0)</f>
        <v>0</v>
      </c>
      <c r="Y493" s="60" t="n">
        <f aca="false">IF(Informed=0,K493,0)</f>
        <v>22.6948939566371</v>
      </c>
      <c r="Z493" s="60" t="n">
        <f aca="false">IF(Informed=1,N493,0)</f>
        <v>0</v>
      </c>
      <c r="AA493" s="60" t="n">
        <f aca="false">IF(Informed=0,N493,0)</f>
        <v>0</v>
      </c>
      <c r="AB493" s="64" t="n">
        <f aca="false">IF(Arterial=0,IF(Informed=1,1,0),0)</f>
        <v>0</v>
      </c>
      <c r="AC493" s="64" t="n">
        <f aca="false">IF(Arterial=0,IF(Informed=0,1,0),0)</f>
        <v>1</v>
      </c>
      <c r="AD493" s="64" t="n">
        <f aca="false">IF(Arterial=1,IF(Informed=1,1,0),0)</f>
        <v>0</v>
      </c>
      <c r="AE493" s="64" t="n">
        <f aca="false">IF(Arterial=1,IF(Informed=0,1,0),0)</f>
        <v>0</v>
      </c>
      <c r="AF493" s="57" t="n">
        <f aca="false">IF(AB493=1,(X493-G$1030)^2,0)</f>
        <v>0</v>
      </c>
      <c r="AG493" s="57" t="n">
        <f aca="false">IF(AC493=1,(Y493-H$1030)^2,0)</f>
        <v>515.058211703005</v>
      </c>
      <c r="AH493" s="57" t="n">
        <f aca="false">IF(AD493=1,(Z493-I$1030)^2,0)</f>
        <v>0</v>
      </c>
      <c r="AI493" s="57" t="n">
        <f aca="false">IF(AE493=1,(AA493-J$1030)^2,0)</f>
        <v>0</v>
      </c>
    </row>
    <row r="494" customFormat="false" ht="12" hidden="false" customHeight="false" outlineLevel="0" collapsed="false">
      <c r="A494" s="5" t="n">
        <v>477</v>
      </c>
      <c r="B494" s="58" t="n">
        <f aca="true">IF(RAND()&lt;$D$8,1,0)</f>
        <v>0</v>
      </c>
      <c r="C494" s="47" t="n">
        <f aca="true">-LN(RAND())/$D$2</f>
        <v>0.786107833277976</v>
      </c>
      <c r="D494" s="59" t="n">
        <f aca="false">D493+C494</f>
        <v>462.913977719444</v>
      </c>
      <c r="E494" s="60" t="n">
        <f aca="false">MAX($D$3,(1+P493-VLOOKUP(VALUE(D494),$J$18:$Q493,7,TRUE()))*$D$3)</f>
        <v>24</v>
      </c>
      <c r="F494" s="60" t="n">
        <f aca="false">MAX($D$4,(1+Q493-VLOOKUP(VALUE(D494),$M$18:$Q493,5,TRUE()))*$D$4)</f>
        <v>20</v>
      </c>
      <c r="G494" s="61" t="n">
        <v>0.5</v>
      </c>
      <c r="H494" s="59" t="n">
        <f aca="true">IF((B494=1),(IF((F494&lt;E494),1,(IF((F494=E494),(IF(RAND()&lt;G494,1,0)),0)))),(IF((RAND()&lt;G494),1,0)))</f>
        <v>0</v>
      </c>
      <c r="I494" s="59" t="n">
        <f aca="true">IF((H494=1),0,$D$3+$D$5*(RAND()-0.5))</f>
        <v>2.2468041386183</v>
      </c>
      <c r="J494" s="59" t="n">
        <f aca="false">I494+MAX(D494,J493)</f>
        <v>487.069567981422</v>
      </c>
      <c r="K494" s="59" t="n">
        <f aca="false">IF((H494=0),J494-D494,0)</f>
        <v>24.1555902619775</v>
      </c>
      <c r="L494" s="59" t="n">
        <f aca="true">IF(($H494=0),0,$D$4+$D$5*(RAND()-0.5))</f>
        <v>0</v>
      </c>
      <c r="M494" s="59" t="n">
        <f aca="false">L494+MAX(D494,M493)</f>
        <v>479.761841138797</v>
      </c>
      <c r="N494" s="59" t="n">
        <f aca="false">IF((H494=1),M494-D494,0)</f>
        <v>0</v>
      </c>
      <c r="O494" s="5" t="n">
        <v>477</v>
      </c>
      <c r="P494" s="62" t="n">
        <f aca="false">IF((Arterial=0),P493+1,P493)</f>
        <v>240</v>
      </c>
      <c r="Q494" s="62" t="n">
        <f aca="false">IF((Arterial=1),Q493+1,Q493)</f>
        <v>237</v>
      </c>
      <c r="R494" s="63" t="e">
        <f aca="false">IF((RESET=1),0,R494+K494)</f>
        <v>#N/A</v>
      </c>
      <c r="S494" s="10" t="n">
        <f aca="false">IF(RESET=1,0,S494+N494)</f>
        <v>828.93425505173</v>
      </c>
      <c r="T494" s="0" t="e">
        <f aca="false">IF(RESET=1,0,T494+IF(H494=0,1,0))</f>
        <v>#N/A</v>
      </c>
      <c r="U494" s="0" t="n">
        <f aca="false">IF(RESET=1,0,U494+H494)</f>
        <v>31</v>
      </c>
      <c r="V494" s="10" t="e">
        <f aca="false">R494/(T494+0.00001)</f>
        <v>#N/A</v>
      </c>
      <c r="W494" s="10" t="n">
        <f aca="false">S494/(U494+0.0001)</f>
        <v>26.7397284218996</v>
      </c>
      <c r="X494" s="60" t="n">
        <f aca="false">IF(Informed=1,K494,0)</f>
        <v>0</v>
      </c>
      <c r="Y494" s="60" t="n">
        <f aca="false">IF(Informed=0,K494,0)</f>
        <v>24.1555902619775</v>
      </c>
      <c r="Z494" s="60" t="n">
        <f aca="false">IF(Informed=1,N494,0)</f>
        <v>0</v>
      </c>
      <c r="AA494" s="60" t="n">
        <f aca="false">IF(Informed=0,N494,0)</f>
        <v>0</v>
      </c>
      <c r="AB494" s="64" t="n">
        <f aca="false">IF(Arterial=0,IF(Informed=1,1,0),0)</f>
        <v>0</v>
      </c>
      <c r="AC494" s="64" t="n">
        <f aca="false">IF(Arterial=0,IF(Informed=0,1,0),0)</f>
        <v>1</v>
      </c>
      <c r="AD494" s="64" t="n">
        <f aca="false">IF(Arterial=1,IF(Informed=1,1,0),0)</f>
        <v>0</v>
      </c>
      <c r="AE494" s="64" t="n">
        <f aca="false">IF(Arterial=1,IF(Informed=0,1,0),0)</f>
        <v>0</v>
      </c>
      <c r="AF494" s="57" t="n">
        <f aca="false">IF(AB494=1,(X494-G$1030)^2,0)</f>
        <v>0</v>
      </c>
      <c r="AG494" s="57" t="n">
        <f aca="false">IF(AC494=1,(Y494-H$1030)^2,0)</f>
        <v>583.492540904541</v>
      </c>
      <c r="AH494" s="57" t="n">
        <f aca="false">IF(AD494=1,(Z494-I$1030)^2,0)</f>
        <v>0</v>
      </c>
      <c r="AI494" s="57" t="n">
        <f aca="false">IF(AE494=1,(AA494-J$1030)^2,0)</f>
        <v>0</v>
      </c>
    </row>
    <row r="495" customFormat="false" ht="12" hidden="false" customHeight="false" outlineLevel="0" collapsed="false">
      <c r="A495" s="5" t="n">
        <v>478</v>
      </c>
      <c r="B495" s="58" t="n">
        <f aca="true">IF(RAND()&lt;$D$8,1,0)</f>
        <v>0</v>
      </c>
      <c r="C495" s="47" t="n">
        <f aca="true">-LN(RAND())/$D$2</f>
        <v>2.17900766274793</v>
      </c>
      <c r="D495" s="59" t="n">
        <f aca="false">D494+C495</f>
        <v>465.092985382192</v>
      </c>
      <c r="E495" s="60" t="n">
        <f aca="false">MAX($D$3,(1+P494-VLOOKUP(VALUE(D495),$J$18:$Q494,7,TRUE()))*$D$3)</f>
        <v>24</v>
      </c>
      <c r="F495" s="60" t="n">
        <f aca="false">MAX($D$4,(1+Q494-VLOOKUP(VALUE(D495),$M$18:$Q494,5,TRUE()))*$D$4)</f>
        <v>18</v>
      </c>
      <c r="G495" s="61" t="n">
        <v>0.5</v>
      </c>
      <c r="H495" s="59" t="n">
        <f aca="true">IF((B495=1),(IF((F495&lt;E495),1,(IF((F495=E495),(IF(RAND()&lt;G495,1,0)),0)))),(IF((RAND()&lt;G495),1,0)))</f>
        <v>0</v>
      </c>
      <c r="I495" s="59" t="n">
        <f aca="true">IF((H495=1),0,$D$3+$D$5*(RAND()-0.5))</f>
        <v>1.96965699052322</v>
      </c>
      <c r="J495" s="59" t="n">
        <f aca="false">I495+MAX(D495,J494)</f>
        <v>489.039224971945</v>
      </c>
      <c r="K495" s="59" t="n">
        <f aca="false">IF((H495=0),J495-D495,0)</f>
        <v>23.9462395897527</v>
      </c>
      <c r="L495" s="59" t="n">
        <f aca="true">IF(($H495=0),0,$D$4+$D$5*(RAND()-0.5))</f>
        <v>0</v>
      </c>
      <c r="M495" s="59" t="n">
        <f aca="false">L495+MAX(D495,M494)</f>
        <v>479.761841138797</v>
      </c>
      <c r="N495" s="59" t="n">
        <f aca="false">IF((H495=1),M495-D495,0)</f>
        <v>0</v>
      </c>
      <c r="O495" s="5" t="n">
        <v>478</v>
      </c>
      <c r="P495" s="62" t="n">
        <f aca="false">IF((Arterial=0),P494+1,P494)</f>
        <v>241</v>
      </c>
      <c r="Q495" s="62" t="n">
        <f aca="false">IF((Arterial=1),Q494+1,Q494)</f>
        <v>237</v>
      </c>
      <c r="R495" s="63" t="e">
        <f aca="false">IF((RESET=1),0,R495+K495)</f>
        <v>#N/A</v>
      </c>
      <c r="S495" s="10" t="n">
        <f aca="false">IF(RESET=1,0,S495+N495)</f>
        <v>479.62017585043</v>
      </c>
      <c r="T495" s="0" t="e">
        <f aca="false">IF(RESET=1,0,T495+IF(H495=0,1,0))</f>
        <v>#N/A</v>
      </c>
      <c r="U495" s="0" t="n">
        <f aca="false">IF(RESET=1,0,U495+H495)</f>
        <v>22</v>
      </c>
      <c r="V495" s="10" t="e">
        <f aca="false">R495/(T495+0.00001)</f>
        <v>#N/A</v>
      </c>
      <c r="W495" s="10" t="n">
        <f aca="false">S495/(U495+0.0001)</f>
        <v>21.8008179894832</v>
      </c>
      <c r="X495" s="60" t="n">
        <f aca="false">IF(Informed=1,K495,0)</f>
        <v>0</v>
      </c>
      <c r="Y495" s="60" t="n">
        <f aca="false">IF(Informed=0,K495,0)</f>
        <v>23.9462395897527</v>
      </c>
      <c r="Z495" s="60" t="n">
        <f aca="false">IF(Informed=1,N495,0)</f>
        <v>0</v>
      </c>
      <c r="AA495" s="60" t="n">
        <f aca="false">IF(Informed=0,N495,0)</f>
        <v>0</v>
      </c>
      <c r="AB495" s="64" t="n">
        <f aca="false">IF(Arterial=0,IF(Informed=1,1,0),0)</f>
        <v>0</v>
      </c>
      <c r="AC495" s="64" t="n">
        <f aca="false">IF(Arterial=0,IF(Informed=0,1,0),0)</f>
        <v>1</v>
      </c>
      <c r="AD495" s="64" t="n">
        <f aca="false">IF(Arterial=1,IF(Informed=1,1,0),0)</f>
        <v>0</v>
      </c>
      <c r="AE495" s="64" t="n">
        <f aca="false">IF(Arterial=1,IF(Informed=0,1,0),0)</f>
        <v>0</v>
      </c>
      <c r="AF495" s="57" t="n">
        <f aca="false">IF(AB495=1,(X495-G$1030)^2,0)</f>
        <v>0</v>
      </c>
      <c r="AG495" s="57" t="n">
        <f aca="false">IF(AC495=1,(Y495-H$1030)^2,0)</f>
        <v>573.422390489841</v>
      </c>
      <c r="AH495" s="57" t="n">
        <f aca="false">IF(AD495=1,(Z495-I$1030)^2,0)</f>
        <v>0</v>
      </c>
      <c r="AI495" s="57" t="n">
        <f aca="false">IF(AE495=1,(AA495-J$1030)^2,0)</f>
        <v>0</v>
      </c>
    </row>
    <row r="496" customFormat="false" ht="12" hidden="false" customHeight="false" outlineLevel="0" collapsed="false">
      <c r="A496" s="5" t="n">
        <v>479</v>
      </c>
      <c r="B496" s="58" t="n">
        <f aca="true">IF(RAND()&lt;$D$8,1,0)</f>
        <v>1</v>
      </c>
      <c r="C496" s="47" t="n">
        <f aca="true">-LN(RAND())/$D$2</f>
        <v>0.875225171951964</v>
      </c>
      <c r="D496" s="59" t="n">
        <f aca="false">D495+C496</f>
        <v>465.968210554144</v>
      </c>
      <c r="E496" s="60" t="n">
        <f aca="false">MAX($D$3,(1+P495-VLOOKUP(VALUE(D496),$J$18:$Q495,7,TRUE()))*$D$3)</f>
        <v>26</v>
      </c>
      <c r="F496" s="60" t="n">
        <f aca="false">MAX($D$4,(1+Q495-VLOOKUP(VALUE(D496),$M$18:$Q495,5,TRUE()))*$D$4)</f>
        <v>16</v>
      </c>
      <c r="G496" s="61" t="n">
        <v>0.5</v>
      </c>
      <c r="H496" s="59" t="n">
        <f aca="true">IF((B496=1),(IF((F496&lt;E496),1,(IF((F496=E496),(IF(RAND()&lt;G496,1,0)),0)))),(IF((RAND()&lt;G496),1,0)))</f>
        <v>1</v>
      </c>
      <c r="I496" s="59" t="n">
        <f aca="true">IF((H496=1),0,$D$3+$D$5*(RAND()-0.5))</f>
        <v>0</v>
      </c>
      <c r="J496" s="59" t="n">
        <f aca="false">I496+MAX(D496,J495)</f>
        <v>489.039224971945</v>
      </c>
      <c r="K496" s="59" t="n">
        <f aca="false">IF((H496=0),J496-D496,0)</f>
        <v>0</v>
      </c>
      <c r="L496" s="59" t="n">
        <f aca="true">IF(($H496=0),0,$D$4+$D$5*(RAND()-0.5))</f>
        <v>1.78341630476007</v>
      </c>
      <c r="M496" s="59" t="n">
        <f aca="false">L496+MAX(D496,M495)</f>
        <v>481.545257443557</v>
      </c>
      <c r="N496" s="59" t="n">
        <f aca="false">IF((H496=1),M496-D496,0)</f>
        <v>15.5770468894125</v>
      </c>
      <c r="O496" s="5" t="n">
        <v>479</v>
      </c>
      <c r="P496" s="62" t="n">
        <f aca="false">IF((Arterial=0),P495+1,P495)</f>
        <v>241</v>
      </c>
      <c r="Q496" s="62" t="n">
        <f aca="false">IF((Arterial=1),Q495+1,Q495)</f>
        <v>238</v>
      </c>
      <c r="R496" s="63" t="n">
        <f aca="false">IF((RESET=1),0,R496+K496)</f>
        <v>662.640321510275</v>
      </c>
      <c r="S496" s="10" t="e">
        <f aca="false">IF(RESET=1,0,S496+N496)</f>
        <v>#N/A</v>
      </c>
      <c r="T496" s="0" t="n">
        <f aca="false">IF(RESET=1,0,T496+IF(H496=0,1,0))</f>
        <v>27</v>
      </c>
      <c r="U496" s="0" t="e">
        <f aca="false">IF(RESET=1,0,U496+H496)</f>
        <v>#N/A</v>
      </c>
      <c r="V496" s="10" t="n">
        <f aca="false">R496/(T496+0.00001)</f>
        <v>24.5422250402972</v>
      </c>
      <c r="W496" s="10" t="e">
        <f aca="false">S496/(U496+0.0001)</f>
        <v>#N/A</v>
      </c>
      <c r="X496" s="60" t="n">
        <f aca="false">IF(Informed=1,K496,0)</f>
        <v>0</v>
      </c>
      <c r="Y496" s="60" t="n">
        <f aca="false">IF(Informed=0,K496,0)</f>
        <v>0</v>
      </c>
      <c r="Z496" s="60" t="n">
        <f aca="false">IF(Informed=1,N496,0)</f>
        <v>15.5770468894125</v>
      </c>
      <c r="AA496" s="60" t="n">
        <f aca="false">IF(Informed=0,N496,0)</f>
        <v>0</v>
      </c>
      <c r="AB496" s="64" t="n">
        <f aca="false">IF(Arterial=0,IF(Informed=1,1,0),0)</f>
        <v>0</v>
      </c>
      <c r="AC496" s="64" t="n">
        <f aca="false">IF(Arterial=0,IF(Informed=0,1,0),0)</f>
        <v>0</v>
      </c>
      <c r="AD496" s="64" t="n">
        <f aca="false">IF(Arterial=1,IF(Informed=1,1,0),0)</f>
        <v>1</v>
      </c>
      <c r="AE496" s="64" t="n">
        <f aca="false">IF(Arterial=1,IF(Informed=0,1,0),0)</f>
        <v>0</v>
      </c>
      <c r="AF496" s="57" t="n">
        <f aca="false">IF(AB496=1,(X496-G$1030)^2,0)</f>
        <v>0</v>
      </c>
      <c r="AG496" s="57" t="n">
        <f aca="false">IF(AC496=1,(Y496-H$1030)^2,0)</f>
        <v>0</v>
      </c>
      <c r="AH496" s="57" t="n">
        <f aca="false">IF(AD496=1,(Z496-I$1030)^2,0)</f>
        <v>242.644389794957</v>
      </c>
      <c r="AI496" s="57" t="n">
        <f aca="false">IF(AE496=1,(AA496-J$1030)^2,0)</f>
        <v>0</v>
      </c>
    </row>
    <row r="497" customFormat="false" ht="12" hidden="false" customHeight="false" outlineLevel="0" collapsed="false">
      <c r="A497" s="5" t="n">
        <v>480</v>
      </c>
      <c r="B497" s="58" t="n">
        <f aca="true">IF(RAND()&lt;$D$8,1,0)</f>
        <v>1</v>
      </c>
      <c r="C497" s="47" t="n">
        <f aca="true">-LN(RAND())/$D$2</f>
        <v>0.0351134573179537</v>
      </c>
      <c r="D497" s="59" t="n">
        <f aca="false">D496+C497</f>
        <v>466.003324011462</v>
      </c>
      <c r="E497" s="60" t="n">
        <f aca="false">MAX($D$3,(1+P496-VLOOKUP(VALUE(D497),$J$18:$Q496,7,TRUE()))*$D$3)</f>
        <v>26</v>
      </c>
      <c r="F497" s="60" t="n">
        <f aca="false">MAX($D$4,(1+Q496-VLOOKUP(VALUE(D497),$M$18:$Q496,5,TRUE()))*$D$4)</f>
        <v>18</v>
      </c>
      <c r="G497" s="61" t="n">
        <v>0.5</v>
      </c>
      <c r="H497" s="59" t="n">
        <f aca="true">IF((B497=1),(IF((F497&lt;E497),1,(IF((F497=E497),(IF(RAND()&lt;G497,1,0)),0)))),(IF((RAND()&lt;G497),1,0)))</f>
        <v>1</v>
      </c>
      <c r="I497" s="59" t="n">
        <f aca="true">IF((H497=1),0,$D$3+$D$5*(RAND()-0.5))</f>
        <v>0</v>
      </c>
      <c r="J497" s="59" t="n">
        <f aca="false">I497+MAX(D497,J496)</f>
        <v>489.039224971945</v>
      </c>
      <c r="K497" s="59" t="n">
        <f aca="false">IF((H497=0),J497-D497,0)</f>
        <v>0</v>
      </c>
      <c r="L497" s="59" t="n">
        <f aca="true">IF(($H497=0),0,$D$4+$D$5*(RAND()-0.5))</f>
        <v>1.94204011625985</v>
      </c>
      <c r="M497" s="59" t="n">
        <f aca="false">L497+MAX(D497,M496)</f>
        <v>483.487297559817</v>
      </c>
      <c r="N497" s="59" t="n">
        <f aca="false">IF((H497=1),M497-D497,0)</f>
        <v>17.4839735483545</v>
      </c>
      <c r="O497" s="5" t="n">
        <v>480</v>
      </c>
      <c r="P497" s="62" t="n">
        <f aca="false">IF((Arterial=0),P496+1,P496)</f>
        <v>241</v>
      </c>
      <c r="Q497" s="62" t="n">
        <f aca="false">IF((Arterial=1),Q496+1,Q496)</f>
        <v>239</v>
      </c>
      <c r="R497" s="63" t="n">
        <f aca="false">IF((RESET=1),0,R497+K497)</f>
        <v>595.963552915127</v>
      </c>
      <c r="S497" s="10" t="e">
        <f aca="false">IF(RESET=1,0,S497+N497)</f>
        <v>#N/A</v>
      </c>
      <c r="T497" s="0" t="n">
        <f aca="false">IF(RESET=1,0,T497+IF(H497=0,1,0))</f>
        <v>23</v>
      </c>
      <c r="U497" s="0" t="e">
        <f aca="false">IF(RESET=1,0,U497+H497)</f>
        <v>#N/A</v>
      </c>
      <c r="V497" s="10" t="n">
        <f aca="false">R497/(T497+0.00001)</f>
        <v>25.9114475565501</v>
      </c>
      <c r="W497" s="10" t="e">
        <f aca="false">S497/(U497+0.0001)</f>
        <v>#N/A</v>
      </c>
      <c r="X497" s="60" t="n">
        <f aca="false">IF(Informed=1,K497,0)</f>
        <v>0</v>
      </c>
      <c r="Y497" s="60" t="n">
        <f aca="false">IF(Informed=0,K497,0)</f>
        <v>0</v>
      </c>
      <c r="Z497" s="60" t="n">
        <f aca="false">IF(Informed=1,N497,0)</f>
        <v>17.4839735483545</v>
      </c>
      <c r="AA497" s="60" t="n">
        <f aca="false">IF(Informed=0,N497,0)</f>
        <v>0</v>
      </c>
      <c r="AB497" s="64" t="n">
        <f aca="false">IF(Arterial=0,IF(Informed=1,1,0),0)</f>
        <v>0</v>
      </c>
      <c r="AC497" s="64" t="n">
        <f aca="false">IF(Arterial=0,IF(Informed=0,1,0),0)</f>
        <v>0</v>
      </c>
      <c r="AD497" s="64" t="n">
        <f aca="false">IF(Arterial=1,IF(Informed=1,1,0),0)</f>
        <v>1</v>
      </c>
      <c r="AE497" s="64" t="n">
        <f aca="false">IF(Arterial=1,IF(Informed=0,1,0),0)</f>
        <v>0</v>
      </c>
      <c r="AF497" s="57" t="n">
        <f aca="false">IF(AB497=1,(X497-G$1030)^2,0)</f>
        <v>0</v>
      </c>
      <c r="AG497" s="57" t="n">
        <f aca="false">IF(AC497=1,(Y497-H$1030)^2,0)</f>
        <v>0</v>
      </c>
      <c r="AH497" s="57" t="n">
        <f aca="false">IF(AD497=1,(Z497-I$1030)^2,0)</f>
        <v>305.689331039559</v>
      </c>
      <c r="AI497" s="57" t="n">
        <f aca="false">IF(AE497=1,(AA497-J$1030)^2,0)</f>
        <v>0</v>
      </c>
    </row>
    <row r="498" customFormat="false" ht="12" hidden="false" customHeight="false" outlineLevel="0" collapsed="false">
      <c r="A498" s="5" t="n">
        <v>481</v>
      </c>
      <c r="B498" s="58" t="n">
        <f aca="true">IF(RAND()&lt;$D$8,1,0)</f>
        <v>0</v>
      </c>
      <c r="C498" s="47" t="n">
        <f aca="true">-LN(RAND())/$D$2</f>
        <v>1.367529827577</v>
      </c>
      <c r="D498" s="59" t="n">
        <f aca="false">D497+C498</f>
        <v>467.370853839039</v>
      </c>
      <c r="E498" s="60" t="n">
        <f aca="false">MAX($D$3,(1+P497-VLOOKUP(VALUE(D498),$J$18:$Q497,7,TRUE()))*$D$3)</f>
        <v>24</v>
      </c>
      <c r="F498" s="60" t="n">
        <f aca="false">MAX($D$4,(1+Q497-VLOOKUP(VALUE(D498),$M$18:$Q497,5,TRUE()))*$D$4)</f>
        <v>20</v>
      </c>
      <c r="G498" s="61" t="n">
        <v>0.5</v>
      </c>
      <c r="H498" s="59" t="n">
        <f aca="true">IF((B498=1),(IF((F498&lt;E498),1,(IF((F498=E498),(IF(RAND()&lt;G498,1,0)),0)))),(IF((RAND()&lt;G498),1,0)))</f>
        <v>0</v>
      </c>
      <c r="I498" s="59" t="n">
        <f aca="true">IF((H498=1),0,$D$3+$D$5*(RAND()-0.5))</f>
        <v>1.88436673819639</v>
      </c>
      <c r="J498" s="59" t="n">
        <f aca="false">I498+MAX(D498,J497)</f>
        <v>490.923591710141</v>
      </c>
      <c r="K498" s="59" t="n">
        <f aca="false">IF((H498=0),J498-D498,0)</f>
        <v>23.5527378711022</v>
      </c>
      <c r="L498" s="59" t="n">
        <f aca="true">IF(($H498=0),0,$D$4+$D$5*(RAND()-0.5))</f>
        <v>0</v>
      </c>
      <c r="M498" s="59" t="n">
        <f aca="false">L498+MAX(D498,M497)</f>
        <v>483.487297559817</v>
      </c>
      <c r="N498" s="59" t="n">
        <f aca="false">IF((H498=1),M498-D498,0)</f>
        <v>0</v>
      </c>
      <c r="O498" s="5" t="n">
        <v>481</v>
      </c>
      <c r="P498" s="62" t="n">
        <f aca="false">IF((Arterial=0),P497+1,P497)</f>
        <v>242</v>
      </c>
      <c r="Q498" s="62" t="n">
        <f aca="false">IF((Arterial=1),Q497+1,Q497)</f>
        <v>239</v>
      </c>
      <c r="R498" s="63" t="e">
        <f aca="false">IF((RESET=1),0,R498+K498)</f>
        <v>#N/A</v>
      </c>
      <c r="S498" s="10" t="n">
        <f aca="false">IF(RESET=1,0,S498+N498)</f>
        <v>667.326828478403</v>
      </c>
      <c r="T498" s="0" t="e">
        <f aca="false">IF(RESET=1,0,T498+IF(H498=0,1,0))</f>
        <v>#N/A</v>
      </c>
      <c r="U498" s="0" t="n">
        <f aca="false">IF(RESET=1,0,U498+H498)</f>
        <v>28</v>
      </c>
      <c r="V498" s="10" t="e">
        <f aca="false">R498/(T498+0.00001)</f>
        <v>#N/A</v>
      </c>
      <c r="W498" s="10" t="n">
        <f aca="false">S498/(U498+0.0001)</f>
        <v>23.8330158991719</v>
      </c>
      <c r="X498" s="60" t="n">
        <f aca="false">IF(Informed=1,K498,0)</f>
        <v>0</v>
      </c>
      <c r="Y498" s="60" t="n">
        <f aca="false">IF(Informed=0,K498,0)</f>
        <v>23.5527378711022</v>
      </c>
      <c r="Z498" s="60" t="n">
        <f aca="false">IF(Informed=1,N498,0)</f>
        <v>0</v>
      </c>
      <c r="AA498" s="60" t="n">
        <f aca="false">IF(Informed=0,N498,0)</f>
        <v>0</v>
      </c>
      <c r="AB498" s="64" t="n">
        <f aca="false">IF(Arterial=0,IF(Informed=1,1,0),0)</f>
        <v>0</v>
      </c>
      <c r="AC498" s="64" t="n">
        <f aca="false">IF(Arterial=0,IF(Informed=0,1,0),0)</f>
        <v>1</v>
      </c>
      <c r="AD498" s="64" t="n">
        <f aca="false">IF(Arterial=1,IF(Informed=1,1,0),0)</f>
        <v>0</v>
      </c>
      <c r="AE498" s="64" t="n">
        <f aca="false">IF(Arterial=1,IF(Informed=0,1,0),0)</f>
        <v>0</v>
      </c>
      <c r="AF498" s="57" t="n">
        <f aca="false">IF(AB498=1,(X498-G$1030)^2,0)</f>
        <v>0</v>
      </c>
      <c r="AG498" s="57" t="n">
        <f aca="false">IF(AC498=1,(Y498-H$1030)^2,0)</f>
        <v>554.731461224851</v>
      </c>
      <c r="AH498" s="57" t="n">
        <f aca="false">IF(AD498=1,(Z498-I$1030)^2,0)</f>
        <v>0</v>
      </c>
      <c r="AI498" s="57" t="n">
        <f aca="false">IF(AE498=1,(AA498-J$1030)^2,0)</f>
        <v>0</v>
      </c>
    </row>
    <row r="499" customFormat="false" ht="12" hidden="false" customHeight="false" outlineLevel="0" collapsed="false">
      <c r="A499" s="5" t="n">
        <v>482</v>
      </c>
      <c r="B499" s="58" t="n">
        <f aca="true">IF(RAND()&lt;$D$8,1,0)</f>
        <v>0</v>
      </c>
      <c r="C499" s="47" t="n">
        <f aca="true">-LN(RAND())/$D$2</f>
        <v>4.15942204483127</v>
      </c>
      <c r="D499" s="59" t="n">
        <f aca="false">D498+C499</f>
        <v>471.53027588387</v>
      </c>
      <c r="E499" s="60" t="n">
        <f aca="false">MAX($D$3,(1+P498-VLOOKUP(VALUE(D499),$J$18:$Q498,7,TRUE()))*$D$3)</f>
        <v>22</v>
      </c>
      <c r="F499" s="60" t="n">
        <f aca="false">MAX($D$4,(1+Q498-VLOOKUP(VALUE(D499),$M$18:$Q498,5,TRUE()))*$D$4)</f>
        <v>16</v>
      </c>
      <c r="G499" s="61" t="n">
        <v>0.5</v>
      </c>
      <c r="H499" s="59" t="n">
        <f aca="true">IF((B499=1),(IF((F499&lt;E499),1,(IF((F499=E499),(IF(RAND()&lt;G499,1,0)),0)))),(IF((RAND()&lt;G499),1,0)))</f>
        <v>0</v>
      </c>
      <c r="I499" s="59" t="n">
        <f aca="true">IF((H499=1),0,$D$3+$D$5*(RAND()-0.5))</f>
        <v>2.17029244699105</v>
      </c>
      <c r="J499" s="59" t="n">
        <f aca="false">I499+MAX(D499,J498)</f>
        <v>493.093884157132</v>
      </c>
      <c r="K499" s="59" t="n">
        <f aca="false">IF((H499=0),J499-D499,0)</f>
        <v>21.5636082732619</v>
      </c>
      <c r="L499" s="59" t="n">
        <f aca="true">IF(($H499=0),0,$D$4+$D$5*(RAND()-0.5))</f>
        <v>0</v>
      </c>
      <c r="M499" s="59" t="n">
        <f aca="false">L499+MAX(D499,M498)</f>
        <v>483.487297559817</v>
      </c>
      <c r="N499" s="59" t="n">
        <f aca="false">IF((H499=1),M499-D499,0)</f>
        <v>0</v>
      </c>
      <c r="O499" s="5" t="n">
        <v>482</v>
      </c>
      <c r="P499" s="62" t="n">
        <f aca="false">IF((Arterial=0),P498+1,P498)</f>
        <v>243</v>
      </c>
      <c r="Q499" s="62" t="n">
        <f aca="false">IF((Arterial=1),Q498+1,Q498)</f>
        <v>239</v>
      </c>
      <c r="R499" s="63" t="e">
        <f aca="false">IF((RESET=1),0,R499+K499)</f>
        <v>#N/A</v>
      </c>
      <c r="S499" s="10" t="n">
        <f aca="false">IF(RESET=1,0,S499+N499)</f>
        <v>642.878813078011</v>
      </c>
      <c r="T499" s="0" t="e">
        <f aca="false">IF(RESET=1,0,T499+IF(H499=0,1,0))</f>
        <v>#N/A</v>
      </c>
      <c r="U499" s="0" t="n">
        <f aca="false">IF(RESET=1,0,U499+H499)</f>
        <v>27</v>
      </c>
      <c r="V499" s="10" t="e">
        <f aca="false">R499/(T499+0.00001)</f>
        <v>#N/A</v>
      </c>
      <c r="W499" s="10" t="n">
        <f aca="false">S499/(U499+0.0001)</f>
        <v>23.8102382242292</v>
      </c>
      <c r="X499" s="60" t="n">
        <f aca="false">IF(Informed=1,K499,0)</f>
        <v>0</v>
      </c>
      <c r="Y499" s="60" t="n">
        <f aca="false">IF(Informed=0,K499,0)</f>
        <v>21.5636082732619</v>
      </c>
      <c r="Z499" s="60" t="n">
        <f aca="false">IF(Informed=1,N499,0)</f>
        <v>0</v>
      </c>
      <c r="AA499" s="60" t="n">
        <f aca="false">IF(Informed=0,N499,0)</f>
        <v>0</v>
      </c>
      <c r="AB499" s="64" t="n">
        <f aca="false">IF(Arterial=0,IF(Informed=1,1,0),0)</f>
        <v>0</v>
      </c>
      <c r="AC499" s="64" t="n">
        <f aca="false">IF(Arterial=0,IF(Informed=0,1,0),0)</f>
        <v>1</v>
      </c>
      <c r="AD499" s="64" t="n">
        <f aca="false">IF(Arterial=1,IF(Informed=1,1,0),0)</f>
        <v>0</v>
      </c>
      <c r="AE499" s="64" t="n">
        <f aca="false">IF(Arterial=1,IF(Informed=0,1,0),0)</f>
        <v>0</v>
      </c>
      <c r="AF499" s="57" t="n">
        <f aca="false">IF(AB499=1,(X499-G$1030)^2,0)</f>
        <v>0</v>
      </c>
      <c r="AG499" s="57" t="n">
        <f aca="false">IF(AC499=1,(Y499-H$1030)^2,0)</f>
        <v>464.989201762691</v>
      </c>
      <c r="AH499" s="57" t="n">
        <f aca="false">IF(AD499=1,(Z499-I$1030)^2,0)</f>
        <v>0</v>
      </c>
      <c r="AI499" s="57" t="n">
        <f aca="false">IF(AE499=1,(AA499-J$1030)^2,0)</f>
        <v>0</v>
      </c>
    </row>
    <row r="500" customFormat="false" ht="12" hidden="false" customHeight="false" outlineLevel="0" collapsed="false">
      <c r="A500" s="5" t="n">
        <v>483</v>
      </c>
      <c r="B500" s="58" t="n">
        <f aca="true">IF(RAND()&lt;$D$8,1,0)</f>
        <v>1</v>
      </c>
      <c r="C500" s="47" t="n">
        <f aca="true">-LN(RAND())/$D$2</f>
        <v>0.613121044965222</v>
      </c>
      <c r="D500" s="59" t="n">
        <f aca="false">D499+C500</f>
        <v>472.143396928836</v>
      </c>
      <c r="E500" s="60" t="n">
        <f aca="false">MAX($D$3,(1+P499-VLOOKUP(VALUE(D500),$J$18:$Q499,7,TRUE()))*$D$3)</f>
        <v>24</v>
      </c>
      <c r="F500" s="60" t="n">
        <f aca="false">MAX($D$4,(1+Q499-VLOOKUP(VALUE(D500),$M$18:$Q499,5,TRUE()))*$D$4)</f>
        <v>14</v>
      </c>
      <c r="G500" s="61" t="n">
        <v>0.5</v>
      </c>
      <c r="H500" s="59" t="n">
        <f aca="true">IF((B500=1),(IF((F500&lt;E500),1,(IF((F500=E500),(IF(RAND()&lt;G500,1,0)),0)))),(IF((RAND()&lt;G500),1,0)))</f>
        <v>1</v>
      </c>
      <c r="I500" s="59" t="n">
        <f aca="true">IF((H500=1),0,$D$3+$D$5*(RAND()-0.5))</f>
        <v>0</v>
      </c>
      <c r="J500" s="59" t="n">
        <f aca="false">I500+MAX(D500,J499)</f>
        <v>493.093884157132</v>
      </c>
      <c r="K500" s="59" t="n">
        <f aca="false">IF((H500=0),J500-D500,0)</f>
        <v>0</v>
      </c>
      <c r="L500" s="59" t="n">
        <f aca="true">IF(($H500=0),0,$D$4+$D$5*(RAND()-0.5))</f>
        <v>2.17885320141554</v>
      </c>
      <c r="M500" s="59" t="n">
        <f aca="false">L500+MAX(D500,M499)</f>
        <v>485.666150761232</v>
      </c>
      <c r="N500" s="59" t="n">
        <f aca="false">IF((H500=1),M500-D500,0)</f>
        <v>13.5227538323965</v>
      </c>
      <c r="O500" s="5" t="n">
        <v>483</v>
      </c>
      <c r="P500" s="62" t="n">
        <f aca="false">IF((Arterial=0),P499+1,P499)</f>
        <v>243</v>
      </c>
      <c r="Q500" s="62" t="n">
        <f aca="false">IF((Arterial=1),Q499+1,Q499)</f>
        <v>240</v>
      </c>
      <c r="R500" s="63" t="n">
        <f aca="false">IF((RESET=1),0,R500+K500)</f>
        <v>720.217769801699</v>
      </c>
      <c r="S500" s="10" t="e">
        <f aca="false">IF(RESET=1,0,S500+N500)</f>
        <v>#N/A</v>
      </c>
      <c r="T500" s="0" t="n">
        <f aca="false">IF(RESET=1,0,T500+IF(H500=0,1,0))</f>
        <v>26</v>
      </c>
      <c r="U500" s="0" t="e">
        <f aca="false">IF(RESET=1,0,U500+H500)</f>
        <v>#N/A</v>
      </c>
      <c r="V500" s="10" t="n">
        <f aca="false">R500/(T500+0.00001)</f>
        <v>27.7006727998066</v>
      </c>
      <c r="W500" s="10" t="e">
        <f aca="false">S500/(U500+0.0001)</f>
        <v>#N/A</v>
      </c>
      <c r="X500" s="60" t="n">
        <f aca="false">IF(Informed=1,K500,0)</f>
        <v>0</v>
      </c>
      <c r="Y500" s="60" t="n">
        <f aca="false">IF(Informed=0,K500,0)</f>
        <v>0</v>
      </c>
      <c r="Z500" s="60" t="n">
        <f aca="false">IF(Informed=1,N500,0)</f>
        <v>13.5227538323965</v>
      </c>
      <c r="AA500" s="60" t="n">
        <f aca="false">IF(Informed=0,N500,0)</f>
        <v>0</v>
      </c>
      <c r="AB500" s="64" t="n">
        <f aca="false">IF(Arterial=0,IF(Informed=1,1,0),0)</f>
        <v>0</v>
      </c>
      <c r="AC500" s="64" t="n">
        <f aca="false">IF(Arterial=0,IF(Informed=0,1,0),0)</f>
        <v>0</v>
      </c>
      <c r="AD500" s="64" t="n">
        <f aca="false">IF(Arterial=1,IF(Informed=1,1,0),0)</f>
        <v>1</v>
      </c>
      <c r="AE500" s="64" t="n">
        <f aca="false">IF(Arterial=1,IF(Informed=0,1,0),0)</f>
        <v>0</v>
      </c>
      <c r="AF500" s="57" t="n">
        <f aca="false">IF(AB500=1,(X500-G$1030)^2,0)</f>
        <v>0</v>
      </c>
      <c r="AG500" s="57" t="n">
        <f aca="false">IF(AC500=1,(Y500-H$1030)^2,0)</f>
        <v>0</v>
      </c>
      <c r="AH500" s="57" t="n">
        <f aca="false">IF(AD500=1,(Z500-I$1030)^2,0)</f>
        <v>182.864871211595</v>
      </c>
      <c r="AI500" s="57" t="n">
        <f aca="false">IF(AE500=1,(AA500-J$1030)^2,0)</f>
        <v>0</v>
      </c>
    </row>
    <row r="501" customFormat="false" ht="12" hidden="false" customHeight="false" outlineLevel="0" collapsed="false">
      <c r="A501" s="5" t="n">
        <v>484</v>
      </c>
      <c r="B501" s="58" t="n">
        <f aca="true">IF(RAND()&lt;$D$8,1,0)</f>
        <v>0</v>
      </c>
      <c r="C501" s="47" t="n">
        <f aca="true">-LN(RAND())/$D$2</f>
        <v>0.51936596511484</v>
      </c>
      <c r="D501" s="59" t="n">
        <f aca="false">D500+C501</f>
        <v>472.66276289395</v>
      </c>
      <c r="E501" s="60" t="n">
        <f aca="false">MAX($D$3,(1+P500-VLOOKUP(VALUE(D501),$J$18:$Q500,7,TRUE()))*$D$3)</f>
        <v>24</v>
      </c>
      <c r="F501" s="60" t="n">
        <f aca="false">MAX($D$4,(1+Q500-VLOOKUP(VALUE(D501),$M$18:$Q500,5,TRUE()))*$D$4)</f>
        <v>16</v>
      </c>
      <c r="G501" s="61" t="n">
        <v>0.5</v>
      </c>
      <c r="H501" s="59" t="n">
        <f aca="true">IF((B501=1),(IF((F501&lt;E501),1,(IF((F501=E501),(IF(RAND()&lt;G501,1,0)),0)))),(IF((RAND()&lt;G501),1,0)))</f>
        <v>0</v>
      </c>
      <c r="I501" s="59" t="n">
        <f aca="true">IF((H501=1),0,$D$3+$D$5*(RAND()-0.5))</f>
        <v>1.78770674097559</v>
      </c>
      <c r="J501" s="59" t="n">
        <f aca="false">I501+MAX(D501,J500)</f>
        <v>494.881590898108</v>
      </c>
      <c r="K501" s="59" t="n">
        <f aca="false">IF((H501=0),J501-D501,0)</f>
        <v>22.2188280041574</v>
      </c>
      <c r="L501" s="59" t="n">
        <f aca="true">IF(($H501=0),0,$D$4+$D$5*(RAND()-0.5))</f>
        <v>0</v>
      </c>
      <c r="M501" s="59" t="n">
        <f aca="false">L501+MAX(D501,M500)</f>
        <v>485.666150761232</v>
      </c>
      <c r="N501" s="59" t="n">
        <f aca="false">IF((H501=1),M501-D501,0)</f>
        <v>0</v>
      </c>
      <c r="O501" s="5" t="n">
        <v>484</v>
      </c>
      <c r="P501" s="62" t="n">
        <f aca="false">IF((Arterial=0),P500+1,P500)</f>
        <v>244</v>
      </c>
      <c r="Q501" s="62" t="n">
        <f aca="false">IF((Arterial=1),Q500+1,Q500)</f>
        <v>240</v>
      </c>
      <c r="R501" s="63" t="e">
        <f aca="false">IF((RESET=1),0,R501+K501)</f>
        <v>#N/A</v>
      </c>
      <c r="S501" s="10" t="n">
        <f aca="false">IF(RESET=1,0,S501+N501)</f>
        <v>665.528757677505</v>
      </c>
      <c r="T501" s="0" t="e">
        <f aca="false">IF(RESET=1,0,T501+IF(H501=0,1,0))</f>
        <v>#N/A</v>
      </c>
      <c r="U501" s="0" t="n">
        <f aca="false">IF(RESET=1,0,U501+H501)</f>
        <v>25</v>
      </c>
      <c r="V501" s="10" t="e">
        <f aca="false">R501/(T501+0.00001)</f>
        <v>#N/A</v>
      </c>
      <c r="W501" s="10" t="n">
        <f aca="false">S501/(U501+0.0001)</f>
        <v>26.6210438229249</v>
      </c>
      <c r="X501" s="60" t="n">
        <f aca="false">IF(Informed=1,K501,0)</f>
        <v>0</v>
      </c>
      <c r="Y501" s="60" t="n">
        <f aca="false">IF(Informed=0,K501,0)</f>
        <v>22.2188280041574</v>
      </c>
      <c r="Z501" s="60" t="n">
        <f aca="false">IF(Informed=1,N501,0)</f>
        <v>0</v>
      </c>
      <c r="AA501" s="60" t="n">
        <f aca="false">IF(Informed=0,N501,0)</f>
        <v>0</v>
      </c>
      <c r="AB501" s="64" t="n">
        <f aca="false">IF(Arterial=0,IF(Informed=1,1,0),0)</f>
        <v>0</v>
      </c>
      <c r="AC501" s="64" t="n">
        <f aca="false">IF(Arterial=0,IF(Informed=0,1,0),0)</f>
        <v>1</v>
      </c>
      <c r="AD501" s="64" t="n">
        <f aca="false">IF(Arterial=1,IF(Informed=1,1,0),0)</f>
        <v>0</v>
      </c>
      <c r="AE501" s="64" t="n">
        <f aca="false">IF(Arterial=1,IF(Informed=0,1,0),0)</f>
        <v>0</v>
      </c>
      <c r="AF501" s="57" t="n">
        <f aca="false">IF(AB501=1,(X501-G$1030)^2,0)</f>
        <v>0</v>
      </c>
      <c r="AG501" s="57" t="n">
        <f aca="false">IF(AC501=1,(Y501-H$1030)^2,0)</f>
        <v>493.676317878331</v>
      </c>
      <c r="AH501" s="57" t="n">
        <f aca="false">IF(AD501=1,(Z501-I$1030)^2,0)</f>
        <v>0</v>
      </c>
      <c r="AI501" s="57" t="n">
        <f aca="false">IF(AE501=1,(AA501-J$1030)^2,0)</f>
        <v>0</v>
      </c>
    </row>
    <row r="502" customFormat="false" ht="12" hidden="false" customHeight="false" outlineLevel="0" collapsed="false">
      <c r="A502" s="5" t="n">
        <v>485</v>
      </c>
      <c r="B502" s="58" t="n">
        <f aca="true">IF(RAND()&lt;$D$8,1,0)</f>
        <v>0</v>
      </c>
      <c r="C502" s="47" t="n">
        <f aca="true">-LN(RAND())/$D$2</f>
        <v>1.47877490407056</v>
      </c>
      <c r="D502" s="59" t="n">
        <f aca="false">D501+C502</f>
        <v>474.141537798021</v>
      </c>
      <c r="E502" s="60" t="n">
        <f aca="false">MAX($D$3,(1+P501-VLOOKUP(VALUE(D502),$J$18:$Q501,7,TRUE()))*$D$3)</f>
        <v>24</v>
      </c>
      <c r="F502" s="60" t="n">
        <f aca="false">MAX($D$4,(1+Q501-VLOOKUP(VALUE(D502),$M$18:$Q501,5,TRUE()))*$D$4)</f>
        <v>14</v>
      </c>
      <c r="G502" s="61" t="n">
        <v>0.5</v>
      </c>
      <c r="H502" s="59" t="n">
        <f aca="true">IF((B502=1),(IF((F502&lt;E502),1,(IF((F502=E502),(IF(RAND()&lt;G502,1,0)),0)))),(IF((RAND()&lt;G502),1,0)))</f>
        <v>0</v>
      </c>
      <c r="I502" s="59" t="n">
        <f aca="true">IF((H502=1),0,$D$3+$D$5*(RAND()-0.5))</f>
        <v>2.11939250490679</v>
      </c>
      <c r="J502" s="59" t="n">
        <f aca="false">I502+MAX(D502,J501)</f>
        <v>497.000983403015</v>
      </c>
      <c r="K502" s="59" t="n">
        <f aca="false">IF((H502=0),J502-D502,0)</f>
        <v>22.8594456049937</v>
      </c>
      <c r="L502" s="59" t="n">
        <f aca="true">IF(($H502=0),0,$D$4+$D$5*(RAND()-0.5))</f>
        <v>0</v>
      </c>
      <c r="M502" s="59" t="n">
        <f aca="false">L502+MAX(D502,M501)</f>
        <v>485.666150761232</v>
      </c>
      <c r="N502" s="59" t="n">
        <f aca="false">IF((H502=1),M502-D502,0)</f>
        <v>0</v>
      </c>
      <c r="O502" s="5" t="n">
        <v>485</v>
      </c>
      <c r="P502" s="62" t="n">
        <f aca="false">IF((Arterial=0),P501+1,P501)</f>
        <v>245</v>
      </c>
      <c r="Q502" s="62" t="n">
        <f aca="false">IF((Arterial=1),Q501+1,Q501)</f>
        <v>240</v>
      </c>
      <c r="R502" s="63" t="e">
        <f aca="false">IF((RESET=1),0,R502+K502)</f>
        <v>#N/A</v>
      </c>
      <c r="S502" s="10" t="n">
        <f aca="false">IF(RESET=1,0,S502+N502)</f>
        <v>819.509905391654</v>
      </c>
      <c r="T502" s="0" t="e">
        <f aca="false">IF(RESET=1,0,T502+IF(H502=0,1,0))</f>
        <v>#N/A</v>
      </c>
      <c r="U502" s="0" t="n">
        <f aca="false">IF(RESET=1,0,U502+H502)</f>
        <v>29</v>
      </c>
      <c r="V502" s="10" t="e">
        <f aca="false">R502/(T502+0.00001)</f>
        <v>#N/A</v>
      </c>
      <c r="W502" s="10" t="n">
        <f aca="false">S502/(U502+0.0001)</f>
        <v>28.2588648105232</v>
      </c>
      <c r="X502" s="60" t="n">
        <f aca="false">IF(Informed=1,K502,0)</f>
        <v>0</v>
      </c>
      <c r="Y502" s="60" t="n">
        <f aca="false">IF(Informed=0,K502,0)</f>
        <v>22.8594456049937</v>
      </c>
      <c r="Z502" s="60" t="n">
        <f aca="false">IF(Informed=1,N502,0)</f>
        <v>0</v>
      </c>
      <c r="AA502" s="60" t="n">
        <f aca="false">IF(Informed=0,N502,0)</f>
        <v>0</v>
      </c>
      <c r="AB502" s="64" t="n">
        <f aca="false">IF(Arterial=0,IF(Informed=1,1,0),0)</f>
        <v>0</v>
      </c>
      <c r="AC502" s="64" t="n">
        <f aca="false">IF(Arterial=0,IF(Informed=0,1,0),0)</f>
        <v>1</v>
      </c>
      <c r="AD502" s="64" t="n">
        <f aca="false">IF(Arterial=1,IF(Informed=1,1,0),0)</f>
        <v>0</v>
      </c>
      <c r="AE502" s="64" t="n">
        <f aca="false">IF(Arterial=1,IF(Informed=0,1,0),0)</f>
        <v>0</v>
      </c>
      <c r="AF502" s="57" t="n">
        <f aca="false">IF(AB502=1,(X502-G$1030)^2,0)</f>
        <v>0</v>
      </c>
      <c r="AG502" s="57" t="n">
        <f aca="false">IF(AC502=1,(Y502-H$1030)^2,0)</f>
        <v>522.554253367664</v>
      </c>
      <c r="AH502" s="57" t="n">
        <f aca="false">IF(AD502=1,(Z502-I$1030)^2,0)</f>
        <v>0</v>
      </c>
      <c r="AI502" s="57" t="n">
        <f aca="false">IF(AE502=1,(AA502-J$1030)^2,0)</f>
        <v>0</v>
      </c>
    </row>
    <row r="503" customFormat="false" ht="12" hidden="false" customHeight="false" outlineLevel="0" collapsed="false">
      <c r="A503" s="5" t="n">
        <v>486</v>
      </c>
      <c r="B503" s="58" t="n">
        <f aca="true">IF(RAND()&lt;$D$8,1,0)</f>
        <v>1</v>
      </c>
      <c r="C503" s="47" t="n">
        <f aca="true">-LN(RAND())/$D$2</f>
        <v>0.212590784753252</v>
      </c>
      <c r="D503" s="59" t="n">
        <f aca="false">D502+C503</f>
        <v>474.354128582774</v>
      </c>
      <c r="E503" s="60" t="n">
        <f aca="false">MAX($D$3,(1+P502-VLOOKUP(VALUE(D503),$J$18:$Q502,7,TRUE()))*$D$3)</f>
        <v>26</v>
      </c>
      <c r="F503" s="60" t="n">
        <f aca="false">MAX($D$4,(1+Q502-VLOOKUP(VALUE(D503),$M$18:$Q502,5,TRUE()))*$D$4)</f>
        <v>14</v>
      </c>
      <c r="G503" s="61" t="n">
        <v>0.5</v>
      </c>
      <c r="H503" s="59" t="n">
        <f aca="true">IF((B503=1),(IF((F503&lt;E503),1,(IF((F503=E503),(IF(RAND()&lt;G503,1,0)),0)))),(IF((RAND()&lt;G503),1,0)))</f>
        <v>1</v>
      </c>
      <c r="I503" s="59" t="n">
        <f aca="true">IF((H503=1),0,$D$3+$D$5*(RAND()-0.5))</f>
        <v>0</v>
      </c>
      <c r="J503" s="59" t="n">
        <f aca="false">I503+MAX(D503,J502)</f>
        <v>497.000983403015</v>
      </c>
      <c r="K503" s="59" t="n">
        <f aca="false">IF((H503=0),J503-D503,0)</f>
        <v>0</v>
      </c>
      <c r="L503" s="59" t="n">
        <f aca="true">IF(($H503=0),0,$D$4+$D$5*(RAND()-0.5))</f>
        <v>2.03133994603769</v>
      </c>
      <c r="M503" s="59" t="n">
        <f aca="false">L503+MAX(D503,M502)</f>
        <v>487.69749070727</v>
      </c>
      <c r="N503" s="59" t="n">
        <f aca="false">IF((H503=1),M503-D503,0)</f>
        <v>13.3433621244955</v>
      </c>
      <c r="O503" s="5" t="n">
        <v>486</v>
      </c>
      <c r="P503" s="62" t="n">
        <f aca="false">IF((Arterial=0),P502+1,P502)</f>
        <v>245</v>
      </c>
      <c r="Q503" s="62" t="n">
        <f aca="false">IF((Arterial=1),Q502+1,Q502)</f>
        <v>241</v>
      </c>
      <c r="R503" s="63" t="n">
        <f aca="false">IF((RESET=1),0,R503+K503)</f>
        <v>819.591557593392</v>
      </c>
      <c r="S503" s="10" t="e">
        <f aca="false">IF(RESET=1,0,S503+N503)</f>
        <v>#N/A</v>
      </c>
      <c r="T503" s="0" t="n">
        <f aca="false">IF(RESET=1,0,T503+IF(H503=0,1,0))</f>
        <v>36</v>
      </c>
      <c r="U503" s="0" t="e">
        <f aca="false">IF(RESET=1,0,U503+H503)</f>
        <v>#N/A</v>
      </c>
      <c r="V503" s="10" t="n">
        <f aca="false">R503/(T503+0.00001)</f>
        <v>22.7664258313648</v>
      </c>
      <c r="W503" s="10" t="e">
        <f aca="false">S503/(U503+0.0001)</f>
        <v>#N/A</v>
      </c>
      <c r="X503" s="60" t="n">
        <f aca="false">IF(Informed=1,K503,0)</f>
        <v>0</v>
      </c>
      <c r="Y503" s="60" t="n">
        <f aca="false">IF(Informed=0,K503,0)</f>
        <v>0</v>
      </c>
      <c r="Z503" s="60" t="n">
        <f aca="false">IF(Informed=1,N503,0)</f>
        <v>13.3433621244955</v>
      </c>
      <c r="AA503" s="60" t="n">
        <f aca="false">IF(Informed=0,N503,0)</f>
        <v>0</v>
      </c>
      <c r="AB503" s="64" t="n">
        <f aca="false">IF(Arterial=0,IF(Informed=1,1,0),0)</f>
        <v>0</v>
      </c>
      <c r="AC503" s="64" t="n">
        <f aca="false">IF(Arterial=0,IF(Informed=0,1,0),0)</f>
        <v>0</v>
      </c>
      <c r="AD503" s="64" t="n">
        <f aca="false">IF(Arterial=1,IF(Informed=1,1,0),0)</f>
        <v>1</v>
      </c>
      <c r="AE503" s="64" t="n">
        <f aca="false">IF(Arterial=1,IF(Informed=0,1,0),0)</f>
        <v>0</v>
      </c>
      <c r="AF503" s="57" t="n">
        <f aca="false">IF(AB503=1,(X503-G$1030)^2,0)</f>
        <v>0</v>
      </c>
      <c r="AG503" s="57" t="n">
        <f aca="false">IF(AC503=1,(Y503-H$1030)^2,0)</f>
        <v>0</v>
      </c>
      <c r="AH503" s="57" t="n">
        <f aca="false">IF(AD503=1,(Z503-I$1030)^2,0)</f>
        <v>178.045312785421</v>
      </c>
      <c r="AI503" s="57" t="n">
        <f aca="false">IF(AE503=1,(AA503-J$1030)^2,0)</f>
        <v>0</v>
      </c>
    </row>
    <row r="504" customFormat="false" ht="12" hidden="false" customHeight="false" outlineLevel="0" collapsed="false">
      <c r="A504" s="5" t="n">
        <v>487</v>
      </c>
      <c r="B504" s="58" t="n">
        <f aca="true">IF(RAND()&lt;$D$8,1,0)</f>
        <v>0</v>
      </c>
      <c r="C504" s="47" t="n">
        <f aca="true">-LN(RAND())/$D$2</f>
        <v>0.229216768988012</v>
      </c>
      <c r="D504" s="59" t="n">
        <f aca="false">D503+C504</f>
        <v>474.583345351762</v>
      </c>
      <c r="E504" s="60" t="n">
        <f aca="false">MAX($D$3,(1+P503-VLOOKUP(VALUE(D504),$J$18:$Q503,7,TRUE()))*$D$3)</f>
        <v>26</v>
      </c>
      <c r="F504" s="60" t="n">
        <f aca="false">MAX($D$4,(1+Q503-VLOOKUP(VALUE(D504),$M$18:$Q503,5,TRUE()))*$D$4)</f>
        <v>16</v>
      </c>
      <c r="G504" s="61" t="n">
        <v>0.5</v>
      </c>
      <c r="H504" s="59" t="n">
        <f aca="true">IF((B504=1),(IF((F504&lt;E504),1,(IF((F504=E504),(IF(RAND()&lt;G504,1,0)),0)))),(IF((RAND()&lt;G504),1,0)))</f>
        <v>1</v>
      </c>
      <c r="I504" s="59" t="n">
        <f aca="true">IF((H504=1),0,$D$3+$D$5*(RAND()-0.5))</f>
        <v>0</v>
      </c>
      <c r="J504" s="59" t="n">
        <f aca="false">I504+MAX(D504,J503)</f>
        <v>497.000983403015</v>
      </c>
      <c r="K504" s="59" t="n">
        <f aca="false">IF((H504=0),J504-D504,0)</f>
        <v>0</v>
      </c>
      <c r="L504" s="59" t="n">
        <f aca="true">IF(($H504=0),0,$D$4+$D$5*(RAND()-0.5))</f>
        <v>2.16891444741786</v>
      </c>
      <c r="M504" s="59" t="n">
        <f aca="false">L504+MAX(D504,M503)</f>
        <v>489.866405154688</v>
      </c>
      <c r="N504" s="59" t="n">
        <f aca="false">IF((H504=1),M504-D504,0)</f>
        <v>15.2830598029254</v>
      </c>
      <c r="O504" s="5" t="n">
        <v>487</v>
      </c>
      <c r="P504" s="62" t="n">
        <f aca="false">IF((Arterial=0),P503+1,P503)</f>
        <v>245</v>
      </c>
      <c r="Q504" s="62" t="n">
        <f aca="false">IF((Arterial=1),Q503+1,Q503)</f>
        <v>242</v>
      </c>
      <c r="R504" s="63" t="n">
        <f aca="false">IF((RESET=1),0,R504+K504)</f>
        <v>832.74184667233</v>
      </c>
      <c r="S504" s="10" t="e">
        <f aca="false">IF(RESET=1,0,S504+N504)</f>
        <v>#N/A</v>
      </c>
      <c r="T504" s="0" t="n">
        <f aca="false">IF(RESET=1,0,T504+IF(H504=0,1,0))</f>
        <v>30</v>
      </c>
      <c r="U504" s="0" t="e">
        <f aca="false">IF(RESET=1,0,U504+H504)</f>
        <v>#N/A</v>
      </c>
      <c r="V504" s="10" t="n">
        <f aca="false">R504/(T504+0.00001)</f>
        <v>27.7580523030602</v>
      </c>
      <c r="W504" s="10" t="e">
        <f aca="false">S504/(U504+0.0001)</f>
        <v>#N/A</v>
      </c>
      <c r="X504" s="60" t="n">
        <f aca="false">IF(Informed=1,K504,0)</f>
        <v>0</v>
      </c>
      <c r="Y504" s="60" t="n">
        <f aca="false">IF(Informed=0,K504,0)</f>
        <v>0</v>
      </c>
      <c r="Z504" s="60" t="n">
        <f aca="false">IF(Informed=1,N504,0)</f>
        <v>0</v>
      </c>
      <c r="AA504" s="60" t="n">
        <f aca="false">IF(Informed=0,N504,0)</f>
        <v>15.2830598029254</v>
      </c>
      <c r="AB504" s="64" t="n">
        <f aca="false">IF(Arterial=0,IF(Informed=1,1,0),0)</f>
        <v>0</v>
      </c>
      <c r="AC504" s="64" t="n">
        <f aca="false">IF(Arterial=0,IF(Informed=0,1,0),0)</f>
        <v>0</v>
      </c>
      <c r="AD504" s="64" t="n">
        <f aca="false">IF(Arterial=1,IF(Informed=1,1,0),0)</f>
        <v>0</v>
      </c>
      <c r="AE504" s="64" t="n">
        <f aca="false">IF(Arterial=1,IF(Informed=0,1,0),0)</f>
        <v>1</v>
      </c>
      <c r="AF504" s="57" t="n">
        <f aca="false">IF(AB504=1,(X504-G$1030)^2,0)</f>
        <v>0</v>
      </c>
      <c r="AG504" s="57" t="n">
        <f aca="false">IF(AC504=1,(Y504-H$1030)^2,0)</f>
        <v>0</v>
      </c>
      <c r="AH504" s="57" t="n">
        <f aca="false">IF(AD504=1,(Z504-I$1030)^2,0)</f>
        <v>0</v>
      </c>
      <c r="AI504" s="57" t="n">
        <f aca="false">IF(AE504=1,(AA504-J$1030)^2,0)</f>
        <v>233.571916939794</v>
      </c>
    </row>
    <row r="505" customFormat="false" ht="12" hidden="false" customHeight="false" outlineLevel="0" collapsed="false">
      <c r="A505" s="5" t="n">
        <v>488</v>
      </c>
      <c r="B505" s="58" t="n">
        <f aca="true">IF(RAND()&lt;$D$8,1,0)</f>
        <v>0</v>
      </c>
      <c r="C505" s="47" t="n">
        <f aca="true">-LN(RAND())/$D$2</f>
        <v>2.09925955462271</v>
      </c>
      <c r="D505" s="59" t="n">
        <f aca="false">D504+C505</f>
        <v>476.682604906385</v>
      </c>
      <c r="E505" s="60" t="n">
        <f aca="false">MAX($D$3,(1+P504-VLOOKUP(VALUE(D505),$J$18:$Q504,7,TRUE()))*$D$3)</f>
        <v>24</v>
      </c>
      <c r="F505" s="60" t="n">
        <f aca="false">MAX($D$4,(1+Q504-VLOOKUP(VALUE(D505),$M$18:$Q504,5,TRUE()))*$D$4)</f>
        <v>16</v>
      </c>
      <c r="G505" s="61" t="n">
        <v>0.5</v>
      </c>
      <c r="H505" s="59" t="n">
        <f aca="true">IF((B505=1),(IF((F505&lt;E505),1,(IF((F505=E505),(IF(RAND()&lt;G505,1,0)),0)))),(IF((RAND()&lt;G505),1,0)))</f>
        <v>0</v>
      </c>
      <c r="I505" s="59" t="n">
        <f aca="true">IF((H505=1),0,$D$3+$D$5*(RAND()-0.5))</f>
        <v>1.79677722799315</v>
      </c>
      <c r="J505" s="59" t="n">
        <f aca="false">I505+MAX(D505,J504)</f>
        <v>498.797760631008</v>
      </c>
      <c r="K505" s="59" t="n">
        <f aca="false">IF((H505=0),J505-D505,0)</f>
        <v>22.1151557246228</v>
      </c>
      <c r="L505" s="59" t="n">
        <f aca="true">IF(($H505=0),0,$D$4+$D$5*(RAND()-0.5))</f>
        <v>0</v>
      </c>
      <c r="M505" s="59" t="n">
        <f aca="false">L505+MAX(D505,M504)</f>
        <v>489.866405154688</v>
      </c>
      <c r="N505" s="59" t="n">
        <f aca="false">IF((H505=1),M505-D505,0)</f>
        <v>0</v>
      </c>
      <c r="O505" s="5" t="n">
        <v>488</v>
      </c>
      <c r="P505" s="62" t="n">
        <f aca="false">IF((Arterial=0),P504+1,P504)</f>
        <v>246</v>
      </c>
      <c r="Q505" s="62" t="n">
        <f aca="false">IF((Arterial=1),Q504+1,Q504)</f>
        <v>242</v>
      </c>
      <c r="R505" s="63" t="e">
        <f aca="false">IF((RESET=1),0,R505+K505)</f>
        <v>#N/A</v>
      </c>
      <c r="S505" s="10" t="n">
        <f aca="false">IF(RESET=1,0,S505+N505)</f>
        <v>850.482829301401</v>
      </c>
      <c r="T505" s="0" t="e">
        <f aca="false">IF(RESET=1,0,T505+IF(H505=0,1,0))</f>
        <v>#N/A</v>
      </c>
      <c r="U505" s="0" t="n">
        <f aca="false">IF(RESET=1,0,U505+H505)</f>
        <v>33</v>
      </c>
      <c r="V505" s="10" t="e">
        <f aca="false">R505/(T505+0.00001)</f>
        <v>#N/A</v>
      </c>
      <c r="W505" s="10" t="n">
        <f aca="false">S505/(U505+0.0001)</f>
        <v>25.7721288511671</v>
      </c>
      <c r="X505" s="60" t="n">
        <f aca="false">IF(Informed=1,K505,0)</f>
        <v>0</v>
      </c>
      <c r="Y505" s="60" t="n">
        <f aca="false">IF(Informed=0,K505,0)</f>
        <v>22.1151557246228</v>
      </c>
      <c r="Z505" s="60" t="n">
        <f aca="false">IF(Informed=1,N505,0)</f>
        <v>0</v>
      </c>
      <c r="AA505" s="60" t="n">
        <f aca="false">IF(Informed=0,N505,0)</f>
        <v>0</v>
      </c>
      <c r="AB505" s="64" t="n">
        <f aca="false">IF(Arterial=0,IF(Informed=1,1,0),0)</f>
        <v>0</v>
      </c>
      <c r="AC505" s="64" t="n">
        <f aca="false">IF(Arterial=0,IF(Informed=0,1,0),0)</f>
        <v>1</v>
      </c>
      <c r="AD505" s="64" t="n">
        <f aca="false">IF(Arterial=1,IF(Informed=1,1,0),0)</f>
        <v>0</v>
      </c>
      <c r="AE505" s="64" t="n">
        <f aca="false">IF(Arterial=1,IF(Informed=0,1,0),0)</f>
        <v>0</v>
      </c>
      <c r="AF505" s="57" t="n">
        <f aca="false">IF(AB505=1,(X505-G$1030)^2,0)</f>
        <v>0</v>
      </c>
      <c r="AG505" s="57" t="n">
        <f aca="false">IF(AC505=1,(Y505-H$1030)^2,0)</f>
        <v>489.080112724317</v>
      </c>
      <c r="AH505" s="57" t="n">
        <f aca="false">IF(AD505=1,(Z505-I$1030)^2,0)</f>
        <v>0</v>
      </c>
      <c r="AI505" s="57" t="n">
        <f aca="false">IF(AE505=1,(AA505-J$1030)^2,0)</f>
        <v>0</v>
      </c>
    </row>
    <row r="506" customFormat="false" ht="12" hidden="false" customHeight="false" outlineLevel="0" collapsed="false">
      <c r="A506" s="5" t="n">
        <v>489</v>
      </c>
      <c r="B506" s="58" t="n">
        <f aca="true">IF(RAND()&lt;$D$8,1,0)</f>
        <v>0</v>
      </c>
      <c r="C506" s="47" t="n">
        <f aca="true">-LN(RAND())/$D$2</f>
        <v>1.00459729534073</v>
      </c>
      <c r="D506" s="59" t="n">
        <f aca="false">D505+C506</f>
        <v>477.687202201726</v>
      </c>
      <c r="E506" s="60" t="n">
        <f aca="false">MAX($D$3,(1+P505-VLOOKUP(VALUE(D506),$J$18:$Q505,7,TRUE()))*$D$3)</f>
        <v>24</v>
      </c>
      <c r="F506" s="60" t="n">
        <f aca="false">MAX($D$4,(1+Q505-VLOOKUP(VALUE(D506),$M$18:$Q505,5,TRUE()))*$D$4)</f>
        <v>16</v>
      </c>
      <c r="G506" s="61" t="n">
        <v>0.5</v>
      </c>
      <c r="H506" s="59" t="n">
        <f aca="true">IF((B506=1),(IF((F506&lt;E506),1,(IF((F506=E506),(IF(RAND()&lt;G506,1,0)),0)))),(IF((RAND()&lt;G506),1,0)))</f>
        <v>1</v>
      </c>
      <c r="I506" s="59" t="n">
        <f aca="true">IF((H506=1),0,$D$3+$D$5*(RAND()-0.5))</f>
        <v>0</v>
      </c>
      <c r="J506" s="59" t="n">
        <f aca="false">I506+MAX(D506,J505)</f>
        <v>498.797760631008</v>
      </c>
      <c r="K506" s="59" t="n">
        <f aca="false">IF((H506=0),J506-D506,0)</f>
        <v>0</v>
      </c>
      <c r="L506" s="59" t="n">
        <f aca="true">IF(($H506=0),0,$D$4+$D$5*(RAND()-0.5))</f>
        <v>1.81709071292685</v>
      </c>
      <c r="M506" s="59" t="n">
        <f aca="false">L506+MAX(D506,M505)</f>
        <v>491.683495867615</v>
      </c>
      <c r="N506" s="59" t="n">
        <f aca="false">IF((H506=1),M506-D506,0)</f>
        <v>13.9962936658888</v>
      </c>
      <c r="O506" s="5" t="n">
        <v>489</v>
      </c>
      <c r="P506" s="62" t="n">
        <f aca="false">IF((Arterial=0),P505+1,P505)</f>
        <v>246</v>
      </c>
      <c r="Q506" s="62" t="n">
        <f aca="false">IF((Arterial=1),Q505+1,Q505)</f>
        <v>243</v>
      </c>
      <c r="R506" s="63" t="n">
        <f aca="false">IF((RESET=1),0,R506+K506)</f>
        <v>771.466748947154</v>
      </c>
      <c r="S506" s="10" t="e">
        <f aca="false">IF(RESET=1,0,S506+N506)</f>
        <v>#N/A</v>
      </c>
      <c r="T506" s="0" t="n">
        <f aca="false">IF(RESET=1,0,T506+IF(H506=0,1,0))</f>
        <v>30</v>
      </c>
      <c r="U506" s="0" t="e">
        <f aca="false">IF(RESET=1,0,U506+H506)</f>
        <v>#N/A</v>
      </c>
      <c r="V506" s="10" t="n">
        <f aca="false">R506/(T506+0.00001)</f>
        <v>25.7155497263886</v>
      </c>
      <c r="W506" s="10" t="e">
        <f aca="false">S506/(U506+0.0001)</f>
        <v>#N/A</v>
      </c>
      <c r="X506" s="60" t="n">
        <f aca="false">IF(Informed=1,K506,0)</f>
        <v>0</v>
      </c>
      <c r="Y506" s="60" t="n">
        <f aca="false">IF(Informed=0,K506,0)</f>
        <v>0</v>
      </c>
      <c r="Z506" s="60" t="n">
        <f aca="false">IF(Informed=1,N506,0)</f>
        <v>0</v>
      </c>
      <c r="AA506" s="60" t="n">
        <f aca="false">IF(Informed=0,N506,0)</f>
        <v>13.9962936658888</v>
      </c>
      <c r="AB506" s="64" t="n">
        <f aca="false">IF(Arterial=0,IF(Informed=1,1,0),0)</f>
        <v>0</v>
      </c>
      <c r="AC506" s="64" t="n">
        <f aca="false">IF(Arterial=0,IF(Informed=0,1,0),0)</f>
        <v>0</v>
      </c>
      <c r="AD506" s="64" t="n">
        <f aca="false">IF(Arterial=1,IF(Informed=1,1,0),0)</f>
        <v>0</v>
      </c>
      <c r="AE506" s="64" t="n">
        <f aca="false">IF(Arterial=1,IF(Informed=0,1,0),0)</f>
        <v>1</v>
      </c>
      <c r="AF506" s="57" t="n">
        <f aca="false">IF(AB506=1,(X506-G$1030)^2,0)</f>
        <v>0</v>
      </c>
      <c r="AG506" s="57" t="n">
        <f aca="false">IF(AC506=1,(Y506-H$1030)^2,0)</f>
        <v>0</v>
      </c>
      <c r="AH506" s="57" t="n">
        <f aca="false">IF(AD506=1,(Z506-I$1030)^2,0)</f>
        <v>0</v>
      </c>
      <c r="AI506" s="57" t="n">
        <f aca="false">IF(AE506=1,(AA506-J$1030)^2,0)</f>
        <v>195.896236381799</v>
      </c>
    </row>
    <row r="507" customFormat="false" ht="12" hidden="false" customHeight="false" outlineLevel="0" collapsed="false">
      <c r="A507" s="5" t="n">
        <v>490</v>
      </c>
      <c r="B507" s="58" t="n">
        <f aca="true">IF(RAND()&lt;$D$8,1,0)</f>
        <v>1</v>
      </c>
      <c r="C507" s="47" t="n">
        <f aca="true">-LN(RAND())/$D$2</f>
        <v>3.73160168482748</v>
      </c>
      <c r="D507" s="59" t="n">
        <f aca="false">D506+C507</f>
        <v>481.418803886553</v>
      </c>
      <c r="E507" s="60" t="n">
        <f aca="false">MAX($D$3,(1+P506-VLOOKUP(VALUE(D507),$J$18:$Q506,7,TRUE()))*$D$3)</f>
        <v>20</v>
      </c>
      <c r="F507" s="60" t="n">
        <f aca="false">MAX($D$4,(1+Q506-VLOOKUP(VALUE(D507),$M$18:$Q506,5,TRUE()))*$D$4)</f>
        <v>14</v>
      </c>
      <c r="G507" s="61" t="n">
        <v>0.5</v>
      </c>
      <c r="H507" s="59" t="n">
        <f aca="true">IF((B507=1),(IF((F507&lt;E507),1,(IF((F507=E507),(IF(RAND()&lt;G507,1,0)),0)))),(IF((RAND()&lt;G507),1,0)))</f>
        <v>1</v>
      </c>
      <c r="I507" s="59" t="n">
        <f aca="true">IF((H507=1),0,$D$3+$D$5*(RAND()-0.5))</f>
        <v>0</v>
      </c>
      <c r="J507" s="59" t="n">
        <f aca="false">I507+MAX(D507,J506)</f>
        <v>498.797760631008</v>
      </c>
      <c r="K507" s="59" t="n">
        <f aca="false">IF((H507=0),J507-D507,0)</f>
        <v>0</v>
      </c>
      <c r="L507" s="59" t="n">
        <f aca="true">IF(($H507=0),0,$D$4+$D$5*(RAND()-0.5))</f>
        <v>1.86073482188612</v>
      </c>
      <c r="M507" s="59" t="n">
        <f aca="false">L507+MAX(D507,M506)</f>
        <v>493.544230689501</v>
      </c>
      <c r="N507" s="59" t="n">
        <f aca="false">IF((H507=1),M507-D507,0)</f>
        <v>12.1254268029475</v>
      </c>
      <c r="O507" s="5" t="n">
        <v>490</v>
      </c>
      <c r="P507" s="62" t="n">
        <f aca="false">IF((Arterial=0),P506+1,P506)</f>
        <v>246</v>
      </c>
      <c r="Q507" s="62" t="n">
        <f aca="false">IF((Arterial=1),Q506+1,Q506)</f>
        <v>244</v>
      </c>
      <c r="R507" s="63" t="n">
        <f aca="false">IF((RESET=1),0,R507+K507)</f>
        <v>543.062771028412</v>
      </c>
      <c r="S507" s="10" t="e">
        <f aca="false">IF(RESET=1,0,S507+N507)</f>
        <v>#N/A</v>
      </c>
      <c r="T507" s="0" t="n">
        <f aca="false">IF(RESET=1,0,T507+IF(H507=0,1,0))</f>
        <v>20</v>
      </c>
      <c r="U507" s="0" t="e">
        <f aca="false">IF(RESET=1,0,U507+H507)</f>
        <v>#N/A</v>
      </c>
      <c r="V507" s="10" t="n">
        <f aca="false">R507/(T507+0.00001)</f>
        <v>27.1531249748581</v>
      </c>
      <c r="W507" s="10" t="e">
        <f aca="false">S507/(U507+0.0001)</f>
        <v>#N/A</v>
      </c>
      <c r="X507" s="60" t="n">
        <f aca="false">IF(Informed=1,K507,0)</f>
        <v>0</v>
      </c>
      <c r="Y507" s="60" t="n">
        <f aca="false">IF(Informed=0,K507,0)</f>
        <v>0</v>
      </c>
      <c r="Z507" s="60" t="n">
        <f aca="false">IF(Informed=1,N507,0)</f>
        <v>12.1254268029475</v>
      </c>
      <c r="AA507" s="60" t="n">
        <f aca="false">IF(Informed=0,N507,0)</f>
        <v>0</v>
      </c>
      <c r="AB507" s="64" t="n">
        <f aca="false">IF(Arterial=0,IF(Informed=1,1,0),0)</f>
        <v>0</v>
      </c>
      <c r="AC507" s="64" t="n">
        <f aca="false">IF(Arterial=0,IF(Informed=0,1,0),0)</f>
        <v>0</v>
      </c>
      <c r="AD507" s="64" t="n">
        <f aca="false">IF(Arterial=1,IF(Informed=1,1,0),0)</f>
        <v>1</v>
      </c>
      <c r="AE507" s="64" t="n">
        <f aca="false">IF(Arterial=1,IF(Informed=0,1,0),0)</f>
        <v>0</v>
      </c>
      <c r="AF507" s="57" t="n">
        <f aca="false">IF(AB507=1,(X507-G$1030)^2,0)</f>
        <v>0</v>
      </c>
      <c r="AG507" s="57" t="n">
        <f aca="false">IF(AC507=1,(Y507-H$1030)^2,0)</f>
        <v>0</v>
      </c>
      <c r="AH507" s="57" t="n">
        <f aca="false">IF(AD507=1,(Z507-I$1030)^2,0)</f>
        <v>147.025975153637</v>
      </c>
      <c r="AI507" s="57" t="n">
        <f aca="false">IF(AE507=1,(AA507-J$1030)^2,0)</f>
        <v>0</v>
      </c>
    </row>
    <row r="508" customFormat="false" ht="12" hidden="false" customHeight="false" outlineLevel="0" collapsed="false">
      <c r="A508" s="5" t="n">
        <v>491</v>
      </c>
      <c r="B508" s="58" t="n">
        <f aca="true">IF(RAND()&lt;$D$8,1,0)</f>
        <v>1</v>
      </c>
      <c r="C508" s="47" t="n">
        <f aca="true">-LN(RAND())/$D$2</f>
        <v>1.64834162416046</v>
      </c>
      <c r="D508" s="59" t="n">
        <f aca="false">D507+C508</f>
        <v>483.067145510714</v>
      </c>
      <c r="E508" s="60" t="n">
        <f aca="false">MAX($D$3,(1+P507-VLOOKUP(VALUE(D508),$J$18:$Q507,7,TRUE()))*$D$3)</f>
        <v>18</v>
      </c>
      <c r="F508" s="60" t="n">
        <f aca="false">MAX($D$4,(1+Q507-VLOOKUP(VALUE(D508),$M$18:$Q507,5,TRUE()))*$D$4)</f>
        <v>14</v>
      </c>
      <c r="G508" s="61" t="n">
        <v>0.5</v>
      </c>
      <c r="H508" s="59" t="n">
        <f aca="true">IF((B508=1),(IF((F508&lt;E508),1,(IF((F508=E508),(IF(RAND()&lt;G508,1,0)),0)))),(IF((RAND()&lt;G508),1,0)))</f>
        <v>1</v>
      </c>
      <c r="I508" s="59" t="n">
        <f aca="true">IF((H508=1),0,$D$3+$D$5*(RAND()-0.5))</f>
        <v>0</v>
      </c>
      <c r="J508" s="59" t="n">
        <f aca="false">I508+MAX(D508,J507)</f>
        <v>498.797760631008</v>
      </c>
      <c r="K508" s="59" t="n">
        <f aca="false">IF((H508=0),J508-D508,0)</f>
        <v>0</v>
      </c>
      <c r="L508" s="59" t="n">
        <f aca="true">IF(($H508=0),0,$D$4+$D$5*(RAND()-0.5))</f>
        <v>2.00001526316255</v>
      </c>
      <c r="M508" s="59" t="n">
        <f aca="false">L508+MAX(D508,M507)</f>
        <v>495.544245952663</v>
      </c>
      <c r="N508" s="59" t="n">
        <f aca="false">IF((H508=1),M508-D508,0)</f>
        <v>12.4771004419495</v>
      </c>
      <c r="O508" s="5" t="n">
        <v>491</v>
      </c>
      <c r="P508" s="62" t="n">
        <f aca="false">IF((Arterial=0),P507+1,P507)</f>
        <v>246</v>
      </c>
      <c r="Q508" s="62" t="n">
        <f aca="false">IF((Arterial=1),Q507+1,Q507)</f>
        <v>245</v>
      </c>
      <c r="R508" s="63" t="n">
        <f aca="false">IF((RESET=1),0,R508+K508)</f>
        <v>691.23836864607</v>
      </c>
      <c r="S508" s="10" t="e">
        <f aca="false">IF(RESET=1,0,S508+N508)</f>
        <v>#N/A</v>
      </c>
      <c r="T508" s="0" t="n">
        <f aca="false">IF(RESET=1,0,T508+IF(H508=0,1,0))</f>
        <v>25</v>
      </c>
      <c r="U508" s="0" t="e">
        <f aca="false">IF(RESET=1,0,U508+H508)</f>
        <v>#N/A</v>
      </c>
      <c r="V508" s="10" t="n">
        <f aca="false">R508/(T508+0.00001)</f>
        <v>27.6495236860333</v>
      </c>
      <c r="W508" s="10" t="e">
        <f aca="false">S508/(U508+0.0001)</f>
        <v>#N/A</v>
      </c>
      <c r="X508" s="60" t="n">
        <f aca="false">IF(Informed=1,K508,0)</f>
        <v>0</v>
      </c>
      <c r="Y508" s="60" t="n">
        <f aca="false">IF(Informed=0,K508,0)</f>
        <v>0</v>
      </c>
      <c r="Z508" s="60" t="n">
        <f aca="false">IF(Informed=1,N508,0)</f>
        <v>12.4771004419495</v>
      </c>
      <c r="AA508" s="60" t="n">
        <f aca="false">IF(Informed=0,N508,0)</f>
        <v>0</v>
      </c>
      <c r="AB508" s="64" t="n">
        <f aca="false">IF(Arterial=0,IF(Informed=1,1,0),0)</f>
        <v>0</v>
      </c>
      <c r="AC508" s="64" t="n">
        <f aca="false">IF(Arterial=0,IF(Informed=0,1,0),0)</f>
        <v>0</v>
      </c>
      <c r="AD508" s="64" t="n">
        <f aca="false">IF(Arterial=1,IF(Informed=1,1,0),0)</f>
        <v>1</v>
      </c>
      <c r="AE508" s="64" t="n">
        <f aca="false">IF(Arterial=1,IF(Informed=0,1,0),0)</f>
        <v>0</v>
      </c>
      <c r="AF508" s="57" t="n">
        <f aca="false">IF(AB508=1,(X508-G$1030)^2,0)</f>
        <v>0</v>
      </c>
      <c r="AG508" s="57" t="n">
        <f aca="false">IF(AC508=1,(Y508-H$1030)^2,0)</f>
        <v>0</v>
      </c>
      <c r="AH508" s="57" t="n">
        <f aca="false">IF(AD508=1,(Z508-I$1030)^2,0)</f>
        <v>155.678035438497</v>
      </c>
      <c r="AI508" s="57" t="n">
        <f aca="false">IF(AE508=1,(AA508-J$1030)^2,0)</f>
        <v>0</v>
      </c>
    </row>
    <row r="509" customFormat="false" ht="12" hidden="false" customHeight="false" outlineLevel="0" collapsed="false">
      <c r="A509" s="5" t="n">
        <v>492</v>
      </c>
      <c r="B509" s="58" t="n">
        <f aca="true">IF(RAND()&lt;$D$8,1,0)</f>
        <v>0</v>
      </c>
      <c r="C509" s="47" t="n">
        <f aca="true">-LN(RAND())/$D$2</f>
        <v>0.93977605189668</v>
      </c>
      <c r="D509" s="59" t="n">
        <f aca="false">D508+C509</f>
        <v>484.00692156261</v>
      </c>
      <c r="E509" s="60" t="n">
        <f aca="false">MAX($D$3,(1+P508-VLOOKUP(VALUE(D509),$J$18:$Q508,7,TRUE()))*$D$3)</f>
        <v>18</v>
      </c>
      <c r="F509" s="60" t="n">
        <f aca="false">MAX($D$4,(1+Q508-VLOOKUP(VALUE(D509),$M$18:$Q508,5,TRUE()))*$D$4)</f>
        <v>14</v>
      </c>
      <c r="G509" s="61" t="n">
        <v>0.5</v>
      </c>
      <c r="H509" s="59" t="n">
        <f aca="true">IF((B509=1),(IF((F509&lt;E509),1,(IF((F509=E509),(IF(RAND()&lt;G509,1,0)),0)))),(IF((RAND()&lt;G509),1,0)))</f>
        <v>0</v>
      </c>
      <c r="I509" s="59" t="n">
        <f aca="true">IF((H509=1),0,$D$3+$D$5*(RAND()-0.5))</f>
        <v>1.7657249517695</v>
      </c>
      <c r="J509" s="59" t="n">
        <f aca="false">I509+MAX(D509,J508)</f>
        <v>500.563485582777</v>
      </c>
      <c r="K509" s="59" t="n">
        <f aca="false">IF((H509=0),J509-D509,0)</f>
        <v>16.556564020167</v>
      </c>
      <c r="L509" s="59" t="n">
        <f aca="true">IF(($H509=0),0,$D$4+$D$5*(RAND()-0.5))</f>
        <v>0</v>
      </c>
      <c r="M509" s="59" t="n">
        <f aca="false">L509+MAX(D509,M508)</f>
        <v>495.544245952663</v>
      </c>
      <c r="N509" s="59" t="n">
        <f aca="false">IF((H509=1),M509-D509,0)</f>
        <v>0</v>
      </c>
      <c r="O509" s="5" t="n">
        <v>492</v>
      </c>
      <c r="P509" s="62" t="n">
        <f aca="false">IF((Arterial=0),P508+1,P508)</f>
        <v>247</v>
      </c>
      <c r="Q509" s="62" t="n">
        <f aca="false">IF((Arterial=1),Q508+1,Q508)</f>
        <v>245</v>
      </c>
      <c r="R509" s="63" t="e">
        <f aca="false">IF((RESET=1),0,R509+K509)</f>
        <v>#N/A</v>
      </c>
      <c r="S509" s="10" t="n">
        <f aca="false">IF(RESET=1,0,S509+N509)</f>
        <v>769.864944572349</v>
      </c>
      <c r="T509" s="0" t="e">
        <f aca="false">IF(RESET=1,0,T509+IF(H509=0,1,0))</f>
        <v>#N/A</v>
      </c>
      <c r="U509" s="0" t="n">
        <f aca="false">IF(RESET=1,0,U509+H509)</f>
        <v>25</v>
      </c>
      <c r="V509" s="10" t="e">
        <f aca="false">R509/(T509+0.00001)</f>
        <v>#N/A</v>
      </c>
      <c r="W509" s="10" t="n">
        <f aca="false">S509/(U509+0.0001)</f>
        <v>30.7944746049955</v>
      </c>
      <c r="X509" s="60" t="n">
        <f aca="false">IF(Informed=1,K509,0)</f>
        <v>0</v>
      </c>
      <c r="Y509" s="60" t="n">
        <f aca="false">IF(Informed=0,K509,0)</f>
        <v>16.556564020167</v>
      </c>
      <c r="Z509" s="60" t="n">
        <f aca="false">IF(Informed=1,N509,0)</f>
        <v>0</v>
      </c>
      <c r="AA509" s="60" t="n">
        <f aca="false">IF(Informed=0,N509,0)</f>
        <v>0</v>
      </c>
      <c r="AB509" s="64" t="n">
        <f aca="false">IF(Arterial=0,IF(Informed=1,1,0),0)</f>
        <v>0</v>
      </c>
      <c r="AC509" s="64" t="n">
        <f aca="false">IF(Arterial=0,IF(Informed=0,1,0),0)</f>
        <v>1</v>
      </c>
      <c r="AD509" s="64" t="n">
        <f aca="false">IF(Arterial=1,IF(Informed=1,1,0),0)</f>
        <v>0</v>
      </c>
      <c r="AE509" s="64" t="n">
        <f aca="false">IF(Arterial=1,IF(Informed=0,1,0),0)</f>
        <v>0</v>
      </c>
      <c r="AF509" s="57" t="n">
        <f aca="false">IF(AB509=1,(X509-G$1030)^2,0)</f>
        <v>0</v>
      </c>
      <c r="AG509" s="57" t="n">
        <f aca="false">IF(AC509=1,(Y509-H$1030)^2,0)</f>
        <v>274.119812153889</v>
      </c>
      <c r="AH509" s="57" t="n">
        <f aca="false">IF(AD509=1,(Z509-I$1030)^2,0)</f>
        <v>0</v>
      </c>
      <c r="AI509" s="57" t="n">
        <f aca="false">IF(AE509=1,(AA509-J$1030)^2,0)</f>
        <v>0</v>
      </c>
    </row>
    <row r="510" customFormat="false" ht="12" hidden="false" customHeight="false" outlineLevel="0" collapsed="false">
      <c r="A510" s="5" t="n">
        <v>493</v>
      </c>
      <c r="B510" s="58" t="n">
        <f aca="true">IF(RAND()&lt;$D$8,1,0)</f>
        <v>1</v>
      </c>
      <c r="C510" s="47" t="n">
        <f aca="true">-LN(RAND())/$D$2</f>
        <v>1.69327135730144</v>
      </c>
      <c r="D510" s="59" t="n">
        <f aca="false">D509+C510</f>
        <v>485.700192919912</v>
      </c>
      <c r="E510" s="60" t="n">
        <f aca="false">MAX($D$3,(1+P509-VLOOKUP(VALUE(D510),$J$18:$Q509,7,TRUE()))*$D$3)</f>
        <v>18</v>
      </c>
      <c r="F510" s="60" t="n">
        <f aca="false">MAX($D$4,(1+Q509-VLOOKUP(VALUE(D510),$M$18:$Q509,5,TRUE()))*$D$4)</f>
        <v>12</v>
      </c>
      <c r="G510" s="61" t="n">
        <v>0.5</v>
      </c>
      <c r="H510" s="59" t="n">
        <f aca="true">IF((B510=1),(IF((F510&lt;E510),1,(IF((F510=E510),(IF(RAND()&lt;G510,1,0)),0)))),(IF((RAND()&lt;G510),1,0)))</f>
        <v>1</v>
      </c>
      <c r="I510" s="59" t="n">
        <f aca="true">IF((H510=1),0,$D$3+$D$5*(RAND()-0.5))</f>
        <v>0</v>
      </c>
      <c r="J510" s="59" t="n">
        <f aca="false">I510+MAX(D510,J509)</f>
        <v>500.563485582777</v>
      </c>
      <c r="K510" s="59" t="n">
        <f aca="false">IF((H510=0),J510-D510,0)</f>
        <v>0</v>
      </c>
      <c r="L510" s="59" t="n">
        <f aca="true">IF(($H510=0),0,$D$4+$D$5*(RAND()-0.5))</f>
        <v>1.79351836474316</v>
      </c>
      <c r="M510" s="59" t="n">
        <f aca="false">L510+MAX(D510,M509)</f>
        <v>497.337764317406</v>
      </c>
      <c r="N510" s="59" t="n">
        <f aca="false">IF((H510=1),M510-D510,0)</f>
        <v>11.6375713974945</v>
      </c>
      <c r="O510" s="5" t="n">
        <v>493</v>
      </c>
      <c r="P510" s="62" t="n">
        <f aca="false">IF((Arterial=0),P509+1,P509)</f>
        <v>247</v>
      </c>
      <c r="Q510" s="62" t="n">
        <f aca="false">IF((Arterial=1),Q509+1,Q509)</f>
        <v>246</v>
      </c>
      <c r="R510" s="63" t="n">
        <f aca="false">IF((RESET=1),0,R510+K510)</f>
        <v>918.262735754197</v>
      </c>
      <c r="S510" s="10" t="e">
        <f aca="false">IF(RESET=1,0,S510+N510)</f>
        <v>#N/A</v>
      </c>
      <c r="T510" s="0" t="n">
        <f aca="false">IF(RESET=1,0,T510+IF(H510=0,1,0))</f>
        <v>34</v>
      </c>
      <c r="U510" s="0" t="e">
        <f aca="false">IF(RESET=1,0,U510+H510)</f>
        <v>#N/A</v>
      </c>
      <c r="V510" s="10" t="n">
        <f aca="false">R510/(T510+0.00001)</f>
        <v>27.0077195787353</v>
      </c>
      <c r="W510" s="10" t="e">
        <f aca="false">S510/(U510+0.0001)</f>
        <v>#N/A</v>
      </c>
      <c r="X510" s="60" t="n">
        <f aca="false">IF(Informed=1,K510,0)</f>
        <v>0</v>
      </c>
      <c r="Y510" s="60" t="n">
        <f aca="false">IF(Informed=0,K510,0)</f>
        <v>0</v>
      </c>
      <c r="Z510" s="60" t="n">
        <f aca="false">IF(Informed=1,N510,0)</f>
        <v>11.6375713974945</v>
      </c>
      <c r="AA510" s="60" t="n">
        <f aca="false">IF(Informed=0,N510,0)</f>
        <v>0</v>
      </c>
      <c r="AB510" s="64" t="n">
        <f aca="false">IF(Arterial=0,IF(Informed=1,1,0),0)</f>
        <v>0</v>
      </c>
      <c r="AC510" s="64" t="n">
        <f aca="false">IF(Arterial=0,IF(Informed=0,1,0),0)</f>
        <v>0</v>
      </c>
      <c r="AD510" s="64" t="n">
        <f aca="false">IF(Arterial=1,IF(Informed=1,1,0),0)</f>
        <v>1</v>
      </c>
      <c r="AE510" s="64" t="n">
        <f aca="false">IF(Arterial=1,IF(Informed=0,1,0),0)</f>
        <v>0</v>
      </c>
      <c r="AF510" s="57" t="n">
        <f aca="false">IF(AB510=1,(X510-G$1030)^2,0)</f>
        <v>0</v>
      </c>
      <c r="AG510" s="57" t="n">
        <f aca="false">IF(AC510=1,(Y510-H$1030)^2,0)</f>
        <v>0</v>
      </c>
      <c r="AH510" s="57" t="n">
        <f aca="false">IF(AD510=1,(Z510-I$1030)^2,0)</f>
        <v>135.433068031783</v>
      </c>
      <c r="AI510" s="57" t="n">
        <f aca="false">IF(AE510=1,(AA510-J$1030)^2,0)</f>
        <v>0</v>
      </c>
    </row>
    <row r="511" customFormat="false" ht="12" hidden="false" customHeight="false" outlineLevel="0" collapsed="false">
      <c r="A511" s="5" t="n">
        <v>494</v>
      </c>
      <c r="B511" s="58" t="n">
        <f aca="true">IF(RAND()&lt;$D$8,1,0)</f>
        <v>1</v>
      </c>
      <c r="C511" s="47" t="n">
        <f aca="true">-LN(RAND())/$D$2</f>
        <v>0.568087646224759</v>
      </c>
      <c r="D511" s="59" t="n">
        <f aca="false">D510+C511</f>
        <v>486.268280566137</v>
      </c>
      <c r="E511" s="60" t="n">
        <f aca="false">MAX($D$3,(1+P510-VLOOKUP(VALUE(D511),$J$18:$Q510,7,TRUE()))*$D$3)</f>
        <v>18</v>
      </c>
      <c r="F511" s="60" t="n">
        <f aca="false">MAX($D$4,(1+Q510-VLOOKUP(VALUE(D511),$M$18:$Q510,5,TRUE()))*$D$4)</f>
        <v>14</v>
      </c>
      <c r="G511" s="61" t="n">
        <v>0.5</v>
      </c>
      <c r="H511" s="59" t="n">
        <f aca="true">IF((B511=1),(IF((F511&lt;E511),1,(IF((F511=E511),(IF(RAND()&lt;G511,1,0)),0)))),(IF((RAND()&lt;G511),1,0)))</f>
        <v>1</v>
      </c>
      <c r="I511" s="59" t="n">
        <f aca="true">IF((H511=1),0,$D$3+$D$5*(RAND()-0.5))</f>
        <v>0</v>
      </c>
      <c r="J511" s="59" t="n">
        <f aca="false">I511+MAX(D511,J510)</f>
        <v>500.563485582777</v>
      </c>
      <c r="K511" s="59" t="n">
        <f aca="false">IF((H511=0),J511-D511,0)</f>
        <v>0</v>
      </c>
      <c r="L511" s="59" t="n">
        <f aca="true">IF(($H511=0),0,$D$4+$D$5*(RAND()-0.5))</f>
        <v>2.02808775121626</v>
      </c>
      <c r="M511" s="59" t="n">
        <f aca="false">L511+MAX(D511,M510)</f>
        <v>499.365852068623</v>
      </c>
      <c r="N511" s="59" t="n">
        <f aca="false">IF((H511=1),M511-D511,0)</f>
        <v>13.0975715024861</v>
      </c>
      <c r="O511" s="5" t="n">
        <v>494</v>
      </c>
      <c r="P511" s="62" t="n">
        <f aca="false">IF((Arterial=0),P510+1,P510)</f>
        <v>247</v>
      </c>
      <c r="Q511" s="62" t="n">
        <f aca="false">IF((Arterial=1),Q510+1,Q510)</f>
        <v>247</v>
      </c>
      <c r="R511" s="63" t="n">
        <f aca="false">IF((RESET=1),0,R511+K511)</f>
        <v>836.16383603138</v>
      </c>
      <c r="S511" s="10" t="e">
        <f aca="false">IF(RESET=1,0,S511+N511)</f>
        <v>#N/A</v>
      </c>
      <c r="T511" s="0" t="n">
        <f aca="false">IF(RESET=1,0,T511+IF(H511=0,1,0))</f>
        <v>32</v>
      </c>
      <c r="U511" s="0" t="e">
        <f aca="false">IF(RESET=1,0,U511+H511)</f>
        <v>#N/A</v>
      </c>
      <c r="V511" s="10" t="n">
        <f aca="false">R511/(T511+0.00001)</f>
        <v>26.1301117103207</v>
      </c>
      <c r="W511" s="10" t="e">
        <f aca="false">S511/(U511+0.0001)</f>
        <v>#N/A</v>
      </c>
      <c r="X511" s="60" t="n">
        <f aca="false">IF(Informed=1,K511,0)</f>
        <v>0</v>
      </c>
      <c r="Y511" s="60" t="n">
        <f aca="false">IF(Informed=0,K511,0)</f>
        <v>0</v>
      </c>
      <c r="Z511" s="60" t="n">
        <f aca="false">IF(Informed=1,N511,0)</f>
        <v>13.0975715024861</v>
      </c>
      <c r="AA511" s="60" t="n">
        <f aca="false">IF(Informed=0,N511,0)</f>
        <v>0</v>
      </c>
      <c r="AB511" s="64" t="n">
        <f aca="false">IF(Arterial=0,IF(Informed=1,1,0),0)</f>
        <v>0</v>
      </c>
      <c r="AC511" s="64" t="n">
        <f aca="false">IF(Arterial=0,IF(Informed=0,1,0),0)</f>
        <v>0</v>
      </c>
      <c r="AD511" s="64" t="n">
        <f aca="false">IF(Arterial=1,IF(Informed=1,1,0),0)</f>
        <v>1</v>
      </c>
      <c r="AE511" s="64" t="n">
        <f aca="false">IF(Arterial=1,IF(Informed=0,1,0),0)</f>
        <v>0</v>
      </c>
      <c r="AF511" s="57" t="n">
        <f aca="false">IF(AB511=1,(X511-G$1030)^2,0)</f>
        <v>0</v>
      </c>
      <c r="AG511" s="57" t="n">
        <f aca="false">IF(AC511=1,(Y511-H$1030)^2,0)</f>
        <v>0</v>
      </c>
      <c r="AH511" s="57" t="n">
        <f aca="false">IF(AD511=1,(Z511-I$1030)^2,0)</f>
        <v>171.546379262735</v>
      </c>
      <c r="AI511" s="57" t="n">
        <f aca="false">IF(AE511=1,(AA511-J$1030)^2,0)</f>
        <v>0</v>
      </c>
    </row>
    <row r="512" customFormat="false" ht="12" hidden="false" customHeight="false" outlineLevel="0" collapsed="false">
      <c r="A512" s="5" t="n">
        <v>495</v>
      </c>
      <c r="B512" s="58" t="n">
        <f aca="true">IF(RAND()&lt;$D$8,1,0)</f>
        <v>1</v>
      </c>
      <c r="C512" s="47" t="n">
        <f aca="true">-LN(RAND())/$D$2</f>
        <v>0.746738318350018</v>
      </c>
      <c r="D512" s="59" t="n">
        <f aca="false">D511+C512</f>
        <v>487.015018884487</v>
      </c>
      <c r="E512" s="60" t="n">
        <f aca="false">MAX($D$3,(1+P511-VLOOKUP(VALUE(D512),$J$18:$Q511,7,TRUE()))*$D$3)</f>
        <v>18</v>
      </c>
      <c r="F512" s="60" t="n">
        <f aca="false">MAX($D$4,(1+Q511-VLOOKUP(VALUE(D512),$M$18:$Q511,5,TRUE()))*$D$4)</f>
        <v>16</v>
      </c>
      <c r="G512" s="61" t="n">
        <v>0.5</v>
      </c>
      <c r="H512" s="59" t="n">
        <f aca="true">IF((B512=1),(IF((F512&lt;E512),1,(IF((F512=E512),(IF(RAND()&lt;G512,1,0)),0)))),(IF((RAND()&lt;G512),1,0)))</f>
        <v>1</v>
      </c>
      <c r="I512" s="59" t="n">
        <f aca="true">IF((H512=1),0,$D$3+$D$5*(RAND()-0.5))</f>
        <v>0</v>
      </c>
      <c r="J512" s="59" t="n">
        <f aca="false">I512+MAX(D512,J511)</f>
        <v>500.563485582777</v>
      </c>
      <c r="K512" s="59" t="n">
        <f aca="false">IF((H512=0),J512-D512,0)</f>
        <v>0</v>
      </c>
      <c r="L512" s="59" t="n">
        <f aca="true">IF(($H512=0),0,$D$4+$D$5*(RAND()-0.5))</f>
        <v>1.78597337842448</v>
      </c>
      <c r="M512" s="59" t="n">
        <f aca="false">L512+MAX(D512,M511)</f>
        <v>501.151825447047</v>
      </c>
      <c r="N512" s="59" t="n">
        <f aca="false">IF((H512=1),M512-D512,0)</f>
        <v>14.1368065625605</v>
      </c>
      <c r="O512" s="5" t="n">
        <v>495</v>
      </c>
      <c r="P512" s="62" t="n">
        <f aca="false">IF((Arterial=0),P511+1,P511)</f>
        <v>247</v>
      </c>
      <c r="Q512" s="62" t="n">
        <f aca="false">IF((Arterial=1),Q511+1,Q511)</f>
        <v>248</v>
      </c>
      <c r="R512" s="63" t="n">
        <f aca="false">IF((RESET=1),0,R512+K512)</f>
        <v>662.085520326857</v>
      </c>
      <c r="S512" s="10" t="e">
        <f aca="false">IF(RESET=1,0,S512+N512)</f>
        <v>#N/A</v>
      </c>
      <c r="T512" s="0" t="n">
        <f aca="false">IF(RESET=1,0,T512+IF(H512=0,1,0))</f>
        <v>27</v>
      </c>
      <c r="U512" s="0" t="e">
        <f aca="false">IF(RESET=1,0,U512+H512)</f>
        <v>#N/A</v>
      </c>
      <c r="V512" s="10" t="n">
        <f aca="false">R512/(T512+0.00001)</f>
        <v>24.5216768559292</v>
      </c>
      <c r="W512" s="10" t="e">
        <f aca="false">S512/(U512+0.0001)</f>
        <v>#N/A</v>
      </c>
      <c r="X512" s="60" t="n">
        <f aca="false">IF(Informed=1,K512,0)</f>
        <v>0</v>
      </c>
      <c r="Y512" s="60" t="n">
        <f aca="false">IF(Informed=0,K512,0)</f>
        <v>0</v>
      </c>
      <c r="Z512" s="60" t="n">
        <f aca="false">IF(Informed=1,N512,0)</f>
        <v>14.1368065625605</v>
      </c>
      <c r="AA512" s="60" t="n">
        <f aca="false">IF(Informed=0,N512,0)</f>
        <v>0</v>
      </c>
      <c r="AB512" s="64" t="n">
        <f aca="false">IF(Arterial=0,IF(Informed=1,1,0),0)</f>
        <v>0</v>
      </c>
      <c r="AC512" s="64" t="n">
        <f aca="false">IF(Arterial=0,IF(Informed=0,1,0),0)</f>
        <v>0</v>
      </c>
      <c r="AD512" s="64" t="n">
        <f aca="false">IF(Arterial=1,IF(Informed=1,1,0),0)</f>
        <v>1</v>
      </c>
      <c r="AE512" s="64" t="n">
        <f aca="false">IF(Arterial=1,IF(Informed=0,1,0),0)</f>
        <v>0</v>
      </c>
      <c r="AF512" s="57" t="n">
        <f aca="false">IF(AB512=1,(X512-G$1030)^2,0)</f>
        <v>0</v>
      </c>
      <c r="AG512" s="57" t="n">
        <f aca="false">IF(AC512=1,(Y512-H$1030)^2,0)</f>
        <v>0</v>
      </c>
      <c r="AH512" s="57" t="n">
        <f aca="false">IF(AD512=1,(Z512-I$1030)^2,0)</f>
        <v>199.849299787255</v>
      </c>
      <c r="AI512" s="57" t="n">
        <f aca="false">IF(AE512=1,(AA512-J$1030)^2,0)</f>
        <v>0</v>
      </c>
    </row>
    <row r="513" customFormat="false" ht="12" hidden="false" customHeight="false" outlineLevel="0" collapsed="false">
      <c r="A513" s="5" t="n">
        <v>496</v>
      </c>
      <c r="B513" s="58" t="n">
        <f aca="true">IF(RAND()&lt;$D$8,1,0)</f>
        <v>1</v>
      </c>
      <c r="C513" s="47" t="n">
        <f aca="true">-LN(RAND())/$D$2</f>
        <v>0.14839086908201</v>
      </c>
      <c r="D513" s="59" t="n">
        <f aca="false">D512+C513</f>
        <v>487.163409753569</v>
      </c>
      <c r="E513" s="60" t="n">
        <f aca="false">MAX($D$3,(1+P512-VLOOKUP(VALUE(D513),$J$18:$Q512,7,TRUE()))*$D$3)</f>
        <v>16</v>
      </c>
      <c r="F513" s="60" t="n">
        <f aca="false">MAX($D$4,(1+Q512-VLOOKUP(VALUE(D513),$M$18:$Q512,5,TRUE()))*$D$4)</f>
        <v>18</v>
      </c>
      <c r="G513" s="61" t="n">
        <v>0.5</v>
      </c>
      <c r="H513" s="59" t="n">
        <f aca="true">IF((B513=1),(IF((F513&lt;E513),1,(IF((F513=E513),(IF(RAND()&lt;G513,1,0)),0)))),(IF((RAND()&lt;G513),1,0)))</f>
        <v>0</v>
      </c>
      <c r="I513" s="59" t="n">
        <f aca="true">IF((H513=1),0,$D$3+$D$5*(RAND()-0.5))</f>
        <v>1.85623061255655</v>
      </c>
      <c r="J513" s="59" t="n">
        <f aca="false">I513+MAX(D513,J512)</f>
        <v>502.419716195334</v>
      </c>
      <c r="K513" s="59" t="n">
        <f aca="false">IF((H513=0),J513-D513,0)</f>
        <v>15.2563064417653</v>
      </c>
      <c r="L513" s="59" t="n">
        <f aca="true">IF(($H513=0),0,$D$4+$D$5*(RAND()-0.5))</f>
        <v>0</v>
      </c>
      <c r="M513" s="59" t="n">
        <f aca="false">L513+MAX(D513,M512)</f>
        <v>501.151825447047</v>
      </c>
      <c r="N513" s="59" t="n">
        <f aca="false">IF((H513=1),M513-D513,0)</f>
        <v>0</v>
      </c>
      <c r="O513" s="5" t="n">
        <v>496</v>
      </c>
      <c r="P513" s="62" t="n">
        <f aca="false">IF((Arterial=0),P512+1,P512)</f>
        <v>248</v>
      </c>
      <c r="Q513" s="62" t="n">
        <f aca="false">IF((Arterial=1),Q512+1,Q512)</f>
        <v>248</v>
      </c>
      <c r="R513" s="63" t="e">
        <f aca="false">IF((RESET=1),0,R513+K513)</f>
        <v>#N/A</v>
      </c>
      <c r="S513" s="10" t="n">
        <f aca="false">IF(RESET=1,0,S513+N513)</f>
        <v>821.477195891153</v>
      </c>
      <c r="T513" s="0" t="e">
        <f aca="false">IF(RESET=1,0,T513+IF(H513=0,1,0))</f>
        <v>#N/A</v>
      </c>
      <c r="U513" s="0" t="n">
        <f aca="false">IF(RESET=1,0,U513+H513)</f>
        <v>34</v>
      </c>
      <c r="V513" s="10" t="e">
        <f aca="false">R513/(T513+0.00001)</f>
        <v>#N/A</v>
      </c>
      <c r="W513" s="10" t="n">
        <f aca="false">S513/(U513+0.0001)</f>
        <v>24.1610229349665</v>
      </c>
      <c r="X513" s="60" t="n">
        <f aca="false">IF(Informed=1,K513,0)</f>
        <v>15.2563064417653</v>
      </c>
      <c r="Y513" s="60" t="n">
        <f aca="false">IF(Informed=0,K513,0)</f>
        <v>0</v>
      </c>
      <c r="Z513" s="60" t="n">
        <f aca="false">IF(Informed=1,N513,0)</f>
        <v>0</v>
      </c>
      <c r="AA513" s="60" t="n">
        <f aca="false">IF(Informed=0,N513,0)</f>
        <v>0</v>
      </c>
      <c r="AB513" s="64" t="n">
        <f aca="false">IF(Arterial=0,IF(Informed=1,1,0),0)</f>
        <v>1</v>
      </c>
      <c r="AC513" s="64" t="n">
        <f aca="false">IF(Arterial=0,IF(Informed=0,1,0),0)</f>
        <v>0</v>
      </c>
      <c r="AD513" s="64" t="n">
        <f aca="false">IF(Arterial=1,IF(Informed=1,1,0),0)</f>
        <v>0</v>
      </c>
      <c r="AE513" s="64" t="n">
        <f aca="false">IF(Arterial=1,IF(Informed=0,1,0),0)</f>
        <v>0</v>
      </c>
      <c r="AF513" s="57" t="n">
        <f aca="false">IF(AB513=1,(X513-G$1030)^2,0)</f>
        <v>232.75488624505</v>
      </c>
      <c r="AG513" s="57" t="n">
        <f aca="false">IF(AC513=1,(Y513-H$1030)^2,0)</f>
        <v>0</v>
      </c>
      <c r="AH513" s="57" t="n">
        <f aca="false">IF(AD513=1,(Z513-I$1030)^2,0)</f>
        <v>0</v>
      </c>
      <c r="AI513" s="57" t="n">
        <f aca="false">IF(AE513=1,(AA513-J$1030)^2,0)</f>
        <v>0</v>
      </c>
    </row>
    <row r="514" customFormat="false" ht="12" hidden="false" customHeight="false" outlineLevel="0" collapsed="false">
      <c r="A514" s="5" t="n">
        <v>497</v>
      </c>
      <c r="B514" s="58" t="n">
        <f aca="true">IF(RAND()&lt;$D$8,1,0)</f>
        <v>1</v>
      </c>
      <c r="C514" s="47" t="n">
        <f aca="true">-LN(RAND())/$D$2</f>
        <v>0.317886928102852</v>
      </c>
      <c r="D514" s="59" t="n">
        <f aca="false">D513+C514</f>
        <v>487.481296681671</v>
      </c>
      <c r="E514" s="60" t="n">
        <f aca="false">MAX($D$3,(1+P513-VLOOKUP(VALUE(D514),$J$18:$Q513,7,TRUE()))*$D$3)</f>
        <v>18</v>
      </c>
      <c r="F514" s="60" t="n">
        <f aca="false">MAX($D$4,(1+Q513-VLOOKUP(VALUE(D514),$M$18:$Q513,5,TRUE()))*$D$4)</f>
        <v>18</v>
      </c>
      <c r="G514" s="61" t="n">
        <v>0.5</v>
      </c>
      <c r="H514" s="59" t="n">
        <f aca="true">IF((B514=1),(IF((F514&lt;E514),1,(IF((F514=E514),(IF(RAND()&lt;G514,1,0)),0)))),(IF((RAND()&lt;G514),1,0)))</f>
        <v>1</v>
      </c>
      <c r="I514" s="59" t="n">
        <f aca="true">IF((H514=1),0,$D$3+$D$5*(RAND()-0.5))</f>
        <v>0</v>
      </c>
      <c r="J514" s="59" t="n">
        <f aca="false">I514+MAX(D514,J513)</f>
        <v>502.419716195334</v>
      </c>
      <c r="K514" s="59" t="n">
        <f aca="false">IF((H514=0),J514-D514,0)</f>
        <v>0</v>
      </c>
      <c r="L514" s="59" t="n">
        <f aca="true">IF(($H514=0),0,$D$4+$D$5*(RAND()-0.5))</f>
        <v>1.95311343354703</v>
      </c>
      <c r="M514" s="59" t="n">
        <f aca="false">L514+MAX(D514,M513)</f>
        <v>503.104938880594</v>
      </c>
      <c r="N514" s="59" t="n">
        <f aca="false">IF((H514=1),M514-D514,0)</f>
        <v>15.6236421989227</v>
      </c>
      <c r="O514" s="5" t="n">
        <v>497</v>
      </c>
      <c r="P514" s="62" t="n">
        <f aca="false">IF((Arterial=0),P513+1,P513)</f>
        <v>248</v>
      </c>
      <c r="Q514" s="62" t="n">
        <f aca="false">IF((Arterial=1),Q513+1,Q513)</f>
        <v>249</v>
      </c>
      <c r="R514" s="63" t="n">
        <f aca="false">IF((RESET=1),0,R514+K514)</f>
        <v>676.577374789739</v>
      </c>
      <c r="S514" s="10" t="e">
        <f aca="false">IF(RESET=1,0,S514+N514)</f>
        <v>#N/A</v>
      </c>
      <c r="T514" s="0" t="n">
        <f aca="false">IF(RESET=1,0,T514+IF(H514=0,1,0))</f>
        <v>30</v>
      </c>
      <c r="U514" s="0" t="e">
        <f aca="false">IF(RESET=1,0,U514+H514)</f>
        <v>#N/A</v>
      </c>
      <c r="V514" s="10" t="n">
        <f aca="false">R514/(T514+0.00001)</f>
        <v>22.5525716421341</v>
      </c>
      <c r="W514" s="10" t="e">
        <f aca="false">S514/(U514+0.0001)</f>
        <v>#N/A</v>
      </c>
      <c r="X514" s="60" t="n">
        <f aca="false">IF(Informed=1,K514,0)</f>
        <v>0</v>
      </c>
      <c r="Y514" s="60" t="n">
        <f aca="false">IF(Informed=0,K514,0)</f>
        <v>0</v>
      </c>
      <c r="Z514" s="60" t="n">
        <f aca="false">IF(Informed=1,N514,0)</f>
        <v>15.6236421989227</v>
      </c>
      <c r="AA514" s="60" t="n">
        <f aca="false">IF(Informed=0,N514,0)</f>
        <v>0</v>
      </c>
      <c r="AB514" s="64" t="n">
        <f aca="false">IF(Arterial=0,IF(Informed=1,1,0),0)</f>
        <v>0</v>
      </c>
      <c r="AC514" s="64" t="n">
        <f aca="false">IF(Arterial=0,IF(Informed=0,1,0),0)</f>
        <v>0</v>
      </c>
      <c r="AD514" s="64" t="n">
        <f aca="false">IF(Arterial=1,IF(Informed=1,1,0),0)</f>
        <v>1</v>
      </c>
      <c r="AE514" s="64" t="n">
        <f aca="false">IF(Arterial=1,IF(Informed=0,1,0),0)</f>
        <v>0</v>
      </c>
      <c r="AF514" s="57" t="n">
        <f aca="false">IF(AB514=1,(X514-G$1030)^2,0)</f>
        <v>0</v>
      </c>
      <c r="AG514" s="57" t="n">
        <f aca="false">IF(AC514=1,(Y514-H$1030)^2,0)</f>
        <v>0</v>
      </c>
      <c r="AH514" s="57" t="n">
        <f aca="false">IF(AD514=1,(Z514-I$1030)^2,0)</f>
        <v>244.098195559958</v>
      </c>
      <c r="AI514" s="57" t="n">
        <f aca="false">IF(AE514=1,(AA514-J$1030)^2,0)</f>
        <v>0</v>
      </c>
    </row>
    <row r="515" customFormat="false" ht="12" hidden="false" customHeight="false" outlineLevel="0" collapsed="false">
      <c r="A515" s="5" t="n">
        <v>498</v>
      </c>
      <c r="B515" s="58" t="n">
        <f aca="true">IF(RAND()&lt;$D$8,1,0)</f>
        <v>0</v>
      </c>
      <c r="C515" s="47" t="n">
        <f aca="true">-LN(RAND())/$D$2</f>
        <v>1.70246944631911</v>
      </c>
      <c r="D515" s="59" t="n">
        <f aca="false">D514+C515</f>
        <v>489.183766127991</v>
      </c>
      <c r="E515" s="60" t="n">
        <f aca="false">MAX($D$3,(1+P514-VLOOKUP(VALUE(D515),$J$18:$Q514,7,TRUE()))*$D$3)</f>
        <v>16</v>
      </c>
      <c r="F515" s="60" t="n">
        <f aca="false">MAX($D$4,(1+Q514-VLOOKUP(VALUE(D515),$M$18:$Q514,5,TRUE()))*$D$4)</f>
        <v>18</v>
      </c>
      <c r="G515" s="61" t="n">
        <v>0.5</v>
      </c>
      <c r="H515" s="59" t="n">
        <f aca="true">IF((B515=1),(IF((F515&lt;E515),1,(IF((F515=E515),(IF(RAND()&lt;G515,1,0)),0)))),(IF((RAND()&lt;G515),1,0)))</f>
        <v>1</v>
      </c>
      <c r="I515" s="59" t="n">
        <f aca="true">IF((H515=1),0,$D$3+$D$5*(RAND()-0.5))</f>
        <v>0</v>
      </c>
      <c r="J515" s="59" t="n">
        <f aca="false">I515+MAX(D515,J514)</f>
        <v>502.419716195334</v>
      </c>
      <c r="K515" s="59" t="n">
        <f aca="false">IF((H515=0),J515-D515,0)</f>
        <v>0</v>
      </c>
      <c r="L515" s="59" t="n">
        <f aca="true">IF(($H515=0),0,$D$4+$D$5*(RAND()-0.5))</f>
        <v>1.99693437943616</v>
      </c>
      <c r="M515" s="59" t="n">
        <f aca="false">L515+MAX(D515,M514)</f>
        <v>505.10187326003</v>
      </c>
      <c r="N515" s="59" t="n">
        <f aca="false">IF((H515=1),M515-D515,0)</f>
        <v>15.9181071320397</v>
      </c>
      <c r="O515" s="5" t="n">
        <v>498</v>
      </c>
      <c r="P515" s="62" t="n">
        <f aca="false">IF((Arterial=0),P514+1,P514)</f>
        <v>248</v>
      </c>
      <c r="Q515" s="62" t="n">
        <f aca="false">IF((Arterial=1),Q514+1,Q514)</f>
        <v>250</v>
      </c>
      <c r="R515" s="63" t="n">
        <f aca="false">IF((RESET=1),0,R515+K515)</f>
        <v>745.523327219209</v>
      </c>
      <c r="S515" s="10" t="e">
        <f aca="false">IF(RESET=1,0,S515+N515)</f>
        <v>#N/A</v>
      </c>
      <c r="T515" s="0" t="n">
        <f aca="false">IF(RESET=1,0,T515+IF(H515=0,1,0))</f>
        <v>27</v>
      </c>
      <c r="U515" s="0" t="e">
        <f aca="false">IF(RESET=1,0,U515+H515)</f>
        <v>#N/A</v>
      </c>
      <c r="V515" s="10" t="n">
        <f aca="false">R515/(T515+0.00001)</f>
        <v>27.6119648555393</v>
      </c>
      <c r="W515" s="10" t="e">
        <f aca="false">S515/(U515+0.0001)</f>
        <v>#N/A</v>
      </c>
      <c r="X515" s="60" t="n">
        <f aca="false">IF(Informed=1,K515,0)</f>
        <v>0</v>
      </c>
      <c r="Y515" s="60" t="n">
        <f aca="false">IF(Informed=0,K515,0)</f>
        <v>0</v>
      </c>
      <c r="Z515" s="60" t="n">
        <f aca="false">IF(Informed=1,N515,0)</f>
        <v>0</v>
      </c>
      <c r="AA515" s="60" t="n">
        <f aca="false">IF(Informed=0,N515,0)</f>
        <v>15.9181071320397</v>
      </c>
      <c r="AB515" s="64" t="n">
        <f aca="false">IF(Arterial=0,IF(Informed=1,1,0),0)</f>
        <v>0</v>
      </c>
      <c r="AC515" s="64" t="n">
        <f aca="false">IF(Arterial=0,IF(Informed=0,1,0),0)</f>
        <v>0</v>
      </c>
      <c r="AD515" s="64" t="n">
        <f aca="false">IF(Arterial=1,IF(Informed=1,1,0),0)</f>
        <v>0</v>
      </c>
      <c r="AE515" s="64" t="n">
        <f aca="false">IF(Arterial=1,IF(Informed=0,1,0),0)</f>
        <v>1</v>
      </c>
      <c r="AF515" s="57" t="n">
        <f aca="false">IF(AB515=1,(X515-G$1030)^2,0)</f>
        <v>0</v>
      </c>
      <c r="AG515" s="57" t="n">
        <f aca="false">IF(AC515=1,(Y515-H$1030)^2,0)</f>
        <v>0</v>
      </c>
      <c r="AH515" s="57" t="n">
        <f aca="false">IF(AD515=1,(Z515-I$1030)^2,0)</f>
        <v>0</v>
      </c>
      <c r="AI515" s="57" t="n">
        <f aca="false">IF(AE515=1,(AA515-J$1030)^2,0)</f>
        <v>253.386134667094</v>
      </c>
    </row>
    <row r="516" customFormat="false" ht="12" hidden="false" customHeight="false" outlineLevel="0" collapsed="false">
      <c r="A516" s="5" t="n">
        <v>499</v>
      </c>
      <c r="B516" s="58" t="n">
        <f aca="true">IF(RAND()&lt;$D$8,1,0)</f>
        <v>1</v>
      </c>
      <c r="C516" s="47" t="n">
        <f aca="true">-LN(RAND())/$D$2</f>
        <v>0.887690508795609</v>
      </c>
      <c r="D516" s="59" t="n">
        <f aca="false">D515+C516</f>
        <v>490.071456636786</v>
      </c>
      <c r="E516" s="60" t="n">
        <f aca="false">MAX($D$3,(1+P515-VLOOKUP(VALUE(D516),$J$18:$Q515,7,TRUE()))*$D$3)</f>
        <v>16</v>
      </c>
      <c r="F516" s="60" t="n">
        <f aca="false">MAX($D$4,(1+Q515-VLOOKUP(VALUE(D516),$M$18:$Q515,5,TRUE()))*$D$4)</f>
        <v>18</v>
      </c>
      <c r="G516" s="61" t="n">
        <v>0.5</v>
      </c>
      <c r="H516" s="59" t="n">
        <f aca="true">IF((B516=1),(IF((F516&lt;E516),1,(IF((F516=E516),(IF(RAND()&lt;G516,1,0)),0)))),(IF((RAND()&lt;G516),1,0)))</f>
        <v>0</v>
      </c>
      <c r="I516" s="59" t="n">
        <f aca="true">IF((H516=1),0,$D$3+$D$5*(RAND()-0.5))</f>
        <v>2.00957855833933</v>
      </c>
      <c r="J516" s="59" t="n">
        <f aca="false">I516+MAX(D516,J515)</f>
        <v>504.429294753673</v>
      </c>
      <c r="K516" s="59" t="n">
        <f aca="false">IF((H516=0),J516-D516,0)</f>
        <v>14.3578381168871</v>
      </c>
      <c r="L516" s="59" t="n">
        <f aca="true">IF(($H516=0),0,$D$4+$D$5*(RAND()-0.5))</f>
        <v>0</v>
      </c>
      <c r="M516" s="59" t="n">
        <f aca="false">L516+MAX(D516,M515)</f>
        <v>505.10187326003</v>
      </c>
      <c r="N516" s="59" t="n">
        <f aca="false">IF((H516=1),M516-D516,0)</f>
        <v>0</v>
      </c>
      <c r="O516" s="5" t="n">
        <v>499</v>
      </c>
      <c r="P516" s="62" t="n">
        <f aca="false">IF((Arterial=0),P515+1,P515)</f>
        <v>249</v>
      </c>
      <c r="Q516" s="62" t="n">
        <f aca="false">IF((Arterial=1),Q515+1,Q515)</f>
        <v>250</v>
      </c>
      <c r="R516" s="63" t="e">
        <f aca="false">IF((RESET=1),0,R516+K516)</f>
        <v>#N/A</v>
      </c>
      <c r="S516" s="10" t="n">
        <f aca="false">IF(RESET=1,0,S516+N516)</f>
        <v>718.989556984399</v>
      </c>
      <c r="T516" s="0" t="e">
        <f aca="false">IF(RESET=1,0,T516+IF(H516=0,1,0))</f>
        <v>#N/A</v>
      </c>
      <c r="U516" s="0" t="n">
        <f aca="false">IF(RESET=1,0,U516+H516)</f>
        <v>28</v>
      </c>
      <c r="V516" s="10" t="e">
        <f aca="false">R516/(T516+0.00001)</f>
        <v>#N/A</v>
      </c>
      <c r="W516" s="10" t="n">
        <f aca="false">S516/(U516+0.0001)</f>
        <v>25.6781067562044</v>
      </c>
      <c r="X516" s="60" t="n">
        <f aca="false">IF(Informed=1,K516,0)</f>
        <v>14.3578381168871</v>
      </c>
      <c r="Y516" s="60" t="n">
        <f aca="false">IF(Informed=0,K516,0)</f>
        <v>0</v>
      </c>
      <c r="Z516" s="60" t="n">
        <f aca="false">IF(Informed=1,N516,0)</f>
        <v>0</v>
      </c>
      <c r="AA516" s="60" t="n">
        <f aca="false">IF(Informed=0,N516,0)</f>
        <v>0</v>
      </c>
      <c r="AB516" s="64" t="n">
        <f aca="false">IF(Arterial=0,IF(Informed=1,1,0),0)</f>
        <v>1</v>
      </c>
      <c r="AC516" s="64" t="n">
        <f aca="false">IF(Arterial=0,IF(Informed=0,1,0),0)</f>
        <v>0</v>
      </c>
      <c r="AD516" s="64" t="n">
        <f aca="false">IF(Arterial=1,IF(Informed=1,1,0),0)</f>
        <v>0</v>
      </c>
      <c r="AE516" s="64" t="n">
        <f aca="false">IF(Arterial=1,IF(Informed=0,1,0),0)</f>
        <v>0</v>
      </c>
      <c r="AF516" s="57" t="n">
        <f aca="false">IF(AB516=1,(X516-G$1030)^2,0)</f>
        <v>206.147515390736</v>
      </c>
      <c r="AG516" s="57" t="n">
        <f aca="false">IF(AC516=1,(Y516-H$1030)^2,0)</f>
        <v>0</v>
      </c>
      <c r="AH516" s="57" t="n">
        <f aca="false">IF(AD516=1,(Z516-I$1030)^2,0)</f>
        <v>0</v>
      </c>
      <c r="AI516" s="57" t="n">
        <f aca="false">IF(AE516=1,(AA516-J$1030)^2,0)</f>
        <v>0</v>
      </c>
    </row>
    <row r="517" customFormat="false" ht="12" hidden="false" customHeight="false" outlineLevel="0" collapsed="false">
      <c r="A517" s="5" t="n">
        <v>500</v>
      </c>
      <c r="B517" s="58" t="n">
        <f aca="true">IF(RAND()&lt;$D$8,1,0)</f>
        <v>0</v>
      </c>
      <c r="C517" s="47" t="n">
        <f aca="true">-LN(RAND())/$D$2</f>
        <v>1.54797035749922</v>
      </c>
      <c r="D517" s="59" t="n">
        <f aca="false">D516+C517</f>
        <v>491.619426994285</v>
      </c>
      <c r="E517" s="60" t="n">
        <f aca="false">MAX($D$3,(1+P516-VLOOKUP(VALUE(D517),$J$18:$Q516,7,TRUE()))*$D$3)</f>
        <v>16</v>
      </c>
      <c r="F517" s="60" t="n">
        <f aca="false">MAX($D$4,(1+Q516-VLOOKUP(VALUE(D517),$M$18:$Q516,5,TRUE()))*$D$4)</f>
        <v>18</v>
      </c>
      <c r="G517" s="61" t="n">
        <v>0.5</v>
      </c>
      <c r="H517" s="59" t="n">
        <f aca="true">IF((B517=1),(IF((F517&lt;E517),1,(IF((F517=E517),(IF(RAND()&lt;G517,1,0)),0)))),(IF((RAND()&lt;G517),1,0)))</f>
        <v>1</v>
      </c>
      <c r="I517" s="59" t="n">
        <f aca="true">IF((H517=1),0,$D$3+$D$5*(RAND()-0.5))</f>
        <v>0</v>
      </c>
      <c r="J517" s="59" t="n">
        <f aca="false">I517+MAX(D517,J516)</f>
        <v>504.429294753673</v>
      </c>
      <c r="K517" s="59" t="n">
        <f aca="false">IF((H517=0),J517-D517,0)</f>
        <v>0</v>
      </c>
      <c r="L517" s="59" t="n">
        <f aca="true">IF(($H517=0),0,$D$4+$D$5*(RAND()-0.5))</f>
        <v>2.16409123222009</v>
      </c>
      <c r="M517" s="59" t="n">
        <f aca="false">L517+MAX(D517,M516)</f>
        <v>507.26596449225</v>
      </c>
      <c r="N517" s="59" t="n">
        <f aca="false">IF((H517=1),M517-D517,0)</f>
        <v>15.646537497965</v>
      </c>
      <c r="O517" s="5" t="n">
        <v>500</v>
      </c>
      <c r="P517" s="62" t="n">
        <f aca="false">IF((Arterial=0),P516+1,P516)</f>
        <v>249</v>
      </c>
      <c r="Q517" s="62" t="n">
        <f aca="false">IF((Arterial=1),Q516+1,Q516)</f>
        <v>251</v>
      </c>
      <c r="R517" s="63" t="n">
        <f aca="false">IF((RESET=1),0,R517+K517)</f>
        <v>664.575670525677</v>
      </c>
      <c r="S517" s="10" t="e">
        <f aca="false">IF(RESET=1,0,S517+N517)</f>
        <v>#N/A</v>
      </c>
      <c r="T517" s="0" t="n">
        <f aca="false">IF(RESET=1,0,T517+IF(H517=0,1,0))</f>
        <v>24</v>
      </c>
      <c r="U517" s="0" t="e">
        <f aca="false">IF(RESET=1,0,U517+H517)</f>
        <v>#N/A</v>
      </c>
      <c r="V517" s="10" t="n">
        <f aca="false">R517/(T517+0.00001)</f>
        <v>27.6906414008026</v>
      </c>
      <c r="W517" s="10" t="e">
        <f aca="false">S517/(U517+0.0001)</f>
        <v>#N/A</v>
      </c>
      <c r="X517" s="60" t="n">
        <f aca="false">IF(Informed=1,K517,0)</f>
        <v>0</v>
      </c>
      <c r="Y517" s="60" t="n">
        <f aca="false">IF(Informed=0,K517,0)</f>
        <v>0</v>
      </c>
      <c r="Z517" s="60" t="n">
        <f aca="false">IF(Informed=1,N517,0)</f>
        <v>0</v>
      </c>
      <c r="AA517" s="60" t="n">
        <f aca="false">IF(Informed=0,N517,0)</f>
        <v>15.646537497965</v>
      </c>
      <c r="AB517" s="64" t="n">
        <f aca="false">IF(Arterial=0,IF(Informed=1,1,0),0)</f>
        <v>0</v>
      </c>
      <c r="AC517" s="64" t="n">
        <f aca="false">IF(Arterial=0,IF(Informed=0,1,0),0)</f>
        <v>0</v>
      </c>
      <c r="AD517" s="64" t="n">
        <f aca="false">IF(Arterial=1,IF(Informed=1,1,0),0)</f>
        <v>0</v>
      </c>
      <c r="AE517" s="64" t="n">
        <f aca="false">IF(Arterial=1,IF(Informed=0,1,0),0)</f>
        <v>1</v>
      </c>
      <c r="AF517" s="57" t="n">
        <f aca="false">IF(AB517=1,(X517-G$1030)^2,0)</f>
        <v>0</v>
      </c>
      <c r="AG517" s="57" t="n">
        <f aca="false">IF(AC517=1,(Y517-H$1030)^2,0)</f>
        <v>0</v>
      </c>
      <c r="AH517" s="57" t="n">
        <f aca="false">IF(AD517=1,(Z517-I$1030)^2,0)</f>
        <v>0</v>
      </c>
      <c r="AI517" s="57" t="n">
        <f aca="false">IF(AE517=1,(AA517-J$1030)^2,0)</f>
        <v>244.814135675224</v>
      </c>
    </row>
    <row r="518" customFormat="false" ht="12" hidden="false" customHeight="false" outlineLevel="0" collapsed="false">
      <c r="A518" s="5" t="n">
        <v>501</v>
      </c>
      <c r="B518" s="58" t="n">
        <f aca="true">IF(RAND()&lt;$D$8,1,0)</f>
        <v>0</v>
      </c>
      <c r="C518" s="47" t="n">
        <f aca="true">-LN(RAND())/$D$2</f>
        <v>0.138847094358383</v>
      </c>
      <c r="D518" s="59" t="n">
        <f aca="false">D517+C518</f>
        <v>491.758274088644</v>
      </c>
      <c r="E518" s="60" t="n">
        <f aca="false">MAX($D$3,(1+P517-VLOOKUP(VALUE(D518),$J$18:$Q517,7,TRUE()))*$D$3)</f>
        <v>16</v>
      </c>
      <c r="F518" s="60" t="n">
        <f aca="false">MAX($D$4,(1+Q517-VLOOKUP(VALUE(D518),$M$18:$Q517,5,TRUE()))*$D$4)</f>
        <v>18</v>
      </c>
      <c r="G518" s="61" t="n">
        <v>0.5</v>
      </c>
      <c r="H518" s="59" t="n">
        <f aca="true">IF((B518=1),(IF((F518&lt;E518),1,(IF((F518=E518),(IF(RAND()&lt;G518,1,0)),0)))),(IF((RAND()&lt;G518),1,0)))</f>
        <v>0</v>
      </c>
      <c r="I518" s="59" t="n">
        <f aca="true">IF((H518=1),0,$D$3+$D$5*(RAND()-0.5))</f>
        <v>1.78571512340867</v>
      </c>
      <c r="J518" s="59" t="n">
        <f aca="false">I518+MAX(D518,J517)</f>
        <v>506.215009877082</v>
      </c>
      <c r="K518" s="59" t="n">
        <f aca="false">IF((H518=0),J518-D518,0)</f>
        <v>14.4567357884382</v>
      </c>
      <c r="L518" s="59" t="n">
        <f aca="true">IF(($H518=0),0,$D$4+$D$5*(RAND()-0.5))</f>
        <v>0</v>
      </c>
      <c r="M518" s="59" t="n">
        <f aca="false">L518+MAX(D518,M517)</f>
        <v>507.26596449225</v>
      </c>
      <c r="N518" s="59" t="n">
        <f aca="false">IF((H518=1),M518-D518,0)</f>
        <v>0</v>
      </c>
      <c r="O518" s="5" t="n">
        <v>501</v>
      </c>
      <c r="P518" s="62" t="n">
        <f aca="false">IF((Arterial=0),P517+1,P517)</f>
        <v>250</v>
      </c>
      <c r="Q518" s="62" t="n">
        <f aca="false">IF((Arterial=1),Q517+1,Q517)</f>
        <v>251</v>
      </c>
      <c r="R518" s="63" t="e">
        <f aca="false">IF((RESET=1),0,R518+K518)</f>
        <v>#N/A</v>
      </c>
      <c r="S518" s="10" t="n">
        <f aca="false">IF(RESET=1,0,S518+N518)</f>
        <v>778.96868156305</v>
      </c>
      <c r="T518" s="0" t="e">
        <f aca="false">IF(RESET=1,0,T518+IF(H518=0,1,0))</f>
        <v>#N/A</v>
      </c>
      <c r="U518" s="0" t="n">
        <f aca="false">IF(RESET=1,0,U518+H518)</f>
        <v>27</v>
      </c>
      <c r="V518" s="10" t="e">
        <f aca="false">R518/(T518+0.00001)</f>
        <v>#N/A</v>
      </c>
      <c r="W518" s="10" t="n">
        <f aca="false">S518/(U518+0.0001)</f>
        <v>28.8505850557239</v>
      </c>
      <c r="X518" s="60" t="n">
        <f aca="false">IF(Informed=1,K518,0)</f>
        <v>0</v>
      </c>
      <c r="Y518" s="60" t="n">
        <f aca="false">IF(Informed=0,K518,0)</f>
        <v>14.4567357884382</v>
      </c>
      <c r="Z518" s="60" t="n">
        <f aca="false">IF(Informed=1,N518,0)</f>
        <v>0</v>
      </c>
      <c r="AA518" s="60" t="n">
        <f aca="false">IF(Informed=0,N518,0)</f>
        <v>0</v>
      </c>
      <c r="AB518" s="64" t="n">
        <f aca="false">IF(Arterial=0,IF(Informed=1,1,0),0)</f>
        <v>0</v>
      </c>
      <c r="AC518" s="64" t="n">
        <f aca="false">IF(Arterial=0,IF(Informed=0,1,0),0)</f>
        <v>1</v>
      </c>
      <c r="AD518" s="64" t="n">
        <f aca="false">IF(Arterial=1,IF(Informed=1,1,0),0)</f>
        <v>0</v>
      </c>
      <c r="AE518" s="64" t="n">
        <f aca="false">IF(Arterial=1,IF(Informed=0,1,0),0)</f>
        <v>0</v>
      </c>
      <c r="AF518" s="57" t="n">
        <f aca="false">IF(AB518=1,(X518-G$1030)^2,0)</f>
        <v>0</v>
      </c>
      <c r="AG518" s="57" t="n">
        <f aca="false">IF(AC518=1,(Y518-H$1030)^2,0)</f>
        <v>208.99720965671</v>
      </c>
      <c r="AH518" s="57" t="n">
        <f aca="false">IF(AD518=1,(Z518-I$1030)^2,0)</f>
        <v>0</v>
      </c>
      <c r="AI518" s="57" t="n">
        <f aca="false">IF(AE518=1,(AA518-J$1030)^2,0)</f>
        <v>0</v>
      </c>
    </row>
    <row r="519" customFormat="false" ht="12" hidden="false" customHeight="false" outlineLevel="0" collapsed="false">
      <c r="A519" s="5" t="n">
        <v>502</v>
      </c>
      <c r="B519" s="58" t="n">
        <f aca="true">IF(RAND()&lt;$D$8,1,0)</f>
        <v>0</v>
      </c>
      <c r="C519" s="47" t="n">
        <f aca="true">-LN(RAND())/$D$2</f>
        <v>0.302276382756978</v>
      </c>
      <c r="D519" s="59" t="n">
        <f aca="false">D518+C519</f>
        <v>492.060550471401</v>
      </c>
      <c r="E519" s="60" t="n">
        <f aca="false">MAX($D$3,(1+P518-VLOOKUP(VALUE(D519),$J$18:$Q518,7,TRUE()))*$D$3)</f>
        <v>18</v>
      </c>
      <c r="F519" s="60" t="n">
        <f aca="false">MAX($D$4,(1+Q518-VLOOKUP(VALUE(D519),$M$18:$Q518,5,TRUE()))*$D$4)</f>
        <v>18</v>
      </c>
      <c r="G519" s="61" t="n">
        <v>0.5</v>
      </c>
      <c r="H519" s="59" t="n">
        <f aca="true">IF((B519=1),(IF((F519&lt;E519),1,(IF((F519=E519),(IF(RAND()&lt;G519,1,0)),0)))),(IF((RAND()&lt;G519),1,0)))</f>
        <v>0</v>
      </c>
      <c r="I519" s="59" t="n">
        <f aca="true">IF((H519=1),0,$D$3+$D$5*(RAND()-0.5))</f>
        <v>1.99622077051221</v>
      </c>
      <c r="J519" s="59" t="n">
        <f aca="false">I519+MAX(D519,J518)</f>
        <v>508.211230647594</v>
      </c>
      <c r="K519" s="59" t="n">
        <f aca="false">IF((H519=0),J519-D519,0)</f>
        <v>16.1506801761934</v>
      </c>
      <c r="L519" s="59" t="n">
        <f aca="true">IF(($H519=0),0,$D$4+$D$5*(RAND()-0.5))</f>
        <v>0</v>
      </c>
      <c r="M519" s="59" t="n">
        <f aca="false">L519+MAX(D519,M518)</f>
        <v>507.26596449225</v>
      </c>
      <c r="N519" s="59" t="n">
        <f aca="false">IF((H519=1),M519-D519,0)</f>
        <v>0</v>
      </c>
      <c r="O519" s="5" t="n">
        <v>502</v>
      </c>
      <c r="P519" s="62" t="n">
        <f aca="false">IF((Arterial=0),P518+1,P518)</f>
        <v>251</v>
      </c>
      <c r="Q519" s="62" t="n">
        <f aca="false">IF((Arterial=1),Q518+1,Q518)</f>
        <v>251</v>
      </c>
      <c r="R519" s="63" t="e">
        <f aca="false">IF((RESET=1),0,R519+K519)</f>
        <v>#N/A</v>
      </c>
      <c r="S519" s="10" t="n">
        <f aca="false">IF(RESET=1,0,S519+N519)</f>
        <v>589.288452866031</v>
      </c>
      <c r="T519" s="0" t="e">
        <f aca="false">IF(RESET=1,0,T519+IF(H519=0,1,0))</f>
        <v>#N/A</v>
      </c>
      <c r="U519" s="0" t="n">
        <f aca="false">IF(RESET=1,0,U519+H519)</f>
        <v>25</v>
      </c>
      <c r="V519" s="10" t="e">
        <f aca="false">R519/(T519+0.00001)</f>
        <v>#N/A</v>
      </c>
      <c r="W519" s="10" t="n">
        <f aca="false">S519/(U519+0.0001)</f>
        <v>23.5714438288659</v>
      </c>
      <c r="X519" s="60" t="n">
        <f aca="false">IF(Informed=1,K519,0)</f>
        <v>0</v>
      </c>
      <c r="Y519" s="60" t="n">
        <f aca="false">IF(Informed=0,K519,0)</f>
        <v>16.1506801761934</v>
      </c>
      <c r="Z519" s="60" t="n">
        <f aca="false">IF(Informed=1,N519,0)</f>
        <v>0</v>
      </c>
      <c r="AA519" s="60" t="n">
        <f aca="false">IF(Informed=0,N519,0)</f>
        <v>0</v>
      </c>
      <c r="AB519" s="64" t="n">
        <f aca="false">IF(Arterial=0,IF(Informed=1,1,0),0)</f>
        <v>0</v>
      </c>
      <c r="AC519" s="64" t="n">
        <f aca="false">IF(Arterial=0,IF(Informed=0,1,0),0)</f>
        <v>1</v>
      </c>
      <c r="AD519" s="64" t="n">
        <f aca="false">IF(Arterial=1,IF(Informed=1,1,0),0)</f>
        <v>0</v>
      </c>
      <c r="AE519" s="64" t="n">
        <f aca="false">IF(Arterial=1,IF(Informed=0,1,0),0)</f>
        <v>0</v>
      </c>
      <c r="AF519" s="57" t="n">
        <f aca="false">IF(AB519=1,(X519-G$1030)^2,0)</f>
        <v>0</v>
      </c>
      <c r="AG519" s="57" t="n">
        <f aca="false">IF(AC519=1,(Y519-H$1030)^2,0)</f>
        <v>260.844470153687</v>
      </c>
      <c r="AH519" s="57" t="n">
        <f aca="false">IF(AD519=1,(Z519-I$1030)^2,0)</f>
        <v>0</v>
      </c>
      <c r="AI519" s="57" t="n">
        <f aca="false">IF(AE519=1,(AA519-J$1030)^2,0)</f>
        <v>0</v>
      </c>
    </row>
    <row r="520" customFormat="false" ht="12" hidden="false" customHeight="false" outlineLevel="0" collapsed="false">
      <c r="A520" s="5" t="n">
        <v>503</v>
      </c>
      <c r="B520" s="58" t="n">
        <f aca="true">IF(RAND()&lt;$D$8,1,0)</f>
        <v>1</v>
      </c>
      <c r="C520" s="47" t="n">
        <f aca="true">-LN(RAND())/$D$2</f>
        <v>0.218862544373591</v>
      </c>
      <c r="D520" s="59" t="n">
        <f aca="false">D519+C520</f>
        <v>492.279413015774</v>
      </c>
      <c r="E520" s="60" t="n">
        <f aca="false">MAX($D$3,(1+P519-VLOOKUP(VALUE(D520),$J$18:$Q519,7,TRUE()))*$D$3)</f>
        <v>20</v>
      </c>
      <c r="F520" s="60" t="n">
        <f aca="false">MAX($D$4,(1+Q519-VLOOKUP(VALUE(D520),$M$18:$Q519,5,TRUE()))*$D$4)</f>
        <v>18</v>
      </c>
      <c r="G520" s="61" t="n">
        <v>0.5</v>
      </c>
      <c r="H520" s="59" t="n">
        <f aca="true">IF((B520=1),(IF((F520&lt;E520),1,(IF((F520=E520),(IF(RAND()&lt;G520,1,0)),0)))),(IF((RAND()&lt;G520),1,0)))</f>
        <v>1</v>
      </c>
      <c r="I520" s="59" t="n">
        <f aca="true">IF((H520=1),0,$D$3+$D$5*(RAND()-0.5))</f>
        <v>0</v>
      </c>
      <c r="J520" s="59" t="n">
        <f aca="false">I520+MAX(D520,J519)</f>
        <v>508.211230647594</v>
      </c>
      <c r="K520" s="59" t="n">
        <f aca="false">IF((H520=0),J520-D520,0)</f>
        <v>0</v>
      </c>
      <c r="L520" s="59" t="n">
        <f aca="true">IF(($H520=0),0,$D$4+$D$5*(RAND()-0.5))</f>
        <v>2.05954438284934</v>
      </c>
      <c r="M520" s="59" t="n">
        <f aca="false">L520+MAX(D520,M519)</f>
        <v>509.3255088751</v>
      </c>
      <c r="N520" s="59" t="n">
        <f aca="false">IF((H520=1),M520-D520,0)</f>
        <v>17.0460958593254</v>
      </c>
      <c r="O520" s="5" t="n">
        <v>503</v>
      </c>
      <c r="P520" s="62" t="n">
        <f aca="false">IF((Arterial=0),P519+1,P519)</f>
        <v>251</v>
      </c>
      <c r="Q520" s="62" t="n">
        <f aca="false">IF((Arterial=1),Q519+1,Q519)</f>
        <v>252</v>
      </c>
      <c r="R520" s="63" t="n">
        <f aca="false">IF((RESET=1),0,R520+K520)</f>
        <v>697.580361078806</v>
      </c>
      <c r="S520" s="10" t="e">
        <f aca="false">IF(RESET=1,0,S520+N520)</f>
        <v>#N/A</v>
      </c>
      <c r="T520" s="0" t="n">
        <f aca="false">IF(RESET=1,0,T520+IF(H520=0,1,0))</f>
        <v>26</v>
      </c>
      <c r="U520" s="0" t="e">
        <f aca="false">IF(RESET=1,0,U520+H520)</f>
        <v>#N/A</v>
      </c>
      <c r="V520" s="10" t="n">
        <f aca="false">R520/(T520+0.00001)</f>
        <v>26.8300035684143</v>
      </c>
      <c r="W520" s="10" t="e">
        <f aca="false">S520/(U520+0.0001)</f>
        <v>#N/A</v>
      </c>
      <c r="X520" s="60" t="n">
        <f aca="false">IF(Informed=1,K520,0)</f>
        <v>0</v>
      </c>
      <c r="Y520" s="60" t="n">
        <f aca="false">IF(Informed=0,K520,0)</f>
        <v>0</v>
      </c>
      <c r="Z520" s="60" t="n">
        <f aca="false">IF(Informed=1,N520,0)</f>
        <v>17.0460958593254</v>
      </c>
      <c r="AA520" s="60" t="n">
        <f aca="false">IF(Informed=0,N520,0)</f>
        <v>0</v>
      </c>
      <c r="AB520" s="64" t="n">
        <f aca="false">IF(Arterial=0,IF(Informed=1,1,0),0)</f>
        <v>0</v>
      </c>
      <c r="AC520" s="64" t="n">
        <f aca="false">IF(Arterial=0,IF(Informed=0,1,0),0)</f>
        <v>0</v>
      </c>
      <c r="AD520" s="64" t="n">
        <f aca="false">IF(Arterial=1,IF(Informed=1,1,0),0)</f>
        <v>1</v>
      </c>
      <c r="AE520" s="64" t="n">
        <f aca="false">IF(Arterial=1,IF(Informed=0,1,0),0)</f>
        <v>0</v>
      </c>
      <c r="AF520" s="57" t="n">
        <f aca="false">IF(AB520=1,(X520-G$1030)^2,0)</f>
        <v>0</v>
      </c>
      <c r="AG520" s="57" t="n">
        <f aca="false">IF(AC520=1,(Y520-H$1030)^2,0)</f>
        <v>0</v>
      </c>
      <c r="AH520" s="57" t="n">
        <f aca="false">IF(AD520=1,(Z520-I$1030)^2,0)</f>
        <v>290.569384045309</v>
      </c>
      <c r="AI520" s="57" t="n">
        <f aca="false">IF(AE520=1,(AA520-J$1030)^2,0)</f>
        <v>0</v>
      </c>
    </row>
    <row r="521" customFormat="false" ht="12" hidden="false" customHeight="false" outlineLevel="0" collapsed="false">
      <c r="A521" s="5" t="n">
        <v>504</v>
      </c>
      <c r="B521" s="58" t="n">
        <f aca="true">IF(RAND()&lt;$D$8,1,0)</f>
        <v>0</v>
      </c>
      <c r="C521" s="47" t="n">
        <f aca="true">-LN(RAND())/$D$2</f>
        <v>0.581735796804095</v>
      </c>
      <c r="D521" s="59" t="n">
        <f aca="false">D520+C521</f>
        <v>492.861148812578</v>
      </c>
      <c r="E521" s="60" t="n">
        <f aca="false">MAX($D$3,(1+P520-VLOOKUP(VALUE(D521),$J$18:$Q520,7,TRUE()))*$D$3)</f>
        <v>20</v>
      </c>
      <c r="F521" s="60" t="n">
        <f aca="false">MAX($D$4,(1+Q520-VLOOKUP(VALUE(D521),$M$18:$Q520,5,TRUE()))*$D$4)</f>
        <v>20</v>
      </c>
      <c r="G521" s="61" t="n">
        <v>0.5</v>
      </c>
      <c r="H521" s="59" t="n">
        <f aca="true">IF((B521=1),(IF((F521&lt;E521),1,(IF((F521=E521),(IF(RAND()&lt;G521,1,0)),0)))),(IF((RAND()&lt;G521),1,0)))</f>
        <v>0</v>
      </c>
      <c r="I521" s="59" t="n">
        <f aca="true">IF((H521=1),0,$D$3+$D$5*(RAND()-0.5))</f>
        <v>1.76026536770131</v>
      </c>
      <c r="J521" s="59" t="n">
        <f aca="false">I521+MAX(D521,J520)</f>
        <v>509.971496015296</v>
      </c>
      <c r="K521" s="59" t="n">
        <f aca="false">IF((H521=0),J521-D521,0)</f>
        <v>17.1103472027171</v>
      </c>
      <c r="L521" s="59" t="n">
        <f aca="true">IF(($H521=0),0,$D$4+$D$5*(RAND()-0.5))</f>
        <v>0</v>
      </c>
      <c r="M521" s="59" t="n">
        <f aca="false">L521+MAX(D521,M520)</f>
        <v>509.3255088751</v>
      </c>
      <c r="N521" s="59" t="n">
        <f aca="false">IF((H521=1),M521-D521,0)</f>
        <v>0</v>
      </c>
      <c r="O521" s="5" t="n">
        <v>504</v>
      </c>
      <c r="P521" s="62" t="n">
        <f aca="false">IF((Arterial=0),P520+1,P520)</f>
        <v>252</v>
      </c>
      <c r="Q521" s="62" t="n">
        <f aca="false">IF((Arterial=1),Q520+1,Q520)</f>
        <v>252</v>
      </c>
      <c r="R521" s="63" t="e">
        <f aca="false">IF((RESET=1),0,R521+K521)</f>
        <v>#N/A</v>
      </c>
      <c r="S521" s="10" t="n">
        <f aca="false">IF(RESET=1,0,S521+N521)</f>
        <v>704.450434135416</v>
      </c>
      <c r="T521" s="0" t="e">
        <f aca="false">IF(RESET=1,0,T521+IF(H521=0,1,0))</f>
        <v>#N/A</v>
      </c>
      <c r="U521" s="0" t="n">
        <f aca="false">IF(RESET=1,0,U521+H521)</f>
        <v>27</v>
      </c>
      <c r="V521" s="10" t="e">
        <f aca="false">R521/(T521+0.00001)</f>
        <v>#N/A</v>
      </c>
      <c r="W521" s="10" t="n">
        <f aca="false">S521/(U521+0.0001)</f>
        <v>26.0906601877555</v>
      </c>
      <c r="X521" s="60" t="n">
        <f aca="false">IF(Informed=1,K521,0)</f>
        <v>0</v>
      </c>
      <c r="Y521" s="60" t="n">
        <f aca="false">IF(Informed=0,K521,0)</f>
        <v>17.1103472027171</v>
      </c>
      <c r="Z521" s="60" t="n">
        <f aca="false">IF(Informed=1,N521,0)</f>
        <v>0</v>
      </c>
      <c r="AA521" s="60" t="n">
        <f aca="false">IF(Informed=0,N521,0)</f>
        <v>0</v>
      </c>
      <c r="AB521" s="64" t="n">
        <f aca="false">IF(Arterial=0,IF(Informed=1,1,0),0)</f>
        <v>0</v>
      </c>
      <c r="AC521" s="64" t="n">
        <f aca="false">IF(Arterial=0,IF(Informed=0,1,0),0)</f>
        <v>1</v>
      </c>
      <c r="AD521" s="64" t="n">
        <f aca="false">IF(Arterial=1,IF(Informed=1,1,0),0)</f>
        <v>0</v>
      </c>
      <c r="AE521" s="64" t="n">
        <f aca="false">IF(Arterial=1,IF(Informed=0,1,0),0)</f>
        <v>0</v>
      </c>
      <c r="AF521" s="57" t="n">
        <f aca="false">IF(AB521=1,(X521-G$1030)^2,0)</f>
        <v>0</v>
      </c>
      <c r="AG521" s="57" t="n">
        <f aca="false">IF(AC521=1,(Y521-H$1030)^2,0)</f>
        <v>292.763981397529</v>
      </c>
      <c r="AH521" s="57" t="n">
        <f aca="false">IF(AD521=1,(Z521-I$1030)^2,0)</f>
        <v>0</v>
      </c>
      <c r="AI521" s="57" t="n">
        <f aca="false">IF(AE521=1,(AA521-J$1030)^2,0)</f>
        <v>0</v>
      </c>
    </row>
    <row r="522" customFormat="false" ht="12" hidden="false" customHeight="false" outlineLevel="0" collapsed="false">
      <c r="A522" s="5" t="n">
        <v>505</v>
      </c>
      <c r="B522" s="58" t="n">
        <f aca="true">IF(RAND()&lt;$D$8,1,0)</f>
        <v>0</v>
      </c>
      <c r="C522" s="47" t="n">
        <f aca="true">-LN(RAND())/$D$2</f>
        <v>0.977415551099285</v>
      </c>
      <c r="D522" s="59" t="n">
        <f aca="false">D521+C522</f>
        <v>493.838564363678</v>
      </c>
      <c r="E522" s="60" t="n">
        <f aca="false">MAX($D$3,(1+P521-VLOOKUP(VALUE(D522),$J$18:$Q521,7,TRUE()))*$D$3)</f>
        <v>20</v>
      </c>
      <c r="F522" s="60" t="n">
        <f aca="false">MAX($D$4,(1+Q521-VLOOKUP(VALUE(D522),$M$18:$Q521,5,TRUE()))*$D$4)</f>
        <v>18</v>
      </c>
      <c r="G522" s="61" t="n">
        <v>0.5</v>
      </c>
      <c r="H522" s="59" t="n">
        <f aca="true">IF((B522=1),(IF((F522&lt;E522),1,(IF((F522=E522),(IF(RAND()&lt;G522,1,0)),0)))),(IF((RAND()&lt;G522),1,0)))</f>
        <v>0</v>
      </c>
      <c r="I522" s="59" t="n">
        <f aca="true">IF((H522=1),0,$D$3+$D$5*(RAND()-0.5))</f>
        <v>2.14799741211884</v>
      </c>
      <c r="J522" s="59" t="n">
        <f aca="false">I522+MAX(D522,J521)</f>
        <v>512.119493427414</v>
      </c>
      <c r="K522" s="59" t="n">
        <f aca="false">IF((H522=0),J522-D522,0)</f>
        <v>18.2809290637367</v>
      </c>
      <c r="L522" s="59" t="n">
        <f aca="true">IF(($H522=0),0,$D$4+$D$5*(RAND()-0.5))</f>
        <v>0</v>
      </c>
      <c r="M522" s="59" t="n">
        <f aca="false">L522+MAX(D522,M521)</f>
        <v>509.3255088751</v>
      </c>
      <c r="N522" s="59" t="n">
        <f aca="false">IF((H522=1),M522-D522,0)</f>
        <v>0</v>
      </c>
      <c r="O522" s="5" t="n">
        <v>505</v>
      </c>
      <c r="P522" s="62" t="n">
        <f aca="false">IF((Arterial=0),P521+1,P521)</f>
        <v>253</v>
      </c>
      <c r="Q522" s="62" t="n">
        <f aca="false">IF((Arterial=1),Q521+1,Q521)</f>
        <v>252</v>
      </c>
      <c r="R522" s="63" t="e">
        <f aca="false">IF((RESET=1),0,R522+K522)</f>
        <v>#N/A</v>
      </c>
      <c r="S522" s="10" t="n">
        <f aca="false">IF(RESET=1,0,S522+N522)</f>
        <v>678.417475375094</v>
      </c>
      <c r="T522" s="0" t="e">
        <f aca="false">IF(RESET=1,0,T522+IF(H522=0,1,0))</f>
        <v>#N/A</v>
      </c>
      <c r="U522" s="0" t="n">
        <f aca="false">IF(RESET=1,0,U522+H522)</f>
        <v>27</v>
      </c>
      <c r="V522" s="10" t="e">
        <f aca="false">R522/(T522+0.00001)</f>
        <v>#N/A</v>
      </c>
      <c r="W522" s="10" t="n">
        <f aca="false">S522/(U522+0.0001)</f>
        <v>25.1264801010031</v>
      </c>
      <c r="X522" s="60" t="n">
        <f aca="false">IF(Informed=1,K522,0)</f>
        <v>0</v>
      </c>
      <c r="Y522" s="60" t="n">
        <f aca="false">IF(Informed=0,K522,0)</f>
        <v>18.2809290637367</v>
      </c>
      <c r="Z522" s="60" t="n">
        <f aca="false">IF(Informed=1,N522,0)</f>
        <v>0</v>
      </c>
      <c r="AA522" s="60" t="n">
        <f aca="false">IF(Informed=0,N522,0)</f>
        <v>0</v>
      </c>
      <c r="AB522" s="64" t="n">
        <f aca="false">IF(Arterial=0,IF(Informed=1,1,0),0)</f>
        <v>0</v>
      </c>
      <c r="AC522" s="64" t="n">
        <f aca="false">IF(Arterial=0,IF(Informed=0,1,0),0)</f>
        <v>1</v>
      </c>
      <c r="AD522" s="64" t="n">
        <f aca="false">IF(Arterial=1,IF(Informed=1,1,0),0)</f>
        <v>0</v>
      </c>
      <c r="AE522" s="64" t="n">
        <f aca="false">IF(Arterial=1,IF(Informed=0,1,0),0)</f>
        <v>0</v>
      </c>
      <c r="AF522" s="57" t="n">
        <f aca="false">IF(AB522=1,(X522-G$1030)^2,0)</f>
        <v>0</v>
      </c>
      <c r="AG522" s="57" t="n">
        <f aca="false">IF(AC522=1,(Y522-H$1030)^2,0)</f>
        <v>334.192367433372</v>
      </c>
      <c r="AH522" s="57" t="n">
        <f aca="false">IF(AD522=1,(Z522-I$1030)^2,0)</f>
        <v>0</v>
      </c>
      <c r="AI522" s="57" t="n">
        <f aca="false">IF(AE522=1,(AA522-J$1030)^2,0)</f>
        <v>0</v>
      </c>
    </row>
    <row r="523" customFormat="false" ht="12" hidden="false" customHeight="false" outlineLevel="0" collapsed="false">
      <c r="A523" s="5" t="n">
        <v>506</v>
      </c>
      <c r="B523" s="58" t="n">
        <f aca="true">IF(RAND()&lt;$D$8,1,0)</f>
        <v>0</v>
      </c>
      <c r="C523" s="47" t="n">
        <f aca="true">-LN(RAND())/$D$2</f>
        <v>0.70415915363977</v>
      </c>
      <c r="D523" s="59" t="n">
        <f aca="false">D522+C523</f>
        <v>494.542723517317</v>
      </c>
      <c r="E523" s="60" t="n">
        <f aca="false">MAX($D$3,(1+P522-VLOOKUP(VALUE(D523),$J$18:$Q522,7,TRUE()))*$D$3)</f>
        <v>22</v>
      </c>
      <c r="F523" s="60" t="n">
        <f aca="false">MAX($D$4,(1+Q522-VLOOKUP(VALUE(D523),$M$18:$Q522,5,TRUE()))*$D$4)</f>
        <v>18</v>
      </c>
      <c r="G523" s="61" t="n">
        <v>0.5</v>
      </c>
      <c r="H523" s="59" t="n">
        <f aca="true">IF((B523=1),(IF((F523&lt;E523),1,(IF((F523=E523),(IF(RAND()&lt;G523,1,0)),0)))),(IF((RAND()&lt;G523),1,0)))</f>
        <v>0</v>
      </c>
      <c r="I523" s="59" t="n">
        <f aca="true">IF((H523=1),0,$D$3+$D$5*(RAND()-0.5))</f>
        <v>2.13693320943242</v>
      </c>
      <c r="J523" s="59" t="n">
        <f aca="false">I523+MAX(D523,J522)</f>
        <v>514.256426636847</v>
      </c>
      <c r="K523" s="59" t="n">
        <f aca="false">IF((H523=0),J523-D523,0)</f>
        <v>19.7137031195293</v>
      </c>
      <c r="L523" s="59" t="n">
        <f aca="true">IF(($H523=0),0,$D$4+$D$5*(RAND()-0.5))</f>
        <v>0</v>
      </c>
      <c r="M523" s="59" t="n">
        <f aca="false">L523+MAX(D523,M522)</f>
        <v>509.3255088751</v>
      </c>
      <c r="N523" s="59" t="n">
        <f aca="false">IF((H523=1),M523-D523,0)</f>
        <v>0</v>
      </c>
      <c r="O523" s="5" t="n">
        <v>506</v>
      </c>
      <c r="P523" s="62" t="n">
        <f aca="false">IF((Arterial=0),P522+1,P522)</f>
        <v>254</v>
      </c>
      <c r="Q523" s="62" t="n">
        <f aca="false">IF((Arterial=1),Q522+1,Q522)</f>
        <v>252</v>
      </c>
      <c r="R523" s="63" t="e">
        <f aca="false">IF((RESET=1),0,R523+K523)</f>
        <v>#N/A</v>
      </c>
      <c r="S523" s="10" t="n">
        <f aca="false">IF(RESET=1,0,S523+N523)</f>
        <v>728.944318381944</v>
      </c>
      <c r="T523" s="0" t="e">
        <f aca="false">IF(RESET=1,0,T523+IF(H523=0,1,0))</f>
        <v>#N/A</v>
      </c>
      <c r="U523" s="0" t="n">
        <f aca="false">IF(RESET=1,0,U523+H523)</f>
        <v>27</v>
      </c>
      <c r="V523" s="10" t="e">
        <f aca="false">R523/(T523+0.00001)</f>
        <v>#N/A</v>
      </c>
      <c r="W523" s="10" t="n">
        <f aca="false">S523/(U523+0.0001)</f>
        <v>26.9978377258582</v>
      </c>
      <c r="X523" s="60" t="n">
        <f aca="false">IF(Informed=1,K523,0)</f>
        <v>0</v>
      </c>
      <c r="Y523" s="60" t="n">
        <f aca="false">IF(Informed=0,K523,0)</f>
        <v>19.7137031195293</v>
      </c>
      <c r="Z523" s="60" t="n">
        <f aca="false">IF(Informed=1,N523,0)</f>
        <v>0</v>
      </c>
      <c r="AA523" s="60" t="n">
        <f aca="false">IF(Informed=0,N523,0)</f>
        <v>0</v>
      </c>
      <c r="AB523" s="64" t="n">
        <f aca="false">IF(Arterial=0,IF(Informed=1,1,0),0)</f>
        <v>0</v>
      </c>
      <c r="AC523" s="64" t="n">
        <f aca="false">IF(Arterial=0,IF(Informed=0,1,0),0)</f>
        <v>1</v>
      </c>
      <c r="AD523" s="64" t="n">
        <f aca="false">IF(Arterial=1,IF(Informed=1,1,0),0)</f>
        <v>0</v>
      </c>
      <c r="AE523" s="64" t="n">
        <f aca="false">IF(Arterial=1,IF(Informed=0,1,0),0)</f>
        <v>0</v>
      </c>
      <c r="AF523" s="57" t="n">
        <f aca="false">IF(AB523=1,(X523-G$1030)^2,0)</f>
        <v>0</v>
      </c>
      <c r="AG523" s="57" t="n">
        <f aca="false">IF(AC523=1,(Y523-H$1030)^2,0)</f>
        <v>388.63009068494</v>
      </c>
      <c r="AH523" s="57" t="n">
        <f aca="false">IF(AD523=1,(Z523-I$1030)^2,0)</f>
        <v>0</v>
      </c>
      <c r="AI523" s="57" t="n">
        <f aca="false">IF(AE523=1,(AA523-J$1030)^2,0)</f>
        <v>0</v>
      </c>
    </row>
    <row r="524" customFormat="false" ht="12" hidden="false" customHeight="false" outlineLevel="0" collapsed="false">
      <c r="A524" s="5" t="n">
        <v>507</v>
      </c>
      <c r="B524" s="58" t="n">
        <f aca="true">IF(RAND()&lt;$D$8,1,0)</f>
        <v>1</v>
      </c>
      <c r="C524" s="47" t="n">
        <f aca="true">-LN(RAND())/$D$2</f>
        <v>1.79821132953732</v>
      </c>
      <c r="D524" s="59" t="n">
        <f aca="false">D523+C524</f>
        <v>496.340934846855</v>
      </c>
      <c r="E524" s="60" t="n">
        <f aca="false">MAX($D$3,(1+P523-VLOOKUP(VALUE(D524),$J$18:$Q523,7,TRUE()))*$D$3)</f>
        <v>22</v>
      </c>
      <c r="F524" s="60" t="n">
        <f aca="false">MAX($D$4,(1+Q523-VLOOKUP(VALUE(D524),$M$18:$Q523,5,TRUE()))*$D$4)</f>
        <v>16</v>
      </c>
      <c r="G524" s="61" t="n">
        <v>0.5</v>
      </c>
      <c r="H524" s="59" t="n">
        <f aca="true">IF((B524=1),(IF((F524&lt;E524),1,(IF((F524=E524),(IF(RAND()&lt;G524,1,0)),0)))),(IF((RAND()&lt;G524),1,0)))</f>
        <v>1</v>
      </c>
      <c r="I524" s="59" t="n">
        <f aca="true">IF((H524=1),0,$D$3+$D$5*(RAND()-0.5))</f>
        <v>0</v>
      </c>
      <c r="J524" s="59" t="n">
        <f aca="false">I524+MAX(D524,J523)</f>
        <v>514.256426636847</v>
      </c>
      <c r="K524" s="59" t="n">
        <f aca="false">IF((H524=0),J524-D524,0)</f>
        <v>0</v>
      </c>
      <c r="L524" s="59" t="n">
        <f aca="true">IF(($H524=0),0,$D$4+$D$5*(RAND()-0.5))</f>
        <v>1.8818483414821</v>
      </c>
      <c r="M524" s="59" t="n">
        <f aca="false">L524+MAX(D524,M523)</f>
        <v>511.207357216582</v>
      </c>
      <c r="N524" s="59" t="n">
        <f aca="false">IF((H524=1),M524-D524,0)</f>
        <v>14.866422369727</v>
      </c>
      <c r="O524" s="5" t="n">
        <v>507</v>
      </c>
      <c r="P524" s="62" t="n">
        <f aca="false">IF((Arterial=0),P523+1,P523)</f>
        <v>254</v>
      </c>
      <c r="Q524" s="62" t="n">
        <f aca="false">IF((Arterial=1),Q523+1,Q523)</f>
        <v>253</v>
      </c>
      <c r="R524" s="63" t="n">
        <f aca="false">IF((RESET=1),0,R524+K524)</f>
        <v>691.659250047186</v>
      </c>
      <c r="S524" s="10" t="e">
        <f aca="false">IF(RESET=1,0,S524+N524)</f>
        <v>#N/A</v>
      </c>
      <c r="T524" s="0" t="n">
        <f aca="false">IF(RESET=1,0,T524+IF(H524=0,1,0))</f>
        <v>28</v>
      </c>
      <c r="U524" s="0" t="e">
        <f aca="false">IF(RESET=1,0,U524+H524)</f>
        <v>#N/A</v>
      </c>
      <c r="V524" s="10" t="n">
        <f aca="false">R524/(T524+0.00001)</f>
        <v>24.7021072509326</v>
      </c>
      <c r="W524" s="10" t="e">
        <f aca="false">S524/(U524+0.0001)</f>
        <v>#N/A</v>
      </c>
      <c r="X524" s="60" t="n">
        <f aca="false">IF(Informed=1,K524,0)</f>
        <v>0</v>
      </c>
      <c r="Y524" s="60" t="n">
        <f aca="false">IF(Informed=0,K524,0)</f>
        <v>0</v>
      </c>
      <c r="Z524" s="60" t="n">
        <f aca="false">IF(Informed=1,N524,0)</f>
        <v>14.866422369727</v>
      </c>
      <c r="AA524" s="60" t="n">
        <f aca="false">IF(Informed=0,N524,0)</f>
        <v>0</v>
      </c>
      <c r="AB524" s="64" t="n">
        <f aca="false">IF(Arterial=0,IF(Informed=1,1,0),0)</f>
        <v>0</v>
      </c>
      <c r="AC524" s="64" t="n">
        <f aca="false">IF(Arterial=0,IF(Informed=0,1,0),0)</f>
        <v>0</v>
      </c>
      <c r="AD524" s="64" t="n">
        <f aca="false">IF(Arterial=1,IF(Informed=1,1,0),0)</f>
        <v>1</v>
      </c>
      <c r="AE524" s="64" t="n">
        <f aca="false">IF(Arterial=1,IF(Informed=0,1,0),0)</f>
        <v>0</v>
      </c>
      <c r="AF524" s="57" t="n">
        <f aca="false">IF(AB524=1,(X524-G$1030)^2,0)</f>
        <v>0</v>
      </c>
      <c r="AG524" s="57" t="n">
        <f aca="false">IF(AC524=1,(Y524-H$1030)^2,0)</f>
        <v>0</v>
      </c>
      <c r="AH524" s="57" t="n">
        <f aca="false">IF(AD524=1,(Z524-I$1030)^2,0)</f>
        <v>221.010514075121</v>
      </c>
      <c r="AI524" s="57" t="n">
        <f aca="false">IF(AE524=1,(AA524-J$1030)^2,0)</f>
        <v>0</v>
      </c>
    </row>
    <row r="525" customFormat="false" ht="12" hidden="false" customHeight="false" outlineLevel="0" collapsed="false">
      <c r="A525" s="5" t="n">
        <v>508</v>
      </c>
      <c r="B525" s="58" t="n">
        <f aca="true">IF(RAND()&lt;$D$8,1,0)</f>
        <v>0</v>
      </c>
      <c r="C525" s="47" t="n">
        <f aca="true">-LN(RAND())/$D$2</f>
        <v>1.0841936849567</v>
      </c>
      <c r="D525" s="59" t="n">
        <f aca="false">D524+C525</f>
        <v>497.425128531811</v>
      </c>
      <c r="E525" s="60" t="n">
        <f aca="false">MAX($D$3,(1+P524-VLOOKUP(VALUE(D525),$J$18:$Q524,7,TRUE()))*$D$3)</f>
        <v>20</v>
      </c>
      <c r="F525" s="60" t="n">
        <f aca="false">MAX($D$4,(1+Q524-VLOOKUP(VALUE(D525),$M$18:$Q524,5,TRUE()))*$D$4)</f>
        <v>16</v>
      </c>
      <c r="G525" s="61" t="n">
        <v>0.5</v>
      </c>
      <c r="H525" s="59" t="n">
        <f aca="true">IF((B525=1),(IF((F525&lt;E525),1,(IF((F525=E525),(IF(RAND()&lt;G525,1,0)),0)))),(IF((RAND()&lt;G525),1,0)))</f>
        <v>0</v>
      </c>
      <c r="I525" s="59" t="n">
        <f aca="true">IF((H525=1),0,$D$3+$D$5*(RAND()-0.5))</f>
        <v>2.24476456014477</v>
      </c>
      <c r="J525" s="59" t="n">
        <f aca="false">I525+MAX(D525,J524)</f>
        <v>516.501191196992</v>
      </c>
      <c r="K525" s="59" t="n">
        <f aca="false">IF((H525=0),J525-D525,0)</f>
        <v>19.0760626651801</v>
      </c>
      <c r="L525" s="59" t="n">
        <f aca="true">IF(($H525=0),0,$D$4+$D$5*(RAND()-0.5))</f>
        <v>0</v>
      </c>
      <c r="M525" s="59" t="n">
        <f aca="false">L525+MAX(D525,M524)</f>
        <v>511.207357216582</v>
      </c>
      <c r="N525" s="59" t="n">
        <f aca="false">IF((H525=1),M525-D525,0)</f>
        <v>0</v>
      </c>
      <c r="O525" s="5" t="n">
        <v>508</v>
      </c>
      <c r="P525" s="62" t="n">
        <f aca="false">IF((Arterial=0),P524+1,P524)</f>
        <v>255</v>
      </c>
      <c r="Q525" s="62" t="n">
        <f aca="false">IF((Arterial=1),Q524+1,Q524)</f>
        <v>253</v>
      </c>
      <c r="R525" s="63" t="e">
        <f aca="false">IF((RESET=1),0,R525+K525)</f>
        <v>#N/A</v>
      </c>
      <c r="S525" s="10" t="n">
        <f aca="false">IF(RESET=1,0,S525+N525)</f>
        <v>915.153544926063</v>
      </c>
      <c r="T525" s="0" t="e">
        <f aca="false">IF(RESET=1,0,T525+IF(H525=0,1,0))</f>
        <v>#N/A</v>
      </c>
      <c r="U525" s="0" t="n">
        <f aca="false">IF(RESET=1,0,U525+H525)</f>
        <v>31</v>
      </c>
      <c r="V525" s="10" t="e">
        <f aca="false">R525/(T525+0.00001)</f>
        <v>#N/A</v>
      </c>
      <c r="W525" s="10" t="n">
        <f aca="false">S525/(U525+0.0001)</f>
        <v>29.5209868653992</v>
      </c>
      <c r="X525" s="60" t="n">
        <f aca="false">IF(Informed=1,K525,0)</f>
        <v>0</v>
      </c>
      <c r="Y525" s="60" t="n">
        <f aca="false">IF(Informed=0,K525,0)</f>
        <v>19.0760626651801</v>
      </c>
      <c r="Z525" s="60" t="n">
        <f aca="false">IF(Informed=1,N525,0)</f>
        <v>0</v>
      </c>
      <c r="AA525" s="60" t="n">
        <f aca="false">IF(Informed=0,N525,0)</f>
        <v>0</v>
      </c>
      <c r="AB525" s="64" t="n">
        <f aca="false">IF(Arterial=0,IF(Informed=1,1,0),0)</f>
        <v>0</v>
      </c>
      <c r="AC525" s="64" t="n">
        <f aca="false">IF(Arterial=0,IF(Informed=0,1,0),0)</f>
        <v>1</v>
      </c>
      <c r="AD525" s="64" t="n">
        <f aca="false">IF(Arterial=1,IF(Informed=1,1,0),0)</f>
        <v>0</v>
      </c>
      <c r="AE525" s="64" t="n">
        <f aca="false">IF(Arterial=1,IF(Informed=0,1,0),0)</f>
        <v>0</v>
      </c>
      <c r="AF525" s="57" t="n">
        <f aca="false">IF(AB525=1,(X525-G$1030)^2,0)</f>
        <v>0</v>
      </c>
      <c r="AG525" s="57" t="n">
        <f aca="false">IF(AC525=1,(Y525-H$1030)^2,0)</f>
        <v>363.896166805877</v>
      </c>
      <c r="AH525" s="57" t="n">
        <f aca="false">IF(AD525=1,(Z525-I$1030)^2,0)</f>
        <v>0</v>
      </c>
      <c r="AI525" s="57" t="n">
        <f aca="false">IF(AE525=1,(AA525-J$1030)^2,0)</f>
        <v>0</v>
      </c>
    </row>
    <row r="526" customFormat="false" ht="12" hidden="false" customHeight="false" outlineLevel="0" collapsed="false">
      <c r="A526" s="5" t="n">
        <v>509</v>
      </c>
      <c r="B526" s="58" t="n">
        <f aca="true">IF(RAND()&lt;$D$8,1,0)</f>
        <v>0</v>
      </c>
      <c r="C526" s="47" t="n">
        <f aca="true">-LN(RAND())/$D$2</f>
        <v>1.27838167007871</v>
      </c>
      <c r="D526" s="59" t="n">
        <f aca="false">D525+C526</f>
        <v>498.70351020189</v>
      </c>
      <c r="E526" s="60" t="n">
        <f aca="false">MAX($D$3,(1+P525-VLOOKUP(VALUE(D526),$J$18:$Q525,7,TRUE()))*$D$3)</f>
        <v>22</v>
      </c>
      <c r="F526" s="60" t="n">
        <f aca="false">MAX($D$4,(1+Q525-VLOOKUP(VALUE(D526),$M$18:$Q525,5,TRUE()))*$D$4)</f>
        <v>16</v>
      </c>
      <c r="G526" s="61" t="n">
        <v>0.5</v>
      </c>
      <c r="H526" s="59" t="n">
        <f aca="true">IF((B526=1),(IF((F526&lt;E526),1,(IF((F526=E526),(IF(RAND()&lt;G526,1,0)),0)))),(IF((RAND()&lt;G526),1,0)))</f>
        <v>0</v>
      </c>
      <c r="I526" s="59" t="n">
        <f aca="true">IF((H526=1),0,$D$3+$D$5*(RAND()-0.5))</f>
        <v>2.20715701059011</v>
      </c>
      <c r="J526" s="59" t="n">
        <f aca="false">I526+MAX(D526,J525)</f>
        <v>518.708348207582</v>
      </c>
      <c r="K526" s="59" t="n">
        <f aca="false">IF((H526=0),J526-D526,0)</f>
        <v>20.0048380056915</v>
      </c>
      <c r="L526" s="59" t="n">
        <f aca="true">IF(($H526=0),0,$D$4+$D$5*(RAND()-0.5))</f>
        <v>0</v>
      </c>
      <c r="M526" s="59" t="n">
        <f aca="false">L526+MAX(D526,M525)</f>
        <v>511.207357216582</v>
      </c>
      <c r="N526" s="59" t="n">
        <f aca="false">IF((H526=1),M526-D526,0)</f>
        <v>0</v>
      </c>
      <c r="O526" s="5" t="n">
        <v>509</v>
      </c>
      <c r="P526" s="62" t="n">
        <f aca="false">IF((Arterial=0),P525+1,P525)</f>
        <v>256</v>
      </c>
      <c r="Q526" s="62" t="n">
        <f aca="false">IF((Arterial=1),Q525+1,Q525)</f>
        <v>253</v>
      </c>
      <c r="R526" s="63" t="e">
        <f aca="false">IF((RESET=1),0,R526+K526)</f>
        <v>#N/A</v>
      </c>
      <c r="S526" s="10" t="n">
        <f aca="false">IF(RESET=1,0,S526+N526)</f>
        <v>706.995992151498</v>
      </c>
      <c r="T526" s="0" t="e">
        <f aca="false">IF(RESET=1,0,T526+IF(H526=0,1,0))</f>
        <v>#N/A</v>
      </c>
      <c r="U526" s="0" t="n">
        <f aca="false">IF(RESET=1,0,U526+H526)</f>
        <v>28</v>
      </c>
      <c r="V526" s="10" t="e">
        <f aca="false">R526/(T526+0.00001)</f>
        <v>#N/A</v>
      </c>
      <c r="W526" s="10" t="n">
        <f aca="false">S526/(U526+0.0001)</f>
        <v>25.2497666848153</v>
      </c>
      <c r="X526" s="60" t="n">
        <f aca="false">IF(Informed=1,K526,0)</f>
        <v>0</v>
      </c>
      <c r="Y526" s="60" t="n">
        <f aca="false">IF(Informed=0,K526,0)</f>
        <v>20.0048380056915</v>
      </c>
      <c r="Z526" s="60" t="n">
        <f aca="false">IF(Informed=1,N526,0)</f>
        <v>0</v>
      </c>
      <c r="AA526" s="60" t="n">
        <f aca="false">IF(Informed=0,N526,0)</f>
        <v>0</v>
      </c>
      <c r="AB526" s="64" t="n">
        <f aca="false">IF(Arterial=0,IF(Informed=1,1,0),0)</f>
        <v>0</v>
      </c>
      <c r="AC526" s="64" t="n">
        <f aca="false">IF(Arterial=0,IF(Informed=0,1,0),0)</f>
        <v>1</v>
      </c>
      <c r="AD526" s="64" t="n">
        <f aca="false">IF(Arterial=1,IF(Informed=1,1,0),0)</f>
        <v>0</v>
      </c>
      <c r="AE526" s="64" t="n">
        <f aca="false">IF(Arterial=1,IF(Informed=0,1,0),0)</f>
        <v>0</v>
      </c>
      <c r="AF526" s="57" t="n">
        <f aca="false">IF(AB526=1,(X526-G$1030)^2,0)</f>
        <v>0</v>
      </c>
      <c r="AG526" s="57" t="n">
        <f aca="false">IF(AC526=1,(Y526-H$1030)^2,0)</f>
        <v>400.193543633957</v>
      </c>
      <c r="AH526" s="57" t="n">
        <f aca="false">IF(AD526=1,(Z526-I$1030)^2,0)</f>
        <v>0</v>
      </c>
      <c r="AI526" s="57" t="n">
        <f aca="false">IF(AE526=1,(AA526-J$1030)^2,0)</f>
        <v>0</v>
      </c>
    </row>
    <row r="527" customFormat="false" ht="12" hidden="false" customHeight="false" outlineLevel="0" collapsed="false">
      <c r="A527" s="5" t="n">
        <v>510</v>
      </c>
      <c r="B527" s="58" t="n">
        <f aca="true">IF(RAND()&lt;$D$8,1,0)</f>
        <v>1</v>
      </c>
      <c r="C527" s="47" t="n">
        <f aca="true">-LN(RAND())/$D$2</f>
        <v>0.232124101064222</v>
      </c>
      <c r="D527" s="59" t="n">
        <f aca="false">D526+C527</f>
        <v>498.935634302954</v>
      </c>
      <c r="E527" s="60" t="n">
        <f aca="false">MAX($D$3,(1+P526-VLOOKUP(VALUE(D527),$J$18:$Q526,7,TRUE()))*$D$3)</f>
        <v>22</v>
      </c>
      <c r="F527" s="60" t="n">
        <f aca="false">MAX($D$4,(1+Q526-VLOOKUP(VALUE(D527),$M$18:$Q526,5,TRUE()))*$D$4)</f>
        <v>16</v>
      </c>
      <c r="G527" s="61" t="n">
        <v>0.5</v>
      </c>
      <c r="H527" s="59" t="n">
        <f aca="true">IF((B527=1),(IF((F527&lt;E527),1,(IF((F527=E527),(IF(RAND()&lt;G527,1,0)),0)))),(IF((RAND()&lt;G527),1,0)))</f>
        <v>1</v>
      </c>
      <c r="I527" s="59" t="n">
        <f aca="true">IF((H527=1),0,$D$3+$D$5*(RAND()-0.5))</f>
        <v>0</v>
      </c>
      <c r="J527" s="59" t="n">
        <f aca="false">I527+MAX(D527,J526)</f>
        <v>518.708348207582</v>
      </c>
      <c r="K527" s="59" t="n">
        <f aca="false">IF((H527=0),J527-D527,0)</f>
        <v>0</v>
      </c>
      <c r="L527" s="59" t="n">
        <f aca="true">IF(($H527=0),0,$D$4+$D$5*(RAND()-0.5))</f>
        <v>1.94745784240549</v>
      </c>
      <c r="M527" s="59" t="n">
        <f aca="false">L527+MAX(D527,M526)</f>
        <v>513.154815058987</v>
      </c>
      <c r="N527" s="59" t="n">
        <f aca="false">IF((H527=1),M527-D527,0)</f>
        <v>14.2191807560329</v>
      </c>
      <c r="O527" s="5" t="n">
        <v>510</v>
      </c>
      <c r="P527" s="62" t="n">
        <f aca="false">IF((Arterial=0),P526+1,P526)</f>
        <v>256</v>
      </c>
      <c r="Q527" s="62" t="n">
        <f aca="false">IF((Arterial=1),Q526+1,Q526)</f>
        <v>254</v>
      </c>
      <c r="R527" s="63" t="n">
        <f aca="false">IF((RESET=1),0,R527+K527)</f>
        <v>853.307241807237</v>
      </c>
      <c r="S527" s="10" t="e">
        <f aca="false">IF(RESET=1,0,S527+N527)</f>
        <v>#N/A</v>
      </c>
      <c r="T527" s="0" t="n">
        <f aca="false">IF(RESET=1,0,T527+IF(H527=0,1,0))</f>
        <v>33</v>
      </c>
      <c r="U527" s="0" t="e">
        <f aca="false">IF(RESET=1,0,U527+H527)</f>
        <v>#N/A</v>
      </c>
      <c r="V527" s="10" t="n">
        <f aca="false">R527/(T527+0.00001)</f>
        <v>25.8577873705868</v>
      </c>
      <c r="W527" s="10" t="e">
        <f aca="false">S527/(U527+0.0001)</f>
        <v>#N/A</v>
      </c>
      <c r="X527" s="60" t="n">
        <f aca="false">IF(Informed=1,K527,0)</f>
        <v>0</v>
      </c>
      <c r="Y527" s="60" t="n">
        <f aca="false">IF(Informed=0,K527,0)</f>
        <v>0</v>
      </c>
      <c r="Z527" s="60" t="n">
        <f aca="false">IF(Informed=1,N527,0)</f>
        <v>14.2191807560329</v>
      </c>
      <c r="AA527" s="60" t="n">
        <f aca="false">IF(Informed=0,N527,0)</f>
        <v>0</v>
      </c>
      <c r="AB527" s="64" t="n">
        <f aca="false">IF(Arterial=0,IF(Informed=1,1,0),0)</f>
        <v>0</v>
      </c>
      <c r="AC527" s="64" t="n">
        <f aca="false">IF(Arterial=0,IF(Informed=0,1,0),0)</f>
        <v>0</v>
      </c>
      <c r="AD527" s="64" t="n">
        <f aca="false">IF(Arterial=1,IF(Informed=1,1,0),0)</f>
        <v>1</v>
      </c>
      <c r="AE527" s="64" t="n">
        <f aca="false">IF(Arterial=1,IF(Informed=0,1,0),0)</f>
        <v>0</v>
      </c>
      <c r="AF527" s="57" t="n">
        <f aca="false">IF(AB527=1,(X527-G$1030)^2,0)</f>
        <v>0</v>
      </c>
      <c r="AG527" s="57" t="n">
        <f aca="false">IF(AC527=1,(Y527-H$1030)^2,0)</f>
        <v>0</v>
      </c>
      <c r="AH527" s="57" t="n">
        <f aca="false">IF(AD527=1,(Z527-I$1030)^2,0)</f>
        <v>202.185101372737</v>
      </c>
      <c r="AI527" s="57" t="n">
        <f aca="false">IF(AE527=1,(AA527-J$1030)^2,0)</f>
        <v>0</v>
      </c>
    </row>
    <row r="528" customFormat="false" ht="12" hidden="false" customHeight="false" outlineLevel="0" collapsed="false">
      <c r="A528" s="5" t="n">
        <v>511</v>
      </c>
      <c r="B528" s="58" t="n">
        <f aca="true">IF(RAND()&lt;$D$8,1,0)</f>
        <v>1</v>
      </c>
      <c r="C528" s="47" t="n">
        <f aca="true">-LN(RAND())/$D$2</f>
        <v>1.19280219283579</v>
      </c>
      <c r="D528" s="59" t="n">
        <f aca="false">D527+C528</f>
        <v>500.12843649579</v>
      </c>
      <c r="E528" s="60" t="n">
        <f aca="false">MAX($D$3,(1+P527-VLOOKUP(VALUE(D528),$J$18:$Q527,7,TRUE()))*$D$3)</f>
        <v>22</v>
      </c>
      <c r="F528" s="60" t="n">
        <f aca="false">MAX($D$4,(1+Q527-VLOOKUP(VALUE(D528),$M$18:$Q527,5,TRUE()))*$D$4)</f>
        <v>16</v>
      </c>
      <c r="G528" s="61" t="n">
        <v>0.5</v>
      </c>
      <c r="H528" s="59" t="n">
        <f aca="true">IF((B528=1),(IF((F528&lt;E528),1,(IF((F528=E528),(IF(RAND()&lt;G528,1,0)),0)))),(IF((RAND()&lt;G528),1,0)))</f>
        <v>1</v>
      </c>
      <c r="I528" s="59" t="n">
        <f aca="true">IF((H528=1),0,$D$3+$D$5*(RAND()-0.5))</f>
        <v>0</v>
      </c>
      <c r="J528" s="59" t="n">
        <f aca="false">I528+MAX(D528,J527)</f>
        <v>518.708348207582</v>
      </c>
      <c r="K528" s="59" t="n">
        <f aca="false">IF((H528=0),J528-D528,0)</f>
        <v>0</v>
      </c>
      <c r="L528" s="59" t="n">
        <f aca="true">IF(($H528=0),0,$D$4+$D$5*(RAND()-0.5))</f>
        <v>2.05613485497296</v>
      </c>
      <c r="M528" s="59" t="n">
        <f aca="false">L528+MAX(D528,M527)</f>
        <v>515.21094991396</v>
      </c>
      <c r="N528" s="59" t="n">
        <f aca="false">IF((H528=1),M528-D528,0)</f>
        <v>15.08251341817</v>
      </c>
      <c r="O528" s="5" t="n">
        <v>511</v>
      </c>
      <c r="P528" s="62" t="n">
        <f aca="false">IF((Arterial=0),P527+1,P527)</f>
        <v>256</v>
      </c>
      <c r="Q528" s="62" t="n">
        <f aca="false">IF((Arterial=1),Q527+1,Q527)</f>
        <v>255</v>
      </c>
      <c r="R528" s="63" t="n">
        <f aca="false">IF((RESET=1),0,R528+K528)</f>
        <v>719.557604486778</v>
      </c>
      <c r="S528" s="10" t="e">
        <f aca="false">IF(RESET=1,0,S528+N528)</f>
        <v>#N/A</v>
      </c>
      <c r="T528" s="0" t="n">
        <f aca="false">IF(RESET=1,0,T528+IF(H528=0,1,0))</f>
        <v>28</v>
      </c>
      <c r="U528" s="0" t="e">
        <f aca="false">IF(RESET=1,0,U528+H528)</f>
        <v>#N/A</v>
      </c>
      <c r="V528" s="10" t="n">
        <f aca="false">R528/(T528+0.00001)</f>
        <v>25.6984766965004</v>
      </c>
      <c r="W528" s="10" t="e">
        <f aca="false">S528/(U528+0.0001)</f>
        <v>#N/A</v>
      </c>
      <c r="X528" s="60" t="n">
        <f aca="false">IF(Informed=1,K528,0)</f>
        <v>0</v>
      </c>
      <c r="Y528" s="60" t="n">
        <f aca="false">IF(Informed=0,K528,0)</f>
        <v>0</v>
      </c>
      <c r="Z528" s="60" t="n">
        <f aca="false">IF(Informed=1,N528,0)</f>
        <v>15.08251341817</v>
      </c>
      <c r="AA528" s="60" t="n">
        <f aca="false">IF(Informed=0,N528,0)</f>
        <v>0</v>
      </c>
      <c r="AB528" s="64" t="n">
        <f aca="false">IF(Arterial=0,IF(Informed=1,1,0),0)</f>
        <v>0</v>
      </c>
      <c r="AC528" s="64" t="n">
        <f aca="false">IF(Arterial=0,IF(Informed=0,1,0),0)</f>
        <v>0</v>
      </c>
      <c r="AD528" s="64" t="n">
        <f aca="false">IF(Arterial=1,IF(Informed=1,1,0),0)</f>
        <v>1</v>
      </c>
      <c r="AE528" s="64" t="n">
        <f aca="false">IF(Arterial=1,IF(Informed=0,1,0),0)</f>
        <v>0</v>
      </c>
      <c r="AF528" s="57" t="n">
        <f aca="false">IF(AB528=1,(X528-G$1030)^2,0)</f>
        <v>0</v>
      </c>
      <c r="AG528" s="57" t="n">
        <f aca="false">IF(AC528=1,(Y528-H$1030)^2,0)</f>
        <v>0</v>
      </c>
      <c r="AH528" s="57" t="n">
        <f aca="false">IF(AD528=1,(Z528-I$1030)^2,0)</f>
        <v>227.482211009279</v>
      </c>
      <c r="AI528" s="57" t="n">
        <f aca="false">IF(AE528=1,(AA528-J$1030)^2,0)</f>
        <v>0</v>
      </c>
    </row>
    <row r="529" customFormat="false" ht="12" hidden="false" customHeight="false" outlineLevel="0" collapsed="false">
      <c r="A529" s="5" t="n">
        <v>512</v>
      </c>
      <c r="B529" s="58" t="n">
        <f aca="true">IF(RAND()&lt;$D$8,1,0)</f>
        <v>1</v>
      </c>
      <c r="C529" s="47" t="n">
        <f aca="true">-LN(RAND())/$D$2</f>
        <v>3.18330937529878</v>
      </c>
      <c r="D529" s="59" t="n">
        <f aca="false">D528+C529</f>
        <v>503.311745871089</v>
      </c>
      <c r="E529" s="60" t="n">
        <f aca="false">MAX($D$3,(1+P528-VLOOKUP(VALUE(D529),$J$18:$Q528,7,TRUE()))*$D$3)</f>
        <v>18</v>
      </c>
      <c r="F529" s="60" t="n">
        <f aca="false">MAX($D$4,(1+Q528-VLOOKUP(VALUE(D529),$M$18:$Q528,5,TRUE()))*$D$4)</f>
        <v>14</v>
      </c>
      <c r="G529" s="61" t="n">
        <v>0.5</v>
      </c>
      <c r="H529" s="59" t="n">
        <f aca="true">IF((B529=1),(IF((F529&lt;E529),1,(IF((F529=E529),(IF(RAND()&lt;G529,1,0)),0)))),(IF((RAND()&lt;G529),1,0)))</f>
        <v>1</v>
      </c>
      <c r="I529" s="59" t="n">
        <f aca="true">IF((H529=1),0,$D$3+$D$5*(RAND()-0.5))</f>
        <v>0</v>
      </c>
      <c r="J529" s="59" t="n">
        <f aca="false">I529+MAX(D529,J528)</f>
        <v>518.708348207582</v>
      </c>
      <c r="K529" s="59" t="n">
        <f aca="false">IF((H529=0),J529-D529,0)</f>
        <v>0</v>
      </c>
      <c r="L529" s="59" t="n">
        <f aca="true">IF(($H529=0),0,$D$4+$D$5*(RAND()-0.5))</f>
        <v>2.00744362417336</v>
      </c>
      <c r="M529" s="59" t="n">
        <f aca="false">L529+MAX(D529,M528)</f>
        <v>517.218393538134</v>
      </c>
      <c r="N529" s="59" t="n">
        <f aca="false">IF((H529=1),M529-D529,0)</f>
        <v>13.9066476670446</v>
      </c>
      <c r="O529" s="5" t="n">
        <v>512</v>
      </c>
      <c r="P529" s="62" t="n">
        <f aca="false">IF((Arterial=0),P528+1,P528)</f>
        <v>256</v>
      </c>
      <c r="Q529" s="62" t="n">
        <f aca="false">IF((Arterial=1),Q528+1,Q528)</f>
        <v>256</v>
      </c>
      <c r="R529" s="63" t="n">
        <f aca="false">IF((RESET=1),0,R529+K529)</f>
        <v>802.948039742558</v>
      </c>
      <c r="S529" s="10" t="e">
        <f aca="false">IF(RESET=1,0,S529+N529)</f>
        <v>#N/A</v>
      </c>
      <c r="T529" s="0" t="n">
        <f aca="false">IF(RESET=1,0,T529+IF(H529=0,1,0))</f>
        <v>30</v>
      </c>
      <c r="U529" s="0" t="e">
        <f aca="false">IF(RESET=1,0,U529+H529)</f>
        <v>#N/A</v>
      </c>
      <c r="V529" s="10" t="n">
        <f aca="false">R529/(T529+0.00001)</f>
        <v>26.7649257364433</v>
      </c>
      <c r="W529" s="10" t="e">
        <f aca="false">S529/(U529+0.0001)</f>
        <v>#N/A</v>
      </c>
      <c r="X529" s="60" t="n">
        <f aca="false">IF(Informed=1,K529,0)</f>
        <v>0</v>
      </c>
      <c r="Y529" s="60" t="n">
        <f aca="false">IF(Informed=0,K529,0)</f>
        <v>0</v>
      </c>
      <c r="Z529" s="60" t="n">
        <f aca="false">IF(Informed=1,N529,0)</f>
        <v>13.9066476670446</v>
      </c>
      <c r="AA529" s="60" t="n">
        <f aca="false">IF(Informed=0,N529,0)</f>
        <v>0</v>
      </c>
      <c r="AB529" s="64" t="n">
        <f aca="false">IF(Arterial=0,IF(Informed=1,1,0),0)</f>
        <v>0</v>
      </c>
      <c r="AC529" s="64" t="n">
        <f aca="false">IF(Arterial=0,IF(Informed=0,1,0),0)</f>
        <v>0</v>
      </c>
      <c r="AD529" s="64" t="n">
        <f aca="false">IF(Arterial=1,IF(Informed=1,1,0),0)</f>
        <v>1</v>
      </c>
      <c r="AE529" s="64" t="n">
        <f aca="false">IF(Arterial=1,IF(Informed=0,1,0),0)</f>
        <v>0</v>
      </c>
      <c r="AF529" s="57" t="n">
        <f aca="false">IF(AB529=1,(X529-G$1030)^2,0)</f>
        <v>0</v>
      </c>
      <c r="AG529" s="57" t="n">
        <f aca="false">IF(AC529=1,(Y529-H$1030)^2,0)</f>
        <v>0</v>
      </c>
      <c r="AH529" s="57" t="n">
        <f aca="false">IF(AD529=1,(Z529-I$1030)^2,0)</f>
        <v>193.394849335316</v>
      </c>
      <c r="AI529" s="57" t="n">
        <f aca="false">IF(AE529=1,(AA529-J$1030)^2,0)</f>
        <v>0</v>
      </c>
    </row>
    <row r="530" customFormat="false" ht="12" hidden="false" customHeight="false" outlineLevel="0" collapsed="false">
      <c r="A530" s="5" t="n">
        <v>513</v>
      </c>
      <c r="B530" s="58" t="n">
        <f aca="true">IF(RAND()&lt;$D$8,1,0)</f>
        <v>0</v>
      </c>
      <c r="C530" s="47" t="n">
        <f aca="true">-LN(RAND())/$D$2</f>
        <v>0.594656106661977</v>
      </c>
      <c r="D530" s="59" t="n">
        <f aca="false">D529+C530</f>
        <v>503.906401977751</v>
      </c>
      <c r="E530" s="60" t="n">
        <f aca="false">MAX($D$3,(1+P529-VLOOKUP(VALUE(D530),$J$18:$Q529,7,TRUE()))*$D$3)</f>
        <v>18</v>
      </c>
      <c r="F530" s="60" t="n">
        <f aca="false">MAX($D$4,(1+Q529-VLOOKUP(VALUE(D530),$M$18:$Q529,5,TRUE()))*$D$4)</f>
        <v>16</v>
      </c>
      <c r="G530" s="61" t="n">
        <v>0.5</v>
      </c>
      <c r="H530" s="59" t="n">
        <f aca="true">IF((B530=1),(IF((F530&lt;E530),1,(IF((F530=E530),(IF(RAND()&lt;G530,1,0)),0)))),(IF((RAND()&lt;G530),1,0)))</f>
        <v>1</v>
      </c>
      <c r="I530" s="59" t="n">
        <f aca="true">IF((H530=1),0,$D$3+$D$5*(RAND()-0.5))</f>
        <v>0</v>
      </c>
      <c r="J530" s="59" t="n">
        <f aca="false">I530+MAX(D530,J529)</f>
        <v>518.708348207582</v>
      </c>
      <c r="K530" s="59" t="n">
        <f aca="false">IF((H530=0),J530-D530,0)</f>
        <v>0</v>
      </c>
      <c r="L530" s="59" t="n">
        <f aca="true">IF(($H530=0),0,$D$4+$D$5*(RAND()-0.5))</f>
        <v>2.12570814147739</v>
      </c>
      <c r="M530" s="59" t="n">
        <f aca="false">L530+MAX(D530,M529)</f>
        <v>519.344101679611</v>
      </c>
      <c r="N530" s="59" t="n">
        <f aca="false">IF((H530=1),M530-D530,0)</f>
        <v>15.43769970186</v>
      </c>
      <c r="O530" s="5" t="n">
        <v>513</v>
      </c>
      <c r="P530" s="62" t="n">
        <f aca="false">IF((Arterial=0),P529+1,P529)</f>
        <v>256</v>
      </c>
      <c r="Q530" s="62" t="n">
        <f aca="false">IF((Arterial=1),Q529+1,Q529)</f>
        <v>257</v>
      </c>
      <c r="R530" s="63" t="n">
        <f aca="false">IF((RESET=1),0,R530+K530)</f>
        <v>689.593092072082</v>
      </c>
      <c r="S530" s="10" t="e">
        <f aca="false">IF(RESET=1,0,S530+N530)</f>
        <v>#N/A</v>
      </c>
      <c r="T530" s="0" t="n">
        <f aca="false">IF(RESET=1,0,T530+IF(H530=0,1,0))</f>
        <v>27</v>
      </c>
      <c r="U530" s="0" t="e">
        <f aca="false">IF(RESET=1,0,U530+H530)</f>
        <v>#N/A</v>
      </c>
      <c r="V530" s="10" t="n">
        <f aca="false">R530/(T530+0.00001)</f>
        <v>25.5404754321233</v>
      </c>
      <c r="W530" s="10" t="e">
        <f aca="false">S530/(U530+0.0001)</f>
        <v>#N/A</v>
      </c>
      <c r="X530" s="60" t="n">
        <f aca="false">IF(Informed=1,K530,0)</f>
        <v>0</v>
      </c>
      <c r="Y530" s="60" t="n">
        <f aca="false">IF(Informed=0,K530,0)</f>
        <v>0</v>
      </c>
      <c r="Z530" s="60" t="n">
        <f aca="false">IF(Informed=1,N530,0)</f>
        <v>0</v>
      </c>
      <c r="AA530" s="60" t="n">
        <f aca="false">IF(Informed=0,N530,0)</f>
        <v>15.43769970186</v>
      </c>
      <c r="AB530" s="64" t="n">
        <f aca="false">IF(Arterial=0,IF(Informed=1,1,0),0)</f>
        <v>0</v>
      </c>
      <c r="AC530" s="64" t="n">
        <f aca="false">IF(Arterial=0,IF(Informed=0,1,0),0)</f>
        <v>0</v>
      </c>
      <c r="AD530" s="64" t="n">
        <f aca="false">IF(Arterial=1,IF(Informed=1,1,0),0)</f>
        <v>0</v>
      </c>
      <c r="AE530" s="64" t="n">
        <f aca="false">IF(Arterial=1,IF(Informed=0,1,0),0)</f>
        <v>1</v>
      </c>
      <c r="AF530" s="57" t="n">
        <f aca="false">IF(AB530=1,(X530-G$1030)^2,0)</f>
        <v>0</v>
      </c>
      <c r="AG530" s="57" t="n">
        <f aca="false">IF(AC530=1,(Y530-H$1030)^2,0)</f>
        <v>0</v>
      </c>
      <c r="AH530" s="57" t="n">
        <f aca="false">IF(AD530=1,(Z530-I$1030)^2,0)</f>
        <v>0</v>
      </c>
      <c r="AI530" s="57" t="n">
        <f aca="false">IF(AE530=1,(AA530-J$1030)^2,0)</f>
        <v>238.322572084807</v>
      </c>
    </row>
    <row r="531" customFormat="false" ht="12" hidden="false" customHeight="false" outlineLevel="0" collapsed="false">
      <c r="A531" s="5" t="n">
        <v>514</v>
      </c>
      <c r="B531" s="58" t="n">
        <f aca="true">IF(RAND()&lt;$D$8,1,0)</f>
        <v>1</v>
      </c>
      <c r="C531" s="47" t="n">
        <f aca="true">-LN(RAND())/$D$2</f>
        <v>0.130456795039865</v>
      </c>
      <c r="D531" s="59" t="n">
        <f aca="false">D530+C531</f>
        <v>504.036858772791</v>
      </c>
      <c r="E531" s="60" t="n">
        <f aca="false">MAX($D$3,(1+P530-VLOOKUP(VALUE(D531),$J$18:$Q530,7,TRUE()))*$D$3)</f>
        <v>18</v>
      </c>
      <c r="F531" s="60" t="n">
        <f aca="false">MAX($D$4,(1+Q530-VLOOKUP(VALUE(D531),$M$18:$Q530,5,TRUE()))*$D$4)</f>
        <v>18</v>
      </c>
      <c r="G531" s="61" t="n">
        <v>0.5</v>
      </c>
      <c r="H531" s="59" t="n">
        <f aca="true">IF((B531=1),(IF((F531&lt;E531),1,(IF((F531=E531),(IF(RAND()&lt;G531,1,0)),0)))),(IF((RAND()&lt;G531),1,0)))</f>
        <v>1</v>
      </c>
      <c r="I531" s="59" t="n">
        <f aca="true">IF((H531=1),0,$D$3+$D$5*(RAND()-0.5))</f>
        <v>0</v>
      </c>
      <c r="J531" s="59" t="n">
        <f aca="false">I531+MAX(D531,J530)</f>
        <v>518.708348207582</v>
      </c>
      <c r="K531" s="59" t="n">
        <f aca="false">IF((H531=0),J531-D531,0)</f>
        <v>0</v>
      </c>
      <c r="L531" s="59" t="n">
        <f aca="true">IF(($H531=0),0,$D$4+$D$5*(RAND()-0.5))</f>
        <v>1.94488738365295</v>
      </c>
      <c r="M531" s="59" t="n">
        <f aca="false">L531+MAX(D531,M530)</f>
        <v>521.288989063264</v>
      </c>
      <c r="N531" s="59" t="n">
        <f aca="false">IF((H531=1),M531-D531,0)</f>
        <v>17.252130290473</v>
      </c>
      <c r="O531" s="5" t="n">
        <v>514</v>
      </c>
      <c r="P531" s="62" t="n">
        <f aca="false">IF((Arterial=0),P530+1,P530)</f>
        <v>256</v>
      </c>
      <c r="Q531" s="62" t="n">
        <f aca="false">IF((Arterial=1),Q530+1,Q530)</f>
        <v>258</v>
      </c>
      <c r="R531" s="63" t="n">
        <f aca="false">IF((RESET=1),0,R531+K531)</f>
        <v>368.605111563784</v>
      </c>
      <c r="S531" s="10" t="e">
        <f aca="false">IF(RESET=1,0,S531+N531)</f>
        <v>#N/A</v>
      </c>
      <c r="T531" s="0" t="n">
        <f aca="false">IF(RESET=1,0,T531+IF(H531=0,1,0))</f>
        <v>15</v>
      </c>
      <c r="U531" s="0" t="e">
        <f aca="false">IF(RESET=1,0,U531+H531)</f>
        <v>#N/A</v>
      </c>
      <c r="V531" s="10" t="n">
        <f aca="false">R531/(T531+0.00001)</f>
        <v>24.5736577218138</v>
      </c>
      <c r="W531" s="10" t="e">
        <f aca="false">S531/(U531+0.0001)</f>
        <v>#N/A</v>
      </c>
      <c r="X531" s="60" t="n">
        <f aca="false">IF(Informed=1,K531,0)</f>
        <v>0</v>
      </c>
      <c r="Y531" s="60" t="n">
        <f aca="false">IF(Informed=0,K531,0)</f>
        <v>0</v>
      </c>
      <c r="Z531" s="60" t="n">
        <f aca="false">IF(Informed=1,N531,0)</f>
        <v>17.252130290473</v>
      </c>
      <c r="AA531" s="60" t="n">
        <f aca="false">IF(Informed=0,N531,0)</f>
        <v>0</v>
      </c>
      <c r="AB531" s="64" t="n">
        <f aca="false">IF(Arterial=0,IF(Informed=1,1,0),0)</f>
        <v>0</v>
      </c>
      <c r="AC531" s="64" t="n">
        <f aca="false">IF(Arterial=0,IF(Informed=0,1,0),0)</f>
        <v>0</v>
      </c>
      <c r="AD531" s="64" t="n">
        <f aca="false">IF(Arterial=1,IF(Informed=1,1,0),0)</f>
        <v>1</v>
      </c>
      <c r="AE531" s="64" t="n">
        <f aca="false">IF(Arterial=1,IF(Informed=0,1,0),0)</f>
        <v>0</v>
      </c>
      <c r="AF531" s="57" t="n">
        <f aca="false">IF(AB531=1,(X531-G$1030)^2,0)</f>
        <v>0</v>
      </c>
      <c r="AG531" s="57" t="n">
        <f aca="false">IF(AC531=1,(Y531-H$1030)^2,0)</f>
        <v>0</v>
      </c>
      <c r="AH531" s="57" t="n">
        <f aca="false">IF(AD531=1,(Z531-I$1030)^2,0)</f>
        <v>297.635999559457</v>
      </c>
      <c r="AI531" s="57" t="n">
        <f aca="false">IF(AE531=1,(AA531-J$1030)^2,0)</f>
        <v>0</v>
      </c>
    </row>
    <row r="532" customFormat="false" ht="12" hidden="false" customHeight="false" outlineLevel="0" collapsed="false">
      <c r="A532" s="5" t="n">
        <v>515</v>
      </c>
      <c r="B532" s="58" t="n">
        <f aca="true">IF(RAND()&lt;$D$8,1,0)</f>
        <v>0</v>
      </c>
      <c r="C532" s="47" t="n">
        <f aca="true">-LN(RAND())/$D$2</f>
        <v>0.323829882009689</v>
      </c>
      <c r="D532" s="59" t="n">
        <f aca="false">D531+C532</f>
        <v>504.360688654801</v>
      </c>
      <c r="E532" s="60" t="n">
        <f aca="false">MAX($D$3,(1+P531-VLOOKUP(VALUE(D532),$J$18:$Q531,7,TRUE()))*$D$3)</f>
        <v>18</v>
      </c>
      <c r="F532" s="60" t="n">
        <f aca="false">MAX($D$4,(1+Q531-VLOOKUP(VALUE(D532),$M$18:$Q531,5,TRUE()))*$D$4)</f>
        <v>20</v>
      </c>
      <c r="G532" s="61" t="n">
        <v>0.5</v>
      </c>
      <c r="H532" s="59" t="n">
        <f aca="true">IF((B532=1),(IF((F532&lt;E532),1,(IF((F532=E532),(IF(RAND()&lt;G532,1,0)),0)))),(IF((RAND()&lt;G532),1,0)))</f>
        <v>0</v>
      </c>
      <c r="I532" s="59" t="n">
        <f aca="true">IF((H532=1),0,$D$3+$D$5*(RAND()-0.5))</f>
        <v>1.87270642871645</v>
      </c>
      <c r="J532" s="59" t="n">
        <f aca="false">I532+MAX(D532,J531)</f>
        <v>520.581054636298</v>
      </c>
      <c r="K532" s="59" t="n">
        <f aca="false">IF((H532=0),J532-D532,0)</f>
        <v>16.2203659814975</v>
      </c>
      <c r="L532" s="59" t="n">
        <f aca="true">IF(($H532=0),0,$D$4+$D$5*(RAND()-0.5))</f>
        <v>0</v>
      </c>
      <c r="M532" s="59" t="n">
        <f aca="false">L532+MAX(D532,M531)</f>
        <v>521.288989063264</v>
      </c>
      <c r="N532" s="59" t="n">
        <f aca="false">IF((H532=1),M532-D532,0)</f>
        <v>0</v>
      </c>
      <c r="O532" s="5" t="n">
        <v>515</v>
      </c>
      <c r="P532" s="62" t="n">
        <f aca="false">IF((Arterial=0),P531+1,P531)</f>
        <v>257</v>
      </c>
      <c r="Q532" s="62" t="n">
        <f aca="false">IF((Arterial=1),Q531+1,Q531)</f>
        <v>258</v>
      </c>
      <c r="R532" s="63" t="e">
        <f aca="false">IF((RESET=1),0,R532+K532)</f>
        <v>#N/A</v>
      </c>
      <c r="S532" s="10" t="n">
        <f aca="false">IF(RESET=1,0,S532+N532)</f>
        <v>593.208819741851</v>
      </c>
      <c r="T532" s="0" t="e">
        <f aca="false">IF(RESET=1,0,T532+IF(H532=0,1,0))</f>
        <v>#N/A</v>
      </c>
      <c r="U532" s="0" t="n">
        <f aca="false">IF(RESET=1,0,U532+H532)</f>
        <v>21</v>
      </c>
      <c r="V532" s="10" t="e">
        <f aca="false">R532/(T532+0.00001)</f>
        <v>#N/A</v>
      </c>
      <c r="W532" s="10" t="n">
        <f aca="false">S532/(U532+0.0001)</f>
        <v>28.2479045214952</v>
      </c>
      <c r="X532" s="60" t="n">
        <f aca="false">IF(Informed=1,K532,0)</f>
        <v>0</v>
      </c>
      <c r="Y532" s="60" t="n">
        <f aca="false">IF(Informed=0,K532,0)</f>
        <v>16.2203659814975</v>
      </c>
      <c r="Z532" s="60" t="n">
        <f aca="false">IF(Informed=1,N532,0)</f>
        <v>0</v>
      </c>
      <c r="AA532" s="60" t="n">
        <f aca="false">IF(Informed=0,N532,0)</f>
        <v>0</v>
      </c>
      <c r="AB532" s="64" t="n">
        <f aca="false">IF(Arterial=0,IF(Informed=1,1,0),0)</f>
        <v>0</v>
      </c>
      <c r="AC532" s="64" t="n">
        <f aca="false">IF(Arterial=0,IF(Informed=0,1,0),0)</f>
        <v>1</v>
      </c>
      <c r="AD532" s="64" t="n">
        <f aca="false">IF(Arterial=1,IF(Informed=1,1,0),0)</f>
        <v>0</v>
      </c>
      <c r="AE532" s="64" t="n">
        <f aca="false">IF(Arterial=1,IF(Informed=0,1,0),0)</f>
        <v>0</v>
      </c>
      <c r="AF532" s="57" t="n">
        <f aca="false">IF(AB532=1,(X532-G$1030)^2,0)</f>
        <v>0</v>
      </c>
      <c r="AG532" s="57" t="n">
        <f aca="false">IF(AC532=1,(Y532-H$1030)^2,0)</f>
        <v>263.100272573721</v>
      </c>
      <c r="AH532" s="57" t="n">
        <f aca="false">IF(AD532=1,(Z532-I$1030)^2,0)</f>
        <v>0</v>
      </c>
      <c r="AI532" s="57" t="n">
        <f aca="false">IF(AE532=1,(AA532-J$1030)^2,0)</f>
        <v>0</v>
      </c>
    </row>
    <row r="533" customFormat="false" ht="12" hidden="false" customHeight="false" outlineLevel="0" collapsed="false">
      <c r="A533" s="5" t="n">
        <v>516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2" manualBreakCount="12">
    <brk id="14" man="true" max="16383" min="0"/>
    <brk id="23" man="true" max="16383" min="0"/>
    <brk id="256" man="true" max="16383" min="0"/>
    <brk id="587" man="true" max="16383" min="0"/>
    <brk id="638" man="true" max="16383" min="0"/>
    <brk id="4609" man="true" max="16383" min="0"/>
    <brk id="5888" man="true" max="16383" min="0"/>
    <brk id="6912" man="true" max="16383" min="0"/>
    <brk id="16513" man="true" max="16383" min="0"/>
    <brk id="18944" man="true" max="16383" min="0"/>
    <brk id="29483" man="true" max="16383" min="0"/>
    <brk id="31132" man="true" max="16383" min="0"/>
  </rowBreaks>
  <colBreaks count="310" manualBreakCount="310">
    <brk id="1" man="true" max="65535" min="0"/>
    <brk id="2" man="true" max="65535" min="0"/>
    <brk id="3" man="true" max="65535" min="0"/>
    <brk id="4" man="true" max="65535" min="0"/>
    <brk id="5" man="true" max="65535" min="0"/>
    <brk id="6" man="true" max="65535" min="0"/>
    <brk id="7" man="true" max="65535" min="0"/>
    <brk id="8" man="true" max="65535" min="0"/>
    <brk id="9" man="true" max="65535" min="0"/>
    <brk id="10" man="true" max="65535" min="0"/>
    <brk id="11" man="true" max="65535" min="0"/>
    <brk id="12" man="true" max="65535" min="0"/>
    <brk id="14" man="true" max="65535" min="0"/>
    <brk id="15" man="true" max="65535" min="0"/>
    <brk id="16" man="true" max="65535" min="0"/>
    <brk id="17" man="true" max="65535" min="0"/>
    <brk id="18" man="true" max="65535" min="0"/>
    <brk id="19" man="true" max="65535" min="0"/>
    <brk id="20" man="true" max="65535" min="0"/>
    <brk id="21" man="true" max="65535" min="0"/>
    <brk id="22" man="true" max="65535" min="0"/>
    <brk id="23" man="true" max="65535" min="0"/>
    <brk id="24" man="true" max="65535" min="0"/>
    <brk id="25" man="true" max="65535" min="0"/>
    <brk id="26" man="true" max="65535" min="0"/>
    <brk id="27" man="true" max="65535" min="0"/>
    <brk id="28" man="true" max="65535" min="0"/>
    <brk id="29" man="true" max="65535" min="0"/>
    <brk id="30" man="true" max="65535" min="0"/>
    <brk id="31" man="true" max="65535" min="0"/>
    <brk id="32" man="true" max="65535" min="0"/>
    <brk id="33" man="true" max="65535" min="0"/>
    <brk id="34" man="true" max="65535" min="0"/>
    <brk id="39" man="true" max="65535" min="0"/>
    <brk id="40" man="true" max="65535" min="0"/>
    <brk id="44" man="true" max="65535" min="0"/>
    <brk id="45" man="true" max="65535" min="0"/>
    <brk id="46" man="true" max="65535" min="0"/>
    <brk id="47" man="true" max="65535" min="0"/>
    <brk id="49" man="true" max="65535" min="0"/>
    <brk id="52" man="true" max="65535" min="0"/>
    <brk id="54" man="true" max="65535" min="0"/>
    <brk id="59" man="true" max="65535" min="0"/>
    <brk id="62" man="true" max="65535" min="0"/>
    <brk id="63" man="true" max="65535" min="0"/>
    <brk id="69" man="true" max="65535" min="0"/>
    <brk id="74" man="true" max="65535" min="0"/>
    <brk id="75" man="true" max="65535" min="0"/>
    <brk id="76" man="true" max="65535" min="0"/>
    <brk id="79" man="true" max="65535" min="0"/>
    <brk id="161" man="true" max="65535" min="0"/>
    <brk id="195" man="true" max="65535" min="0"/>
    <brk id="255" man="true" max="65535" min="0"/>
    <brk id="256" man="true" max="65535" min="0"/>
    <brk id="257" man="true" max="65535" min="0"/>
    <brk id="258" man="true" max="65535" min="0"/>
    <brk id="259" man="true" max="65535" min="0"/>
    <brk id="281" man="true" max="65535" min="0"/>
    <brk id="283" man="true" max="65535" min="0"/>
    <brk id="285" man="true" max="65535" min="0"/>
    <brk id="286" man="true" max="65535" min="0"/>
    <brk id="320" man="true" max="65535" min="0"/>
    <brk id="322" man="true" max="65535" min="0"/>
    <brk id="377" man="true" max="65535" min="0"/>
    <brk id="514" man="true" max="65535" min="0"/>
    <brk id="537" man="true" max="65535" min="0"/>
    <brk id="542" man="true" max="65535" min="0"/>
    <brk id="548" man="true" max="65535" min="0"/>
    <brk id="576" man="true" max="65535" min="0"/>
    <brk id="578" man="true" max="65535" min="0"/>
    <brk id="580" man="true" max="65535" min="0"/>
    <brk id="593" man="true" max="65535" min="0"/>
    <brk id="594" man="true" max="65535" min="0"/>
    <brk id="595" man="true" max="65535" min="0"/>
    <brk id="638" man="true" max="65535" min="0"/>
    <brk id="640" man="true" max="65535" min="0"/>
    <brk id="642" man="true" max="65535" min="0"/>
    <brk id="643" man="true" max="65535" min="0"/>
    <brk id="644" man="true" max="65535" min="0"/>
    <brk id="645" man="true" max="65535" min="0"/>
    <brk id="646" man="true" max="65535" min="0"/>
    <brk id="647" man="true" max="65535" min="0"/>
    <brk id="648" man="true" max="65535" min="0"/>
    <brk id="649" man="true" max="65535" min="0"/>
    <brk id="650" man="true" max="65535" min="0"/>
    <brk id="651" man="true" max="65535" min="0"/>
    <brk id="652" man="true" max="65535" min="0"/>
    <brk id="653" man="true" max="65535" min="0"/>
    <brk id="654" man="true" max="65535" min="0"/>
    <brk id="655" man="true" max="65535" min="0"/>
    <brk id="656" man="true" max="65535" min="0"/>
    <brk id="657" man="true" max="65535" min="0"/>
    <brk id="658" man="true" max="65535" min="0"/>
    <brk id="659" man="true" max="65535" min="0"/>
    <brk id="660" man="true" max="65535" min="0"/>
    <brk id="661" man="true" max="65535" min="0"/>
    <brk id="662" man="true" max="65535" min="0"/>
    <brk id="663" man="true" max="65535" min="0"/>
    <brk id="664" man="true" max="65535" min="0"/>
    <brk id="665" man="true" max="65535" min="0"/>
    <brk id="666" man="true" max="65535" min="0"/>
    <brk id="667" man="true" max="65535" min="0"/>
    <brk id="668" man="true" max="65535" min="0"/>
    <brk id="669" man="true" max="65535" min="0"/>
    <brk id="670" man="true" max="65535" min="0"/>
    <brk id="714" man="true" max="65535" min="0"/>
    <brk id="720" man="true" max="65535" min="0"/>
    <brk id="721" man="true" max="65535" min="0"/>
    <brk id="768" man="true" max="65535" min="0"/>
    <brk id="770" man="true" max="65535" min="0"/>
    <brk id="771" man="true" max="65535" min="0"/>
    <brk id="773" man="true" max="65535" min="0"/>
    <brk id="776" man="true" max="65535" min="0"/>
    <brk id="802" man="true" max="65535" min="0"/>
    <brk id="804" man="true" max="65535" min="0"/>
    <brk id="834" man="true" max="65535" min="0"/>
    <brk id="836" man="true" max="65535" min="0"/>
    <brk id="960" man="true" max="65535" min="0"/>
    <brk id="1002" man="true" max="65535" min="0"/>
    <brk id="1024" man="true" max="65535" min="0"/>
    <brk id="1026" man="true" max="65535" min="0"/>
    <brk id="1029" man="true" max="65535" min="0"/>
    <brk id="1090" man="true" max="65535" min="0"/>
    <brk id="1180" man="true" max="65535" min="0"/>
    <brk id="1212" man="true" max="65535" min="0"/>
    <brk id="1280" man="true" max="65535" min="0"/>
    <brk id="1282" man="true" max="65535" min="0"/>
    <brk id="1351" man="true" max="65535" min="0"/>
    <brk id="1356" man="true" max="65535" min="0"/>
    <brk id="1484" man="true" max="65535" min="0"/>
    <brk id="1503" man="true" max="65535" min="0"/>
    <brk id="1535" man="true" max="65535" min="0"/>
    <brk id="1536" man="true" max="65535" min="0"/>
    <brk id="1538" man="true" max="65535" min="0"/>
    <brk id="1542" man="true" max="65535" min="0"/>
    <brk id="1599" man="true" max="65535" min="0"/>
    <brk id="1600" man="true" max="65535" min="0"/>
    <brk id="1603" man="true" max="65535" min="0"/>
    <brk id="1792" man="true" max="65535" min="0"/>
    <brk id="1794" man="true" max="65535" min="0"/>
    <brk id="2050" man="true" max="65535" min="0"/>
    <brk id="2073" man="true" max="65535" min="0"/>
    <brk id="2115" man="true" max="65535" min="0"/>
    <brk id="2230" man="true" max="65535" min="0"/>
    <brk id="2304" man="true" max="65535" min="0"/>
    <brk id="2306" man="true" max="65535" min="0"/>
    <brk id="2313" man="true" max="65535" min="0"/>
    <brk id="2367" man="true" max="65535" min="0"/>
    <brk id="2368" man="true" max="65535" min="0"/>
    <brk id="2405" man="true" max="65535" min="0"/>
    <brk id="2496" man="true" max="65535" min="0"/>
    <brk id="2562" man="true" max="65535" min="0"/>
    <brk id="2568" man="true" max="65535" min="0"/>
    <brk id="2772" man="true" max="65535" min="0"/>
    <brk id="2816" man="true" max="65535" min="0"/>
    <brk id="2818" man="true" max="65535" min="0"/>
    <brk id="3024" man="true" max="65535" min="0"/>
    <brk id="3065" man="true" max="65535" min="0"/>
    <brk id="3074" man="true" max="65535" min="0"/>
    <brk id="3128" man="true" max="65535" min="0"/>
    <brk id="3296" man="true" max="65535" min="0"/>
    <brk id="3330" man="true" max="65535" min="0"/>
    <brk id="3840" man="true" max="65535" min="0"/>
    <brk id="3842" man="true" max="65535" min="0"/>
    <brk id="3909" man="true" max="65535" min="0"/>
    <brk id="3954" man="true" max="65535" min="0"/>
    <brk id="3976" man="true" max="65535" min="0"/>
    <brk id="4096" man="true" max="65535" min="0"/>
    <brk id="4098" man="true" max="65535" min="0"/>
    <brk id="4105" man="true" max="65535" min="0"/>
    <brk id="4339" man="true" max="65535" min="0"/>
    <brk id="4354" man="true" max="65535" min="0"/>
    <brk id="4360" man="true" max="65535" min="0"/>
    <brk id="4389" man="true" max="65535" min="0"/>
    <brk id="4546" man="true" max="65535" min="0"/>
    <brk id="4610" man="true" max="65535" min="0"/>
    <brk id="4626" man="true" max="65535" min="0"/>
    <brk id="4752" man="true" max="65535" min="0"/>
    <brk id="4866" man="true" max="65535" min="0"/>
    <brk id="4883" man="true" max="65535" min="0"/>
    <brk id="5122" man="true" max="65535" min="0"/>
    <brk id="5314" man="true" max="65535" min="0"/>
    <brk id="5376" man="true" max="65535" min="0"/>
    <brk id="5378" man="true" max="65535" min="0"/>
    <brk id="5380" man="true" max="65535" min="0"/>
    <brk id="5387" man="true" max="65535" min="0"/>
    <brk id="5388" man="true" max="65535" min="0"/>
    <brk id="5632" man="true" max="65535" min="0"/>
    <brk id="5634" man="true" max="65535" min="0"/>
    <brk id="5649" man="true" max="65535" min="0"/>
    <brk id="5696" man="true" max="65535" min="0"/>
    <brk id="5824" man="true" max="65535" min="0"/>
    <brk id="5833" man="true" max="65535" min="0"/>
    <brk id="5888" man="true" max="65535" min="0"/>
    <brk id="5890" man="true" max="65535" min="0"/>
    <brk id="6146" man="true" max="65535" min="0"/>
    <brk id="6285" man="true" max="65535" min="0"/>
    <brk id="6400" man="true" max="65535" min="0"/>
    <brk id="6402" man="true" max="65535" min="0"/>
    <brk id="6403" man="true" max="65535" min="0"/>
    <brk id="6409" man="true" max="65535" min="0"/>
    <brk id="6411" man="true" max="65535" min="0"/>
    <brk id="6421" man="true" max="65535" min="0"/>
    <brk id="6656" man="true" max="65535" min="0"/>
    <brk id="6658" man="true" max="65535" min="0"/>
    <brk id="6721" man="true" max="65535" min="0"/>
    <brk id="6796" man="true" max="65535" min="0"/>
    <brk id="6912" man="true" max="65535" min="0"/>
    <brk id="6914" man="true" max="65535" min="0"/>
    <brk id="6948" man="true" max="65535" min="0"/>
    <brk id="7168" man="true" max="65535" min="0"/>
    <brk id="7170" man="true" max="65535" min="0"/>
    <brk id="7196" man="true" max="65535" min="0"/>
    <brk id="7296" man="true" max="65535" min="0"/>
    <brk id="7424" man="true" max="65535" min="0"/>
    <brk id="7426" man="true" max="65535" min="0"/>
    <brk id="7680" man="true" max="65535" min="0"/>
    <brk id="7682" man="true" max="65535" min="0"/>
    <brk id="7684" man="true" max="65535" min="0"/>
    <brk id="7701" man="true" max="65535" min="0"/>
    <brk id="7808" man="true" max="65535" min="0"/>
    <brk id="7872" man="true" max="65535" min="0"/>
    <brk id="7880" man="true" max="65535" min="0"/>
    <brk id="7936" man="true" max="65535" min="0"/>
    <brk id="7938" man="true" max="65535" min="0"/>
    <brk id="7967" man="true" max="65535" min="0"/>
    <brk id="8128" man="true" max="65535" min="0"/>
    <brk id="8192" man="true" max="65535" min="0"/>
    <brk id="8194" man="true" max="65535" min="0"/>
    <brk id="8410" man="true" max="65535" min="0"/>
    <brk id="8423" man="true" max="65535" min="0"/>
    <brk id="8450" man="true" max="65535" min="0"/>
    <brk id="8604" man="true" max="65535" min="0"/>
    <brk id="8626" man="true" max="65535" min="0"/>
    <brk id="8704" man="true" max="65535" min="0"/>
    <brk id="8706" man="true" max="65535" min="0"/>
    <brk id="8776" man="true" max="65535" min="0"/>
    <brk id="8910" man="true" max="65535" min="0"/>
    <brk id="8955" man="true" max="65535" min="0"/>
    <brk id="8962" man="true" max="65535" min="0"/>
    <brk id="9131" man="true" max="65535" min="0"/>
    <brk id="9216" man="true" max="65535" min="0"/>
    <brk id="9240" man="true" max="65535" min="0"/>
    <brk id="9301" man="true" max="65535" min="0"/>
    <brk id="9386" man="true" max="65535" min="0"/>
    <brk id="9443" man="true" max="65535" min="0"/>
    <brk id="9472" man="true" max="65535" min="0"/>
    <brk id="10240" man="true" max="65535" min="0"/>
    <brk id="10304" man="true" max="65535" min="0"/>
    <brk id="10854" man="true" max="65535" min="0"/>
    <brk id="11008" man="true" max="65535" min="0"/>
    <brk id="11264" man="true" max="65535" min="0"/>
    <brk id="11328" man="true" max="65535" min="0"/>
    <brk id="11380" man="true" max="65535" min="0"/>
    <brk id="11628" man="true" max="65535" min="0"/>
    <brk id="11932" man="true" max="65535" min="0"/>
    <brk id="11939" man="true" max="65535" min="0"/>
    <brk id="12032" man="true" max="65535" min="0"/>
    <brk id="12101" man="true" max="65535" min="0"/>
    <brk id="12142" man="true" max="65535" min="0"/>
    <brk id="12261" man="true" max="65535" min="0"/>
    <brk id="12288" man="true" max="65535" min="0"/>
    <brk id="12340" man="true" max="65535" min="0"/>
    <brk id="12504" man="true" max="65535" min="0"/>
    <brk id="12527" man="true" max="65535" min="0"/>
    <brk id="12554" man="true" max="65535" min="0"/>
    <brk id="12807" man="true" max="65535" min="0"/>
    <brk id="12809" man="true" max="65535" min="0"/>
    <brk id="13312" man="true" max="65535" min="0"/>
    <brk id="13567" man="true" max="65535" min="0"/>
    <brk id="14050" man="true" max="65535" min="0"/>
    <brk id="14052" man="true" max="65535" min="0"/>
    <brk id="14318" man="true" max="65535" min="0"/>
    <brk id="14336" man="true" max="65535" min="0"/>
    <brk id="14445" man="true" max="65535" min="0"/>
    <brk id="14489" man="true" max="65535" min="0"/>
    <brk id="14496" man="true" max="65535" min="0"/>
    <brk id="14498" man="true" max="65535" min="0"/>
    <brk id="14585" man="true" max="65535" min="0"/>
    <brk id="14592" man="true" max="65535" min="0"/>
    <brk id="14612" man="true" max="65535" min="0"/>
    <brk id="14627" man="true" max="65535" min="0"/>
    <brk id="14745" man="true" max="65535" min="0"/>
    <brk id="14843" man="true" max="65535" min="0"/>
    <brk id="14848" man="true" max="65535" min="0"/>
    <brk id="14880" man="true" max="65535" min="0"/>
    <brk id="14910" man="true" max="65535" min="0"/>
    <brk id="14944" man="true" max="65535" min="0"/>
    <brk id="15010" man="true" max="65535" min="0"/>
    <brk id="15059" man="true" max="65535" min="0"/>
    <brk id="15104" man="true" max="65535" min="0"/>
    <brk id="15310" man="true" max="65535" min="0"/>
    <brk id="15360" man="true" max="65535" min="0"/>
    <brk id="15417" man="true" max="65535" min="0"/>
    <brk id="15504" man="true" max="65535" min="0"/>
    <brk id="15514" man="true" max="65535" min="0"/>
    <brk id="15546" man="true" max="65535" min="0"/>
    <brk id="15616" man="true" max="65535" min="0"/>
    <brk id="15639" man="true" max="65535" min="0"/>
    <brk id="15780" man="true" max="65535" min="0"/>
    <brk id="15872" man="true" max="65535" min="0"/>
    <brk id="16066" man="true" max="65535" min="0"/>
    <brk id="16113" man="true" max="65535" min="0"/>
    <brk id="16128" man="true" max="65535" min="0"/>
    <brk id="16175" man="true" max="65535" min="0"/>
    <brk id="16193" man="true" max="65535" min="0"/>
    <brk id="16328" man="true" max="65535" min="0"/>
    <brk id="16352" man="true" max="65535" min="0"/>
    <brk id="16368" man="true" max="65535" min="0"/>
    <brk id="16382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1998-08-18T06:30:25Z</dcterms:created>
  <dc:creator>Joy Dahlgren</dc:creator>
  <dc:description/>
  <dc:language>en-AU</dc:language>
  <cp:lastModifiedBy>David Levinson</cp:lastModifiedBy>
  <cp:lastPrinted>1999-03-02T11:22:27Z</cp:lastPrinted>
  <cp:revision>0</cp:revision>
  <dc:subject/>
  <dc:title/>
</cp:coreProperties>
</file>